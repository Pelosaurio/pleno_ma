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6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7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8.xml" ContentType="application/vnd.openxmlformats-officedocument.drawing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9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20.xml" ContentType="application/vnd.openxmlformats-officedocument.drawing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21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22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23.xml" ContentType="application/vnd.openxmlformats-officedocument.drawing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2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25.xml" ContentType="application/vnd.openxmlformats-officedocument.drawing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26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drawings/drawing27.xml" ContentType="application/vnd.openxmlformats-officedocument.drawing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28.xml" ContentType="application/vnd.openxmlformats-officedocument.drawing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29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drawings/drawing30.xml" ContentType="application/vnd.openxmlformats-officedocument.drawing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31.xml" ContentType="application/vnd.openxmlformats-officedocument.drawing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drawings/drawing32.xml" ContentType="application/vnd.openxmlformats-officedocument.drawing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drawings/drawing33.xml" ContentType="application/vnd.openxmlformats-officedocument.drawing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drawings/drawing34.xml" ContentType="application/vnd.openxmlformats-officedocument.drawing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drawings/drawing35.xml" ContentType="application/vnd.openxmlformats-officedocument.drawing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drawings/drawing36.xml" ContentType="application/vnd.openxmlformats-officedocument.drawing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drawings/drawing37.xml" ContentType="application/vnd.openxmlformats-officedocument.drawing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drawings/drawing38.xml" ContentType="application/vnd.openxmlformats-officedocument.drawing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drawings/drawing39.xml" ContentType="application/vnd.openxmlformats-officedocument.drawing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drawings/drawing40.xml" ContentType="application/vnd.openxmlformats-officedocument.drawing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drawings/drawing41.xml" ContentType="application/vnd.openxmlformats-officedocument.drawing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drawings/drawing42.xml" ContentType="application/vnd.openxmlformats-officedocument.drawing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drawings/drawing43.xml" ContentType="application/vnd.openxmlformats-officedocument.drawing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que Las Salinas\Desktop\Especializacion Sence\introPython\pleno_ma\data\raw\"/>
    </mc:Choice>
  </mc:AlternateContent>
  <xr:revisionPtr revIDLastSave="0" documentId="13_ncr:1_{7EAB079D-599C-4496-80BA-6EEDB35FAA93}" xr6:coauthVersionLast="47" xr6:coauthVersionMax="47" xr10:uidLastSave="{00000000-0000-0000-0000-000000000000}"/>
  <bookViews>
    <workbookView xWindow="-110" yWindow="-110" windowWidth="19420" windowHeight="10420" firstSheet="14" activeTab="25" xr2:uid="{8976E5AC-BE50-466E-A4EA-1665199E1F56}"/>
  </bookViews>
  <sheets>
    <sheet name="Art1" sheetId="1" r:id="rId1"/>
    <sheet name="Art2" sheetId="3" r:id="rId2"/>
    <sheet name="Art3" sheetId="4" r:id="rId3"/>
    <sheet name="Art4" sheetId="5" r:id="rId4"/>
    <sheet name="Art5" sheetId="6" r:id="rId5"/>
    <sheet name="Art6" sheetId="7" r:id="rId6"/>
    <sheet name="Art7" sheetId="8" r:id="rId7"/>
    <sheet name="Art8" sheetId="9" r:id="rId8"/>
    <sheet name="Art9" sheetId="10" r:id="rId9"/>
    <sheet name="Art10" sheetId="11" r:id="rId10"/>
    <sheet name="Art11" sheetId="12" r:id="rId11"/>
    <sheet name="Art12" sheetId="13" r:id="rId12"/>
    <sheet name="Art13" sheetId="14" r:id="rId13"/>
    <sheet name="Art14" sheetId="15" r:id="rId14"/>
    <sheet name="Art15" sheetId="16" r:id="rId15"/>
    <sheet name="Art16" sheetId="17" r:id="rId16"/>
    <sheet name="Art17" sheetId="18" r:id="rId17"/>
    <sheet name="Art18" sheetId="19" r:id="rId18"/>
    <sheet name="Art19" sheetId="20" r:id="rId19"/>
    <sheet name="Art20" sheetId="21" r:id="rId20"/>
    <sheet name="Art21" sheetId="22" r:id="rId21"/>
    <sheet name="Art22" sheetId="23" r:id="rId22"/>
    <sheet name="Art23" sheetId="24" r:id="rId23"/>
    <sheet name="Art24" sheetId="25" r:id="rId24"/>
    <sheet name="Art25" sheetId="26" r:id="rId25"/>
    <sheet name="Art26" sheetId="27" r:id="rId26"/>
    <sheet name="Art27" sheetId="28" r:id="rId27"/>
    <sheet name="Art28" sheetId="29" r:id="rId28"/>
    <sheet name="Art29" sheetId="30" r:id="rId29"/>
    <sheet name="Art30" sheetId="31" r:id="rId30"/>
    <sheet name="Art31" sheetId="32" r:id="rId31"/>
    <sheet name="Art32" sheetId="33" r:id="rId32"/>
    <sheet name="Art33" sheetId="34" r:id="rId33"/>
    <sheet name="Art34" sheetId="35" r:id="rId34"/>
    <sheet name="Art35" sheetId="36" r:id="rId35"/>
    <sheet name="Art36" sheetId="37" r:id="rId36"/>
    <sheet name="Art37" sheetId="38" r:id="rId37"/>
    <sheet name="Art38" sheetId="39" r:id="rId38"/>
    <sheet name="ArtT1" sheetId="40" r:id="rId39"/>
    <sheet name="ArtT2" sheetId="41" r:id="rId40"/>
    <sheet name="General" sheetId="42" r:id="rId41"/>
    <sheet name="Constituyente" sheetId="44" r:id="rId42"/>
    <sheet name="Tabla base" sheetId="43" r:id="rId43"/>
  </sheets>
  <externalReferences>
    <externalReference r:id="rId4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44" l="1"/>
  <c r="F19" i="44"/>
  <c r="F20" i="44"/>
  <c r="F21" i="44"/>
  <c r="F22" i="44"/>
  <c r="F23" i="44"/>
  <c r="F24" i="44"/>
  <c r="F25" i="44"/>
  <c r="F26" i="44"/>
  <c r="F27" i="44"/>
  <c r="F28" i="44"/>
  <c r="F29" i="44"/>
  <c r="F30" i="44"/>
  <c r="F31" i="44"/>
  <c r="F32" i="44"/>
  <c r="F33" i="44"/>
  <c r="F34" i="44"/>
  <c r="F35" i="44"/>
  <c r="F36" i="44"/>
  <c r="F37" i="44"/>
  <c r="F38" i="44"/>
  <c r="F39" i="44"/>
  <c r="F40" i="44"/>
  <c r="F41" i="44"/>
  <c r="F42" i="44"/>
  <c r="F43" i="44"/>
  <c r="F44" i="44"/>
  <c r="F45" i="44"/>
  <c r="F46" i="44"/>
  <c r="F47" i="44"/>
  <c r="F48" i="44"/>
  <c r="F49" i="44"/>
  <c r="F50" i="44"/>
  <c r="F51" i="44"/>
  <c r="F52" i="44"/>
  <c r="F53" i="44"/>
  <c r="F54" i="44"/>
  <c r="F55" i="44"/>
  <c r="F56" i="44"/>
  <c r="F57" i="44"/>
  <c r="F58" i="44"/>
  <c r="F59" i="44"/>
  <c r="F60" i="44"/>
  <c r="F61" i="44"/>
  <c r="F62" i="44"/>
  <c r="F63" i="44"/>
  <c r="F64" i="44"/>
  <c r="F65" i="44"/>
  <c r="F66" i="44"/>
  <c r="F67" i="44"/>
  <c r="F68" i="44"/>
  <c r="F69" i="44"/>
  <c r="F70" i="44"/>
  <c r="F71" i="44"/>
  <c r="F72" i="44"/>
  <c r="F73" i="44"/>
  <c r="F74" i="44"/>
  <c r="F75" i="44"/>
  <c r="F76" i="44"/>
  <c r="F77" i="44"/>
  <c r="F78" i="44"/>
  <c r="F79" i="44"/>
  <c r="F80" i="44"/>
  <c r="F81" i="44"/>
  <c r="F82" i="44"/>
  <c r="F83" i="44"/>
  <c r="F84" i="44"/>
  <c r="F85" i="44"/>
  <c r="F86" i="44"/>
  <c r="F87" i="44"/>
  <c r="F88" i="44"/>
  <c r="F89" i="44"/>
  <c r="F90" i="44"/>
  <c r="F91" i="44"/>
  <c r="F92" i="44"/>
  <c r="F93" i="44"/>
  <c r="F94" i="44"/>
  <c r="F95" i="44"/>
  <c r="F96" i="44"/>
  <c r="F97" i="44"/>
  <c r="F98" i="44"/>
  <c r="F99" i="44"/>
  <c r="F100" i="44"/>
  <c r="F101" i="44"/>
  <c r="F102" i="44"/>
  <c r="F103" i="44"/>
  <c r="F104" i="44"/>
  <c r="F105" i="44"/>
  <c r="F106" i="44"/>
  <c r="F107" i="44"/>
  <c r="F108" i="44"/>
  <c r="F109" i="44"/>
  <c r="F110" i="44"/>
  <c r="F111" i="44"/>
  <c r="F112" i="44"/>
  <c r="F113" i="44"/>
  <c r="F114" i="44"/>
  <c r="F115" i="44"/>
  <c r="F116" i="44"/>
  <c r="F117" i="44"/>
  <c r="F118" i="44"/>
  <c r="F119" i="44"/>
  <c r="F120" i="44"/>
  <c r="F121" i="44"/>
  <c r="F122" i="44"/>
  <c r="F123" i="44"/>
  <c r="F124" i="44"/>
  <c r="F125" i="44"/>
  <c r="F126" i="44"/>
  <c r="F127" i="44"/>
  <c r="F128" i="44"/>
  <c r="F129" i="44"/>
  <c r="F130" i="44"/>
  <c r="F131" i="44"/>
  <c r="F132" i="44"/>
  <c r="F133" i="44"/>
  <c r="F134" i="44"/>
  <c r="F135" i="44"/>
  <c r="F136" i="44"/>
  <c r="F137" i="44"/>
  <c r="F138" i="44"/>
  <c r="F139" i="44"/>
  <c r="F140" i="44"/>
  <c r="F141" i="44"/>
  <c r="F142" i="44"/>
  <c r="F143" i="44"/>
  <c r="F144" i="44"/>
  <c r="F145" i="44"/>
  <c r="F146" i="44"/>
  <c r="F147" i="44"/>
  <c r="F148" i="44"/>
  <c r="F149" i="44"/>
  <c r="F150" i="44"/>
  <c r="F151" i="44"/>
  <c r="F152" i="44"/>
  <c r="F153" i="44"/>
  <c r="F154" i="44"/>
  <c r="F155" i="44"/>
  <c r="F156" i="44"/>
  <c r="F2" i="44"/>
  <c r="F3" i="44"/>
  <c r="F4" i="44"/>
  <c r="F5" i="44"/>
  <c r="F6" i="44"/>
  <c r="F7" i="44"/>
  <c r="F8" i="44"/>
  <c r="F9" i="44"/>
  <c r="F10" i="44"/>
  <c r="F11" i="44"/>
  <c r="F12" i="44"/>
  <c r="F13" i="44"/>
  <c r="F14" i="44"/>
  <c r="F15" i="44"/>
  <c r="F16" i="44"/>
  <c r="E156" i="44"/>
  <c r="E3" i="44"/>
  <c r="E4" i="44"/>
  <c r="E5" i="44"/>
  <c r="E6" i="44"/>
  <c r="E7" i="44"/>
  <c r="E8" i="44"/>
  <c r="E9" i="44"/>
  <c r="E10" i="44"/>
  <c r="E11" i="44"/>
  <c r="E12" i="44"/>
  <c r="E13" i="44"/>
  <c r="E14" i="44"/>
  <c r="E15" i="44"/>
  <c r="E16" i="44"/>
  <c r="E17" i="44"/>
  <c r="E18" i="44"/>
  <c r="E19" i="44"/>
  <c r="E20" i="44"/>
  <c r="E21" i="44"/>
  <c r="E22" i="44"/>
  <c r="E23" i="44"/>
  <c r="E24" i="44"/>
  <c r="E25" i="44"/>
  <c r="E26" i="44"/>
  <c r="E27" i="44"/>
  <c r="E28" i="44"/>
  <c r="E29" i="44"/>
  <c r="E30" i="44"/>
  <c r="E31" i="44"/>
  <c r="E32" i="44"/>
  <c r="E33" i="44"/>
  <c r="E34" i="44"/>
  <c r="E35" i="44"/>
  <c r="E36" i="44"/>
  <c r="E37" i="44"/>
  <c r="E38" i="44"/>
  <c r="E39" i="44"/>
  <c r="E40" i="44"/>
  <c r="E41" i="44"/>
  <c r="E42" i="44"/>
  <c r="E43" i="44"/>
  <c r="E44" i="44"/>
  <c r="E45" i="44"/>
  <c r="E46" i="44"/>
  <c r="E47" i="44"/>
  <c r="E48" i="44"/>
  <c r="E49" i="44"/>
  <c r="E50" i="44"/>
  <c r="E51" i="44"/>
  <c r="E52" i="44"/>
  <c r="E53" i="44"/>
  <c r="E54" i="44"/>
  <c r="E55" i="44"/>
  <c r="E56" i="44"/>
  <c r="E57" i="44"/>
  <c r="E58" i="44"/>
  <c r="E59" i="44"/>
  <c r="E60" i="44"/>
  <c r="E61" i="44"/>
  <c r="E62" i="44"/>
  <c r="E63" i="44"/>
  <c r="E64" i="44"/>
  <c r="E65" i="44"/>
  <c r="E66" i="44"/>
  <c r="E67" i="44"/>
  <c r="E68" i="44"/>
  <c r="E69" i="44"/>
  <c r="E70" i="44"/>
  <c r="E71" i="44"/>
  <c r="E72" i="44"/>
  <c r="E73" i="44"/>
  <c r="E74" i="44"/>
  <c r="E75" i="44"/>
  <c r="E76" i="44"/>
  <c r="E77" i="44"/>
  <c r="E78" i="44"/>
  <c r="E79" i="44"/>
  <c r="E80" i="44"/>
  <c r="E81" i="44"/>
  <c r="E82" i="44"/>
  <c r="E83" i="44"/>
  <c r="E84" i="44"/>
  <c r="E85" i="44"/>
  <c r="E86" i="44"/>
  <c r="E87" i="44"/>
  <c r="E88" i="44"/>
  <c r="E89" i="44"/>
  <c r="E90" i="44"/>
  <c r="E91" i="44"/>
  <c r="E92" i="44"/>
  <c r="E93" i="44"/>
  <c r="E94" i="44"/>
  <c r="E95" i="44"/>
  <c r="E96" i="44"/>
  <c r="E97" i="44"/>
  <c r="E98" i="44"/>
  <c r="E99" i="44"/>
  <c r="E100" i="44"/>
  <c r="E101" i="44"/>
  <c r="E102" i="44"/>
  <c r="E103" i="44"/>
  <c r="E104" i="44"/>
  <c r="E105" i="44"/>
  <c r="E106" i="44"/>
  <c r="E107" i="44"/>
  <c r="E108" i="44"/>
  <c r="E109" i="44"/>
  <c r="E110" i="44"/>
  <c r="E111" i="44"/>
  <c r="E112" i="44"/>
  <c r="E113" i="44"/>
  <c r="E114" i="44"/>
  <c r="E115" i="44"/>
  <c r="E116" i="44"/>
  <c r="E117" i="44"/>
  <c r="E118" i="44"/>
  <c r="E119" i="44"/>
  <c r="E120" i="44"/>
  <c r="E121" i="44"/>
  <c r="E122" i="44"/>
  <c r="E123" i="44"/>
  <c r="E124" i="44"/>
  <c r="E125" i="44"/>
  <c r="E126" i="44"/>
  <c r="E127" i="44"/>
  <c r="E128" i="44"/>
  <c r="E129" i="44"/>
  <c r="E130" i="44"/>
  <c r="E131" i="44"/>
  <c r="E132" i="44"/>
  <c r="E133" i="44"/>
  <c r="E134" i="44"/>
  <c r="E135" i="44"/>
  <c r="E136" i="44"/>
  <c r="E137" i="44"/>
  <c r="E138" i="44"/>
  <c r="E139" i="44"/>
  <c r="E140" i="44"/>
  <c r="E141" i="44"/>
  <c r="E142" i="44"/>
  <c r="E143" i="44"/>
  <c r="E144" i="44"/>
  <c r="E145" i="44"/>
  <c r="E146" i="44"/>
  <c r="E147" i="44"/>
  <c r="E148" i="44"/>
  <c r="E149" i="44"/>
  <c r="E150" i="44"/>
  <c r="E151" i="44"/>
  <c r="E152" i="44"/>
  <c r="E153" i="44"/>
  <c r="E154" i="44"/>
  <c r="E155" i="44"/>
  <c r="E2" i="44"/>
  <c r="D18" i="44"/>
  <c r="D19" i="44"/>
  <c r="D20" i="44"/>
  <c r="D21" i="44"/>
  <c r="D22" i="44"/>
  <c r="D23" i="44"/>
  <c r="D24" i="44"/>
  <c r="D25" i="44"/>
  <c r="D26" i="44"/>
  <c r="D27" i="44"/>
  <c r="D28" i="44"/>
  <c r="D29" i="44"/>
  <c r="D30" i="44"/>
  <c r="D31" i="44"/>
  <c r="D32" i="44"/>
  <c r="D33" i="44"/>
  <c r="D34" i="44"/>
  <c r="D35" i="44"/>
  <c r="D36" i="44"/>
  <c r="D37" i="44"/>
  <c r="D38" i="44"/>
  <c r="D39" i="44"/>
  <c r="D40" i="44"/>
  <c r="D41" i="44"/>
  <c r="D42" i="44"/>
  <c r="D43" i="44"/>
  <c r="D44" i="44"/>
  <c r="D45" i="44"/>
  <c r="D46" i="44"/>
  <c r="D47" i="44"/>
  <c r="D48" i="44"/>
  <c r="D49" i="44"/>
  <c r="D50" i="44"/>
  <c r="D51" i="44"/>
  <c r="D52" i="44"/>
  <c r="D53" i="44"/>
  <c r="D54" i="44"/>
  <c r="D55" i="44"/>
  <c r="D56" i="44"/>
  <c r="D57" i="44"/>
  <c r="D58" i="44"/>
  <c r="D59" i="44"/>
  <c r="D60" i="44"/>
  <c r="D61" i="44"/>
  <c r="D62" i="44"/>
  <c r="D63" i="44"/>
  <c r="D64" i="44"/>
  <c r="D65" i="44"/>
  <c r="D66" i="44"/>
  <c r="D67" i="44"/>
  <c r="D68" i="44"/>
  <c r="D69" i="44"/>
  <c r="D70" i="44"/>
  <c r="D71" i="44"/>
  <c r="D72" i="44"/>
  <c r="D73" i="44"/>
  <c r="D74" i="44"/>
  <c r="D75" i="44"/>
  <c r="D76" i="44"/>
  <c r="D77" i="44"/>
  <c r="D78" i="44"/>
  <c r="D79" i="44"/>
  <c r="D80" i="44"/>
  <c r="D81" i="44"/>
  <c r="D82" i="44"/>
  <c r="D83" i="44"/>
  <c r="D84" i="44"/>
  <c r="D85" i="44"/>
  <c r="D86" i="44"/>
  <c r="D87" i="44"/>
  <c r="D88" i="44"/>
  <c r="D89" i="44"/>
  <c r="D90" i="44"/>
  <c r="D91" i="44"/>
  <c r="D92" i="44"/>
  <c r="D93" i="44"/>
  <c r="D94" i="44"/>
  <c r="D95" i="44"/>
  <c r="D96" i="44"/>
  <c r="D97" i="44"/>
  <c r="D98" i="44"/>
  <c r="D99" i="44"/>
  <c r="D100" i="44"/>
  <c r="D101" i="44"/>
  <c r="D102" i="44"/>
  <c r="D103" i="44"/>
  <c r="D104" i="44"/>
  <c r="D105" i="44"/>
  <c r="D106" i="44"/>
  <c r="D107" i="44"/>
  <c r="D108" i="44"/>
  <c r="D109" i="44"/>
  <c r="D110" i="44"/>
  <c r="D111" i="44"/>
  <c r="D112" i="44"/>
  <c r="D113" i="44"/>
  <c r="D114" i="44"/>
  <c r="D115" i="44"/>
  <c r="D116" i="44"/>
  <c r="D117" i="44"/>
  <c r="D118" i="44"/>
  <c r="D119" i="44"/>
  <c r="D120" i="44"/>
  <c r="D121" i="44"/>
  <c r="D122" i="44"/>
  <c r="D123" i="44"/>
  <c r="D124" i="44"/>
  <c r="D125" i="44"/>
  <c r="D126" i="44"/>
  <c r="D127" i="44"/>
  <c r="D128" i="44"/>
  <c r="D129" i="44"/>
  <c r="D130" i="44"/>
  <c r="D131" i="44"/>
  <c r="D132" i="44"/>
  <c r="D133" i="44"/>
  <c r="D134" i="44"/>
  <c r="D135" i="44"/>
  <c r="D136" i="44"/>
  <c r="D137" i="44"/>
  <c r="D138" i="44"/>
  <c r="D139" i="44"/>
  <c r="D140" i="44"/>
  <c r="D141" i="44"/>
  <c r="D142" i="44"/>
  <c r="D143" i="44"/>
  <c r="D144" i="44"/>
  <c r="D145" i="44"/>
  <c r="D146" i="44"/>
  <c r="D147" i="44"/>
  <c r="D148" i="44"/>
  <c r="D149" i="44"/>
  <c r="D150" i="44"/>
  <c r="D151" i="44"/>
  <c r="D152" i="44"/>
  <c r="D153" i="44"/>
  <c r="D154" i="44"/>
  <c r="D155" i="44"/>
  <c r="D156" i="44"/>
  <c r="D2" i="44"/>
  <c r="D3" i="44"/>
  <c r="D4" i="44"/>
  <c r="D5" i="44"/>
  <c r="D6" i="44"/>
  <c r="D7" i="44"/>
  <c r="D8" i="44"/>
  <c r="D9" i="44"/>
  <c r="D10" i="44"/>
  <c r="D11" i="44"/>
  <c r="D12" i="44"/>
  <c r="D13" i="44"/>
  <c r="D14" i="44"/>
  <c r="D15" i="44"/>
  <c r="D16" i="44"/>
  <c r="C18" i="44"/>
  <c r="C19" i="44"/>
  <c r="C20" i="44"/>
  <c r="C21" i="44"/>
  <c r="C22" i="44"/>
  <c r="C23" i="44"/>
  <c r="C24" i="44"/>
  <c r="C25" i="44"/>
  <c r="C26" i="44"/>
  <c r="C27" i="44"/>
  <c r="C28" i="44"/>
  <c r="C29" i="44"/>
  <c r="C30" i="44"/>
  <c r="C31" i="44"/>
  <c r="C32" i="44"/>
  <c r="C33" i="44"/>
  <c r="C34" i="44"/>
  <c r="C35" i="44"/>
  <c r="C36" i="44"/>
  <c r="C37" i="44"/>
  <c r="C38" i="44"/>
  <c r="C39" i="44"/>
  <c r="C40" i="44"/>
  <c r="C41" i="44"/>
  <c r="C42" i="44"/>
  <c r="C43" i="44"/>
  <c r="C44" i="44"/>
  <c r="C45" i="44"/>
  <c r="C46" i="44"/>
  <c r="C47" i="44"/>
  <c r="C48" i="44"/>
  <c r="C49" i="44"/>
  <c r="C50" i="44"/>
  <c r="C51" i="44"/>
  <c r="C52" i="44"/>
  <c r="C53" i="44"/>
  <c r="C54" i="44"/>
  <c r="C55" i="44"/>
  <c r="C56" i="44"/>
  <c r="C57" i="44"/>
  <c r="C58" i="44"/>
  <c r="C59" i="44"/>
  <c r="C60" i="44"/>
  <c r="C61" i="44"/>
  <c r="C62" i="44"/>
  <c r="C63" i="44"/>
  <c r="C64" i="44"/>
  <c r="C65" i="44"/>
  <c r="C66" i="44"/>
  <c r="C67" i="44"/>
  <c r="C68" i="44"/>
  <c r="C69" i="44"/>
  <c r="C70" i="44"/>
  <c r="C71" i="44"/>
  <c r="C72" i="44"/>
  <c r="C73" i="44"/>
  <c r="C74" i="44"/>
  <c r="C75" i="44"/>
  <c r="C76" i="44"/>
  <c r="C77" i="44"/>
  <c r="C78" i="44"/>
  <c r="C79" i="44"/>
  <c r="C80" i="44"/>
  <c r="C81" i="44"/>
  <c r="C82" i="44"/>
  <c r="C83" i="44"/>
  <c r="C84" i="44"/>
  <c r="C85" i="44"/>
  <c r="C86" i="44"/>
  <c r="C87" i="44"/>
  <c r="C88" i="44"/>
  <c r="C89" i="44"/>
  <c r="C90" i="44"/>
  <c r="C91" i="44"/>
  <c r="C92" i="44"/>
  <c r="C93" i="44"/>
  <c r="C94" i="44"/>
  <c r="C95" i="44"/>
  <c r="C96" i="44"/>
  <c r="C97" i="44"/>
  <c r="C98" i="44"/>
  <c r="C99" i="44"/>
  <c r="C100" i="44"/>
  <c r="C101" i="44"/>
  <c r="C102" i="44"/>
  <c r="C103" i="44"/>
  <c r="C104" i="44"/>
  <c r="C105" i="44"/>
  <c r="C106" i="44"/>
  <c r="C107" i="44"/>
  <c r="C108" i="44"/>
  <c r="C109" i="44"/>
  <c r="C110" i="44"/>
  <c r="C111" i="44"/>
  <c r="C112" i="44"/>
  <c r="C113" i="44"/>
  <c r="C114" i="44"/>
  <c r="C115" i="44"/>
  <c r="C116" i="44"/>
  <c r="C117" i="44"/>
  <c r="C118" i="44"/>
  <c r="C119" i="44"/>
  <c r="C120" i="44"/>
  <c r="C121" i="44"/>
  <c r="C122" i="44"/>
  <c r="C123" i="44"/>
  <c r="C124" i="44"/>
  <c r="C125" i="44"/>
  <c r="C126" i="44"/>
  <c r="C127" i="44"/>
  <c r="C128" i="44"/>
  <c r="C129" i="44"/>
  <c r="C130" i="44"/>
  <c r="C131" i="44"/>
  <c r="C132" i="44"/>
  <c r="C133" i="44"/>
  <c r="C134" i="44"/>
  <c r="C135" i="44"/>
  <c r="C136" i="44"/>
  <c r="C137" i="44"/>
  <c r="C138" i="44"/>
  <c r="C139" i="44"/>
  <c r="C140" i="44"/>
  <c r="C141" i="44"/>
  <c r="C142" i="44"/>
  <c r="C143" i="44"/>
  <c r="C144" i="44"/>
  <c r="C145" i="44"/>
  <c r="C146" i="44"/>
  <c r="C147" i="44"/>
  <c r="C148" i="44"/>
  <c r="C149" i="44"/>
  <c r="C150" i="44"/>
  <c r="C151" i="44"/>
  <c r="C152" i="44"/>
  <c r="C153" i="44"/>
  <c r="C154" i="44"/>
  <c r="C155" i="44"/>
  <c r="C156" i="44"/>
  <c r="C2" i="44"/>
  <c r="C3" i="44"/>
  <c r="C4" i="44"/>
  <c r="C5" i="44"/>
  <c r="C6" i="44"/>
  <c r="C7" i="44"/>
  <c r="C8" i="44"/>
  <c r="C9" i="44"/>
  <c r="C10" i="44"/>
  <c r="C11" i="44"/>
  <c r="C12" i="44"/>
  <c r="C13" i="44"/>
  <c r="C14" i="44"/>
  <c r="C15" i="44"/>
  <c r="C16" i="44"/>
  <c r="F17" i="44"/>
  <c r="D17" i="44"/>
  <c r="C17" i="44"/>
  <c r="L13" i="43"/>
  <c r="K13" i="43"/>
  <c r="J13" i="43"/>
  <c r="I13" i="43"/>
  <c r="M13" i="43" s="1"/>
  <c r="L12" i="43"/>
  <c r="K12" i="43"/>
  <c r="J12" i="43"/>
  <c r="I12" i="43"/>
  <c r="L11" i="43"/>
  <c r="K11" i="43"/>
  <c r="J11" i="43"/>
  <c r="I11" i="43"/>
  <c r="M11" i="43" s="1"/>
  <c r="L10" i="43"/>
  <c r="K10" i="43"/>
  <c r="J10" i="43"/>
  <c r="I10" i="43"/>
  <c r="L9" i="43"/>
  <c r="K9" i="43"/>
  <c r="J9" i="43"/>
  <c r="I9" i="43"/>
  <c r="L8" i="43"/>
  <c r="K8" i="43"/>
  <c r="J8" i="43"/>
  <c r="I8" i="43"/>
  <c r="L7" i="43"/>
  <c r="K7" i="43"/>
  <c r="J7" i="43"/>
  <c r="I7" i="43"/>
  <c r="L6" i="43"/>
  <c r="K6" i="43"/>
  <c r="J6" i="43"/>
  <c r="I6" i="43"/>
  <c r="L5" i="43"/>
  <c r="K5" i="43"/>
  <c r="J5" i="43"/>
  <c r="I5" i="43"/>
  <c r="L4" i="43"/>
  <c r="K4" i="43"/>
  <c r="J4" i="43"/>
  <c r="I4" i="43"/>
  <c r="L3" i="43"/>
  <c r="K3" i="43"/>
  <c r="J3" i="43"/>
  <c r="I3" i="43"/>
  <c r="M3" i="43" s="1"/>
  <c r="L2" i="43"/>
  <c r="K2" i="43"/>
  <c r="J2" i="43"/>
  <c r="I2" i="43"/>
  <c r="M13" i="42"/>
  <c r="L13" i="42"/>
  <c r="L57" i="42" s="1"/>
  <c r="K13" i="42"/>
  <c r="K57" i="42" s="1"/>
  <c r="J13" i="42"/>
  <c r="J57" i="42" s="1"/>
  <c r="I13" i="42"/>
  <c r="I57" i="42" s="1"/>
  <c r="M12" i="42"/>
  <c r="L12" i="42"/>
  <c r="L56" i="42" s="1"/>
  <c r="K12" i="42"/>
  <c r="K56" i="42" s="1"/>
  <c r="J12" i="42"/>
  <c r="J56" i="42" s="1"/>
  <c r="I12" i="42"/>
  <c r="I56" i="42" s="1"/>
  <c r="M11" i="42"/>
  <c r="L11" i="42"/>
  <c r="L55" i="42" s="1"/>
  <c r="K11" i="42"/>
  <c r="K55" i="42" s="1"/>
  <c r="J11" i="42"/>
  <c r="J55" i="42" s="1"/>
  <c r="I11" i="42"/>
  <c r="I55" i="42" s="1"/>
  <c r="M10" i="42"/>
  <c r="L10" i="42"/>
  <c r="L54" i="42" s="1"/>
  <c r="K10" i="42"/>
  <c r="K54" i="42" s="1"/>
  <c r="J10" i="42"/>
  <c r="J54" i="42" s="1"/>
  <c r="I10" i="42"/>
  <c r="M9" i="42"/>
  <c r="L9" i="42"/>
  <c r="L53" i="42" s="1"/>
  <c r="K9" i="42"/>
  <c r="K53" i="42" s="1"/>
  <c r="J9" i="42"/>
  <c r="J53" i="42" s="1"/>
  <c r="I9" i="42"/>
  <c r="M8" i="42"/>
  <c r="L8" i="42"/>
  <c r="L52" i="42" s="1"/>
  <c r="K8" i="42"/>
  <c r="K52" i="42" s="1"/>
  <c r="J8" i="42"/>
  <c r="J52" i="42" s="1"/>
  <c r="I8" i="42"/>
  <c r="I52" i="42" s="1"/>
  <c r="M7" i="42"/>
  <c r="L7" i="42"/>
  <c r="L51" i="42" s="1"/>
  <c r="K7" i="42"/>
  <c r="K51" i="42" s="1"/>
  <c r="J7" i="42"/>
  <c r="J51" i="42" s="1"/>
  <c r="I7" i="42"/>
  <c r="I51" i="42" s="1"/>
  <c r="M6" i="42"/>
  <c r="L6" i="42"/>
  <c r="L50" i="42" s="1"/>
  <c r="K6" i="42"/>
  <c r="K50" i="42" s="1"/>
  <c r="J6" i="42"/>
  <c r="J50" i="42" s="1"/>
  <c r="I6" i="42"/>
  <c r="I50" i="42" s="1"/>
  <c r="M5" i="42"/>
  <c r="L5" i="42"/>
  <c r="L49" i="42" s="1"/>
  <c r="K5" i="42"/>
  <c r="K49" i="42" s="1"/>
  <c r="J5" i="42"/>
  <c r="J49" i="42" s="1"/>
  <c r="I5" i="42"/>
  <c r="I49" i="42" s="1"/>
  <c r="M4" i="42"/>
  <c r="L4" i="42"/>
  <c r="K4" i="42"/>
  <c r="J4" i="42"/>
  <c r="I4" i="42"/>
  <c r="M3" i="42"/>
  <c r="L3" i="42"/>
  <c r="L47" i="42" s="1"/>
  <c r="K3" i="42"/>
  <c r="K47" i="42" s="1"/>
  <c r="J3" i="42"/>
  <c r="J47" i="42" s="1"/>
  <c r="I3" i="42"/>
  <c r="I47" i="42" s="1"/>
  <c r="M2" i="42"/>
  <c r="L2" i="42"/>
  <c r="L46" i="42" s="1"/>
  <c r="K2" i="42"/>
  <c r="K46" i="42" s="1"/>
  <c r="J2" i="42"/>
  <c r="I2" i="42"/>
  <c r="I46" i="42" s="1"/>
  <c r="L13" i="41"/>
  <c r="K13" i="41"/>
  <c r="J13" i="41"/>
  <c r="I13" i="41"/>
  <c r="M13" i="41" s="1"/>
  <c r="L12" i="41"/>
  <c r="K12" i="41"/>
  <c r="J12" i="41"/>
  <c r="I12" i="41"/>
  <c r="M12" i="41" s="1"/>
  <c r="L56" i="41" s="1"/>
  <c r="L11" i="41"/>
  <c r="K11" i="41"/>
  <c r="J11" i="41"/>
  <c r="I11" i="41"/>
  <c r="M11" i="41" s="1"/>
  <c r="M10" i="41"/>
  <c r="L54" i="41" s="1"/>
  <c r="L10" i="41"/>
  <c r="K10" i="41"/>
  <c r="J10" i="41"/>
  <c r="I10" i="41"/>
  <c r="M9" i="41"/>
  <c r="L9" i="41"/>
  <c r="L53" i="41" s="1"/>
  <c r="K9" i="41"/>
  <c r="K53" i="41" s="1"/>
  <c r="J9" i="41"/>
  <c r="J53" i="41" s="1"/>
  <c r="I9" i="41"/>
  <c r="I53" i="41" s="1"/>
  <c r="L8" i="41"/>
  <c r="K8" i="41"/>
  <c r="J8" i="41"/>
  <c r="I8" i="41"/>
  <c r="L7" i="41"/>
  <c r="K7" i="41"/>
  <c r="J7" i="41"/>
  <c r="I7" i="41"/>
  <c r="L6" i="41"/>
  <c r="L50" i="41" s="1"/>
  <c r="K6" i="41"/>
  <c r="J6" i="41"/>
  <c r="I6" i="41"/>
  <c r="M6" i="41" s="1"/>
  <c r="L5" i="41"/>
  <c r="K5" i="41"/>
  <c r="J5" i="41"/>
  <c r="I5" i="41"/>
  <c r="L4" i="41"/>
  <c r="K4" i="41"/>
  <c r="J4" i="41"/>
  <c r="I4" i="41"/>
  <c r="L3" i="41"/>
  <c r="K3" i="41"/>
  <c r="J3" i="41"/>
  <c r="I3" i="41"/>
  <c r="M3" i="41" s="1"/>
  <c r="L2" i="41"/>
  <c r="K2" i="41"/>
  <c r="J2" i="41"/>
  <c r="I2" i="41"/>
  <c r="M2" i="41" s="1"/>
  <c r="L13" i="40"/>
  <c r="K13" i="40"/>
  <c r="J13" i="40"/>
  <c r="I13" i="40"/>
  <c r="M13" i="40" s="1"/>
  <c r="L12" i="40"/>
  <c r="K12" i="40"/>
  <c r="J12" i="40"/>
  <c r="I12" i="40"/>
  <c r="M12" i="40" s="1"/>
  <c r="L11" i="40"/>
  <c r="K11" i="40"/>
  <c r="J11" i="40"/>
  <c r="I11" i="40"/>
  <c r="M11" i="40" s="1"/>
  <c r="M10" i="40"/>
  <c r="L54" i="40" s="1"/>
  <c r="L10" i="40"/>
  <c r="K10" i="40"/>
  <c r="J10" i="40"/>
  <c r="I10" i="40"/>
  <c r="L9" i="40"/>
  <c r="K9" i="40"/>
  <c r="J9" i="40"/>
  <c r="I9" i="40"/>
  <c r="L8" i="40"/>
  <c r="K8" i="40"/>
  <c r="J8" i="40"/>
  <c r="I8" i="40"/>
  <c r="L7" i="40"/>
  <c r="K7" i="40"/>
  <c r="J7" i="40"/>
  <c r="I7" i="40"/>
  <c r="L6" i="40"/>
  <c r="K6" i="40"/>
  <c r="J6" i="40"/>
  <c r="I6" i="40"/>
  <c r="M6" i="40" s="1"/>
  <c r="L5" i="40"/>
  <c r="K5" i="40"/>
  <c r="J5" i="40"/>
  <c r="I5" i="40"/>
  <c r="L4" i="40"/>
  <c r="K4" i="40"/>
  <c r="J4" i="40"/>
  <c r="I4" i="40"/>
  <c r="L3" i="40"/>
  <c r="K3" i="40"/>
  <c r="J3" i="40"/>
  <c r="I3" i="40"/>
  <c r="M3" i="40" s="1"/>
  <c r="I47" i="40" s="1"/>
  <c r="L2" i="40"/>
  <c r="K2" i="40"/>
  <c r="J2" i="40"/>
  <c r="I2" i="40"/>
  <c r="M2" i="40" s="1"/>
  <c r="L13" i="39"/>
  <c r="K13" i="39"/>
  <c r="J13" i="39"/>
  <c r="I13" i="39"/>
  <c r="M13" i="39" s="1"/>
  <c r="L12" i="39"/>
  <c r="L56" i="39" s="1"/>
  <c r="K12" i="39"/>
  <c r="J12" i="39"/>
  <c r="I12" i="39"/>
  <c r="M12" i="39" s="1"/>
  <c r="L11" i="39"/>
  <c r="K11" i="39"/>
  <c r="J11" i="39"/>
  <c r="I11" i="39"/>
  <c r="M11" i="39" s="1"/>
  <c r="M10" i="39"/>
  <c r="L54" i="39" s="1"/>
  <c r="L10" i="39"/>
  <c r="K10" i="39"/>
  <c r="J10" i="39"/>
  <c r="I10" i="39"/>
  <c r="L9" i="39"/>
  <c r="K9" i="39"/>
  <c r="J9" i="39"/>
  <c r="I9" i="39"/>
  <c r="L8" i="39"/>
  <c r="K8" i="39"/>
  <c r="J8" i="39"/>
  <c r="I8" i="39"/>
  <c r="L7" i="39"/>
  <c r="K7" i="39"/>
  <c r="J7" i="39"/>
  <c r="I7" i="39"/>
  <c r="L6" i="39"/>
  <c r="K6" i="39"/>
  <c r="J6" i="39"/>
  <c r="I6" i="39"/>
  <c r="M6" i="39" s="1"/>
  <c r="L5" i="39"/>
  <c r="K5" i="39"/>
  <c r="J5" i="39"/>
  <c r="I5" i="39"/>
  <c r="L4" i="39"/>
  <c r="K4" i="39"/>
  <c r="J4" i="39"/>
  <c r="I4" i="39"/>
  <c r="L3" i="39"/>
  <c r="K3" i="39"/>
  <c r="J3" i="39"/>
  <c r="M3" i="39" s="1"/>
  <c r="I47" i="39" s="1"/>
  <c r="I3" i="39"/>
  <c r="L2" i="39"/>
  <c r="K2" i="39"/>
  <c r="J2" i="39"/>
  <c r="I2" i="39"/>
  <c r="M2" i="39" s="1"/>
  <c r="L13" i="38"/>
  <c r="K13" i="38"/>
  <c r="J13" i="38"/>
  <c r="I13" i="38"/>
  <c r="M13" i="38" s="1"/>
  <c r="L12" i="38"/>
  <c r="K12" i="38"/>
  <c r="J12" i="38"/>
  <c r="I12" i="38"/>
  <c r="M12" i="38" s="1"/>
  <c r="L11" i="38"/>
  <c r="K11" i="38"/>
  <c r="J11" i="38"/>
  <c r="J55" i="38" s="1"/>
  <c r="I11" i="38"/>
  <c r="M11" i="38" s="1"/>
  <c r="M10" i="38"/>
  <c r="L54" i="38" s="1"/>
  <c r="L10" i="38"/>
  <c r="K10" i="38"/>
  <c r="J10" i="38"/>
  <c r="I10" i="38"/>
  <c r="L9" i="38"/>
  <c r="K9" i="38"/>
  <c r="J9" i="38"/>
  <c r="I9" i="38"/>
  <c r="L8" i="38"/>
  <c r="K8" i="38"/>
  <c r="J8" i="38"/>
  <c r="I8" i="38"/>
  <c r="L7" i="38"/>
  <c r="K7" i="38"/>
  <c r="J7" i="38"/>
  <c r="I7" i="38"/>
  <c r="L6" i="38"/>
  <c r="K6" i="38"/>
  <c r="J6" i="38"/>
  <c r="I6" i="38"/>
  <c r="M6" i="38" s="1"/>
  <c r="L5" i="38"/>
  <c r="K5" i="38"/>
  <c r="J5" i="38"/>
  <c r="I5" i="38"/>
  <c r="L4" i="38"/>
  <c r="K4" i="38"/>
  <c r="J4" i="38"/>
  <c r="I4" i="38"/>
  <c r="L3" i="38"/>
  <c r="K3" i="38"/>
  <c r="K47" i="38" s="1"/>
  <c r="J3" i="38"/>
  <c r="I3" i="38"/>
  <c r="M3" i="38" s="1"/>
  <c r="L2" i="38"/>
  <c r="K2" i="38"/>
  <c r="J2" i="38"/>
  <c r="I2" i="38"/>
  <c r="M2" i="38" s="1"/>
  <c r="L13" i="37"/>
  <c r="K13" i="37"/>
  <c r="J13" i="37"/>
  <c r="I13" i="37"/>
  <c r="M13" i="37" s="1"/>
  <c r="L12" i="37"/>
  <c r="K12" i="37"/>
  <c r="J12" i="37"/>
  <c r="I12" i="37"/>
  <c r="M12" i="37" s="1"/>
  <c r="L56" i="37" s="1"/>
  <c r="L11" i="37"/>
  <c r="K11" i="37"/>
  <c r="J11" i="37"/>
  <c r="I11" i="37"/>
  <c r="M11" i="37" s="1"/>
  <c r="M10" i="37"/>
  <c r="L54" i="37" s="1"/>
  <c r="L10" i="37"/>
  <c r="K10" i="37"/>
  <c r="J10" i="37"/>
  <c r="I10" i="37"/>
  <c r="M9" i="37"/>
  <c r="L9" i="37"/>
  <c r="L53" i="37" s="1"/>
  <c r="K9" i="37"/>
  <c r="K53" i="37" s="1"/>
  <c r="J9" i="37"/>
  <c r="J53" i="37" s="1"/>
  <c r="I9" i="37"/>
  <c r="I53" i="37" s="1"/>
  <c r="L8" i="37"/>
  <c r="K8" i="37"/>
  <c r="J8" i="37"/>
  <c r="I8" i="37"/>
  <c r="L7" i="37"/>
  <c r="K7" i="37"/>
  <c r="J7" i="37"/>
  <c r="I7" i="37"/>
  <c r="L6" i="37"/>
  <c r="K6" i="37"/>
  <c r="J6" i="37"/>
  <c r="I6" i="37"/>
  <c r="M6" i="37" s="1"/>
  <c r="L5" i="37"/>
  <c r="K5" i="37"/>
  <c r="J5" i="37"/>
  <c r="I5" i="37"/>
  <c r="L4" i="37"/>
  <c r="K4" i="37"/>
  <c r="J4" i="37"/>
  <c r="I4" i="37"/>
  <c r="L3" i="37"/>
  <c r="K3" i="37"/>
  <c r="J3" i="37"/>
  <c r="I3" i="37"/>
  <c r="M3" i="37" s="1"/>
  <c r="L2" i="37"/>
  <c r="K2" i="37"/>
  <c r="J2" i="37"/>
  <c r="I2" i="37"/>
  <c r="M2" i="37" s="1"/>
  <c r="L13" i="36"/>
  <c r="K13" i="36"/>
  <c r="J13" i="36"/>
  <c r="I13" i="36"/>
  <c r="M13" i="36" s="1"/>
  <c r="L12" i="36"/>
  <c r="K12" i="36"/>
  <c r="J12" i="36"/>
  <c r="I12" i="36"/>
  <c r="M12" i="36" s="1"/>
  <c r="L11" i="36"/>
  <c r="K11" i="36"/>
  <c r="J11" i="36"/>
  <c r="I11" i="36"/>
  <c r="M11" i="36" s="1"/>
  <c r="M10" i="36"/>
  <c r="L54" i="36" s="1"/>
  <c r="L10" i="36"/>
  <c r="K10" i="36"/>
  <c r="J10" i="36"/>
  <c r="I10" i="36"/>
  <c r="L9" i="36"/>
  <c r="K9" i="36"/>
  <c r="J9" i="36"/>
  <c r="I9" i="36"/>
  <c r="L8" i="36"/>
  <c r="K8" i="36"/>
  <c r="J8" i="36"/>
  <c r="I8" i="36"/>
  <c r="L7" i="36"/>
  <c r="K7" i="36"/>
  <c r="J7" i="36"/>
  <c r="I7" i="36"/>
  <c r="L6" i="36"/>
  <c r="K6" i="36"/>
  <c r="J6" i="36"/>
  <c r="I6" i="36"/>
  <c r="M6" i="36" s="1"/>
  <c r="L5" i="36"/>
  <c r="K5" i="36"/>
  <c r="J5" i="36"/>
  <c r="I5" i="36"/>
  <c r="L4" i="36"/>
  <c r="K4" i="36"/>
  <c r="J4" i="36"/>
  <c r="I4" i="36"/>
  <c r="L3" i="36"/>
  <c r="K3" i="36"/>
  <c r="J3" i="36"/>
  <c r="I3" i="36"/>
  <c r="M3" i="36" s="1"/>
  <c r="L2" i="36"/>
  <c r="K2" i="36"/>
  <c r="J2" i="36"/>
  <c r="I2" i="36"/>
  <c r="M2" i="36" s="1"/>
  <c r="I46" i="35"/>
  <c r="L13" i="35"/>
  <c r="K13" i="35"/>
  <c r="J13" i="35"/>
  <c r="I13" i="35"/>
  <c r="M13" i="35" s="1"/>
  <c r="L57" i="35" s="1"/>
  <c r="L12" i="35"/>
  <c r="K12" i="35"/>
  <c r="J12" i="35"/>
  <c r="I12" i="35"/>
  <c r="M12" i="35" s="1"/>
  <c r="L56" i="35" s="1"/>
  <c r="L11" i="35"/>
  <c r="K11" i="35"/>
  <c r="J11" i="35"/>
  <c r="I11" i="35"/>
  <c r="M11" i="35" s="1"/>
  <c r="M10" i="35"/>
  <c r="L54" i="35" s="1"/>
  <c r="L10" i="35"/>
  <c r="K10" i="35"/>
  <c r="J10" i="35"/>
  <c r="I10" i="35"/>
  <c r="L9" i="35"/>
  <c r="K9" i="35"/>
  <c r="J9" i="35"/>
  <c r="I9" i="35"/>
  <c r="L8" i="35"/>
  <c r="K8" i="35"/>
  <c r="K52" i="35" s="1"/>
  <c r="J8" i="35"/>
  <c r="J52" i="35" s="1"/>
  <c r="I8" i="35"/>
  <c r="M8" i="35" s="1"/>
  <c r="I52" i="35" s="1"/>
  <c r="L7" i="35"/>
  <c r="K7" i="35"/>
  <c r="J7" i="35"/>
  <c r="I7" i="35"/>
  <c r="L6" i="35"/>
  <c r="L50" i="35" s="1"/>
  <c r="K6" i="35"/>
  <c r="J6" i="35"/>
  <c r="I6" i="35"/>
  <c r="M6" i="35" s="1"/>
  <c r="L5" i="35"/>
  <c r="K5" i="35"/>
  <c r="J5" i="35"/>
  <c r="I5" i="35"/>
  <c r="L4" i="35"/>
  <c r="K4" i="35"/>
  <c r="J4" i="35"/>
  <c r="I4" i="35"/>
  <c r="L3" i="35"/>
  <c r="K3" i="35"/>
  <c r="J3" i="35"/>
  <c r="I3" i="35"/>
  <c r="M3" i="35" s="1"/>
  <c r="M2" i="35"/>
  <c r="L46" i="35" s="1"/>
  <c r="L2" i="35"/>
  <c r="K2" i="35"/>
  <c r="J2" i="35"/>
  <c r="I2" i="35"/>
  <c r="L13" i="34"/>
  <c r="K13" i="34"/>
  <c r="J13" i="34"/>
  <c r="I13" i="34"/>
  <c r="M13" i="34" s="1"/>
  <c r="L12" i="34"/>
  <c r="K12" i="34"/>
  <c r="J12" i="34"/>
  <c r="I12" i="34"/>
  <c r="M12" i="34" s="1"/>
  <c r="L11" i="34"/>
  <c r="K11" i="34"/>
  <c r="J11" i="34"/>
  <c r="I11" i="34"/>
  <c r="M11" i="34" s="1"/>
  <c r="M10" i="34"/>
  <c r="L54" i="34" s="1"/>
  <c r="L10" i="34"/>
  <c r="K10" i="34"/>
  <c r="J10" i="34"/>
  <c r="I10" i="34"/>
  <c r="L9" i="34"/>
  <c r="K9" i="34"/>
  <c r="J9" i="34"/>
  <c r="I9" i="34"/>
  <c r="L8" i="34"/>
  <c r="K8" i="34"/>
  <c r="J8" i="34"/>
  <c r="I8" i="34"/>
  <c r="L7" i="34"/>
  <c r="K7" i="34"/>
  <c r="J7" i="34"/>
  <c r="I7" i="34"/>
  <c r="L6" i="34"/>
  <c r="K6" i="34"/>
  <c r="J6" i="34"/>
  <c r="I6" i="34"/>
  <c r="M6" i="34" s="1"/>
  <c r="L5" i="34"/>
  <c r="K5" i="34"/>
  <c r="J5" i="34"/>
  <c r="I5" i="34"/>
  <c r="L4" i="34"/>
  <c r="K4" i="34"/>
  <c r="J4" i="34"/>
  <c r="I4" i="34"/>
  <c r="L3" i="34"/>
  <c r="K3" i="34"/>
  <c r="J3" i="34"/>
  <c r="I3" i="34"/>
  <c r="M3" i="34" s="1"/>
  <c r="L2" i="34"/>
  <c r="K2" i="34"/>
  <c r="J2" i="34"/>
  <c r="I2" i="34"/>
  <c r="M2" i="34" s="1"/>
  <c r="L50" i="33"/>
  <c r="K50" i="33"/>
  <c r="J50" i="33"/>
  <c r="I50" i="33"/>
  <c r="L13" i="33"/>
  <c r="K13" i="33"/>
  <c r="J13" i="33"/>
  <c r="I13" i="33"/>
  <c r="M13" i="33" s="1"/>
  <c r="L12" i="33"/>
  <c r="K12" i="33"/>
  <c r="J12" i="33"/>
  <c r="I12" i="33"/>
  <c r="M12" i="33" s="1"/>
  <c r="L11" i="33"/>
  <c r="K11" i="33"/>
  <c r="J11" i="33"/>
  <c r="I11" i="33"/>
  <c r="M11" i="33" s="1"/>
  <c r="M10" i="33"/>
  <c r="L54" i="33" s="1"/>
  <c r="L10" i="33"/>
  <c r="K10" i="33"/>
  <c r="J10" i="33"/>
  <c r="I10" i="33"/>
  <c r="L9" i="33"/>
  <c r="K9" i="33"/>
  <c r="J9" i="33"/>
  <c r="I9" i="33"/>
  <c r="L8" i="33"/>
  <c r="K8" i="33"/>
  <c r="J8" i="33"/>
  <c r="I8" i="33"/>
  <c r="L7" i="33"/>
  <c r="K7" i="33"/>
  <c r="J7" i="33"/>
  <c r="I7" i="33"/>
  <c r="M6" i="33"/>
  <c r="L6" i="33"/>
  <c r="K6" i="33"/>
  <c r="J6" i="33"/>
  <c r="I6" i="33"/>
  <c r="L5" i="33"/>
  <c r="K5" i="33"/>
  <c r="J5" i="33"/>
  <c r="I5" i="33"/>
  <c r="L4" i="33"/>
  <c r="K4" i="33"/>
  <c r="J4" i="33"/>
  <c r="I4" i="33"/>
  <c r="L3" i="33"/>
  <c r="M3" i="33" s="1"/>
  <c r="K3" i="33"/>
  <c r="K47" i="33" s="1"/>
  <c r="J3" i="33"/>
  <c r="I3" i="33"/>
  <c r="L2" i="33"/>
  <c r="K2" i="33"/>
  <c r="J2" i="33"/>
  <c r="I2" i="33"/>
  <c r="M2" i="33" s="1"/>
  <c r="L13" i="32"/>
  <c r="K13" i="32"/>
  <c r="J13" i="32"/>
  <c r="I13" i="32"/>
  <c r="M13" i="32" s="1"/>
  <c r="L12" i="32"/>
  <c r="K12" i="32"/>
  <c r="J12" i="32"/>
  <c r="I12" i="32"/>
  <c r="M12" i="32" s="1"/>
  <c r="L56" i="32" s="1"/>
  <c r="L11" i="32"/>
  <c r="K11" i="32"/>
  <c r="J11" i="32"/>
  <c r="I11" i="32"/>
  <c r="M11" i="32" s="1"/>
  <c r="M10" i="32"/>
  <c r="L54" i="32" s="1"/>
  <c r="L10" i="32"/>
  <c r="K10" i="32"/>
  <c r="J10" i="32"/>
  <c r="I10" i="32"/>
  <c r="M9" i="32"/>
  <c r="L9" i="32"/>
  <c r="L53" i="32" s="1"/>
  <c r="K9" i="32"/>
  <c r="K53" i="32" s="1"/>
  <c r="J9" i="32"/>
  <c r="J53" i="32" s="1"/>
  <c r="I9" i="32"/>
  <c r="I53" i="32" s="1"/>
  <c r="L8" i="32"/>
  <c r="K8" i="32"/>
  <c r="J8" i="32"/>
  <c r="I8" i="32"/>
  <c r="L7" i="32"/>
  <c r="K7" i="32"/>
  <c r="J7" i="32"/>
  <c r="I7" i="32"/>
  <c r="L6" i="32"/>
  <c r="K6" i="32"/>
  <c r="J6" i="32"/>
  <c r="I6" i="32"/>
  <c r="M6" i="32" s="1"/>
  <c r="L5" i="32"/>
  <c r="K5" i="32"/>
  <c r="J5" i="32"/>
  <c r="I5" i="32"/>
  <c r="L4" i="32"/>
  <c r="K4" i="32"/>
  <c r="J4" i="32"/>
  <c r="I4" i="32"/>
  <c r="L3" i="32"/>
  <c r="K3" i="32"/>
  <c r="J3" i="32"/>
  <c r="I3" i="32"/>
  <c r="M3" i="32" s="1"/>
  <c r="I47" i="32" s="1"/>
  <c r="L2" i="32"/>
  <c r="K2" i="32"/>
  <c r="J2" i="32"/>
  <c r="I2" i="32"/>
  <c r="M2" i="32" s="1"/>
  <c r="L13" i="31"/>
  <c r="K13" i="31"/>
  <c r="J13" i="31"/>
  <c r="I13" i="31"/>
  <c r="M13" i="31" s="1"/>
  <c r="L12" i="31"/>
  <c r="K12" i="31"/>
  <c r="J12" i="31"/>
  <c r="I12" i="31"/>
  <c r="M12" i="31" s="1"/>
  <c r="L11" i="31"/>
  <c r="K11" i="31"/>
  <c r="J11" i="31"/>
  <c r="I11" i="31"/>
  <c r="M11" i="31" s="1"/>
  <c r="M10" i="31"/>
  <c r="L54" i="31" s="1"/>
  <c r="L10" i="31"/>
  <c r="K10" i="31"/>
  <c r="J10" i="31"/>
  <c r="I10" i="31"/>
  <c r="L9" i="31"/>
  <c r="K9" i="31"/>
  <c r="J9" i="31"/>
  <c r="I9" i="31"/>
  <c r="L8" i="31"/>
  <c r="K8" i="31"/>
  <c r="J8" i="31"/>
  <c r="I8" i="31"/>
  <c r="L7" i="31"/>
  <c r="K7" i="31"/>
  <c r="J7" i="31"/>
  <c r="I7" i="31"/>
  <c r="L6" i="31"/>
  <c r="K6" i="31"/>
  <c r="J6" i="31"/>
  <c r="I6" i="31"/>
  <c r="M6" i="31" s="1"/>
  <c r="L5" i="31"/>
  <c r="K5" i="31"/>
  <c r="J5" i="31"/>
  <c r="I5" i="31"/>
  <c r="L4" i="31"/>
  <c r="K4" i="31"/>
  <c r="J4" i="31"/>
  <c r="I4" i="31"/>
  <c r="L3" i="31"/>
  <c r="K3" i="31"/>
  <c r="J3" i="31"/>
  <c r="J47" i="31" s="1"/>
  <c r="I3" i="31"/>
  <c r="M3" i="31" s="1"/>
  <c r="L2" i="31"/>
  <c r="K2" i="31"/>
  <c r="J2" i="31"/>
  <c r="I2" i="31"/>
  <c r="M2" i="31" s="1"/>
  <c r="L13" i="30"/>
  <c r="K13" i="30"/>
  <c r="J13" i="30"/>
  <c r="I13" i="30"/>
  <c r="M13" i="30" s="1"/>
  <c r="L12" i="30"/>
  <c r="K12" i="30"/>
  <c r="J12" i="30"/>
  <c r="I12" i="30"/>
  <c r="M12" i="30" s="1"/>
  <c r="L11" i="30"/>
  <c r="K11" i="30"/>
  <c r="J11" i="30"/>
  <c r="I11" i="30"/>
  <c r="M11" i="30" s="1"/>
  <c r="M10" i="30"/>
  <c r="L54" i="30" s="1"/>
  <c r="L10" i="30"/>
  <c r="K10" i="30"/>
  <c r="J10" i="30"/>
  <c r="I10" i="30"/>
  <c r="L9" i="30"/>
  <c r="K9" i="30"/>
  <c r="J9" i="30"/>
  <c r="I9" i="30"/>
  <c r="L8" i="30"/>
  <c r="K8" i="30"/>
  <c r="J8" i="30"/>
  <c r="I8" i="30"/>
  <c r="L7" i="30"/>
  <c r="K7" i="30"/>
  <c r="J7" i="30"/>
  <c r="I7" i="30"/>
  <c r="L6" i="30"/>
  <c r="K6" i="30"/>
  <c r="J6" i="30"/>
  <c r="I6" i="30"/>
  <c r="M6" i="30" s="1"/>
  <c r="L5" i="30"/>
  <c r="K5" i="30"/>
  <c r="J5" i="30"/>
  <c r="I5" i="30"/>
  <c r="L4" i="30"/>
  <c r="K4" i="30"/>
  <c r="J4" i="30"/>
  <c r="I4" i="30"/>
  <c r="L3" i="30"/>
  <c r="K3" i="30"/>
  <c r="J3" i="30"/>
  <c r="I3" i="30"/>
  <c r="M3" i="30" s="1"/>
  <c r="L2" i="30"/>
  <c r="K2" i="30"/>
  <c r="J2" i="30"/>
  <c r="I2" i="30"/>
  <c r="M2" i="30" s="1"/>
  <c r="L13" i="29"/>
  <c r="K13" i="29"/>
  <c r="J13" i="29"/>
  <c r="I13" i="29"/>
  <c r="M13" i="29" s="1"/>
  <c r="L12" i="29"/>
  <c r="K12" i="29"/>
  <c r="J12" i="29"/>
  <c r="I12" i="29"/>
  <c r="M12" i="29" s="1"/>
  <c r="L11" i="29"/>
  <c r="K11" i="29"/>
  <c r="J11" i="29"/>
  <c r="I11" i="29"/>
  <c r="M11" i="29" s="1"/>
  <c r="M10" i="29"/>
  <c r="L54" i="29" s="1"/>
  <c r="L10" i="29"/>
  <c r="K10" i="29"/>
  <c r="J10" i="29"/>
  <c r="I10" i="29"/>
  <c r="L9" i="29"/>
  <c r="K9" i="29"/>
  <c r="J9" i="29"/>
  <c r="I9" i="29"/>
  <c r="L8" i="29"/>
  <c r="K8" i="29"/>
  <c r="J8" i="29"/>
  <c r="I8" i="29"/>
  <c r="L7" i="29"/>
  <c r="K7" i="29"/>
  <c r="J7" i="29"/>
  <c r="I7" i="29"/>
  <c r="L6" i="29"/>
  <c r="K6" i="29"/>
  <c r="J6" i="29"/>
  <c r="I6" i="29"/>
  <c r="M6" i="29" s="1"/>
  <c r="L5" i="29"/>
  <c r="K5" i="29"/>
  <c r="J5" i="29"/>
  <c r="I5" i="29"/>
  <c r="L4" i="29"/>
  <c r="K4" i="29"/>
  <c r="J4" i="29"/>
  <c r="I4" i="29"/>
  <c r="L3" i="29"/>
  <c r="K3" i="29"/>
  <c r="J3" i="29"/>
  <c r="I3" i="29"/>
  <c r="M3" i="29" s="1"/>
  <c r="L2" i="29"/>
  <c r="K2" i="29"/>
  <c r="J2" i="29"/>
  <c r="I2" i="29"/>
  <c r="M2" i="29" s="1"/>
  <c r="L13" i="28"/>
  <c r="K13" i="28"/>
  <c r="J13" i="28"/>
  <c r="I13" i="28"/>
  <c r="M13" i="28" s="1"/>
  <c r="L12" i="28"/>
  <c r="K12" i="28"/>
  <c r="J12" i="28"/>
  <c r="I12" i="28"/>
  <c r="M12" i="28" s="1"/>
  <c r="L11" i="28"/>
  <c r="K11" i="28"/>
  <c r="K55" i="28" s="1"/>
  <c r="J11" i="28"/>
  <c r="I11" i="28"/>
  <c r="M11" i="28" s="1"/>
  <c r="M10" i="28"/>
  <c r="L54" i="28" s="1"/>
  <c r="L10" i="28"/>
  <c r="K10" i="28"/>
  <c r="J10" i="28"/>
  <c r="I10" i="28"/>
  <c r="L9" i="28"/>
  <c r="K9" i="28"/>
  <c r="J9" i="28"/>
  <c r="I9" i="28"/>
  <c r="L8" i="28"/>
  <c r="K8" i="28"/>
  <c r="J8" i="28"/>
  <c r="I8" i="28"/>
  <c r="L7" i="28"/>
  <c r="K7" i="28"/>
  <c r="J7" i="28"/>
  <c r="I7" i="28"/>
  <c r="L6" i="28"/>
  <c r="K6" i="28"/>
  <c r="J6" i="28"/>
  <c r="I6" i="28"/>
  <c r="M6" i="28" s="1"/>
  <c r="L5" i="28"/>
  <c r="K5" i="28"/>
  <c r="J5" i="28"/>
  <c r="I5" i="28"/>
  <c r="L4" i="28"/>
  <c r="K4" i="28"/>
  <c r="J4" i="28"/>
  <c r="I4" i="28"/>
  <c r="L3" i="28"/>
  <c r="K3" i="28"/>
  <c r="J3" i="28"/>
  <c r="I3" i="28"/>
  <c r="M3" i="28" s="1"/>
  <c r="L2" i="28"/>
  <c r="K2" i="28"/>
  <c r="J2" i="28"/>
  <c r="I2" i="28"/>
  <c r="M2" i="28" s="1"/>
  <c r="L13" i="27"/>
  <c r="K13" i="27"/>
  <c r="J13" i="27"/>
  <c r="I13" i="27"/>
  <c r="M13" i="27" s="1"/>
  <c r="L12" i="27"/>
  <c r="K12" i="27"/>
  <c r="J12" i="27"/>
  <c r="I12" i="27"/>
  <c r="M12" i="27" s="1"/>
  <c r="L11" i="27"/>
  <c r="K11" i="27"/>
  <c r="J11" i="27"/>
  <c r="I11" i="27"/>
  <c r="M10" i="27"/>
  <c r="L54" i="27" s="1"/>
  <c r="L10" i="27"/>
  <c r="K10" i="27"/>
  <c r="J10" i="27"/>
  <c r="I10" i="27"/>
  <c r="L9" i="27"/>
  <c r="K9" i="27"/>
  <c r="J9" i="27"/>
  <c r="I9" i="27"/>
  <c r="L8" i="27"/>
  <c r="K8" i="27"/>
  <c r="J8" i="27"/>
  <c r="I8" i="27"/>
  <c r="L7" i="27"/>
  <c r="K7" i="27"/>
  <c r="J7" i="27"/>
  <c r="I7" i="27"/>
  <c r="L6" i="27"/>
  <c r="K6" i="27"/>
  <c r="J6" i="27"/>
  <c r="I6" i="27"/>
  <c r="M6" i="27" s="1"/>
  <c r="L5" i="27"/>
  <c r="K5" i="27"/>
  <c r="J5" i="27"/>
  <c r="I5" i="27"/>
  <c r="L4" i="27"/>
  <c r="K4" i="27"/>
  <c r="J4" i="27"/>
  <c r="I4" i="27"/>
  <c r="L3" i="27"/>
  <c r="K3" i="27"/>
  <c r="J3" i="27"/>
  <c r="I3" i="27"/>
  <c r="M3" i="27" s="1"/>
  <c r="L2" i="27"/>
  <c r="K2" i="27"/>
  <c r="J2" i="27"/>
  <c r="I2" i="27"/>
  <c r="M2" i="27" s="1"/>
  <c r="L13" i="26"/>
  <c r="K13" i="26"/>
  <c r="J13" i="26"/>
  <c r="I13" i="26"/>
  <c r="M13" i="26" s="1"/>
  <c r="L12" i="26"/>
  <c r="K12" i="26"/>
  <c r="J12" i="26"/>
  <c r="I12" i="26"/>
  <c r="M12" i="26" s="1"/>
  <c r="L11" i="26"/>
  <c r="K11" i="26"/>
  <c r="J11" i="26"/>
  <c r="I11" i="26"/>
  <c r="M11" i="26" s="1"/>
  <c r="J55" i="26" s="1"/>
  <c r="M10" i="26"/>
  <c r="L54" i="26" s="1"/>
  <c r="L10" i="26"/>
  <c r="K10" i="26"/>
  <c r="J10" i="26"/>
  <c r="I10" i="26"/>
  <c r="L9" i="26"/>
  <c r="K9" i="26"/>
  <c r="J9" i="26"/>
  <c r="I9" i="26"/>
  <c r="L8" i="26"/>
  <c r="K8" i="26"/>
  <c r="J8" i="26"/>
  <c r="I8" i="26"/>
  <c r="L7" i="26"/>
  <c r="K7" i="26"/>
  <c r="J7" i="26"/>
  <c r="I7" i="26"/>
  <c r="L6" i="26"/>
  <c r="K6" i="26"/>
  <c r="J6" i="26"/>
  <c r="I6" i="26"/>
  <c r="M6" i="26" s="1"/>
  <c r="L5" i="26"/>
  <c r="K5" i="26"/>
  <c r="J5" i="26"/>
  <c r="I5" i="26"/>
  <c r="L4" i="26"/>
  <c r="K4" i="26"/>
  <c r="J4" i="26"/>
  <c r="I4" i="26"/>
  <c r="L3" i="26"/>
  <c r="K3" i="26"/>
  <c r="J3" i="26"/>
  <c r="I3" i="26"/>
  <c r="M3" i="26" s="1"/>
  <c r="L2" i="26"/>
  <c r="K2" i="26"/>
  <c r="J2" i="26"/>
  <c r="J46" i="26" s="1"/>
  <c r="I2" i="26"/>
  <c r="M2" i="26" s="1"/>
  <c r="L13" i="25"/>
  <c r="K13" i="25"/>
  <c r="J13" i="25"/>
  <c r="I13" i="25"/>
  <c r="M13" i="25" s="1"/>
  <c r="L12" i="25"/>
  <c r="K12" i="25"/>
  <c r="J12" i="25"/>
  <c r="I12" i="25"/>
  <c r="M12" i="25" s="1"/>
  <c r="L11" i="25"/>
  <c r="K11" i="25"/>
  <c r="J11" i="25"/>
  <c r="I11" i="25"/>
  <c r="M11" i="25" s="1"/>
  <c r="M10" i="25"/>
  <c r="L54" i="25" s="1"/>
  <c r="L10" i="25"/>
  <c r="K10" i="25"/>
  <c r="J10" i="25"/>
  <c r="I10" i="25"/>
  <c r="L9" i="25"/>
  <c r="K9" i="25"/>
  <c r="J9" i="25"/>
  <c r="I9" i="25"/>
  <c r="L8" i="25"/>
  <c r="K8" i="25"/>
  <c r="J8" i="25"/>
  <c r="I8" i="25"/>
  <c r="L7" i="25"/>
  <c r="K7" i="25"/>
  <c r="J7" i="25"/>
  <c r="I7" i="25"/>
  <c r="L6" i="25"/>
  <c r="K6" i="25"/>
  <c r="J6" i="25"/>
  <c r="I6" i="25"/>
  <c r="M6" i="25" s="1"/>
  <c r="L5" i="25"/>
  <c r="K5" i="25"/>
  <c r="J5" i="25"/>
  <c r="I5" i="25"/>
  <c r="L4" i="25"/>
  <c r="K4" i="25"/>
  <c r="J4" i="25"/>
  <c r="I4" i="25"/>
  <c r="L3" i="25"/>
  <c r="K3" i="25"/>
  <c r="J3" i="25"/>
  <c r="I3" i="25"/>
  <c r="M3" i="25" s="1"/>
  <c r="L2" i="25"/>
  <c r="K2" i="25"/>
  <c r="J2" i="25"/>
  <c r="I2" i="25"/>
  <c r="M2" i="25" s="1"/>
  <c r="L13" i="24"/>
  <c r="K13" i="24"/>
  <c r="J13" i="24"/>
  <c r="I13" i="24"/>
  <c r="M13" i="24" s="1"/>
  <c r="L12" i="24"/>
  <c r="K12" i="24"/>
  <c r="J12" i="24"/>
  <c r="I12" i="24"/>
  <c r="M12" i="24" s="1"/>
  <c r="L56" i="24" s="1"/>
  <c r="L11" i="24"/>
  <c r="K11" i="24"/>
  <c r="J11" i="24"/>
  <c r="I11" i="24"/>
  <c r="M11" i="24" s="1"/>
  <c r="M10" i="24"/>
  <c r="L54" i="24" s="1"/>
  <c r="L10" i="24"/>
  <c r="K10" i="24"/>
  <c r="J10" i="24"/>
  <c r="I10" i="24"/>
  <c r="L9" i="24"/>
  <c r="K9" i="24"/>
  <c r="J9" i="24"/>
  <c r="I9" i="24"/>
  <c r="L8" i="24"/>
  <c r="K8" i="24"/>
  <c r="J8" i="24"/>
  <c r="I8" i="24"/>
  <c r="L7" i="24"/>
  <c r="K7" i="24"/>
  <c r="J7" i="24"/>
  <c r="I7" i="24"/>
  <c r="L6" i="24"/>
  <c r="K6" i="24"/>
  <c r="J6" i="24"/>
  <c r="I6" i="24"/>
  <c r="M6" i="24" s="1"/>
  <c r="L5" i="24"/>
  <c r="K5" i="24"/>
  <c r="J5" i="24"/>
  <c r="I5" i="24"/>
  <c r="L4" i="24"/>
  <c r="K4" i="24"/>
  <c r="J4" i="24"/>
  <c r="I4" i="24"/>
  <c r="L3" i="24"/>
  <c r="K3" i="24"/>
  <c r="J3" i="24"/>
  <c r="I3" i="24"/>
  <c r="M3" i="24" s="1"/>
  <c r="L2" i="24"/>
  <c r="K2" i="24"/>
  <c r="J2" i="24"/>
  <c r="I2" i="24"/>
  <c r="M2" i="24" s="1"/>
  <c r="L13" i="23"/>
  <c r="K13" i="23"/>
  <c r="J13" i="23"/>
  <c r="I13" i="23"/>
  <c r="M13" i="23" s="1"/>
  <c r="L12" i="23"/>
  <c r="K12" i="23"/>
  <c r="J12" i="23"/>
  <c r="I12" i="23"/>
  <c r="M12" i="23" s="1"/>
  <c r="L11" i="23"/>
  <c r="K11" i="23"/>
  <c r="J11" i="23"/>
  <c r="I11" i="23"/>
  <c r="M11" i="23" s="1"/>
  <c r="M10" i="23"/>
  <c r="L54" i="23" s="1"/>
  <c r="L10" i="23"/>
  <c r="K10" i="23"/>
  <c r="J10" i="23"/>
  <c r="I10" i="23"/>
  <c r="L9" i="23"/>
  <c r="K9" i="23"/>
  <c r="J9" i="23"/>
  <c r="I9" i="23"/>
  <c r="L8" i="23"/>
  <c r="K8" i="23"/>
  <c r="J8" i="23"/>
  <c r="I8" i="23"/>
  <c r="L7" i="23"/>
  <c r="K7" i="23"/>
  <c r="J7" i="23"/>
  <c r="I7" i="23"/>
  <c r="L6" i="23"/>
  <c r="K6" i="23"/>
  <c r="J6" i="23"/>
  <c r="I6" i="23"/>
  <c r="M6" i="23" s="1"/>
  <c r="L5" i="23"/>
  <c r="K5" i="23"/>
  <c r="J5" i="23"/>
  <c r="I5" i="23"/>
  <c r="L4" i="23"/>
  <c r="K4" i="23"/>
  <c r="J4" i="23"/>
  <c r="I4" i="23"/>
  <c r="L3" i="23"/>
  <c r="K3" i="23"/>
  <c r="J3" i="23"/>
  <c r="I3" i="23"/>
  <c r="M3" i="23" s="1"/>
  <c r="L2" i="23"/>
  <c r="K2" i="23"/>
  <c r="K46" i="23" s="1"/>
  <c r="J2" i="23"/>
  <c r="I2" i="23"/>
  <c r="M2" i="23" s="1"/>
  <c r="L50" i="22"/>
  <c r="K50" i="22"/>
  <c r="J50" i="22"/>
  <c r="I50" i="22"/>
  <c r="L13" i="22"/>
  <c r="K13" i="22"/>
  <c r="J13" i="22"/>
  <c r="I13" i="22"/>
  <c r="M13" i="22" s="1"/>
  <c r="L12" i="22"/>
  <c r="K12" i="22"/>
  <c r="J12" i="22"/>
  <c r="I12" i="22"/>
  <c r="M12" i="22" s="1"/>
  <c r="L11" i="22"/>
  <c r="K11" i="22"/>
  <c r="J11" i="22"/>
  <c r="I11" i="22"/>
  <c r="M11" i="22" s="1"/>
  <c r="M10" i="22"/>
  <c r="L54" i="22" s="1"/>
  <c r="L10" i="22"/>
  <c r="K10" i="22"/>
  <c r="J10" i="22"/>
  <c r="I10" i="22"/>
  <c r="L9" i="22"/>
  <c r="K9" i="22"/>
  <c r="J9" i="22"/>
  <c r="I9" i="22"/>
  <c r="L8" i="22"/>
  <c r="K8" i="22"/>
  <c r="J8" i="22"/>
  <c r="I8" i="22"/>
  <c r="L7" i="22"/>
  <c r="K7" i="22"/>
  <c r="J7" i="22"/>
  <c r="I7" i="22"/>
  <c r="M6" i="22"/>
  <c r="L6" i="22"/>
  <c r="K6" i="22"/>
  <c r="J6" i="22"/>
  <c r="I6" i="22"/>
  <c r="L5" i="22"/>
  <c r="K5" i="22"/>
  <c r="J5" i="22"/>
  <c r="I5" i="22"/>
  <c r="L4" i="22"/>
  <c r="K4" i="22"/>
  <c r="J4" i="22"/>
  <c r="I4" i="22"/>
  <c r="L3" i="22"/>
  <c r="M3" i="22" s="1"/>
  <c r="K3" i="22"/>
  <c r="K47" i="22" s="1"/>
  <c r="J3" i="22"/>
  <c r="I3" i="22"/>
  <c r="L2" i="22"/>
  <c r="K2" i="22"/>
  <c r="J2" i="22"/>
  <c r="I2" i="22"/>
  <c r="M2" i="22" s="1"/>
  <c r="L13" i="21"/>
  <c r="K13" i="21"/>
  <c r="J13" i="21"/>
  <c r="I13" i="21"/>
  <c r="M13" i="21" s="1"/>
  <c r="L12" i="21"/>
  <c r="K12" i="21"/>
  <c r="J12" i="21"/>
  <c r="I12" i="21"/>
  <c r="M12" i="21" s="1"/>
  <c r="L11" i="21"/>
  <c r="K11" i="21"/>
  <c r="J11" i="21"/>
  <c r="I11" i="21"/>
  <c r="M11" i="21" s="1"/>
  <c r="M10" i="21"/>
  <c r="L54" i="21" s="1"/>
  <c r="L10" i="21"/>
  <c r="K10" i="21"/>
  <c r="J10" i="21"/>
  <c r="I10" i="21"/>
  <c r="L9" i="21"/>
  <c r="K9" i="21"/>
  <c r="J9" i="21"/>
  <c r="I9" i="21"/>
  <c r="L8" i="21"/>
  <c r="K8" i="21"/>
  <c r="J8" i="21"/>
  <c r="I8" i="21"/>
  <c r="L7" i="21"/>
  <c r="K7" i="21"/>
  <c r="J7" i="21"/>
  <c r="I7" i="21"/>
  <c r="L6" i="21"/>
  <c r="K6" i="21"/>
  <c r="J6" i="21"/>
  <c r="I6" i="21"/>
  <c r="M6" i="21" s="1"/>
  <c r="L5" i="21"/>
  <c r="K5" i="21"/>
  <c r="J5" i="21"/>
  <c r="I5" i="21"/>
  <c r="L4" i="21"/>
  <c r="K4" i="21"/>
  <c r="J4" i="21"/>
  <c r="I4" i="21"/>
  <c r="M3" i="21"/>
  <c r="L3" i="21"/>
  <c r="L47" i="21" s="1"/>
  <c r="K3" i="21"/>
  <c r="K47" i="21" s="1"/>
  <c r="J3" i="21"/>
  <c r="J47" i="21" s="1"/>
  <c r="I3" i="21"/>
  <c r="I47" i="21" s="1"/>
  <c r="L2" i="21"/>
  <c r="K2" i="21"/>
  <c r="J2" i="21"/>
  <c r="I2" i="21"/>
  <c r="M2" i="21" s="1"/>
  <c r="L13" i="20"/>
  <c r="K13" i="20"/>
  <c r="J13" i="20"/>
  <c r="I13" i="20"/>
  <c r="M13" i="20" s="1"/>
  <c r="L12" i="20"/>
  <c r="K12" i="20"/>
  <c r="J12" i="20"/>
  <c r="I12" i="20"/>
  <c r="M12" i="20" s="1"/>
  <c r="L11" i="20"/>
  <c r="K11" i="20"/>
  <c r="J11" i="20"/>
  <c r="I11" i="20"/>
  <c r="M11" i="20" s="1"/>
  <c r="M10" i="20"/>
  <c r="L54" i="20" s="1"/>
  <c r="L10" i="20"/>
  <c r="K10" i="20"/>
  <c r="J10" i="20"/>
  <c r="I10" i="20"/>
  <c r="L9" i="20"/>
  <c r="K9" i="20"/>
  <c r="J9" i="20"/>
  <c r="I9" i="20"/>
  <c r="L8" i="20"/>
  <c r="K8" i="20"/>
  <c r="J8" i="20"/>
  <c r="I8" i="20"/>
  <c r="L7" i="20"/>
  <c r="K7" i="20"/>
  <c r="J7" i="20"/>
  <c r="I7" i="20"/>
  <c r="L6" i="20"/>
  <c r="K6" i="20"/>
  <c r="J6" i="20"/>
  <c r="I6" i="20"/>
  <c r="M6" i="20" s="1"/>
  <c r="L5" i="20"/>
  <c r="K5" i="20"/>
  <c r="J5" i="20"/>
  <c r="I5" i="20"/>
  <c r="L4" i="20"/>
  <c r="K4" i="20"/>
  <c r="J4" i="20"/>
  <c r="I4" i="20"/>
  <c r="L3" i="20"/>
  <c r="K3" i="20"/>
  <c r="J3" i="20"/>
  <c r="M3" i="20" s="1"/>
  <c r="I47" i="20" s="1"/>
  <c r="I3" i="20"/>
  <c r="L2" i="20"/>
  <c r="K2" i="20"/>
  <c r="J2" i="20"/>
  <c r="I2" i="20"/>
  <c r="M2" i="20" s="1"/>
  <c r="L13" i="19"/>
  <c r="K13" i="19"/>
  <c r="J13" i="19"/>
  <c r="I13" i="19"/>
  <c r="M13" i="19" s="1"/>
  <c r="L12" i="19"/>
  <c r="K12" i="19"/>
  <c r="J12" i="19"/>
  <c r="I12" i="19"/>
  <c r="M12" i="19" s="1"/>
  <c r="L11" i="19"/>
  <c r="K11" i="19"/>
  <c r="J11" i="19"/>
  <c r="I11" i="19"/>
  <c r="M11" i="19" s="1"/>
  <c r="M10" i="19"/>
  <c r="L54" i="19" s="1"/>
  <c r="L10" i="19"/>
  <c r="K10" i="19"/>
  <c r="J10" i="19"/>
  <c r="I10" i="19"/>
  <c r="L9" i="19"/>
  <c r="K9" i="19"/>
  <c r="J9" i="19"/>
  <c r="I9" i="19"/>
  <c r="L8" i="19"/>
  <c r="K8" i="19"/>
  <c r="J8" i="19"/>
  <c r="I8" i="19"/>
  <c r="L7" i="19"/>
  <c r="K7" i="19"/>
  <c r="J7" i="19"/>
  <c r="I7" i="19"/>
  <c r="L6" i="19"/>
  <c r="K6" i="19"/>
  <c r="J6" i="19"/>
  <c r="I6" i="19"/>
  <c r="M6" i="19" s="1"/>
  <c r="L5" i="19"/>
  <c r="K5" i="19"/>
  <c r="J5" i="19"/>
  <c r="I5" i="19"/>
  <c r="L4" i="19"/>
  <c r="K4" i="19"/>
  <c r="J4" i="19"/>
  <c r="I4" i="19"/>
  <c r="L3" i="19"/>
  <c r="K3" i="19"/>
  <c r="J3" i="19"/>
  <c r="I3" i="19"/>
  <c r="M3" i="19" s="1"/>
  <c r="L2" i="19"/>
  <c r="K2" i="19"/>
  <c r="J2" i="19"/>
  <c r="I2" i="19"/>
  <c r="M2" i="19" s="1"/>
  <c r="L13" i="18"/>
  <c r="K13" i="18"/>
  <c r="J13" i="18"/>
  <c r="I13" i="18"/>
  <c r="M13" i="18" s="1"/>
  <c r="L12" i="18"/>
  <c r="K12" i="18"/>
  <c r="J12" i="18"/>
  <c r="J56" i="18" s="1"/>
  <c r="I12" i="18"/>
  <c r="M12" i="18" s="1"/>
  <c r="L11" i="18"/>
  <c r="K11" i="18"/>
  <c r="J11" i="18"/>
  <c r="I11" i="18"/>
  <c r="M11" i="18" s="1"/>
  <c r="M10" i="18"/>
  <c r="L54" i="18" s="1"/>
  <c r="L10" i="18"/>
  <c r="K10" i="18"/>
  <c r="J10" i="18"/>
  <c r="I10" i="18"/>
  <c r="L9" i="18"/>
  <c r="K9" i="18"/>
  <c r="J9" i="18"/>
  <c r="I9" i="18"/>
  <c r="L8" i="18"/>
  <c r="K8" i="18"/>
  <c r="J8" i="18"/>
  <c r="I8" i="18"/>
  <c r="L7" i="18"/>
  <c r="K7" i="18"/>
  <c r="J7" i="18"/>
  <c r="I7" i="18"/>
  <c r="L6" i="18"/>
  <c r="K6" i="18"/>
  <c r="J6" i="18"/>
  <c r="I6" i="18"/>
  <c r="M6" i="18" s="1"/>
  <c r="L5" i="18"/>
  <c r="K5" i="18"/>
  <c r="J5" i="18"/>
  <c r="I5" i="18"/>
  <c r="L4" i="18"/>
  <c r="K4" i="18"/>
  <c r="J4" i="18"/>
  <c r="I4" i="18"/>
  <c r="L3" i="18"/>
  <c r="K3" i="18"/>
  <c r="J3" i="18"/>
  <c r="I3" i="18"/>
  <c r="M3" i="18" s="1"/>
  <c r="L2" i="18"/>
  <c r="K2" i="18"/>
  <c r="J2" i="18"/>
  <c r="I2" i="18"/>
  <c r="M2" i="18" s="1"/>
  <c r="J47" i="17"/>
  <c r="I47" i="17"/>
  <c r="L13" i="17"/>
  <c r="K13" i="17"/>
  <c r="J13" i="17"/>
  <c r="I13" i="17"/>
  <c r="M13" i="17" s="1"/>
  <c r="L12" i="17"/>
  <c r="K12" i="17"/>
  <c r="J12" i="17"/>
  <c r="I12" i="17"/>
  <c r="M12" i="17" s="1"/>
  <c r="L11" i="17"/>
  <c r="K11" i="17"/>
  <c r="J11" i="17"/>
  <c r="I11" i="17"/>
  <c r="M11" i="17" s="1"/>
  <c r="M10" i="17"/>
  <c r="L54" i="17" s="1"/>
  <c r="L10" i="17"/>
  <c r="K10" i="17"/>
  <c r="J10" i="17"/>
  <c r="I10" i="17"/>
  <c r="L9" i="17"/>
  <c r="K9" i="17"/>
  <c r="J9" i="17"/>
  <c r="I9" i="17"/>
  <c r="L8" i="17"/>
  <c r="K8" i="17"/>
  <c r="J8" i="17"/>
  <c r="I8" i="17"/>
  <c r="L7" i="17"/>
  <c r="K7" i="17"/>
  <c r="J7" i="17"/>
  <c r="I7" i="17"/>
  <c r="L6" i="17"/>
  <c r="K6" i="17"/>
  <c r="J6" i="17"/>
  <c r="I6" i="17"/>
  <c r="M6" i="17" s="1"/>
  <c r="L5" i="17"/>
  <c r="K5" i="17"/>
  <c r="J5" i="17"/>
  <c r="I5" i="17"/>
  <c r="L4" i="17"/>
  <c r="K4" i="17"/>
  <c r="J4" i="17"/>
  <c r="I4" i="17"/>
  <c r="M3" i="17"/>
  <c r="L3" i="17"/>
  <c r="L47" i="17" s="1"/>
  <c r="K3" i="17"/>
  <c r="K47" i="17" s="1"/>
  <c r="J3" i="17"/>
  <c r="I3" i="17"/>
  <c r="L2" i="17"/>
  <c r="K2" i="17"/>
  <c r="J2" i="17"/>
  <c r="I2" i="17"/>
  <c r="M2" i="17" s="1"/>
  <c r="L13" i="16"/>
  <c r="K13" i="16"/>
  <c r="J13" i="16"/>
  <c r="I13" i="16"/>
  <c r="M13" i="16" s="1"/>
  <c r="L12" i="16"/>
  <c r="K12" i="16"/>
  <c r="J12" i="16"/>
  <c r="I12" i="16"/>
  <c r="M12" i="16" s="1"/>
  <c r="L11" i="16"/>
  <c r="K11" i="16"/>
  <c r="J11" i="16"/>
  <c r="I11" i="16"/>
  <c r="M11" i="16" s="1"/>
  <c r="M10" i="16"/>
  <c r="L54" i="16" s="1"/>
  <c r="L10" i="16"/>
  <c r="K10" i="16"/>
  <c r="J10" i="16"/>
  <c r="I10" i="16"/>
  <c r="L9" i="16"/>
  <c r="K9" i="16"/>
  <c r="J9" i="16"/>
  <c r="I9" i="16"/>
  <c r="L8" i="16"/>
  <c r="K8" i="16"/>
  <c r="J8" i="16"/>
  <c r="I8" i="16"/>
  <c r="L7" i="16"/>
  <c r="K7" i="16"/>
  <c r="J7" i="16"/>
  <c r="I7" i="16"/>
  <c r="L6" i="16"/>
  <c r="K6" i="16"/>
  <c r="J6" i="16"/>
  <c r="I6" i="16"/>
  <c r="M6" i="16" s="1"/>
  <c r="L5" i="16"/>
  <c r="K5" i="16"/>
  <c r="J5" i="16"/>
  <c r="I5" i="16"/>
  <c r="L4" i="16"/>
  <c r="K4" i="16"/>
  <c r="J4" i="16"/>
  <c r="I4" i="16"/>
  <c r="L3" i="16"/>
  <c r="K3" i="16"/>
  <c r="J3" i="16"/>
  <c r="I3" i="16"/>
  <c r="M3" i="16" s="1"/>
  <c r="I47" i="16" s="1"/>
  <c r="L2" i="16"/>
  <c r="K2" i="16"/>
  <c r="J2" i="16"/>
  <c r="I2" i="16"/>
  <c r="M2" i="16" s="1"/>
  <c r="L13" i="15"/>
  <c r="K13" i="15"/>
  <c r="J13" i="15"/>
  <c r="I13" i="15"/>
  <c r="M13" i="15" s="1"/>
  <c r="L12" i="15"/>
  <c r="K12" i="15"/>
  <c r="J12" i="15"/>
  <c r="I12" i="15"/>
  <c r="M12" i="15" s="1"/>
  <c r="L11" i="15"/>
  <c r="K11" i="15"/>
  <c r="J11" i="15"/>
  <c r="I11" i="15"/>
  <c r="M11" i="15" s="1"/>
  <c r="M10" i="15"/>
  <c r="L54" i="15" s="1"/>
  <c r="L10" i="15"/>
  <c r="K10" i="15"/>
  <c r="J10" i="15"/>
  <c r="I10" i="15"/>
  <c r="L9" i="15"/>
  <c r="K9" i="15"/>
  <c r="J9" i="15"/>
  <c r="I9" i="15"/>
  <c r="L8" i="15"/>
  <c r="K8" i="15"/>
  <c r="J8" i="15"/>
  <c r="I8" i="15"/>
  <c r="L7" i="15"/>
  <c r="K7" i="15"/>
  <c r="J7" i="15"/>
  <c r="I7" i="15"/>
  <c r="L6" i="15"/>
  <c r="K6" i="15"/>
  <c r="J6" i="15"/>
  <c r="I6" i="15"/>
  <c r="M6" i="15" s="1"/>
  <c r="L5" i="15"/>
  <c r="K5" i="15"/>
  <c r="J5" i="15"/>
  <c r="I5" i="15"/>
  <c r="L4" i="15"/>
  <c r="K4" i="15"/>
  <c r="J4" i="15"/>
  <c r="I4" i="15"/>
  <c r="L3" i="15"/>
  <c r="K3" i="15"/>
  <c r="J3" i="15"/>
  <c r="I3" i="15"/>
  <c r="M3" i="15" s="1"/>
  <c r="I47" i="15" s="1"/>
  <c r="L2" i="15"/>
  <c r="K2" i="15"/>
  <c r="J2" i="15"/>
  <c r="I2" i="15"/>
  <c r="M2" i="15" s="1"/>
  <c r="L13" i="14"/>
  <c r="K13" i="14"/>
  <c r="J13" i="14"/>
  <c r="I13" i="14"/>
  <c r="M13" i="14" s="1"/>
  <c r="L12" i="14"/>
  <c r="K12" i="14"/>
  <c r="J12" i="14"/>
  <c r="I12" i="14"/>
  <c r="M12" i="14" s="1"/>
  <c r="L11" i="14"/>
  <c r="K11" i="14"/>
  <c r="J11" i="14"/>
  <c r="I11" i="14"/>
  <c r="M11" i="14" s="1"/>
  <c r="M10" i="14"/>
  <c r="L54" i="14" s="1"/>
  <c r="L10" i="14"/>
  <c r="K10" i="14"/>
  <c r="J10" i="14"/>
  <c r="I10" i="14"/>
  <c r="L9" i="14"/>
  <c r="K9" i="14"/>
  <c r="J9" i="14"/>
  <c r="I9" i="14"/>
  <c r="L8" i="14"/>
  <c r="K8" i="14"/>
  <c r="J8" i="14"/>
  <c r="I8" i="14"/>
  <c r="L7" i="14"/>
  <c r="K7" i="14"/>
  <c r="J7" i="14"/>
  <c r="I7" i="14"/>
  <c r="L6" i="14"/>
  <c r="K6" i="14"/>
  <c r="J6" i="14"/>
  <c r="I6" i="14"/>
  <c r="M6" i="14" s="1"/>
  <c r="L5" i="14"/>
  <c r="K5" i="14"/>
  <c r="J5" i="14"/>
  <c r="I5" i="14"/>
  <c r="L4" i="14"/>
  <c r="K4" i="14"/>
  <c r="J4" i="14"/>
  <c r="I4" i="14"/>
  <c r="L3" i="14"/>
  <c r="K3" i="14"/>
  <c r="J3" i="14"/>
  <c r="M3" i="14" s="1"/>
  <c r="I47" i="14" s="1"/>
  <c r="I3" i="14"/>
  <c r="L2" i="14"/>
  <c r="L46" i="14" s="1"/>
  <c r="K2" i="14"/>
  <c r="J2" i="14"/>
  <c r="I2" i="14"/>
  <c r="M2" i="14" s="1"/>
  <c r="L13" i="13"/>
  <c r="K13" i="13"/>
  <c r="J13" i="13"/>
  <c r="I13" i="13"/>
  <c r="M13" i="13" s="1"/>
  <c r="L12" i="13"/>
  <c r="K12" i="13"/>
  <c r="J12" i="13"/>
  <c r="I12" i="13"/>
  <c r="M12" i="13" s="1"/>
  <c r="L11" i="13"/>
  <c r="K11" i="13"/>
  <c r="J11" i="13"/>
  <c r="I11" i="13"/>
  <c r="M11" i="13" s="1"/>
  <c r="M10" i="13"/>
  <c r="L54" i="13" s="1"/>
  <c r="L10" i="13"/>
  <c r="K10" i="13"/>
  <c r="J10" i="13"/>
  <c r="I10" i="13"/>
  <c r="L9" i="13"/>
  <c r="K9" i="13"/>
  <c r="J9" i="13"/>
  <c r="I9" i="13"/>
  <c r="L8" i="13"/>
  <c r="K8" i="13"/>
  <c r="J8" i="13"/>
  <c r="I8" i="13"/>
  <c r="L7" i="13"/>
  <c r="K7" i="13"/>
  <c r="J7" i="13"/>
  <c r="I7" i="13"/>
  <c r="L6" i="13"/>
  <c r="K6" i="13"/>
  <c r="J6" i="13"/>
  <c r="I6" i="13"/>
  <c r="M6" i="13" s="1"/>
  <c r="L5" i="13"/>
  <c r="K5" i="13"/>
  <c r="J5" i="13"/>
  <c r="I5" i="13"/>
  <c r="L4" i="13"/>
  <c r="K4" i="13"/>
  <c r="J4" i="13"/>
  <c r="I4" i="13"/>
  <c r="L3" i="13"/>
  <c r="K3" i="13"/>
  <c r="J3" i="13"/>
  <c r="I3" i="13"/>
  <c r="M3" i="13" s="1"/>
  <c r="L2" i="13"/>
  <c r="K2" i="13"/>
  <c r="J2" i="13"/>
  <c r="I2" i="13"/>
  <c r="M2" i="13" s="1"/>
  <c r="L13" i="12"/>
  <c r="K13" i="12"/>
  <c r="J13" i="12"/>
  <c r="J57" i="12" s="1"/>
  <c r="I13" i="12"/>
  <c r="M13" i="12" s="1"/>
  <c r="L12" i="12"/>
  <c r="K12" i="12"/>
  <c r="J12" i="12"/>
  <c r="J56" i="12" s="1"/>
  <c r="I12" i="12"/>
  <c r="M12" i="12" s="1"/>
  <c r="L11" i="12"/>
  <c r="K11" i="12"/>
  <c r="J11" i="12"/>
  <c r="J55" i="12" s="1"/>
  <c r="I11" i="12"/>
  <c r="M11" i="12" s="1"/>
  <c r="M10" i="12"/>
  <c r="L54" i="12" s="1"/>
  <c r="L10" i="12"/>
  <c r="K10" i="12"/>
  <c r="J10" i="12"/>
  <c r="I10" i="12"/>
  <c r="L9" i="12"/>
  <c r="K9" i="12"/>
  <c r="J9" i="12"/>
  <c r="I9" i="12"/>
  <c r="L8" i="12"/>
  <c r="K8" i="12"/>
  <c r="J8" i="12"/>
  <c r="I8" i="12"/>
  <c r="L7" i="12"/>
  <c r="K7" i="12"/>
  <c r="J7" i="12"/>
  <c r="I7" i="12"/>
  <c r="L6" i="12"/>
  <c r="K6" i="12"/>
  <c r="J6" i="12"/>
  <c r="I6" i="12"/>
  <c r="M6" i="12" s="1"/>
  <c r="L5" i="12"/>
  <c r="K5" i="12"/>
  <c r="J5" i="12"/>
  <c r="I5" i="12"/>
  <c r="L4" i="12"/>
  <c r="K4" i="12"/>
  <c r="J4" i="12"/>
  <c r="I4" i="12"/>
  <c r="L3" i="12"/>
  <c r="K3" i="12"/>
  <c r="K47" i="12" s="1"/>
  <c r="J3" i="12"/>
  <c r="I3" i="12"/>
  <c r="M3" i="12" s="1"/>
  <c r="L2" i="12"/>
  <c r="K2" i="12"/>
  <c r="J2" i="12"/>
  <c r="I2" i="12"/>
  <c r="M2" i="12" s="1"/>
  <c r="L13" i="11"/>
  <c r="K13" i="11"/>
  <c r="J13" i="11"/>
  <c r="I13" i="11"/>
  <c r="M13" i="11" s="1"/>
  <c r="L12" i="11"/>
  <c r="K12" i="11"/>
  <c r="J12" i="11"/>
  <c r="I12" i="11"/>
  <c r="M12" i="11" s="1"/>
  <c r="L11" i="11"/>
  <c r="K11" i="11"/>
  <c r="J11" i="11"/>
  <c r="I11" i="11"/>
  <c r="M11" i="11" s="1"/>
  <c r="M10" i="11"/>
  <c r="L54" i="11" s="1"/>
  <c r="L10" i="11"/>
  <c r="K10" i="11"/>
  <c r="J10" i="11"/>
  <c r="I10" i="11"/>
  <c r="L9" i="11"/>
  <c r="K9" i="11"/>
  <c r="J9" i="11"/>
  <c r="I9" i="11"/>
  <c r="L8" i="11"/>
  <c r="K8" i="11"/>
  <c r="J8" i="11"/>
  <c r="I8" i="11"/>
  <c r="L7" i="11"/>
  <c r="K7" i="11"/>
  <c r="J7" i="11"/>
  <c r="I7" i="11"/>
  <c r="L6" i="11"/>
  <c r="K6" i="11"/>
  <c r="J6" i="11"/>
  <c r="I6" i="11"/>
  <c r="M6" i="11" s="1"/>
  <c r="L5" i="11"/>
  <c r="K5" i="11"/>
  <c r="J5" i="11"/>
  <c r="I5" i="11"/>
  <c r="L4" i="11"/>
  <c r="K4" i="11"/>
  <c r="J4" i="11"/>
  <c r="I4" i="11"/>
  <c r="L3" i="11"/>
  <c r="K3" i="11"/>
  <c r="J3" i="11"/>
  <c r="I3" i="11"/>
  <c r="M3" i="11" s="1"/>
  <c r="L2" i="11"/>
  <c r="K2" i="11"/>
  <c r="J2" i="11"/>
  <c r="I2" i="11"/>
  <c r="M2" i="11" s="1"/>
  <c r="I47" i="10"/>
  <c r="L13" i="10"/>
  <c r="K13" i="10"/>
  <c r="J13" i="10"/>
  <c r="I13" i="10"/>
  <c r="M13" i="10" s="1"/>
  <c r="L12" i="10"/>
  <c r="K12" i="10"/>
  <c r="J12" i="10"/>
  <c r="I12" i="10"/>
  <c r="M12" i="10" s="1"/>
  <c r="L11" i="10"/>
  <c r="K11" i="10"/>
  <c r="K55" i="10" s="1"/>
  <c r="J11" i="10"/>
  <c r="I11" i="10"/>
  <c r="M11" i="10" s="1"/>
  <c r="M10" i="10"/>
  <c r="I54" i="10" s="1"/>
  <c r="L10" i="10"/>
  <c r="K10" i="10"/>
  <c r="J10" i="10"/>
  <c r="I10" i="10"/>
  <c r="L9" i="10"/>
  <c r="K9" i="10"/>
  <c r="J9" i="10"/>
  <c r="I9" i="10"/>
  <c r="L8" i="10"/>
  <c r="K8" i="10"/>
  <c r="J8" i="10"/>
  <c r="I8" i="10"/>
  <c r="L7" i="10"/>
  <c r="M7" i="10" s="1"/>
  <c r="I51" i="10" s="1"/>
  <c r="K7" i="10"/>
  <c r="J7" i="10"/>
  <c r="I7" i="10"/>
  <c r="L6" i="10"/>
  <c r="K6" i="10"/>
  <c r="J6" i="10"/>
  <c r="I6" i="10"/>
  <c r="M6" i="10" s="1"/>
  <c r="L5" i="10"/>
  <c r="K5" i="10"/>
  <c r="J5" i="10"/>
  <c r="I5" i="10"/>
  <c r="L4" i="10"/>
  <c r="K4" i="10"/>
  <c r="J4" i="10"/>
  <c r="I4" i="10"/>
  <c r="M3" i="10"/>
  <c r="L3" i="10"/>
  <c r="L47" i="10" s="1"/>
  <c r="K3" i="10"/>
  <c r="K47" i="10" s="1"/>
  <c r="J3" i="10"/>
  <c r="J47" i="10" s="1"/>
  <c r="I3" i="10"/>
  <c r="L2" i="10"/>
  <c r="K2" i="10"/>
  <c r="J2" i="10"/>
  <c r="I2" i="10"/>
  <c r="M2" i="10" s="1"/>
  <c r="L13" i="9"/>
  <c r="K13" i="9"/>
  <c r="J13" i="9"/>
  <c r="I13" i="9"/>
  <c r="M13" i="9" s="1"/>
  <c r="L12" i="9"/>
  <c r="K12" i="9"/>
  <c r="J12" i="9"/>
  <c r="I12" i="9"/>
  <c r="M12" i="9" s="1"/>
  <c r="L11" i="9"/>
  <c r="K11" i="9"/>
  <c r="J11" i="9"/>
  <c r="I11" i="9"/>
  <c r="M11" i="9" s="1"/>
  <c r="M10" i="9"/>
  <c r="I54" i="9" s="1"/>
  <c r="L10" i="9"/>
  <c r="K10" i="9"/>
  <c r="J10" i="9"/>
  <c r="I10" i="9"/>
  <c r="L9" i="9"/>
  <c r="K9" i="9"/>
  <c r="J9" i="9"/>
  <c r="I9" i="9"/>
  <c r="L8" i="9"/>
  <c r="K8" i="9"/>
  <c r="J8" i="9"/>
  <c r="I8" i="9"/>
  <c r="L7" i="9"/>
  <c r="K7" i="9"/>
  <c r="J7" i="9"/>
  <c r="I7" i="9"/>
  <c r="L6" i="9"/>
  <c r="K6" i="9"/>
  <c r="J6" i="9"/>
  <c r="M6" i="9" s="1"/>
  <c r="I6" i="9"/>
  <c r="L5" i="9"/>
  <c r="K5" i="9"/>
  <c r="J5" i="9"/>
  <c r="I5" i="9"/>
  <c r="L4" i="9"/>
  <c r="K4" i="9"/>
  <c r="J4" i="9"/>
  <c r="I4" i="9"/>
  <c r="L3" i="9"/>
  <c r="K3" i="9"/>
  <c r="J3" i="9"/>
  <c r="I3" i="9"/>
  <c r="M3" i="9" s="1"/>
  <c r="L2" i="9"/>
  <c r="K2" i="9"/>
  <c r="J2" i="9"/>
  <c r="I2" i="9"/>
  <c r="M2" i="9" s="1"/>
  <c r="J47" i="8"/>
  <c r="I47" i="8"/>
  <c r="L13" i="8"/>
  <c r="K13" i="8"/>
  <c r="J13" i="8"/>
  <c r="I13" i="8"/>
  <c r="M13" i="8" s="1"/>
  <c r="L12" i="8"/>
  <c r="K12" i="8"/>
  <c r="J12" i="8"/>
  <c r="I12" i="8"/>
  <c r="M12" i="8" s="1"/>
  <c r="L11" i="8"/>
  <c r="K11" i="8"/>
  <c r="J11" i="8"/>
  <c r="I11" i="8"/>
  <c r="M11" i="8" s="1"/>
  <c r="M10" i="8"/>
  <c r="L54" i="8" s="1"/>
  <c r="L10" i="8"/>
  <c r="K10" i="8"/>
  <c r="J10" i="8"/>
  <c r="I10" i="8"/>
  <c r="L9" i="8"/>
  <c r="K9" i="8"/>
  <c r="J9" i="8"/>
  <c r="I9" i="8"/>
  <c r="L8" i="8"/>
  <c r="K8" i="8"/>
  <c r="J8" i="8"/>
  <c r="I8" i="8"/>
  <c r="L7" i="8"/>
  <c r="K7" i="8"/>
  <c r="J7" i="8"/>
  <c r="I7" i="8"/>
  <c r="L6" i="8"/>
  <c r="K6" i="8"/>
  <c r="J6" i="8"/>
  <c r="I6" i="8"/>
  <c r="M6" i="8" s="1"/>
  <c r="L5" i="8"/>
  <c r="K5" i="8"/>
  <c r="J5" i="8"/>
  <c r="I5" i="8"/>
  <c r="L4" i="8"/>
  <c r="K4" i="8"/>
  <c r="J4" i="8"/>
  <c r="I4" i="8"/>
  <c r="M3" i="8"/>
  <c r="L47" i="8" s="1"/>
  <c r="L3" i="8"/>
  <c r="K3" i="8"/>
  <c r="K47" i="8" s="1"/>
  <c r="J3" i="8"/>
  <c r="I3" i="8"/>
  <c r="L2" i="8"/>
  <c r="K2" i="8"/>
  <c r="J2" i="8"/>
  <c r="I2" i="8"/>
  <c r="M2" i="8" s="1"/>
  <c r="I46" i="7"/>
  <c r="L13" i="7"/>
  <c r="K13" i="7"/>
  <c r="J13" i="7"/>
  <c r="I13" i="7"/>
  <c r="M13" i="7" s="1"/>
  <c r="L12" i="7"/>
  <c r="K12" i="7"/>
  <c r="J12" i="7"/>
  <c r="I12" i="7"/>
  <c r="M12" i="7" s="1"/>
  <c r="L11" i="7"/>
  <c r="K11" i="7"/>
  <c r="J11" i="7"/>
  <c r="I11" i="7"/>
  <c r="M11" i="7" s="1"/>
  <c r="M10" i="7"/>
  <c r="L54" i="7" s="1"/>
  <c r="L10" i="7"/>
  <c r="K10" i="7"/>
  <c r="J10" i="7"/>
  <c r="I10" i="7"/>
  <c r="L9" i="7"/>
  <c r="K9" i="7"/>
  <c r="J9" i="7"/>
  <c r="I9" i="7"/>
  <c r="L8" i="7"/>
  <c r="K8" i="7"/>
  <c r="J8" i="7"/>
  <c r="I8" i="7"/>
  <c r="L7" i="7"/>
  <c r="K7" i="7"/>
  <c r="J7" i="7"/>
  <c r="I7" i="7"/>
  <c r="L6" i="7"/>
  <c r="K6" i="7"/>
  <c r="J6" i="7"/>
  <c r="I6" i="7"/>
  <c r="M6" i="7" s="1"/>
  <c r="L5" i="7"/>
  <c r="K5" i="7"/>
  <c r="J5" i="7"/>
  <c r="I5" i="7"/>
  <c r="L4" i="7"/>
  <c r="K4" i="7"/>
  <c r="J4" i="7"/>
  <c r="I4" i="7"/>
  <c r="M3" i="7"/>
  <c r="J47" i="7" s="1"/>
  <c r="L3" i="7"/>
  <c r="L47" i="7" s="1"/>
  <c r="K3" i="7"/>
  <c r="K47" i="7" s="1"/>
  <c r="J3" i="7"/>
  <c r="I3" i="7"/>
  <c r="M2" i="7"/>
  <c r="L46" i="7" s="1"/>
  <c r="L2" i="7"/>
  <c r="K2" i="7"/>
  <c r="K46" i="7" s="1"/>
  <c r="J2" i="7"/>
  <c r="J46" i="7" s="1"/>
  <c r="I2" i="7"/>
  <c r="L13" i="6"/>
  <c r="K13" i="6"/>
  <c r="J13" i="6"/>
  <c r="I13" i="6"/>
  <c r="M13" i="6" s="1"/>
  <c r="L12" i="6"/>
  <c r="K12" i="6"/>
  <c r="J12" i="6"/>
  <c r="I12" i="6"/>
  <c r="M12" i="6" s="1"/>
  <c r="L11" i="6"/>
  <c r="K11" i="6"/>
  <c r="J11" i="6"/>
  <c r="I11" i="6"/>
  <c r="M11" i="6" s="1"/>
  <c r="M10" i="6"/>
  <c r="L54" i="6" s="1"/>
  <c r="L10" i="6"/>
  <c r="K10" i="6"/>
  <c r="J10" i="6"/>
  <c r="I10" i="6"/>
  <c r="L9" i="6"/>
  <c r="K9" i="6"/>
  <c r="J9" i="6"/>
  <c r="I9" i="6"/>
  <c r="L8" i="6"/>
  <c r="K8" i="6"/>
  <c r="J8" i="6"/>
  <c r="I8" i="6"/>
  <c r="L7" i="6"/>
  <c r="K7" i="6"/>
  <c r="J7" i="6"/>
  <c r="I7" i="6"/>
  <c r="L6" i="6"/>
  <c r="K6" i="6"/>
  <c r="J6" i="6"/>
  <c r="I6" i="6"/>
  <c r="M6" i="6" s="1"/>
  <c r="L5" i="6"/>
  <c r="K5" i="6"/>
  <c r="J5" i="6"/>
  <c r="I5" i="6"/>
  <c r="L4" i="6"/>
  <c r="K4" i="6"/>
  <c r="J4" i="6"/>
  <c r="I4" i="6"/>
  <c r="L3" i="6"/>
  <c r="K3" i="6"/>
  <c r="J3" i="6"/>
  <c r="I3" i="6"/>
  <c r="M3" i="6" s="1"/>
  <c r="L2" i="6"/>
  <c r="K2" i="6"/>
  <c r="J2" i="6"/>
  <c r="I2" i="6"/>
  <c r="M2" i="6" s="1"/>
  <c r="L13" i="5"/>
  <c r="K13" i="5"/>
  <c r="J13" i="5"/>
  <c r="I13" i="5"/>
  <c r="M13" i="5" s="1"/>
  <c r="L12" i="5"/>
  <c r="K12" i="5"/>
  <c r="J12" i="5"/>
  <c r="I12" i="5"/>
  <c r="M12" i="5" s="1"/>
  <c r="L11" i="5"/>
  <c r="K11" i="5"/>
  <c r="J11" i="5"/>
  <c r="I11" i="5"/>
  <c r="M11" i="5" s="1"/>
  <c r="M10" i="5"/>
  <c r="I54" i="5" s="1"/>
  <c r="L10" i="5"/>
  <c r="K10" i="5"/>
  <c r="J10" i="5"/>
  <c r="I10" i="5"/>
  <c r="L9" i="5"/>
  <c r="K9" i="5"/>
  <c r="J9" i="5"/>
  <c r="I9" i="5"/>
  <c r="L8" i="5"/>
  <c r="K8" i="5"/>
  <c r="J8" i="5"/>
  <c r="I8" i="5"/>
  <c r="L7" i="5"/>
  <c r="K7" i="5"/>
  <c r="J7" i="5"/>
  <c r="I7" i="5"/>
  <c r="L6" i="5"/>
  <c r="K6" i="5"/>
  <c r="J6" i="5"/>
  <c r="I6" i="5"/>
  <c r="M6" i="5" s="1"/>
  <c r="L5" i="5"/>
  <c r="K5" i="5"/>
  <c r="J5" i="5"/>
  <c r="I5" i="5"/>
  <c r="L4" i="5"/>
  <c r="K4" i="5"/>
  <c r="J4" i="5"/>
  <c r="I4" i="5"/>
  <c r="L3" i="5"/>
  <c r="K3" i="5"/>
  <c r="J3" i="5"/>
  <c r="I3" i="5"/>
  <c r="M3" i="5" s="1"/>
  <c r="L2" i="5"/>
  <c r="K2" i="5"/>
  <c r="J2" i="5"/>
  <c r="I2" i="5"/>
  <c r="M2" i="5" s="1"/>
  <c r="L13" i="4"/>
  <c r="K13" i="4"/>
  <c r="J13" i="4"/>
  <c r="I13" i="4"/>
  <c r="M13" i="4" s="1"/>
  <c r="L12" i="4"/>
  <c r="K12" i="4"/>
  <c r="J12" i="4"/>
  <c r="I12" i="4"/>
  <c r="M12" i="4" s="1"/>
  <c r="L11" i="4"/>
  <c r="K11" i="4"/>
  <c r="J11" i="4"/>
  <c r="J55" i="4" s="1"/>
  <c r="I11" i="4"/>
  <c r="M11" i="4" s="1"/>
  <c r="M10" i="4"/>
  <c r="L54" i="4" s="1"/>
  <c r="L10" i="4"/>
  <c r="K10" i="4"/>
  <c r="J10" i="4"/>
  <c r="I10" i="4"/>
  <c r="L9" i="4"/>
  <c r="K9" i="4"/>
  <c r="J9" i="4"/>
  <c r="I9" i="4"/>
  <c r="L8" i="4"/>
  <c r="K8" i="4"/>
  <c r="J8" i="4"/>
  <c r="I8" i="4"/>
  <c r="L7" i="4"/>
  <c r="K7" i="4"/>
  <c r="J7" i="4"/>
  <c r="I7" i="4"/>
  <c r="L6" i="4"/>
  <c r="K6" i="4"/>
  <c r="J6" i="4"/>
  <c r="I6" i="4"/>
  <c r="M6" i="4" s="1"/>
  <c r="L5" i="4"/>
  <c r="K5" i="4"/>
  <c r="J5" i="4"/>
  <c r="I5" i="4"/>
  <c r="L4" i="4"/>
  <c r="K4" i="4"/>
  <c r="J4" i="4"/>
  <c r="I4" i="4"/>
  <c r="L3" i="4"/>
  <c r="K3" i="4"/>
  <c r="K47" i="4" s="1"/>
  <c r="J3" i="4"/>
  <c r="I3" i="4"/>
  <c r="M3" i="4" s="1"/>
  <c r="L2" i="4"/>
  <c r="K2" i="4"/>
  <c r="J2" i="4"/>
  <c r="I2" i="4"/>
  <c r="M2" i="4" s="1"/>
  <c r="L13" i="3"/>
  <c r="K13" i="3"/>
  <c r="J13" i="3"/>
  <c r="I13" i="3"/>
  <c r="M13" i="3" s="1"/>
  <c r="L12" i="3"/>
  <c r="K12" i="3"/>
  <c r="J12" i="3"/>
  <c r="I12" i="3"/>
  <c r="M12" i="3" s="1"/>
  <c r="L11" i="3"/>
  <c r="K11" i="3"/>
  <c r="J11" i="3"/>
  <c r="I11" i="3"/>
  <c r="M11" i="3" s="1"/>
  <c r="M10" i="3"/>
  <c r="J54" i="3" s="1"/>
  <c r="L10" i="3"/>
  <c r="K10" i="3"/>
  <c r="J10" i="3"/>
  <c r="I10" i="3"/>
  <c r="L9" i="3"/>
  <c r="K9" i="3"/>
  <c r="J9" i="3"/>
  <c r="I9" i="3"/>
  <c r="L8" i="3"/>
  <c r="K8" i="3"/>
  <c r="J8" i="3"/>
  <c r="I8" i="3"/>
  <c r="L7" i="3"/>
  <c r="M7" i="3" s="1"/>
  <c r="K7" i="3"/>
  <c r="J7" i="3"/>
  <c r="I7" i="3"/>
  <c r="L6" i="3"/>
  <c r="K6" i="3"/>
  <c r="J6" i="3"/>
  <c r="I6" i="3"/>
  <c r="M6" i="3" s="1"/>
  <c r="L5" i="3"/>
  <c r="K5" i="3"/>
  <c r="J5" i="3"/>
  <c r="I5" i="3"/>
  <c r="L4" i="3"/>
  <c r="K4" i="3"/>
  <c r="J4" i="3"/>
  <c r="I4" i="3"/>
  <c r="L3" i="3"/>
  <c r="K3" i="3"/>
  <c r="J3" i="3"/>
  <c r="I3" i="3"/>
  <c r="M3" i="3" s="1"/>
  <c r="L2" i="3"/>
  <c r="K2" i="3"/>
  <c r="J2" i="3"/>
  <c r="I2" i="3"/>
  <c r="M2" i="3" s="1"/>
  <c r="I54" i="1"/>
  <c r="L13" i="1"/>
  <c r="K13" i="1"/>
  <c r="J13" i="1"/>
  <c r="I13" i="1"/>
  <c r="M13" i="1" s="1"/>
  <c r="L12" i="1"/>
  <c r="K12" i="1"/>
  <c r="J12" i="1"/>
  <c r="I12" i="1"/>
  <c r="M12" i="1" s="1"/>
  <c r="L11" i="1"/>
  <c r="K11" i="1"/>
  <c r="J11" i="1"/>
  <c r="I11" i="1"/>
  <c r="M11" i="1" s="1"/>
  <c r="M10" i="1"/>
  <c r="L54" i="1" s="1"/>
  <c r="L10" i="1"/>
  <c r="K10" i="1"/>
  <c r="J10" i="1"/>
  <c r="I10" i="1"/>
  <c r="L9" i="1"/>
  <c r="K9" i="1"/>
  <c r="J9" i="1"/>
  <c r="I9" i="1"/>
  <c r="L8" i="1"/>
  <c r="K8" i="1"/>
  <c r="J8" i="1"/>
  <c r="I8" i="1"/>
  <c r="L7" i="1"/>
  <c r="K7" i="1"/>
  <c r="J7" i="1"/>
  <c r="I7" i="1"/>
  <c r="L6" i="1"/>
  <c r="K6" i="1"/>
  <c r="J6" i="1"/>
  <c r="I6" i="1"/>
  <c r="M6" i="1" s="1"/>
  <c r="L5" i="1"/>
  <c r="K5" i="1"/>
  <c r="J5" i="1"/>
  <c r="I5" i="1"/>
  <c r="L4" i="1"/>
  <c r="K4" i="1"/>
  <c r="J4" i="1"/>
  <c r="I4" i="1"/>
  <c r="L3" i="1"/>
  <c r="K3" i="1"/>
  <c r="J3" i="1"/>
  <c r="I3" i="1"/>
  <c r="M3" i="1" s="1"/>
  <c r="I47" i="1" s="1"/>
  <c r="L2" i="1"/>
  <c r="K2" i="1"/>
  <c r="J2" i="1"/>
  <c r="I2" i="1"/>
  <c r="M2" i="1" s="1"/>
  <c r="M11" i="27" l="1"/>
  <c r="M10" i="43"/>
  <c r="I54" i="43" s="1"/>
  <c r="M7" i="43"/>
  <c r="M12" i="43"/>
  <c r="L56" i="43" s="1"/>
  <c r="M2" i="43"/>
  <c r="M6" i="43"/>
  <c r="I50" i="43" s="1"/>
  <c r="J55" i="43"/>
  <c r="L47" i="43"/>
  <c r="K51" i="43"/>
  <c r="J51" i="43"/>
  <c r="I51" i="43"/>
  <c r="K55" i="43"/>
  <c r="L55" i="43"/>
  <c r="J56" i="43"/>
  <c r="L52" i="43"/>
  <c r="K47" i="43"/>
  <c r="J47" i="43"/>
  <c r="I47" i="43"/>
  <c r="J57" i="43"/>
  <c r="K57" i="43"/>
  <c r="I46" i="43"/>
  <c r="J46" i="43"/>
  <c r="L46" i="43"/>
  <c r="K46" i="43"/>
  <c r="L50" i="43"/>
  <c r="J50" i="43"/>
  <c r="K50" i="43"/>
  <c r="L57" i="43"/>
  <c r="J54" i="43"/>
  <c r="M4" i="43"/>
  <c r="I48" i="43" s="1"/>
  <c r="K54" i="43"/>
  <c r="L54" i="43"/>
  <c r="I55" i="43"/>
  <c r="M8" i="43"/>
  <c r="I52" i="43" s="1"/>
  <c r="M5" i="43"/>
  <c r="I49" i="43" s="1"/>
  <c r="L51" i="43"/>
  <c r="I56" i="43"/>
  <c r="M9" i="43"/>
  <c r="I53" i="43" s="1"/>
  <c r="I57" i="43"/>
  <c r="J46" i="42"/>
  <c r="I53" i="42"/>
  <c r="I48" i="42"/>
  <c r="J48" i="42"/>
  <c r="K48" i="42"/>
  <c r="I54" i="42"/>
  <c r="L48" i="42"/>
  <c r="L47" i="41"/>
  <c r="J47" i="41"/>
  <c r="I47" i="41"/>
  <c r="K47" i="41"/>
  <c r="L51" i="41"/>
  <c r="J55" i="41"/>
  <c r="I48" i="41"/>
  <c r="I52" i="41"/>
  <c r="K55" i="41"/>
  <c r="J48" i="41"/>
  <c r="J52" i="41"/>
  <c r="L55" i="41"/>
  <c r="K48" i="41"/>
  <c r="K52" i="41"/>
  <c r="L48" i="41"/>
  <c r="L52" i="41"/>
  <c r="J56" i="41"/>
  <c r="K56" i="41"/>
  <c r="J57" i="41"/>
  <c r="L46" i="41"/>
  <c r="I46" i="41"/>
  <c r="K46" i="41"/>
  <c r="J46" i="41"/>
  <c r="I50" i="41"/>
  <c r="K50" i="41"/>
  <c r="J50" i="41"/>
  <c r="K57" i="41"/>
  <c r="L57" i="41"/>
  <c r="M7" i="41"/>
  <c r="J54" i="41"/>
  <c r="I54" i="41"/>
  <c r="M4" i="41"/>
  <c r="K54" i="41"/>
  <c r="I55" i="41"/>
  <c r="M8" i="41"/>
  <c r="M5" i="41"/>
  <c r="I49" i="41" s="1"/>
  <c r="I56" i="41"/>
  <c r="I57" i="41"/>
  <c r="J47" i="40"/>
  <c r="K47" i="40"/>
  <c r="J55" i="40"/>
  <c r="L47" i="40"/>
  <c r="K55" i="40"/>
  <c r="L55" i="40"/>
  <c r="J48" i="40"/>
  <c r="K48" i="40"/>
  <c r="J56" i="40"/>
  <c r="L48" i="40"/>
  <c r="L52" i="40"/>
  <c r="K56" i="40"/>
  <c r="L56" i="40"/>
  <c r="J57" i="40"/>
  <c r="K57" i="40"/>
  <c r="L46" i="40"/>
  <c r="I46" i="40"/>
  <c r="K46" i="40"/>
  <c r="J46" i="40"/>
  <c r="L50" i="40"/>
  <c r="K50" i="40"/>
  <c r="I50" i="40"/>
  <c r="J50" i="40"/>
  <c r="L57" i="40"/>
  <c r="I54" i="40"/>
  <c r="M7" i="40"/>
  <c r="J54" i="40"/>
  <c r="M4" i="40"/>
  <c r="I48" i="40" s="1"/>
  <c r="K54" i="40"/>
  <c r="I55" i="40"/>
  <c r="M8" i="40"/>
  <c r="I52" i="40" s="1"/>
  <c r="M5" i="40"/>
  <c r="I49" i="40" s="1"/>
  <c r="I56" i="40"/>
  <c r="M9" i="40"/>
  <c r="I53" i="40" s="1"/>
  <c r="I57" i="40"/>
  <c r="K47" i="39"/>
  <c r="J55" i="39"/>
  <c r="L47" i="39"/>
  <c r="K55" i="39"/>
  <c r="L55" i="39"/>
  <c r="K48" i="39"/>
  <c r="J56" i="39"/>
  <c r="L48" i="39"/>
  <c r="K56" i="39"/>
  <c r="J57" i="39"/>
  <c r="K57" i="39"/>
  <c r="I46" i="39"/>
  <c r="L46" i="39"/>
  <c r="K46" i="39"/>
  <c r="J46" i="39"/>
  <c r="L50" i="39"/>
  <c r="K50" i="39"/>
  <c r="I50" i="39"/>
  <c r="J50" i="39"/>
  <c r="L57" i="39"/>
  <c r="I54" i="39"/>
  <c r="M7" i="39"/>
  <c r="I51" i="39" s="1"/>
  <c r="J54" i="39"/>
  <c r="M4" i="39"/>
  <c r="I48" i="39" s="1"/>
  <c r="K54" i="39"/>
  <c r="I55" i="39"/>
  <c r="J47" i="39"/>
  <c r="M8" i="39"/>
  <c r="L52" i="39" s="1"/>
  <c r="M5" i="39"/>
  <c r="I49" i="39" s="1"/>
  <c r="I56" i="39"/>
  <c r="M9" i="39"/>
  <c r="I53" i="39" s="1"/>
  <c r="I57" i="39"/>
  <c r="J47" i="38"/>
  <c r="I47" i="38"/>
  <c r="L47" i="38"/>
  <c r="K55" i="38"/>
  <c r="L55" i="38"/>
  <c r="K48" i="38"/>
  <c r="J56" i="38"/>
  <c r="L48" i="38"/>
  <c r="L52" i="38"/>
  <c r="K56" i="38"/>
  <c r="L56" i="38"/>
  <c r="J57" i="38"/>
  <c r="K57" i="38"/>
  <c r="I46" i="38"/>
  <c r="L46" i="38"/>
  <c r="K46" i="38"/>
  <c r="J46" i="38"/>
  <c r="L50" i="38"/>
  <c r="K50" i="38"/>
  <c r="I50" i="38"/>
  <c r="J50" i="38"/>
  <c r="L57" i="38"/>
  <c r="I54" i="38"/>
  <c r="M7" i="38"/>
  <c r="J54" i="38"/>
  <c r="M4" i="38"/>
  <c r="I48" i="38" s="1"/>
  <c r="K54" i="38"/>
  <c r="I55" i="38"/>
  <c r="M8" i="38"/>
  <c r="I52" i="38" s="1"/>
  <c r="M5" i="38"/>
  <c r="I49" i="38" s="1"/>
  <c r="I56" i="38"/>
  <c r="M9" i="38"/>
  <c r="I53" i="38" s="1"/>
  <c r="I57" i="38"/>
  <c r="L47" i="37"/>
  <c r="J47" i="37"/>
  <c r="I47" i="37"/>
  <c r="K47" i="37"/>
  <c r="J55" i="37"/>
  <c r="I48" i="37"/>
  <c r="K55" i="37"/>
  <c r="J48" i="37"/>
  <c r="L55" i="37"/>
  <c r="K48" i="37"/>
  <c r="K52" i="37"/>
  <c r="L48" i="37"/>
  <c r="L52" i="37"/>
  <c r="J56" i="37"/>
  <c r="K56" i="37"/>
  <c r="J57" i="37"/>
  <c r="I46" i="37"/>
  <c r="L46" i="37"/>
  <c r="J46" i="37"/>
  <c r="K46" i="37"/>
  <c r="I50" i="37"/>
  <c r="J50" i="37"/>
  <c r="L50" i="37"/>
  <c r="K50" i="37"/>
  <c r="K57" i="37"/>
  <c r="L57" i="37"/>
  <c r="I54" i="37"/>
  <c r="J54" i="37"/>
  <c r="M4" i="37"/>
  <c r="K54" i="37"/>
  <c r="I55" i="37"/>
  <c r="M7" i="37"/>
  <c r="M8" i="37"/>
  <c r="I52" i="37" s="1"/>
  <c r="M5" i="37"/>
  <c r="I49" i="37" s="1"/>
  <c r="I56" i="37"/>
  <c r="I57" i="37"/>
  <c r="L47" i="36"/>
  <c r="K47" i="36"/>
  <c r="J47" i="36"/>
  <c r="I47" i="36"/>
  <c r="J55" i="36"/>
  <c r="K55" i="36"/>
  <c r="L55" i="36"/>
  <c r="K48" i="36"/>
  <c r="K52" i="36"/>
  <c r="J56" i="36"/>
  <c r="L48" i="36"/>
  <c r="K56" i="36"/>
  <c r="L56" i="36"/>
  <c r="J57" i="36"/>
  <c r="K57" i="36"/>
  <c r="L46" i="36"/>
  <c r="I46" i="36"/>
  <c r="K46" i="36"/>
  <c r="J46" i="36"/>
  <c r="L50" i="36"/>
  <c r="K50" i="36"/>
  <c r="I50" i="36"/>
  <c r="J50" i="36"/>
  <c r="L57" i="36"/>
  <c r="I54" i="36"/>
  <c r="M7" i="36"/>
  <c r="J54" i="36"/>
  <c r="M4" i="36"/>
  <c r="I48" i="36" s="1"/>
  <c r="K54" i="36"/>
  <c r="I55" i="36"/>
  <c r="M8" i="36"/>
  <c r="L52" i="36" s="1"/>
  <c r="M5" i="36"/>
  <c r="I49" i="36" s="1"/>
  <c r="I56" i="36"/>
  <c r="M9" i="36"/>
  <c r="I53" i="36" s="1"/>
  <c r="I57" i="36"/>
  <c r="J47" i="35"/>
  <c r="K47" i="35"/>
  <c r="J55" i="35"/>
  <c r="L47" i="35"/>
  <c r="K55" i="35"/>
  <c r="L55" i="35"/>
  <c r="J48" i="35"/>
  <c r="K48" i="35"/>
  <c r="J56" i="35"/>
  <c r="L48" i="35"/>
  <c r="L52" i="35"/>
  <c r="K56" i="35"/>
  <c r="J57" i="35"/>
  <c r="L49" i="35"/>
  <c r="K57" i="35"/>
  <c r="K50" i="35"/>
  <c r="I50" i="35"/>
  <c r="J50" i="35"/>
  <c r="I54" i="35"/>
  <c r="M7" i="35"/>
  <c r="I51" i="35" s="1"/>
  <c r="J46" i="35"/>
  <c r="J54" i="35"/>
  <c r="M4" i="35"/>
  <c r="I48" i="35" s="1"/>
  <c r="K46" i="35"/>
  <c r="K54" i="35"/>
  <c r="I47" i="35"/>
  <c r="I55" i="35"/>
  <c r="M5" i="35"/>
  <c r="I49" i="35" s="1"/>
  <c r="I56" i="35"/>
  <c r="M9" i="35"/>
  <c r="I53" i="35" s="1"/>
  <c r="I57" i="35"/>
  <c r="J47" i="34"/>
  <c r="I47" i="34"/>
  <c r="K47" i="34"/>
  <c r="J55" i="34"/>
  <c r="L47" i="34"/>
  <c r="K55" i="34"/>
  <c r="L55" i="34"/>
  <c r="K48" i="34"/>
  <c r="J56" i="34"/>
  <c r="L48" i="34"/>
  <c r="K56" i="34"/>
  <c r="L56" i="34"/>
  <c r="J57" i="34"/>
  <c r="K57" i="34"/>
  <c r="L46" i="34"/>
  <c r="I46" i="34"/>
  <c r="K46" i="34"/>
  <c r="J46" i="34"/>
  <c r="L50" i="34"/>
  <c r="K50" i="34"/>
  <c r="I50" i="34"/>
  <c r="J50" i="34"/>
  <c r="L57" i="34"/>
  <c r="I54" i="34"/>
  <c r="M7" i="34"/>
  <c r="J54" i="34"/>
  <c r="M4" i="34"/>
  <c r="I48" i="34" s="1"/>
  <c r="K54" i="34"/>
  <c r="I55" i="34"/>
  <c r="M8" i="34"/>
  <c r="L52" i="34" s="1"/>
  <c r="M5" i="34"/>
  <c r="I49" i="34" s="1"/>
  <c r="I56" i="34"/>
  <c r="M9" i="34"/>
  <c r="I53" i="34" s="1"/>
  <c r="I57" i="34"/>
  <c r="J55" i="33"/>
  <c r="K55" i="33"/>
  <c r="L55" i="33"/>
  <c r="K48" i="33"/>
  <c r="L48" i="33"/>
  <c r="J56" i="33"/>
  <c r="I49" i="33"/>
  <c r="L52" i="33"/>
  <c r="K56" i="33"/>
  <c r="L56" i="33"/>
  <c r="J57" i="33"/>
  <c r="L46" i="33"/>
  <c r="K46" i="33"/>
  <c r="I46" i="33"/>
  <c r="J46" i="33"/>
  <c r="K57" i="33"/>
  <c r="L57" i="33"/>
  <c r="I47" i="33"/>
  <c r="J47" i="33"/>
  <c r="I54" i="33"/>
  <c r="M7" i="33"/>
  <c r="K51" i="33" s="1"/>
  <c r="J54" i="33"/>
  <c r="M4" i="33"/>
  <c r="I48" i="33" s="1"/>
  <c r="K54" i="33"/>
  <c r="I55" i="33"/>
  <c r="M8" i="33"/>
  <c r="I52" i="33" s="1"/>
  <c r="M5" i="33"/>
  <c r="J49" i="33" s="1"/>
  <c r="L47" i="33"/>
  <c r="I56" i="33"/>
  <c r="M9" i="33"/>
  <c r="I53" i="33" s="1"/>
  <c r="I57" i="33"/>
  <c r="J47" i="32"/>
  <c r="K47" i="32"/>
  <c r="L47" i="32"/>
  <c r="L51" i="32"/>
  <c r="J55" i="32"/>
  <c r="K55" i="32"/>
  <c r="J48" i="32"/>
  <c r="L55" i="32"/>
  <c r="K48" i="32"/>
  <c r="K52" i="32"/>
  <c r="L48" i="32"/>
  <c r="L52" i="32"/>
  <c r="J56" i="32"/>
  <c r="K56" i="32"/>
  <c r="J57" i="32"/>
  <c r="I46" i="32"/>
  <c r="L46" i="32"/>
  <c r="K46" i="32"/>
  <c r="J46" i="32"/>
  <c r="L50" i="32"/>
  <c r="I50" i="32"/>
  <c r="K50" i="32"/>
  <c r="J50" i="32"/>
  <c r="K57" i="32"/>
  <c r="L57" i="32"/>
  <c r="I54" i="32"/>
  <c r="M7" i="32"/>
  <c r="J54" i="32"/>
  <c r="M4" i="32"/>
  <c r="I48" i="32" s="1"/>
  <c r="K54" i="32"/>
  <c r="I55" i="32"/>
  <c r="M8" i="32"/>
  <c r="I52" i="32" s="1"/>
  <c r="M5" i="32"/>
  <c r="I49" i="32" s="1"/>
  <c r="I56" i="32"/>
  <c r="I57" i="32"/>
  <c r="K47" i="31"/>
  <c r="I47" i="31"/>
  <c r="J55" i="31"/>
  <c r="L47" i="31"/>
  <c r="K55" i="31"/>
  <c r="L55" i="31"/>
  <c r="K48" i="31"/>
  <c r="K52" i="31"/>
  <c r="J56" i="31"/>
  <c r="L48" i="31"/>
  <c r="K56" i="31"/>
  <c r="L56" i="31"/>
  <c r="J57" i="31"/>
  <c r="K57" i="31"/>
  <c r="L46" i="31"/>
  <c r="K46" i="31"/>
  <c r="J46" i="31"/>
  <c r="I46" i="31"/>
  <c r="L50" i="31"/>
  <c r="K50" i="31"/>
  <c r="J50" i="31"/>
  <c r="I50" i="31"/>
  <c r="L57" i="31"/>
  <c r="I54" i="31"/>
  <c r="M7" i="31"/>
  <c r="J54" i="31"/>
  <c r="K54" i="31"/>
  <c r="M4" i="31"/>
  <c r="I48" i="31" s="1"/>
  <c r="I55" i="31"/>
  <c r="M8" i="31"/>
  <c r="L52" i="31" s="1"/>
  <c r="M5" i="31"/>
  <c r="I49" i="31" s="1"/>
  <c r="I56" i="31"/>
  <c r="M9" i="31"/>
  <c r="I53" i="31" s="1"/>
  <c r="I57" i="31"/>
  <c r="K47" i="30"/>
  <c r="J47" i="30"/>
  <c r="I47" i="30"/>
  <c r="J55" i="30"/>
  <c r="L47" i="30"/>
  <c r="K55" i="30"/>
  <c r="L55" i="30"/>
  <c r="K48" i="30"/>
  <c r="J56" i="30"/>
  <c r="L48" i="30"/>
  <c r="K56" i="30"/>
  <c r="L56" i="30"/>
  <c r="J57" i="30"/>
  <c r="K57" i="30"/>
  <c r="I46" i="30"/>
  <c r="L46" i="30"/>
  <c r="K46" i="30"/>
  <c r="J46" i="30"/>
  <c r="L50" i="30"/>
  <c r="K50" i="30"/>
  <c r="I50" i="30"/>
  <c r="J50" i="30"/>
  <c r="L57" i="30"/>
  <c r="I54" i="30"/>
  <c r="M7" i="30"/>
  <c r="J54" i="30"/>
  <c r="M4" i="30"/>
  <c r="I48" i="30" s="1"/>
  <c r="K54" i="30"/>
  <c r="I55" i="30"/>
  <c r="M8" i="30"/>
  <c r="L52" i="30" s="1"/>
  <c r="M5" i="30"/>
  <c r="I49" i="30" s="1"/>
  <c r="I56" i="30"/>
  <c r="M9" i="30"/>
  <c r="I53" i="30" s="1"/>
  <c r="I57" i="30"/>
  <c r="K47" i="29"/>
  <c r="J47" i="29"/>
  <c r="I47" i="29"/>
  <c r="J55" i="29"/>
  <c r="L47" i="29"/>
  <c r="K55" i="29"/>
  <c r="L55" i="29"/>
  <c r="K52" i="29"/>
  <c r="J56" i="29"/>
  <c r="L48" i="29"/>
  <c r="K56" i="29"/>
  <c r="L56" i="29"/>
  <c r="J57" i="29"/>
  <c r="K57" i="29"/>
  <c r="K46" i="29"/>
  <c r="L46" i="29"/>
  <c r="J46" i="29"/>
  <c r="I46" i="29"/>
  <c r="K50" i="29"/>
  <c r="L50" i="29"/>
  <c r="J50" i="29"/>
  <c r="I50" i="29"/>
  <c r="L57" i="29"/>
  <c r="I54" i="29"/>
  <c r="M7" i="29"/>
  <c r="J54" i="29"/>
  <c r="K54" i="29"/>
  <c r="I55" i="29"/>
  <c r="M8" i="29"/>
  <c r="L52" i="29" s="1"/>
  <c r="M5" i="29"/>
  <c r="I49" i="29" s="1"/>
  <c r="M4" i="29"/>
  <c r="I48" i="29" s="1"/>
  <c r="I56" i="29"/>
  <c r="M9" i="29"/>
  <c r="I53" i="29" s="1"/>
  <c r="I57" i="29"/>
  <c r="J55" i="28"/>
  <c r="L47" i="28"/>
  <c r="K47" i="28"/>
  <c r="J47" i="28"/>
  <c r="I47" i="28"/>
  <c r="L55" i="28"/>
  <c r="J56" i="28"/>
  <c r="L52" i="28"/>
  <c r="K56" i="28"/>
  <c r="I49" i="28"/>
  <c r="L56" i="28"/>
  <c r="J57" i="28"/>
  <c r="K57" i="28"/>
  <c r="L46" i="28"/>
  <c r="I46" i="28"/>
  <c r="K46" i="28"/>
  <c r="J46" i="28"/>
  <c r="L50" i="28"/>
  <c r="K50" i="28"/>
  <c r="I50" i="28"/>
  <c r="J50" i="28"/>
  <c r="L57" i="28"/>
  <c r="I54" i="28"/>
  <c r="M7" i="28"/>
  <c r="J54" i="28"/>
  <c r="M4" i="28"/>
  <c r="I48" i="28" s="1"/>
  <c r="K54" i="28"/>
  <c r="I55" i="28"/>
  <c r="M8" i="28"/>
  <c r="I52" i="28" s="1"/>
  <c r="M5" i="28"/>
  <c r="J49" i="28" s="1"/>
  <c r="I56" i="28"/>
  <c r="M9" i="28"/>
  <c r="I53" i="28" s="1"/>
  <c r="I57" i="28"/>
  <c r="K47" i="27"/>
  <c r="J47" i="27"/>
  <c r="I47" i="27"/>
  <c r="J55" i="27"/>
  <c r="L47" i="27"/>
  <c r="K55" i="27"/>
  <c r="L55" i="27"/>
  <c r="J48" i="27"/>
  <c r="K48" i="27"/>
  <c r="J56" i="27"/>
  <c r="L48" i="27"/>
  <c r="K56" i="27"/>
  <c r="L56" i="27"/>
  <c r="J57" i="27"/>
  <c r="K57" i="27"/>
  <c r="I46" i="27"/>
  <c r="L46" i="27"/>
  <c r="K46" i="27"/>
  <c r="J46" i="27"/>
  <c r="L50" i="27"/>
  <c r="K50" i="27"/>
  <c r="I50" i="27"/>
  <c r="J50" i="27"/>
  <c r="L57" i="27"/>
  <c r="I54" i="27"/>
  <c r="M7" i="27"/>
  <c r="J54" i="27"/>
  <c r="M4" i="27"/>
  <c r="I48" i="27" s="1"/>
  <c r="K54" i="27"/>
  <c r="I55" i="27"/>
  <c r="M8" i="27"/>
  <c r="L52" i="27" s="1"/>
  <c r="M5" i="27"/>
  <c r="I49" i="27" s="1"/>
  <c r="I56" i="27"/>
  <c r="M9" i="27"/>
  <c r="I53" i="27" s="1"/>
  <c r="I57" i="27"/>
  <c r="J47" i="26"/>
  <c r="I47" i="26"/>
  <c r="K47" i="26"/>
  <c r="L47" i="26"/>
  <c r="K55" i="26"/>
  <c r="L55" i="26"/>
  <c r="J48" i="26"/>
  <c r="K48" i="26"/>
  <c r="K52" i="26"/>
  <c r="J56" i="26"/>
  <c r="L48" i="26"/>
  <c r="L52" i="26"/>
  <c r="K56" i="26"/>
  <c r="L56" i="26"/>
  <c r="J57" i="26"/>
  <c r="K57" i="26"/>
  <c r="I46" i="26"/>
  <c r="L46" i="26"/>
  <c r="K46" i="26"/>
  <c r="I50" i="26"/>
  <c r="J50" i="26"/>
  <c r="L50" i="26"/>
  <c r="K50" i="26"/>
  <c r="L57" i="26"/>
  <c r="I54" i="26"/>
  <c r="M7" i="26"/>
  <c r="J54" i="26"/>
  <c r="M4" i="26"/>
  <c r="I48" i="26" s="1"/>
  <c r="K54" i="26"/>
  <c r="I55" i="26"/>
  <c r="M8" i="26"/>
  <c r="I52" i="26" s="1"/>
  <c r="M5" i="26"/>
  <c r="I49" i="26" s="1"/>
  <c r="I56" i="26"/>
  <c r="M9" i="26"/>
  <c r="I53" i="26" s="1"/>
  <c r="I57" i="26"/>
  <c r="J47" i="25"/>
  <c r="K47" i="25"/>
  <c r="J55" i="25"/>
  <c r="L47" i="25"/>
  <c r="K55" i="25"/>
  <c r="L55" i="25"/>
  <c r="J48" i="25"/>
  <c r="K48" i="25"/>
  <c r="J56" i="25"/>
  <c r="K56" i="25"/>
  <c r="I49" i="25"/>
  <c r="I53" i="25"/>
  <c r="L56" i="25"/>
  <c r="J49" i="25"/>
  <c r="J53" i="25"/>
  <c r="K49" i="25"/>
  <c r="K53" i="25"/>
  <c r="J57" i="25"/>
  <c r="L49" i="25"/>
  <c r="L53" i="25"/>
  <c r="K57" i="25"/>
  <c r="L46" i="25"/>
  <c r="I46" i="25"/>
  <c r="K46" i="25"/>
  <c r="J46" i="25"/>
  <c r="L50" i="25"/>
  <c r="K50" i="25"/>
  <c r="I50" i="25"/>
  <c r="J50" i="25"/>
  <c r="L57" i="25"/>
  <c r="I54" i="25"/>
  <c r="M7" i="25"/>
  <c r="I51" i="25" s="1"/>
  <c r="J54" i="25"/>
  <c r="M4" i="25"/>
  <c r="L48" i="25" s="1"/>
  <c r="K54" i="25"/>
  <c r="I47" i="25"/>
  <c r="I55" i="25"/>
  <c r="M8" i="25"/>
  <c r="L52" i="25" s="1"/>
  <c r="M5" i="25"/>
  <c r="I56" i="25"/>
  <c r="M9" i="25"/>
  <c r="I57" i="25"/>
  <c r="L47" i="24"/>
  <c r="J47" i="24"/>
  <c r="I47" i="24"/>
  <c r="K47" i="24"/>
  <c r="J55" i="24"/>
  <c r="K55" i="24"/>
  <c r="L55" i="24"/>
  <c r="J48" i="24"/>
  <c r="K48" i="24"/>
  <c r="J56" i="24"/>
  <c r="L48" i="24"/>
  <c r="K56" i="24"/>
  <c r="J53" i="24"/>
  <c r="J57" i="24"/>
  <c r="K57" i="24"/>
  <c r="L46" i="24"/>
  <c r="I46" i="24"/>
  <c r="K46" i="24"/>
  <c r="J46" i="24"/>
  <c r="L50" i="24"/>
  <c r="K50" i="24"/>
  <c r="I50" i="24"/>
  <c r="J50" i="24"/>
  <c r="L57" i="24"/>
  <c r="I54" i="24"/>
  <c r="M7" i="24"/>
  <c r="J54" i="24"/>
  <c r="M4" i="24"/>
  <c r="I48" i="24" s="1"/>
  <c r="K54" i="24"/>
  <c r="I55" i="24"/>
  <c r="M8" i="24"/>
  <c r="I52" i="24" s="1"/>
  <c r="M5" i="24"/>
  <c r="I49" i="24" s="1"/>
  <c r="I56" i="24"/>
  <c r="M9" i="24"/>
  <c r="I53" i="24" s="1"/>
  <c r="I57" i="24"/>
  <c r="K47" i="23"/>
  <c r="J47" i="23"/>
  <c r="J55" i="23"/>
  <c r="L47" i="23"/>
  <c r="K55" i="23"/>
  <c r="L55" i="23"/>
  <c r="K48" i="23"/>
  <c r="K52" i="23"/>
  <c r="J56" i="23"/>
  <c r="L48" i="23"/>
  <c r="L52" i="23"/>
  <c r="K56" i="23"/>
  <c r="L56" i="23"/>
  <c r="J57" i="23"/>
  <c r="K57" i="23"/>
  <c r="I46" i="23"/>
  <c r="L46" i="23"/>
  <c r="J46" i="23"/>
  <c r="L50" i="23"/>
  <c r="K50" i="23"/>
  <c r="I50" i="23"/>
  <c r="J50" i="23"/>
  <c r="L57" i="23"/>
  <c r="I54" i="23"/>
  <c r="M7" i="23"/>
  <c r="J54" i="23"/>
  <c r="M4" i="23"/>
  <c r="I48" i="23" s="1"/>
  <c r="K54" i="23"/>
  <c r="I47" i="23"/>
  <c r="I55" i="23"/>
  <c r="M8" i="23"/>
  <c r="I52" i="23" s="1"/>
  <c r="M5" i="23"/>
  <c r="I49" i="23" s="1"/>
  <c r="I56" i="23"/>
  <c r="M9" i="23"/>
  <c r="I53" i="23" s="1"/>
  <c r="I57" i="23"/>
  <c r="J47" i="22"/>
  <c r="I47" i="22"/>
  <c r="J55" i="22"/>
  <c r="L51" i="22"/>
  <c r="K55" i="22"/>
  <c r="J48" i="22"/>
  <c r="L55" i="22"/>
  <c r="K48" i="22"/>
  <c r="J52" i="22"/>
  <c r="L48" i="22"/>
  <c r="K52" i="22"/>
  <c r="J56" i="22"/>
  <c r="I49" i="22"/>
  <c r="K56" i="22"/>
  <c r="L56" i="22"/>
  <c r="J57" i="22"/>
  <c r="L46" i="22"/>
  <c r="K46" i="22"/>
  <c r="I46" i="22"/>
  <c r="J46" i="22"/>
  <c r="L53" i="22"/>
  <c r="K57" i="22"/>
  <c r="L57" i="22"/>
  <c r="I54" i="22"/>
  <c r="M7" i="22"/>
  <c r="J54" i="22"/>
  <c r="M4" i="22"/>
  <c r="I48" i="22" s="1"/>
  <c r="K54" i="22"/>
  <c r="I55" i="22"/>
  <c r="M8" i="22"/>
  <c r="L52" i="22" s="1"/>
  <c r="M5" i="22"/>
  <c r="J49" i="22" s="1"/>
  <c r="L47" i="22"/>
  <c r="I56" i="22"/>
  <c r="M9" i="22"/>
  <c r="I53" i="22" s="1"/>
  <c r="I57" i="22"/>
  <c r="J55" i="21"/>
  <c r="K55" i="21"/>
  <c r="L55" i="21"/>
  <c r="K48" i="21"/>
  <c r="K52" i="21"/>
  <c r="J56" i="21"/>
  <c r="L48" i="21"/>
  <c r="L52" i="21"/>
  <c r="K56" i="21"/>
  <c r="L56" i="21"/>
  <c r="J57" i="21"/>
  <c r="L46" i="21"/>
  <c r="K46" i="21"/>
  <c r="I46" i="21"/>
  <c r="J46" i="21"/>
  <c r="L49" i="21"/>
  <c r="K57" i="21"/>
  <c r="L50" i="21"/>
  <c r="K50" i="21"/>
  <c r="I50" i="21"/>
  <c r="J50" i="21"/>
  <c r="L57" i="21"/>
  <c r="I54" i="21"/>
  <c r="M7" i="21"/>
  <c r="J51" i="21" s="1"/>
  <c r="J54" i="21"/>
  <c r="M4" i="21"/>
  <c r="I48" i="21" s="1"/>
  <c r="K54" i="21"/>
  <c r="I55" i="21"/>
  <c r="M8" i="21"/>
  <c r="I52" i="21" s="1"/>
  <c r="M5" i="21"/>
  <c r="I49" i="21" s="1"/>
  <c r="I56" i="21"/>
  <c r="M9" i="21"/>
  <c r="I53" i="21" s="1"/>
  <c r="I57" i="21"/>
  <c r="K47" i="20"/>
  <c r="J55" i="20"/>
  <c r="L47" i="20"/>
  <c r="K55" i="20"/>
  <c r="L55" i="20"/>
  <c r="K48" i="20"/>
  <c r="J56" i="20"/>
  <c r="L48" i="20"/>
  <c r="K56" i="20"/>
  <c r="I53" i="20"/>
  <c r="L56" i="20"/>
  <c r="J53" i="20"/>
  <c r="K53" i="20"/>
  <c r="J57" i="20"/>
  <c r="L53" i="20"/>
  <c r="K57" i="20"/>
  <c r="I46" i="20"/>
  <c r="L46" i="20"/>
  <c r="K46" i="20"/>
  <c r="J46" i="20"/>
  <c r="L50" i="20"/>
  <c r="K50" i="20"/>
  <c r="I50" i="20"/>
  <c r="J50" i="20"/>
  <c r="L57" i="20"/>
  <c r="I54" i="20"/>
  <c r="M7" i="20"/>
  <c r="I51" i="20" s="1"/>
  <c r="J54" i="20"/>
  <c r="M4" i="20"/>
  <c r="I48" i="20" s="1"/>
  <c r="K54" i="20"/>
  <c r="I55" i="20"/>
  <c r="J47" i="20"/>
  <c r="M8" i="20"/>
  <c r="L52" i="20" s="1"/>
  <c r="M5" i="20"/>
  <c r="I49" i="20" s="1"/>
  <c r="I56" i="20"/>
  <c r="M9" i="20"/>
  <c r="I57" i="20"/>
  <c r="J47" i="19"/>
  <c r="I47" i="19"/>
  <c r="K47" i="19"/>
  <c r="J55" i="19"/>
  <c r="L47" i="19"/>
  <c r="K55" i="19"/>
  <c r="L55" i="19"/>
  <c r="K48" i="19"/>
  <c r="K52" i="19"/>
  <c r="J56" i="19"/>
  <c r="L48" i="19"/>
  <c r="K56" i="19"/>
  <c r="L56" i="19"/>
  <c r="J57" i="19"/>
  <c r="K57" i="19"/>
  <c r="L46" i="19"/>
  <c r="K46" i="19"/>
  <c r="I46" i="19"/>
  <c r="J46" i="19"/>
  <c r="I50" i="19"/>
  <c r="L50" i="19"/>
  <c r="K50" i="19"/>
  <c r="J50" i="19"/>
  <c r="L57" i="19"/>
  <c r="I54" i="19"/>
  <c r="M7" i="19"/>
  <c r="J54" i="19"/>
  <c r="M4" i="19"/>
  <c r="I48" i="19" s="1"/>
  <c r="K54" i="19"/>
  <c r="I55" i="19"/>
  <c r="M8" i="19"/>
  <c r="L52" i="19" s="1"/>
  <c r="M5" i="19"/>
  <c r="I49" i="19" s="1"/>
  <c r="I56" i="19"/>
  <c r="M9" i="19"/>
  <c r="I53" i="19" s="1"/>
  <c r="I57" i="19"/>
  <c r="K47" i="18"/>
  <c r="J47" i="18"/>
  <c r="I47" i="18"/>
  <c r="J55" i="18"/>
  <c r="L47" i="18"/>
  <c r="K55" i="18"/>
  <c r="L55" i="18"/>
  <c r="K48" i="18"/>
  <c r="K52" i="18"/>
  <c r="L48" i="18"/>
  <c r="L52" i="18"/>
  <c r="K56" i="18"/>
  <c r="L56" i="18"/>
  <c r="J57" i="18"/>
  <c r="K57" i="18"/>
  <c r="L46" i="18"/>
  <c r="K46" i="18"/>
  <c r="I46" i="18"/>
  <c r="J46" i="18"/>
  <c r="I50" i="18"/>
  <c r="L50" i="18"/>
  <c r="K50" i="18"/>
  <c r="J50" i="18"/>
  <c r="L57" i="18"/>
  <c r="I54" i="18"/>
  <c r="M7" i="18"/>
  <c r="J54" i="18"/>
  <c r="M4" i="18"/>
  <c r="I48" i="18" s="1"/>
  <c r="K54" i="18"/>
  <c r="I55" i="18"/>
  <c r="M8" i="18"/>
  <c r="I52" i="18" s="1"/>
  <c r="M5" i="18"/>
  <c r="I49" i="18" s="1"/>
  <c r="I56" i="18"/>
  <c r="M9" i="18"/>
  <c r="I53" i="18" s="1"/>
  <c r="I57" i="18"/>
  <c r="J55" i="17"/>
  <c r="K55" i="17"/>
  <c r="L55" i="17"/>
  <c r="K48" i="17"/>
  <c r="J56" i="17"/>
  <c r="L48" i="17"/>
  <c r="K56" i="17"/>
  <c r="I49" i="17"/>
  <c r="I53" i="17"/>
  <c r="L56" i="17"/>
  <c r="J57" i="17"/>
  <c r="L46" i="17"/>
  <c r="I46" i="17"/>
  <c r="K46" i="17"/>
  <c r="J46" i="17"/>
  <c r="L49" i="17"/>
  <c r="K57" i="17"/>
  <c r="L50" i="17"/>
  <c r="K50" i="17"/>
  <c r="I50" i="17"/>
  <c r="J50" i="17"/>
  <c r="L57" i="17"/>
  <c r="I54" i="17"/>
  <c r="M7" i="17"/>
  <c r="J54" i="17"/>
  <c r="M4" i="17"/>
  <c r="I48" i="17" s="1"/>
  <c r="K54" i="17"/>
  <c r="I55" i="17"/>
  <c r="M8" i="17"/>
  <c r="I52" i="17" s="1"/>
  <c r="M5" i="17"/>
  <c r="J49" i="17" s="1"/>
  <c r="I56" i="17"/>
  <c r="M9" i="17"/>
  <c r="J53" i="17" s="1"/>
  <c r="I57" i="17"/>
  <c r="J47" i="16"/>
  <c r="K47" i="16"/>
  <c r="J55" i="16"/>
  <c r="L47" i="16"/>
  <c r="K55" i="16"/>
  <c r="L55" i="16"/>
  <c r="K48" i="16"/>
  <c r="K52" i="16"/>
  <c r="J56" i="16"/>
  <c r="L48" i="16"/>
  <c r="K56" i="16"/>
  <c r="L56" i="16"/>
  <c r="J57" i="16"/>
  <c r="K57" i="16"/>
  <c r="I46" i="16"/>
  <c r="L46" i="16"/>
  <c r="K46" i="16"/>
  <c r="J46" i="16"/>
  <c r="L50" i="16"/>
  <c r="K50" i="16"/>
  <c r="I50" i="16"/>
  <c r="J50" i="16"/>
  <c r="L57" i="16"/>
  <c r="I54" i="16"/>
  <c r="M7" i="16"/>
  <c r="J54" i="16"/>
  <c r="M4" i="16"/>
  <c r="I48" i="16" s="1"/>
  <c r="K54" i="16"/>
  <c r="I55" i="16"/>
  <c r="M8" i="16"/>
  <c r="L52" i="16" s="1"/>
  <c r="M5" i="16"/>
  <c r="I49" i="16" s="1"/>
  <c r="I56" i="16"/>
  <c r="M9" i="16"/>
  <c r="I53" i="16" s="1"/>
  <c r="I57" i="16"/>
  <c r="J47" i="15"/>
  <c r="K47" i="15"/>
  <c r="J55" i="15"/>
  <c r="L47" i="15"/>
  <c r="K55" i="15"/>
  <c r="L55" i="15"/>
  <c r="K48" i="15"/>
  <c r="J56" i="15"/>
  <c r="K56" i="15"/>
  <c r="I53" i="15"/>
  <c r="L56" i="15"/>
  <c r="J53" i="15"/>
  <c r="K53" i="15"/>
  <c r="J57" i="15"/>
  <c r="L53" i="15"/>
  <c r="K57" i="15"/>
  <c r="I46" i="15"/>
  <c r="L46" i="15"/>
  <c r="K46" i="15"/>
  <c r="J46" i="15"/>
  <c r="L50" i="15"/>
  <c r="K50" i="15"/>
  <c r="I50" i="15"/>
  <c r="J50" i="15"/>
  <c r="L57" i="15"/>
  <c r="I54" i="15"/>
  <c r="M7" i="15"/>
  <c r="I51" i="15" s="1"/>
  <c r="J54" i="15"/>
  <c r="M4" i="15"/>
  <c r="L48" i="15" s="1"/>
  <c r="K54" i="15"/>
  <c r="I55" i="15"/>
  <c r="M8" i="15"/>
  <c r="L52" i="15" s="1"/>
  <c r="M5" i="15"/>
  <c r="I49" i="15" s="1"/>
  <c r="I56" i="15"/>
  <c r="M9" i="15"/>
  <c r="I57" i="15"/>
  <c r="K47" i="14"/>
  <c r="J55" i="14"/>
  <c r="L47" i="14"/>
  <c r="K55" i="14"/>
  <c r="L55" i="14"/>
  <c r="J48" i="14"/>
  <c r="K48" i="14"/>
  <c r="J56" i="14"/>
  <c r="L48" i="14"/>
  <c r="L52" i="14"/>
  <c r="K56" i="14"/>
  <c r="L56" i="14"/>
  <c r="J57" i="14"/>
  <c r="K57" i="14"/>
  <c r="I46" i="14"/>
  <c r="K46" i="14"/>
  <c r="J46" i="14"/>
  <c r="L50" i="14"/>
  <c r="K50" i="14"/>
  <c r="I50" i="14"/>
  <c r="J50" i="14"/>
  <c r="L57" i="14"/>
  <c r="I54" i="14"/>
  <c r="M7" i="14"/>
  <c r="J54" i="14"/>
  <c r="M4" i="14"/>
  <c r="I48" i="14" s="1"/>
  <c r="K54" i="14"/>
  <c r="I55" i="14"/>
  <c r="J47" i="14"/>
  <c r="M8" i="14"/>
  <c r="I52" i="14" s="1"/>
  <c r="M5" i="14"/>
  <c r="I49" i="14" s="1"/>
  <c r="I56" i="14"/>
  <c r="M9" i="14"/>
  <c r="I53" i="14" s="1"/>
  <c r="I57" i="14"/>
  <c r="J47" i="13"/>
  <c r="I47" i="13"/>
  <c r="K47" i="13"/>
  <c r="J55" i="13"/>
  <c r="L47" i="13"/>
  <c r="K55" i="13"/>
  <c r="L55" i="13"/>
  <c r="K48" i="13"/>
  <c r="K52" i="13"/>
  <c r="J56" i="13"/>
  <c r="L48" i="13"/>
  <c r="K56" i="13"/>
  <c r="L56" i="13"/>
  <c r="J57" i="13"/>
  <c r="K57" i="13"/>
  <c r="L46" i="13"/>
  <c r="I46" i="13"/>
  <c r="K46" i="13"/>
  <c r="J46" i="13"/>
  <c r="L50" i="13"/>
  <c r="K50" i="13"/>
  <c r="I50" i="13"/>
  <c r="J50" i="13"/>
  <c r="L57" i="13"/>
  <c r="I54" i="13"/>
  <c r="M7" i="13"/>
  <c r="J54" i="13"/>
  <c r="M4" i="13"/>
  <c r="I48" i="13" s="1"/>
  <c r="K54" i="13"/>
  <c r="I55" i="13"/>
  <c r="M8" i="13"/>
  <c r="L52" i="13" s="1"/>
  <c r="M5" i="13"/>
  <c r="I49" i="13" s="1"/>
  <c r="I56" i="13"/>
  <c r="M9" i="13"/>
  <c r="I53" i="13" s="1"/>
  <c r="I57" i="13"/>
  <c r="J47" i="12"/>
  <c r="L47" i="12"/>
  <c r="K55" i="12"/>
  <c r="L55" i="12"/>
  <c r="K48" i="12"/>
  <c r="K52" i="12"/>
  <c r="L48" i="12"/>
  <c r="L52" i="12"/>
  <c r="K56" i="12"/>
  <c r="L56" i="12"/>
  <c r="K57" i="12"/>
  <c r="L46" i="12"/>
  <c r="I46" i="12"/>
  <c r="K46" i="12"/>
  <c r="J46" i="12"/>
  <c r="L50" i="12"/>
  <c r="K50" i="12"/>
  <c r="J50" i="12"/>
  <c r="I50" i="12"/>
  <c r="L57" i="12"/>
  <c r="M7" i="12"/>
  <c r="I51" i="12" s="1"/>
  <c r="J54" i="12"/>
  <c r="I54" i="12"/>
  <c r="M4" i="12"/>
  <c r="I48" i="12" s="1"/>
  <c r="K54" i="12"/>
  <c r="I47" i="12"/>
  <c r="I55" i="12"/>
  <c r="M8" i="12"/>
  <c r="I52" i="12" s="1"/>
  <c r="M5" i="12"/>
  <c r="I49" i="12" s="1"/>
  <c r="I56" i="12"/>
  <c r="M9" i="12"/>
  <c r="I53" i="12" s="1"/>
  <c r="I57" i="12"/>
  <c r="J47" i="11"/>
  <c r="I47" i="11"/>
  <c r="K47" i="11"/>
  <c r="J55" i="11"/>
  <c r="L47" i="11"/>
  <c r="K55" i="11"/>
  <c r="L55" i="11"/>
  <c r="K48" i="11"/>
  <c r="J56" i="11"/>
  <c r="K56" i="11"/>
  <c r="I53" i="11"/>
  <c r="L56" i="11"/>
  <c r="J53" i="11"/>
  <c r="K53" i="11"/>
  <c r="J57" i="11"/>
  <c r="L53" i="11"/>
  <c r="K57" i="11"/>
  <c r="I46" i="11"/>
  <c r="L46" i="11"/>
  <c r="K46" i="11"/>
  <c r="J46" i="11"/>
  <c r="L50" i="11"/>
  <c r="K50" i="11"/>
  <c r="I50" i="11"/>
  <c r="J50" i="11"/>
  <c r="L57" i="11"/>
  <c r="I54" i="11"/>
  <c r="M7" i="11"/>
  <c r="J54" i="11"/>
  <c r="M4" i="11"/>
  <c r="L48" i="11" s="1"/>
  <c r="K54" i="11"/>
  <c r="I55" i="11"/>
  <c r="M8" i="11"/>
  <c r="L52" i="11" s="1"/>
  <c r="M5" i="11"/>
  <c r="I49" i="11" s="1"/>
  <c r="I56" i="11"/>
  <c r="M9" i="11"/>
  <c r="I57" i="11"/>
  <c r="J51" i="10"/>
  <c r="K51" i="10"/>
  <c r="J55" i="10"/>
  <c r="L55" i="10"/>
  <c r="K52" i="10"/>
  <c r="J56" i="10"/>
  <c r="L52" i="10"/>
  <c r="K56" i="10"/>
  <c r="I49" i="10"/>
  <c r="I53" i="10"/>
  <c r="L56" i="10"/>
  <c r="J57" i="10"/>
  <c r="J46" i="10"/>
  <c r="I46" i="10"/>
  <c r="K46" i="10"/>
  <c r="L46" i="10"/>
  <c r="L49" i="10"/>
  <c r="K57" i="10"/>
  <c r="K50" i="10"/>
  <c r="J50" i="10"/>
  <c r="I50" i="10"/>
  <c r="L50" i="10"/>
  <c r="L57" i="10"/>
  <c r="K54" i="10"/>
  <c r="L54" i="10"/>
  <c r="I55" i="10"/>
  <c r="M8" i="10"/>
  <c r="I52" i="10" s="1"/>
  <c r="J54" i="10"/>
  <c r="M5" i="10"/>
  <c r="J49" i="10" s="1"/>
  <c r="L51" i="10"/>
  <c r="I56" i="10"/>
  <c r="M4" i="10"/>
  <c r="I48" i="10" s="1"/>
  <c r="M9" i="10"/>
  <c r="J53" i="10" s="1"/>
  <c r="I57" i="10"/>
  <c r="I50" i="9"/>
  <c r="L50" i="9"/>
  <c r="J50" i="9"/>
  <c r="K50" i="9"/>
  <c r="J47" i="9"/>
  <c r="K47" i="9"/>
  <c r="J55" i="9"/>
  <c r="L47" i="9"/>
  <c r="K55" i="9"/>
  <c r="I48" i="9"/>
  <c r="L55" i="9"/>
  <c r="J56" i="9"/>
  <c r="K56" i="9"/>
  <c r="I49" i="9"/>
  <c r="I53" i="9"/>
  <c r="L56" i="9"/>
  <c r="J49" i="9"/>
  <c r="J53" i="9"/>
  <c r="K49" i="9"/>
  <c r="K53" i="9"/>
  <c r="J57" i="9"/>
  <c r="K57" i="9"/>
  <c r="I46" i="9"/>
  <c r="J46" i="9"/>
  <c r="L46" i="9"/>
  <c r="K46" i="9"/>
  <c r="L57" i="9"/>
  <c r="J54" i="9"/>
  <c r="M4" i="9"/>
  <c r="J48" i="9" s="1"/>
  <c r="K54" i="9"/>
  <c r="L54" i="9"/>
  <c r="I47" i="9"/>
  <c r="I55" i="9"/>
  <c r="M8" i="9"/>
  <c r="J52" i="9" s="1"/>
  <c r="M7" i="9"/>
  <c r="I51" i="9" s="1"/>
  <c r="M5" i="9"/>
  <c r="L49" i="9" s="1"/>
  <c r="I56" i="9"/>
  <c r="M9" i="9"/>
  <c r="L53" i="9" s="1"/>
  <c r="I57" i="9"/>
  <c r="J55" i="8"/>
  <c r="K55" i="8"/>
  <c r="L55" i="8"/>
  <c r="K48" i="8"/>
  <c r="J56" i="8"/>
  <c r="L48" i="8"/>
  <c r="L52" i="8"/>
  <c r="K56" i="8"/>
  <c r="I49" i="8"/>
  <c r="L56" i="8"/>
  <c r="J57" i="8"/>
  <c r="I46" i="8"/>
  <c r="K46" i="8"/>
  <c r="J46" i="8"/>
  <c r="K57" i="8"/>
  <c r="I50" i="8"/>
  <c r="L50" i="8"/>
  <c r="K50" i="8"/>
  <c r="J50" i="8"/>
  <c r="L57" i="8"/>
  <c r="L46" i="8"/>
  <c r="M7" i="8"/>
  <c r="J54" i="8"/>
  <c r="I54" i="8"/>
  <c r="M4" i="8"/>
  <c r="I48" i="8" s="1"/>
  <c r="K54" i="8"/>
  <c r="I55" i="8"/>
  <c r="M8" i="8"/>
  <c r="I52" i="8" s="1"/>
  <c r="M5" i="8"/>
  <c r="J49" i="8" s="1"/>
  <c r="I56" i="8"/>
  <c r="M9" i="8"/>
  <c r="I53" i="8" s="1"/>
  <c r="I57" i="8"/>
  <c r="J55" i="7"/>
  <c r="L51" i="7"/>
  <c r="K55" i="7"/>
  <c r="I48" i="7"/>
  <c r="L55" i="7"/>
  <c r="J48" i="7"/>
  <c r="K48" i="7"/>
  <c r="K52" i="7"/>
  <c r="J56" i="7"/>
  <c r="L48" i="7"/>
  <c r="L52" i="7"/>
  <c r="K56" i="7"/>
  <c r="L56" i="7"/>
  <c r="J57" i="7"/>
  <c r="K57" i="7"/>
  <c r="L50" i="7"/>
  <c r="K50" i="7"/>
  <c r="I50" i="7"/>
  <c r="J50" i="7"/>
  <c r="L57" i="7"/>
  <c r="I54" i="7"/>
  <c r="M7" i="7"/>
  <c r="I51" i="7" s="1"/>
  <c r="J54" i="7"/>
  <c r="M4" i="7"/>
  <c r="K54" i="7"/>
  <c r="I47" i="7"/>
  <c r="I55" i="7"/>
  <c r="M8" i="7"/>
  <c r="I52" i="7" s="1"/>
  <c r="M5" i="7"/>
  <c r="I49" i="7" s="1"/>
  <c r="I56" i="7"/>
  <c r="M9" i="7"/>
  <c r="I53" i="7" s="1"/>
  <c r="I57" i="7"/>
  <c r="J47" i="6"/>
  <c r="I47" i="6"/>
  <c r="K47" i="6"/>
  <c r="J55" i="6"/>
  <c r="L47" i="6"/>
  <c r="K55" i="6"/>
  <c r="L55" i="6"/>
  <c r="K48" i="6"/>
  <c r="J56" i="6"/>
  <c r="K56" i="6"/>
  <c r="I53" i="6"/>
  <c r="L56" i="6"/>
  <c r="J53" i="6"/>
  <c r="K53" i="6"/>
  <c r="J57" i="6"/>
  <c r="L53" i="6"/>
  <c r="K57" i="6"/>
  <c r="I46" i="6"/>
  <c r="L46" i="6"/>
  <c r="K46" i="6"/>
  <c r="J46" i="6"/>
  <c r="L50" i="6"/>
  <c r="K50" i="6"/>
  <c r="I50" i="6"/>
  <c r="J50" i="6"/>
  <c r="L57" i="6"/>
  <c r="I54" i="6"/>
  <c r="M7" i="6"/>
  <c r="J54" i="6"/>
  <c r="M4" i="6"/>
  <c r="L48" i="6" s="1"/>
  <c r="K54" i="6"/>
  <c r="I55" i="6"/>
  <c r="M8" i="6"/>
  <c r="L52" i="6" s="1"/>
  <c r="M5" i="6"/>
  <c r="I49" i="6" s="1"/>
  <c r="I56" i="6"/>
  <c r="M9" i="6"/>
  <c r="I57" i="6"/>
  <c r="K47" i="5"/>
  <c r="J47" i="5"/>
  <c r="I47" i="5"/>
  <c r="J55" i="5"/>
  <c r="L47" i="5"/>
  <c r="K55" i="5"/>
  <c r="L55" i="5"/>
  <c r="J48" i="5"/>
  <c r="K48" i="5"/>
  <c r="J56" i="5"/>
  <c r="L48" i="5"/>
  <c r="K56" i="5"/>
  <c r="L56" i="5"/>
  <c r="J57" i="5"/>
  <c r="K57" i="5"/>
  <c r="I46" i="5"/>
  <c r="J46" i="5"/>
  <c r="L46" i="5"/>
  <c r="K46" i="5"/>
  <c r="I50" i="5"/>
  <c r="J50" i="5"/>
  <c r="L50" i="5"/>
  <c r="K50" i="5"/>
  <c r="L57" i="5"/>
  <c r="J54" i="5"/>
  <c r="M4" i="5"/>
  <c r="I48" i="5" s="1"/>
  <c r="K54" i="5"/>
  <c r="M7" i="5"/>
  <c r="L54" i="5"/>
  <c r="I55" i="5"/>
  <c r="M8" i="5"/>
  <c r="L52" i="5" s="1"/>
  <c r="M5" i="5"/>
  <c r="I49" i="5" s="1"/>
  <c r="I56" i="5"/>
  <c r="M9" i="5"/>
  <c r="I53" i="5" s="1"/>
  <c r="I57" i="5"/>
  <c r="J47" i="4"/>
  <c r="I47" i="4"/>
  <c r="L47" i="4"/>
  <c r="K55" i="4"/>
  <c r="L55" i="4"/>
  <c r="K48" i="4"/>
  <c r="J56" i="4"/>
  <c r="L48" i="4"/>
  <c r="L52" i="4"/>
  <c r="K56" i="4"/>
  <c r="L56" i="4"/>
  <c r="J57" i="4"/>
  <c r="K57" i="4"/>
  <c r="I46" i="4"/>
  <c r="L46" i="4"/>
  <c r="K46" i="4"/>
  <c r="J46" i="4"/>
  <c r="L50" i="4"/>
  <c r="K50" i="4"/>
  <c r="I50" i="4"/>
  <c r="J50" i="4"/>
  <c r="L57" i="4"/>
  <c r="I54" i="4"/>
  <c r="M7" i="4"/>
  <c r="J54" i="4"/>
  <c r="M4" i="4"/>
  <c r="I48" i="4" s="1"/>
  <c r="K54" i="4"/>
  <c r="I55" i="4"/>
  <c r="M8" i="4"/>
  <c r="I52" i="4" s="1"/>
  <c r="M5" i="4"/>
  <c r="I49" i="4" s="1"/>
  <c r="I56" i="4"/>
  <c r="M9" i="4"/>
  <c r="I53" i="4" s="1"/>
  <c r="I57" i="4"/>
  <c r="L47" i="3"/>
  <c r="K47" i="3"/>
  <c r="J47" i="3"/>
  <c r="I47" i="3"/>
  <c r="J55" i="3"/>
  <c r="K51" i="3"/>
  <c r="J51" i="3"/>
  <c r="I51" i="3"/>
  <c r="K55" i="3"/>
  <c r="L55" i="3"/>
  <c r="J52" i="3"/>
  <c r="K52" i="3"/>
  <c r="J56" i="3"/>
  <c r="K56" i="3"/>
  <c r="I53" i="3"/>
  <c r="L56" i="3"/>
  <c r="J53" i="3"/>
  <c r="K53" i="3"/>
  <c r="J57" i="3"/>
  <c r="L53" i="3"/>
  <c r="K57" i="3"/>
  <c r="K46" i="3"/>
  <c r="J46" i="3"/>
  <c r="I46" i="3"/>
  <c r="L46" i="3"/>
  <c r="L50" i="3"/>
  <c r="J50" i="3"/>
  <c r="I50" i="3"/>
  <c r="K50" i="3"/>
  <c r="L57" i="3"/>
  <c r="K54" i="3"/>
  <c r="L54" i="3"/>
  <c r="I55" i="3"/>
  <c r="M8" i="3"/>
  <c r="L52" i="3" s="1"/>
  <c r="I54" i="3"/>
  <c r="M5" i="3"/>
  <c r="I49" i="3" s="1"/>
  <c r="L51" i="3"/>
  <c r="M4" i="3"/>
  <c r="L48" i="3" s="1"/>
  <c r="I56" i="3"/>
  <c r="M9" i="3"/>
  <c r="I57" i="3"/>
  <c r="J47" i="1"/>
  <c r="K47" i="1"/>
  <c r="J55" i="1"/>
  <c r="L47" i="1"/>
  <c r="K55" i="1"/>
  <c r="L55" i="1"/>
  <c r="J48" i="1"/>
  <c r="K48" i="1"/>
  <c r="K52" i="1"/>
  <c r="J56" i="1"/>
  <c r="L48" i="1"/>
  <c r="K56" i="1"/>
  <c r="L56" i="1"/>
  <c r="J57" i="1"/>
  <c r="K57" i="1"/>
  <c r="L46" i="1"/>
  <c r="K46" i="1"/>
  <c r="I46" i="1"/>
  <c r="J46" i="1"/>
  <c r="L50" i="1"/>
  <c r="I50" i="1"/>
  <c r="K50" i="1"/>
  <c r="J50" i="1"/>
  <c r="L57" i="1"/>
  <c r="M7" i="1"/>
  <c r="J54" i="1"/>
  <c r="M4" i="1"/>
  <c r="I48" i="1" s="1"/>
  <c r="K54" i="1"/>
  <c r="I55" i="1"/>
  <c r="M8" i="1"/>
  <c r="L52" i="1" s="1"/>
  <c r="M5" i="1"/>
  <c r="I49" i="1" s="1"/>
  <c r="I56" i="1"/>
  <c r="M9" i="1"/>
  <c r="I53" i="1" s="1"/>
  <c r="I57" i="1"/>
  <c r="L48" i="43" l="1"/>
  <c r="K48" i="43"/>
  <c r="K56" i="43"/>
  <c r="L53" i="43"/>
  <c r="K53" i="43"/>
  <c r="J53" i="43"/>
  <c r="L49" i="43"/>
  <c r="K52" i="43"/>
  <c r="J52" i="43"/>
  <c r="K49" i="43"/>
  <c r="J48" i="43"/>
  <c r="J49" i="43"/>
  <c r="L49" i="41"/>
  <c r="K49" i="41"/>
  <c r="J49" i="41"/>
  <c r="K51" i="41"/>
  <c r="J51" i="41"/>
  <c r="I51" i="41"/>
  <c r="K52" i="40"/>
  <c r="L53" i="40"/>
  <c r="J52" i="40"/>
  <c r="L49" i="40"/>
  <c r="K53" i="40"/>
  <c r="K51" i="40"/>
  <c r="J51" i="40"/>
  <c r="I51" i="40"/>
  <c r="K49" i="40"/>
  <c r="J53" i="40"/>
  <c r="J49" i="40"/>
  <c r="L51" i="40"/>
  <c r="K52" i="39"/>
  <c r="J52" i="39"/>
  <c r="L53" i="39"/>
  <c r="J48" i="39"/>
  <c r="L49" i="39"/>
  <c r="I52" i="39"/>
  <c r="K53" i="39"/>
  <c r="K49" i="39"/>
  <c r="J53" i="39"/>
  <c r="L51" i="39"/>
  <c r="J49" i="39"/>
  <c r="K51" i="39"/>
  <c r="J51" i="39"/>
  <c r="K52" i="38"/>
  <c r="L53" i="38"/>
  <c r="J52" i="38"/>
  <c r="L49" i="38"/>
  <c r="J48" i="38"/>
  <c r="K53" i="38"/>
  <c r="J51" i="38"/>
  <c r="I51" i="38"/>
  <c r="K49" i="38"/>
  <c r="J53" i="38"/>
  <c r="J49" i="38"/>
  <c r="L51" i="38"/>
  <c r="K51" i="38"/>
  <c r="J52" i="37"/>
  <c r="K51" i="37"/>
  <c r="J51" i="37"/>
  <c r="I51" i="37"/>
  <c r="L49" i="37"/>
  <c r="K49" i="37"/>
  <c r="L51" i="37"/>
  <c r="J49" i="37"/>
  <c r="L53" i="36"/>
  <c r="J52" i="36"/>
  <c r="L49" i="36"/>
  <c r="J48" i="36"/>
  <c r="K53" i="36"/>
  <c r="I52" i="36"/>
  <c r="K51" i="36"/>
  <c r="J51" i="36"/>
  <c r="I51" i="36"/>
  <c r="K49" i="36"/>
  <c r="J53" i="36"/>
  <c r="J49" i="36"/>
  <c r="L51" i="36"/>
  <c r="L53" i="35"/>
  <c r="L51" i="35"/>
  <c r="K53" i="35"/>
  <c r="K49" i="35"/>
  <c r="K51" i="35"/>
  <c r="J53" i="35"/>
  <c r="J49" i="35"/>
  <c r="J51" i="35"/>
  <c r="K52" i="34"/>
  <c r="L53" i="34"/>
  <c r="J52" i="34"/>
  <c r="L49" i="34"/>
  <c r="J48" i="34"/>
  <c r="K53" i="34"/>
  <c r="I52" i="34"/>
  <c r="K51" i="34"/>
  <c r="J51" i="34"/>
  <c r="I51" i="34"/>
  <c r="K49" i="34"/>
  <c r="J53" i="34"/>
  <c r="J49" i="34"/>
  <c r="L51" i="34"/>
  <c r="L53" i="33"/>
  <c r="K52" i="33"/>
  <c r="J52" i="33"/>
  <c r="K53" i="33"/>
  <c r="L49" i="33"/>
  <c r="J53" i="33"/>
  <c r="J48" i="33"/>
  <c r="K49" i="33"/>
  <c r="L51" i="33"/>
  <c r="I51" i="33"/>
  <c r="J51" i="33"/>
  <c r="J52" i="32"/>
  <c r="L49" i="32"/>
  <c r="K49" i="32"/>
  <c r="J49" i="32"/>
  <c r="J51" i="32"/>
  <c r="I51" i="32"/>
  <c r="K51" i="32"/>
  <c r="L53" i="31"/>
  <c r="J52" i="31"/>
  <c r="L49" i="31"/>
  <c r="J48" i="31"/>
  <c r="K53" i="31"/>
  <c r="I52" i="31"/>
  <c r="K51" i="31"/>
  <c r="I51" i="31"/>
  <c r="K49" i="31"/>
  <c r="J53" i="31"/>
  <c r="J49" i="31"/>
  <c r="L51" i="31"/>
  <c r="J51" i="31"/>
  <c r="K52" i="30"/>
  <c r="L53" i="30"/>
  <c r="J52" i="30"/>
  <c r="L49" i="30"/>
  <c r="J48" i="30"/>
  <c r="K53" i="30"/>
  <c r="I52" i="30"/>
  <c r="K51" i="30"/>
  <c r="J51" i="30"/>
  <c r="I51" i="30"/>
  <c r="K49" i="30"/>
  <c r="J53" i="30"/>
  <c r="J49" i="30"/>
  <c r="L51" i="30"/>
  <c r="K48" i="29"/>
  <c r="L53" i="29"/>
  <c r="J52" i="29"/>
  <c r="L49" i="29"/>
  <c r="J48" i="29"/>
  <c r="K53" i="29"/>
  <c r="I52" i="29"/>
  <c r="K51" i="29"/>
  <c r="J51" i="29"/>
  <c r="I51" i="29"/>
  <c r="K49" i="29"/>
  <c r="J53" i="29"/>
  <c r="J49" i="29"/>
  <c r="L51" i="29"/>
  <c r="L48" i="28"/>
  <c r="K52" i="28"/>
  <c r="L53" i="28"/>
  <c r="K48" i="28"/>
  <c r="L49" i="28"/>
  <c r="J52" i="28"/>
  <c r="J48" i="28"/>
  <c r="K53" i="28"/>
  <c r="K51" i="28"/>
  <c r="J51" i="28"/>
  <c r="I51" i="28"/>
  <c r="K49" i="28"/>
  <c r="L51" i="28"/>
  <c r="J53" i="28"/>
  <c r="K52" i="27"/>
  <c r="L53" i="27"/>
  <c r="J52" i="27"/>
  <c r="L49" i="27"/>
  <c r="K53" i="27"/>
  <c r="I52" i="27"/>
  <c r="K51" i="27"/>
  <c r="J51" i="27"/>
  <c r="I51" i="27"/>
  <c r="K49" i="27"/>
  <c r="J53" i="27"/>
  <c r="J49" i="27"/>
  <c r="L51" i="27"/>
  <c r="L53" i="26"/>
  <c r="J52" i="26"/>
  <c r="L49" i="26"/>
  <c r="K53" i="26"/>
  <c r="K49" i="26"/>
  <c r="J51" i="26"/>
  <c r="K51" i="26"/>
  <c r="I51" i="26"/>
  <c r="J53" i="26"/>
  <c r="J49" i="26"/>
  <c r="L51" i="26"/>
  <c r="K52" i="25"/>
  <c r="J52" i="25"/>
  <c r="I52" i="25"/>
  <c r="I48" i="25"/>
  <c r="L51" i="25"/>
  <c r="K51" i="25"/>
  <c r="J51" i="25"/>
  <c r="L52" i="24"/>
  <c r="K52" i="24"/>
  <c r="J52" i="24"/>
  <c r="L53" i="24"/>
  <c r="L49" i="24"/>
  <c r="K53" i="24"/>
  <c r="K51" i="24"/>
  <c r="J51" i="24"/>
  <c r="I51" i="24"/>
  <c r="K49" i="24"/>
  <c r="L51" i="24"/>
  <c r="J49" i="24"/>
  <c r="L53" i="23"/>
  <c r="J52" i="23"/>
  <c r="L49" i="23"/>
  <c r="J48" i="23"/>
  <c r="K53" i="23"/>
  <c r="K49" i="23"/>
  <c r="K51" i="23"/>
  <c r="J51" i="23"/>
  <c r="I51" i="23"/>
  <c r="J53" i="23"/>
  <c r="J49" i="23"/>
  <c r="L51" i="23"/>
  <c r="K53" i="22"/>
  <c r="I52" i="22"/>
  <c r="L49" i="22"/>
  <c r="J53" i="22"/>
  <c r="K49" i="22"/>
  <c r="J51" i="22"/>
  <c r="I51" i="22"/>
  <c r="K51" i="22"/>
  <c r="L53" i="21"/>
  <c r="J52" i="21"/>
  <c r="J48" i="21"/>
  <c r="K53" i="21"/>
  <c r="K49" i="21"/>
  <c r="J53" i="21"/>
  <c r="J49" i="21"/>
  <c r="L51" i="21"/>
  <c r="K51" i="21"/>
  <c r="I51" i="21"/>
  <c r="K52" i="20"/>
  <c r="J52" i="20"/>
  <c r="L49" i="20"/>
  <c r="J48" i="20"/>
  <c r="I52" i="20"/>
  <c r="K49" i="20"/>
  <c r="J49" i="20"/>
  <c r="L51" i="20"/>
  <c r="K51" i="20"/>
  <c r="J51" i="20"/>
  <c r="L53" i="19"/>
  <c r="J52" i="19"/>
  <c r="L49" i="19"/>
  <c r="J48" i="19"/>
  <c r="K53" i="19"/>
  <c r="I52" i="19"/>
  <c r="K51" i="19"/>
  <c r="J51" i="19"/>
  <c r="I51" i="19"/>
  <c r="K49" i="19"/>
  <c r="J53" i="19"/>
  <c r="J49" i="19"/>
  <c r="L51" i="19"/>
  <c r="J52" i="18"/>
  <c r="L53" i="18"/>
  <c r="J48" i="18"/>
  <c r="L49" i="18"/>
  <c r="K53" i="18"/>
  <c r="K51" i="18"/>
  <c r="J51" i="18"/>
  <c r="I51" i="18"/>
  <c r="K49" i="18"/>
  <c r="J53" i="18"/>
  <c r="L51" i="18"/>
  <c r="J49" i="18"/>
  <c r="L52" i="17"/>
  <c r="L53" i="17"/>
  <c r="K52" i="17"/>
  <c r="J52" i="17"/>
  <c r="J48" i="17"/>
  <c r="K53" i="17"/>
  <c r="K51" i="17"/>
  <c r="J51" i="17"/>
  <c r="I51" i="17"/>
  <c r="K49" i="17"/>
  <c r="L51" i="17"/>
  <c r="L53" i="16"/>
  <c r="J52" i="16"/>
  <c r="L49" i="16"/>
  <c r="J48" i="16"/>
  <c r="K53" i="16"/>
  <c r="I52" i="16"/>
  <c r="J51" i="16"/>
  <c r="I51" i="16"/>
  <c r="K49" i="16"/>
  <c r="J53" i="16"/>
  <c r="J49" i="16"/>
  <c r="L51" i="16"/>
  <c r="K51" i="16"/>
  <c r="K52" i="15"/>
  <c r="J52" i="15"/>
  <c r="L49" i="15"/>
  <c r="J48" i="15"/>
  <c r="I52" i="15"/>
  <c r="K49" i="15"/>
  <c r="I48" i="15"/>
  <c r="J49" i="15"/>
  <c r="L51" i="15"/>
  <c r="K51" i="15"/>
  <c r="J51" i="15"/>
  <c r="K52" i="14"/>
  <c r="L53" i="14"/>
  <c r="J52" i="14"/>
  <c r="L49" i="14"/>
  <c r="K53" i="14"/>
  <c r="K49" i="14"/>
  <c r="J51" i="14"/>
  <c r="I51" i="14"/>
  <c r="J53" i="14"/>
  <c r="J49" i="14"/>
  <c r="L51" i="14"/>
  <c r="K51" i="14"/>
  <c r="L53" i="13"/>
  <c r="J52" i="13"/>
  <c r="L49" i="13"/>
  <c r="J48" i="13"/>
  <c r="K53" i="13"/>
  <c r="I52" i="13"/>
  <c r="K51" i="13"/>
  <c r="J51" i="13"/>
  <c r="I51" i="13"/>
  <c r="K49" i="13"/>
  <c r="J53" i="13"/>
  <c r="J49" i="13"/>
  <c r="L51" i="13"/>
  <c r="J52" i="12"/>
  <c r="J48" i="12"/>
  <c r="L53" i="12"/>
  <c r="L49" i="12"/>
  <c r="K53" i="12"/>
  <c r="K49" i="12"/>
  <c r="J53" i="12"/>
  <c r="L51" i="12"/>
  <c r="J49" i="12"/>
  <c r="K51" i="12"/>
  <c r="J51" i="12"/>
  <c r="K52" i="11"/>
  <c r="J52" i="11"/>
  <c r="L49" i="11"/>
  <c r="J48" i="11"/>
  <c r="I52" i="11"/>
  <c r="J51" i="11"/>
  <c r="I51" i="11"/>
  <c r="K49" i="11"/>
  <c r="I48" i="11"/>
  <c r="J49" i="11"/>
  <c r="L51" i="11"/>
  <c r="K51" i="11"/>
  <c r="L53" i="10"/>
  <c r="L48" i="10"/>
  <c r="K48" i="10"/>
  <c r="J52" i="10"/>
  <c r="J48" i="10"/>
  <c r="K53" i="10"/>
  <c r="K49" i="10"/>
  <c r="I52" i="9"/>
  <c r="L51" i="9"/>
  <c r="K51" i="9"/>
  <c r="L52" i="9"/>
  <c r="J51" i="9"/>
  <c r="L48" i="9"/>
  <c r="K52" i="9"/>
  <c r="K48" i="9"/>
  <c r="L53" i="8"/>
  <c r="L49" i="8"/>
  <c r="K52" i="8"/>
  <c r="J52" i="8"/>
  <c r="J48" i="8"/>
  <c r="K53" i="8"/>
  <c r="K49" i="8"/>
  <c r="J51" i="8"/>
  <c r="I51" i="8"/>
  <c r="J53" i="8"/>
  <c r="L51" i="8"/>
  <c r="K51" i="8"/>
  <c r="L53" i="7"/>
  <c r="J52" i="7"/>
  <c r="L49" i="7"/>
  <c r="K53" i="7"/>
  <c r="K49" i="7"/>
  <c r="J53" i="7"/>
  <c r="J49" i="7"/>
  <c r="K51" i="7"/>
  <c r="J51" i="7"/>
  <c r="K52" i="6"/>
  <c r="J52" i="6"/>
  <c r="L49" i="6"/>
  <c r="J48" i="6"/>
  <c r="I52" i="6"/>
  <c r="J51" i="6"/>
  <c r="I51" i="6"/>
  <c r="K49" i="6"/>
  <c r="I48" i="6"/>
  <c r="J49" i="6"/>
  <c r="L51" i="6"/>
  <c r="K51" i="6"/>
  <c r="K52" i="5"/>
  <c r="L53" i="5"/>
  <c r="J52" i="5"/>
  <c r="L49" i="5"/>
  <c r="K51" i="5"/>
  <c r="J51" i="5"/>
  <c r="I51" i="5"/>
  <c r="K53" i="5"/>
  <c r="I52" i="5"/>
  <c r="K49" i="5"/>
  <c r="J53" i="5"/>
  <c r="J49" i="5"/>
  <c r="L51" i="5"/>
  <c r="K52" i="4"/>
  <c r="L53" i="4"/>
  <c r="J52" i="4"/>
  <c r="L49" i="4"/>
  <c r="J48" i="4"/>
  <c r="K53" i="4"/>
  <c r="K51" i="4"/>
  <c r="J51" i="4"/>
  <c r="I51" i="4"/>
  <c r="K49" i="4"/>
  <c r="J53" i="4"/>
  <c r="J49" i="4"/>
  <c r="L51" i="4"/>
  <c r="L49" i="3"/>
  <c r="J48" i="3"/>
  <c r="I52" i="3"/>
  <c r="K49" i="3"/>
  <c r="I48" i="3"/>
  <c r="K48" i="3"/>
  <c r="J49" i="3"/>
  <c r="L53" i="1"/>
  <c r="J52" i="1"/>
  <c r="L49" i="1"/>
  <c r="K53" i="1"/>
  <c r="I52" i="1"/>
  <c r="K49" i="1"/>
  <c r="J51" i="1"/>
  <c r="I51" i="1"/>
  <c r="J53" i="1"/>
  <c r="J49" i="1"/>
  <c r="L51" i="1"/>
  <c r="K51" i="1"/>
</calcChain>
</file>

<file path=xl/sharedStrings.xml><?xml version="1.0" encoding="utf-8"?>
<sst xmlns="http://schemas.openxmlformats.org/spreadsheetml/2006/main" count="15058" uniqueCount="187">
  <si>
    <t>nombre</t>
  </si>
  <si>
    <t>colectivo</t>
  </si>
  <si>
    <t>aprueba</t>
  </si>
  <si>
    <t>rechaza</t>
  </si>
  <si>
    <t>abstiene</t>
  </si>
  <si>
    <t>no vota</t>
  </si>
  <si>
    <t>Colectivo</t>
  </si>
  <si>
    <t>Aprueba</t>
  </si>
  <si>
    <t>Rechaza</t>
  </si>
  <si>
    <t>Abstiene</t>
  </si>
  <si>
    <t>No Vota</t>
  </si>
  <si>
    <t>Total</t>
  </si>
  <si>
    <t>Abarca Damaris</t>
  </si>
  <si>
    <t>Frente Amplio</t>
  </si>
  <si>
    <t>Chile Digno</t>
  </si>
  <si>
    <t>Abarca Jorge</t>
  </si>
  <si>
    <t>Indep. por una nueva Const</t>
  </si>
  <si>
    <t>Mov. Sociales Const.</t>
  </si>
  <si>
    <t>Achurra Ignacio</t>
  </si>
  <si>
    <t>Pueblo Constituyente</t>
  </si>
  <si>
    <t>Aguilera Tiare</t>
  </si>
  <si>
    <t>Escaños Reservados</t>
  </si>
  <si>
    <t xml:space="preserve">Escaños Reservados </t>
  </si>
  <si>
    <t>Alvarado Gloria</t>
  </si>
  <si>
    <t>Movimientos Sociales Const.</t>
  </si>
  <si>
    <t>Coord. Plurinacional</t>
  </si>
  <si>
    <t>Alvarez Julio</t>
  </si>
  <si>
    <t>Colectivo Socialista</t>
  </si>
  <si>
    <t>Ind. Por Nueva Const.</t>
  </si>
  <si>
    <t>Alvarez Rodrigo</t>
  </si>
  <si>
    <t>Ind. + UDI</t>
  </si>
  <si>
    <t>Alvez Amaya</t>
  </si>
  <si>
    <t>Ampuero Adriana</t>
  </si>
  <si>
    <t>Otros</t>
  </si>
  <si>
    <t>Andrade Cristobal</t>
  </si>
  <si>
    <t>Ind. RN - Evópoli</t>
  </si>
  <si>
    <t>Antilef Victorino</t>
  </si>
  <si>
    <t>Coordinadora plurinacional (Escaños Reservados)</t>
  </si>
  <si>
    <t>Colectivo del Apruebo</t>
  </si>
  <si>
    <t>Arancibia Jorge</t>
  </si>
  <si>
    <t>Arauna Francisca</t>
  </si>
  <si>
    <t>Arellano Marco</t>
  </si>
  <si>
    <t>Coordinadora plurinacional</t>
  </si>
  <si>
    <t>Arrau Martin</t>
  </si>
  <si>
    <t>Atria Fernando</t>
  </si>
  <si>
    <t>Bacian Wilfredo</t>
  </si>
  <si>
    <t>Baradit Jorge</t>
  </si>
  <si>
    <t>Baranda Benito</t>
  </si>
  <si>
    <t>Barcelo Luis</t>
  </si>
  <si>
    <t>Barraza Marcos</t>
  </si>
  <si>
    <t>Bassa Jaime</t>
  </si>
  <si>
    <t>Botto Miguel Angel</t>
  </si>
  <si>
    <t>Bown Carol</t>
  </si>
  <si>
    <t>Bravo Daniel</t>
  </si>
  <si>
    <t>Caamaño Francisco</t>
  </si>
  <si>
    <t>Caiguan Alexis</t>
  </si>
  <si>
    <t>Calvo Carlos</t>
  </si>
  <si>
    <t>Cancino Adriana</t>
  </si>
  <si>
    <t>Cantuarias Rocio</t>
  </si>
  <si>
    <t>Carrillo Alondra</t>
  </si>
  <si>
    <t>Castillo Trinidad</t>
  </si>
  <si>
    <t>Castillo Eduardo</t>
  </si>
  <si>
    <t>Castro Claudia</t>
  </si>
  <si>
    <t>Catrileo Rosa</t>
  </si>
  <si>
    <t>Celedon Roberto</t>
  </si>
  <si>
    <t>Celis Raul</t>
  </si>
  <si>
    <t>Ind. Rn-Evópoli</t>
  </si>
  <si>
    <t>Cespedes Lorena</t>
  </si>
  <si>
    <t>Chahin Fuad</t>
  </si>
  <si>
    <t>Chinga Eric</t>
  </si>
  <si>
    <t>Cozzi Ruggero</t>
  </si>
  <si>
    <t>Cretton Eduardo</t>
  </si>
  <si>
    <t xml:space="preserve">Cruz Andres </t>
  </si>
  <si>
    <t>Cubillos Marcela</t>
  </si>
  <si>
    <t>Daza Mauricio</t>
  </si>
  <si>
    <t>De la Maza Bernardo</t>
  </si>
  <si>
    <t>Delgado Aurora</t>
  </si>
  <si>
    <t>Dominguez Gaspar</t>
  </si>
  <si>
    <t>Dorador Cristina</t>
  </si>
  <si>
    <t>Fernandez Patricio</t>
  </si>
  <si>
    <t>Flores Alejandra</t>
  </si>
  <si>
    <t>Fontaine Bernardo</t>
  </si>
  <si>
    <t>Fuchslocher Javier</t>
  </si>
  <si>
    <t>Gallardo Bessy</t>
  </si>
  <si>
    <t>Galleguillos Felix</t>
  </si>
  <si>
    <t>Garin Renato</t>
  </si>
  <si>
    <t>Giustinianovich Elisa</t>
  </si>
  <si>
    <t>Godoy Isabel</t>
  </si>
  <si>
    <t>Gomez Claudio</t>
  </si>
  <si>
    <t>Gomez Yarela</t>
  </si>
  <si>
    <t>Gonzalez Dayana</t>
  </si>
  <si>
    <t>Gonzalez Lidia</t>
  </si>
  <si>
    <t>Grandon Giovanna</t>
  </si>
  <si>
    <t>Grandon Paola</t>
  </si>
  <si>
    <t>Gutierrez Hugo</t>
  </si>
  <si>
    <t>Harboe Felipe</t>
  </si>
  <si>
    <t>Henriquez Natalia</t>
  </si>
  <si>
    <t>Hoppe Vanessa</t>
  </si>
  <si>
    <t>Hube Constanza</t>
  </si>
  <si>
    <t>Hurtado Ruth</t>
  </si>
  <si>
    <t>Hurtado Maximiliano</t>
  </si>
  <si>
    <t>Jimenez Luis</t>
  </si>
  <si>
    <t>Jofre Alvarado</t>
  </si>
  <si>
    <t>Jurgensen Harry</t>
  </si>
  <si>
    <t>Labbe Bastian</t>
  </si>
  <si>
    <t>Labra Patricia</t>
  </si>
  <si>
    <t>Labraña Elsa</t>
  </si>
  <si>
    <t>Laibe Tomas</t>
  </si>
  <si>
    <t>Larrain Hernan</t>
  </si>
  <si>
    <t>Letelier Margarita</t>
  </si>
  <si>
    <t>Linconao Francisca</t>
  </si>
  <si>
    <t>Llanquileo Natividad</t>
  </si>
  <si>
    <t>Logan Rodrigo</t>
  </si>
  <si>
    <t>Loncon Elisa</t>
  </si>
  <si>
    <t>Madriaga Tania</t>
  </si>
  <si>
    <t>Mamani Isabella</t>
  </si>
  <si>
    <t>Marinovic Teresa</t>
  </si>
  <si>
    <t>Martin Juan Jose</t>
  </si>
  <si>
    <t>Martinez Helmuth</t>
  </si>
  <si>
    <t xml:space="preserve">Mayol Luis </t>
  </si>
  <si>
    <t>Mella Jeniffer</t>
  </si>
  <si>
    <t>Mena Felipe</t>
  </si>
  <si>
    <t>Meneses Janis</t>
  </si>
  <si>
    <t>Millabur Adolfo</t>
  </si>
  <si>
    <t>Miranda Valentina</t>
  </si>
  <si>
    <t>Monckeberg Cristian</t>
  </si>
  <si>
    <t>Montealegre Katerine</t>
  </si>
  <si>
    <t>Montero Ricardo</t>
  </si>
  <si>
    <t>Moreno Alfredo</t>
  </si>
  <si>
    <t>Muñoz Pedro</t>
  </si>
  <si>
    <t>Namor Guillermo</t>
  </si>
  <si>
    <t>Navarrete Geoconda</t>
  </si>
  <si>
    <t>Neumann Ricardo</t>
  </si>
  <si>
    <t>Nicolas Nuñez</t>
  </si>
  <si>
    <t>Olivares Ivanna</t>
  </si>
  <si>
    <t>Orellana Matias</t>
  </si>
  <si>
    <t>Ossandon Manuel</t>
  </si>
  <si>
    <t>Oyarzun M. Jose</t>
  </si>
  <si>
    <t>Perez Alejandra</t>
  </si>
  <si>
    <t>Pinto Malucha</t>
  </si>
  <si>
    <t>Politzer Patricia</t>
  </si>
  <si>
    <t>Portilla Ericka</t>
  </si>
  <si>
    <t>Pustilnick Tammy</t>
  </si>
  <si>
    <t>Quinteros Elisa</t>
  </si>
  <si>
    <t>Rebolledo Barbara</t>
  </si>
  <si>
    <t>Reyes Ramona</t>
  </si>
  <si>
    <t>Rivera Pollyana</t>
  </si>
  <si>
    <t>Rivera Magdalena</t>
  </si>
  <si>
    <t>Roa Giovanna</t>
  </si>
  <si>
    <t>Rojas Rodrigo</t>
  </si>
  <si>
    <t>Inhabilitado</t>
  </si>
  <si>
    <t>Royo Manuela</t>
  </si>
  <si>
    <t>Saldaña Alvin</t>
  </si>
  <si>
    <t>Salinas Fernando</t>
  </si>
  <si>
    <t>San Juan Constanza</t>
  </si>
  <si>
    <t xml:space="preserve">Sanchez Beatriz </t>
  </si>
  <si>
    <t>Schonhaut Constanza</t>
  </si>
  <si>
    <t>Sepulveda Barbara</t>
  </si>
  <si>
    <t>Sepulveda Carolina</t>
  </si>
  <si>
    <t>Serey Mariela</t>
  </si>
  <si>
    <t>Silva Luciano</t>
  </si>
  <si>
    <t>Squella Agustin</t>
  </si>
  <si>
    <t>Stingo Daniel</t>
  </si>
  <si>
    <t>Tepper Angelica</t>
  </si>
  <si>
    <t>Tirado Fernando</t>
  </si>
  <si>
    <t>Toloza Pablo</t>
  </si>
  <si>
    <t>Ubilla Cecilia</t>
  </si>
  <si>
    <t>Uribe Cesar</t>
  </si>
  <si>
    <t>Urrutia Tatiana</t>
  </si>
  <si>
    <t>Valenzuela Cesar</t>
  </si>
  <si>
    <t>Valenzuela Paulina</t>
  </si>
  <si>
    <t>Vallejos Loreto</t>
  </si>
  <si>
    <t>Vargas Margarita</t>
  </si>
  <si>
    <t>Vargas Mario</t>
  </si>
  <si>
    <t>Vega Roberto</t>
  </si>
  <si>
    <t>Velasquez Hernan</t>
  </si>
  <si>
    <t>Veloso Paulina</t>
  </si>
  <si>
    <t>Vergara Lisette</t>
  </si>
  <si>
    <t>Vidal Loreto</t>
  </si>
  <si>
    <t>Videla Carolina</t>
  </si>
  <si>
    <t>Viera Christian</t>
  </si>
  <si>
    <t>Vilches Carolina</t>
  </si>
  <si>
    <t>Villena Ingrid</t>
  </si>
  <si>
    <t>Woldarsky Manuel</t>
  </si>
  <si>
    <t>Zarate Camila</t>
  </si>
  <si>
    <t>Zuñiga Luis Arturo</t>
  </si>
  <si>
    <t>no voto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</si>
</sst>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1" fontId="2" fillId="0" borderId="0" xfId="0" applyNumberFormat="1" applyFont="1"/>
    <xf numFmtId="9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Votaciones Art.1 por Colectivos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[1]Art1!$I$2:$I$13</c:f>
              <c:numCache>
                <c:formatCode>General</c:formatCode>
                <c:ptCount val="12"/>
                <c:pt idx="0">
                  <c:v>10</c:v>
                </c:pt>
                <c:pt idx="1">
                  <c:v>11</c:v>
                </c:pt>
                <c:pt idx="2">
                  <c:v>10</c:v>
                </c:pt>
                <c:pt idx="3">
                  <c:v>8</c:v>
                </c:pt>
                <c:pt idx="4">
                  <c:v>14</c:v>
                </c:pt>
                <c:pt idx="5">
                  <c:v>12</c:v>
                </c:pt>
                <c:pt idx="6">
                  <c:v>15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A8C-4443-B823-97C0DEA5AFEB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[1]Art1!$J$2:$J$13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21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A8C-4443-B823-97C0DEA5AFEB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[1]Art1!$K$2:$K$13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A8C-4443-B823-97C0DEA5AFEB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[1]Art1!$L$2:$L$13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FA8C-4443-B823-97C0DEA5A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73417007"/>
        <c:axId val="186196120"/>
      </c:barChart>
      <c:catAx>
        <c:axId val="18734170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86196120"/>
        <c:crosses val="autoZero"/>
        <c:auto val="1"/>
        <c:lblAlgn val="ctr"/>
        <c:lblOffset val="100"/>
        <c:noMultiLvlLbl val="1"/>
      </c:catAx>
      <c:valAx>
        <c:axId val="1861961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873417007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% de Votaciones Art.1 por Colectivos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[1]Art1!$I$46:$I$57</c:f>
              <c:numCache>
                <c:formatCode>General</c:formatCode>
                <c:ptCount val="12"/>
                <c:pt idx="0">
                  <c:v>0.90909090909090906</c:v>
                </c:pt>
                <c:pt idx="1">
                  <c:v>0.91666666666666663</c:v>
                </c:pt>
                <c:pt idx="2">
                  <c:v>1</c:v>
                </c:pt>
                <c:pt idx="3">
                  <c:v>0.88888888888888884</c:v>
                </c:pt>
                <c:pt idx="4">
                  <c:v>0.875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0.7142857142857143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AF6-4D5A-B156-699510204474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[1]Art1!$J$46:$J$57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0.33333333333333331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AF6-4D5A-B156-699510204474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[1]Art1!$K$46:$K$57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6.25E-2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0.66666666666666663</c:v>
                </c:pt>
                <c:pt idx="10">
                  <c:v>0.14285714285714285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AF6-4D5A-B156-699510204474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[1]Art1!$L$46:$L$57</c:f>
              <c:numCache>
                <c:formatCode>General</c:formatCode>
                <c:ptCount val="12"/>
                <c:pt idx="0">
                  <c:v>9.0909090909090912E-2</c:v>
                </c:pt>
                <c:pt idx="1">
                  <c:v>8.3333333333333329E-2</c:v>
                </c:pt>
                <c:pt idx="2">
                  <c:v>0</c:v>
                </c:pt>
                <c:pt idx="3">
                  <c:v>0.1111111111111111</c:v>
                </c:pt>
                <c:pt idx="4">
                  <c:v>6.25E-2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0.14285714285714285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7AF6-4D5A-B156-699510204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96523772"/>
        <c:axId val="114752827"/>
      </c:barChart>
      <c:catAx>
        <c:axId val="19965237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14752827"/>
        <c:crosses val="autoZero"/>
        <c:auto val="1"/>
        <c:lblAlgn val="ctr"/>
        <c:lblOffset val="100"/>
        <c:noMultiLvlLbl val="1"/>
      </c:catAx>
      <c:valAx>
        <c:axId val="1147528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99652377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Votaciones Art.2 por Colectivos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[1]Art2!$I$2:$I$13</c:f>
              <c:numCache>
                <c:formatCode>General</c:formatCode>
                <c:ptCount val="12"/>
                <c:pt idx="0">
                  <c:v>11</c:v>
                </c:pt>
                <c:pt idx="1">
                  <c:v>5</c:v>
                </c:pt>
                <c:pt idx="2">
                  <c:v>9</c:v>
                </c:pt>
                <c:pt idx="3">
                  <c:v>8</c:v>
                </c:pt>
                <c:pt idx="4">
                  <c:v>16</c:v>
                </c:pt>
                <c:pt idx="5">
                  <c:v>6</c:v>
                </c:pt>
                <c:pt idx="6">
                  <c:v>12</c:v>
                </c:pt>
                <c:pt idx="7">
                  <c:v>10</c:v>
                </c:pt>
                <c:pt idx="8">
                  <c:v>0</c:v>
                </c:pt>
                <c:pt idx="9">
                  <c:v>8</c:v>
                </c:pt>
                <c:pt idx="10">
                  <c:v>0</c:v>
                </c:pt>
                <c:pt idx="11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544-4D6A-ABCD-F9F42165BF3D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[1]Art2!$J$2:$J$13</c:f>
              <c:numCache>
                <c:formatCode>General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21</c:v>
                </c:pt>
                <c:pt idx="9">
                  <c:v>0</c:v>
                </c:pt>
                <c:pt idx="10">
                  <c:v>6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544-4D6A-ABCD-F9F42165BF3D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[1]Art2!$K$2:$K$13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7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544-4D6A-ABCD-F9F42165BF3D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[1]Art2!$L$2:$L$13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7544-4D6A-ABCD-F9F42165B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4121378"/>
        <c:axId val="604050566"/>
      </c:barChart>
      <c:catAx>
        <c:axId val="2241213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604050566"/>
        <c:crosses val="autoZero"/>
        <c:auto val="1"/>
        <c:lblAlgn val="ctr"/>
        <c:lblOffset val="100"/>
        <c:noMultiLvlLbl val="1"/>
      </c:catAx>
      <c:valAx>
        <c:axId val="6040505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22412137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% Votaciones Art.2 por Colectivos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[1]Art2!$I$46:$I$57</c:f>
              <c:numCache>
                <c:formatCode>General</c:formatCode>
                <c:ptCount val="12"/>
                <c:pt idx="0">
                  <c:v>1</c:v>
                </c:pt>
                <c:pt idx="1">
                  <c:v>0.41666666666666669</c:v>
                </c:pt>
                <c:pt idx="2">
                  <c:v>0.9</c:v>
                </c:pt>
                <c:pt idx="3">
                  <c:v>0.88888888888888884</c:v>
                </c:pt>
                <c:pt idx="4">
                  <c:v>1</c:v>
                </c:pt>
                <c:pt idx="5">
                  <c:v>0.5</c:v>
                </c:pt>
                <c:pt idx="6">
                  <c:v>0.8</c:v>
                </c:pt>
                <c:pt idx="7">
                  <c:v>0.83333333333333337</c:v>
                </c:pt>
                <c:pt idx="8">
                  <c:v>0</c:v>
                </c:pt>
                <c:pt idx="9">
                  <c:v>0.53333333333333333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2E6-4768-9AD1-5C7DE7F2FCC7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[1]Art2!$J$46:$J$57</c:f>
              <c:numCache>
                <c:formatCode>General</c:formatCode>
                <c:ptCount val="12"/>
                <c:pt idx="0">
                  <c:v>0</c:v>
                </c:pt>
                <c:pt idx="1">
                  <c:v>0.41666666666666669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8.3333333333333329E-2</c:v>
                </c:pt>
                <c:pt idx="6">
                  <c:v>0.2</c:v>
                </c:pt>
                <c:pt idx="7">
                  <c:v>8.3333333333333329E-2</c:v>
                </c:pt>
                <c:pt idx="8">
                  <c:v>1</c:v>
                </c:pt>
                <c:pt idx="9">
                  <c:v>0</c:v>
                </c:pt>
                <c:pt idx="10">
                  <c:v>0.8571428571428571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2E6-4768-9AD1-5C7DE7F2FCC7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[1]Art2!$K$46:$K$57</c:f>
              <c:numCache>
                <c:formatCode>General</c:formatCode>
                <c:ptCount val="12"/>
                <c:pt idx="0">
                  <c:v>0</c:v>
                </c:pt>
                <c:pt idx="1">
                  <c:v>8.3333333333333329E-2</c:v>
                </c:pt>
                <c:pt idx="2">
                  <c:v>0.1</c:v>
                </c:pt>
                <c:pt idx="3">
                  <c:v>0</c:v>
                </c:pt>
                <c:pt idx="4">
                  <c:v>0</c:v>
                </c:pt>
                <c:pt idx="5">
                  <c:v>0.41666666666666669</c:v>
                </c:pt>
                <c:pt idx="6">
                  <c:v>0</c:v>
                </c:pt>
                <c:pt idx="7">
                  <c:v>8.3333333333333329E-2</c:v>
                </c:pt>
                <c:pt idx="8">
                  <c:v>0</c:v>
                </c:pt>
                <c:pt idx="9">
                  <c:v>0.46666666666666667</c:v>
                </c:pt>
                <c:pt idx="10">
                  <c:v>0.14285714285714285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12E6-4768-9AD1-5C7DE7F2FCC7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[1]Art2!$L$46:$L$57</c:f>
              <c:numCache>
                <c:formatCode>General</c:formatCode>
                <c:ptCount val="12"/>
                <c:pt idx="0">
                  <c:v>0</c:v>
                </c:pt>
                <c:pt idx="1">
                  <c:v>8.3333333333333329E-2</c:v>
                </c:pt>
                <c:pt idx="2">
                  <c:v>0</c:v>
                </c:pt>
                <c:pt idx="3">
                  <c:v>0.1111111111111111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12E6-4768-9AD1-5C7DE7F2F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79994780"/>
        <c:axId val="465641754"/>
      </c:barChart>
      <c:catAx>
        <c:axId val="12799947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465641754"/>
        <c:crosses val="autoZero"/>
        <c:auto val="1"/>
        <c:lblAlgn val="ctr"/>
        <c:lblOffset val="100"/>
        <c:noMultiLvlLbl val="1"/>
      </c:catAx>
      <c:valAx>
        <c:axId val="4656417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27999478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Votaciones Art.3 por Colectivos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[1]Art3!$I$2:$I$13</c:f>
              <c:numCache>
                <c:formatCode>General</c:formatCode>
                <c:ptCount val="12"/>
                <c:pt idx="0">
                  <c:v>10</c:v>
                </c:pt>
                <c:pt idx="1">
                  <c:v>4</c:v>
                </c:pt>
                <c:pt idx="2">
                  <c:v>10</c:v>
                </c:pt>
                <c:pt idx="3">
                  <c:v>0</c:v>
                </c:pt>
                <c:pt idx="4">
                  <c:v>16</c:v>
                </c:pt>
                <c:pt idx="5">
                  <c:v>5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5</c:v>
                </c:pt>
                <c:pt idx="10">
                  <c:v>4</c:v>
                </c:pt>
                <c:pt idx="11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884-4B40-813A-7A25135053CE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[1]Art3!$J$2:$J$13</c:f>
              <c:numCache>
                <c:formatCode>General</c:formatCode>
                <c:ptCount val="12"/>
                <c:pt idx="0">
                  <c:v>1</c:v>
                </c:pt>
                <c:pt idx="1">
                  <c:v>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12</c:v>
                </c:pt>
                <c:pt idx="7">
                  <c:v>8</c:v>
                </c:pt>
                <c:pt idx="8">
                  <c:v>4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884-4B40-813A-7A25135053CE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[1]Art3!$K$2:$K$13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8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8</c:v>
                </c:pt>
                <c:pt idx="8">
                  <c:v>17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884-4B40-813A-7A25135053CE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[1]Art3!$L$2:$L$13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7884-4B40-813A-7A2513505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078423"/>
        <c:axId val="180839214"/>
      </c:barChart>
      <c:catAx>
        <c:axId val="480784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80839214"/>
        <c:crosses val="autoZero"/>
        <c:auto val="1"/>
        <c:lblAlgn val="ctr"/>
        <c:lblOffset val="100"/>
        <c:noMultiLvlLbl val="1"/>
      </c:catAx>
      <c:valAx>
        <c:axId val="1808392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4807842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% Votaciones Art.3 por Colectivos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[1]Art3!$I$46:$I$57</c:f>
              <c:numCache>
                <c:formatCode>General</c:formatCode>
                <c:ptCount val="12"/>
                <c:pt idx="0">
                  <c:v>0.90909090909090906</c:v>
                </c:pt>
                <c:pt idx="1">
                  <c:v>0.33333333333333331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0.41666666666666669</c:v>
                </c:pt>
                <c:pt idx="6">
                  <c:v>0.13333333333333333</c:v>
                </c:pt>
                <c:pt idx="7">
                  <c:v>5.5555555555555552E-2</c:v>
                </c:pt>
                <c:pt idx="8">
                  <c:v>0</c:v>
                </c:pt>
                <c:pt idx="9">
                  <c:v>0.33333333333333331</c:v>
                </c:pt>
                <c:pt idx="10">
                  <c:v>0.5714285714285714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4B2-4D95-B192-93FBD5BF6041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[1]Art3!$J$46:$J$57</c:f>
              <c:numCache>
                <c:formatCode>General</c:formatCode>
                <c:ptCount val="12"/>
                <c:pt idx="0">
                  <c:v>9.0909090909090912E-2</c:v>
                </c:pt>
                <c:pt idx="1">
                  <c:v>0.5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0.41666666666666669</c:v>
                </c:pt>
                <c:pt idx="6">
                  <c:v>0.8</c:v>
                </c:pt>
                <c:pt idx="7">
                  <c:v>0.44444444444444442</c:v>
                </c:pt>
                <c:pt idx="8">
                  <c:v>0.19047619047619047</c:v>
                </c:pt>
                <c:pt idx="9">
                  <c:v>0</c:v>
                </c:pt>
                <c:pt idx="10">
                  <c:v>0.2857142857142857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4B2-4D95-B192-93FBD5BF6041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[1]Art3!$K$46:$K$57</c:f>
              <c:numCache>
                <c:formatCode>General</c:formatCode>
                <c:ptCount val="12"/>
                <c:pt idx="0">
                  <c:v>0</c:v>
                </c:pt>
                <c:pt idx="1">
                  <c:v>8.3333333333333329E-2</c:v>
                </c:pt>
                <c:pt idx="2">
                  <c:v>0</c:v>
                </c:pt>
                <c:pt idx="3">
                  <c:v>0.88888888888888884</c:v>
                </c:pt>
                <c:pt idx="4">
                  <c:v>0</c:v>
                </c:pt>
                <c:pt idx="5">
                  <c:v>0.16666666666666666</c:v>
                </c:pt>
                <c:pt idx="6">
                  <c:v>6.6666666666666666E-2</c:v>
                </c:pt>
                <c:pt idx="7">
                  <c:v>0.44444444444444442</c:v>
                </c:pt>
                <c:pt idx="8">
                  <c:v>0.80952380952380953</c:v>
                </c:pt>
                <c:pt idx="9">
                  <c:v>0.66666666666666663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4B2-4D95-B192-93FBD5BF6041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[1]Art3!$L$46:$L$57</c:f>
              <c:numCache>
                <c:formatCode>General</c:formatCode>
                <c:ptCount val="12"/>
                <c:pt idx="0">
                  <c:v>0</c:v>
                </c:pt>
                <c:pt idx="1">
                  <c:v>8.3333333333333329E-2</c:v>
                </c:pt>
                <c:pt idx="2">
                  <c:v>0</c:v>
                </c:pt>
                <c:pt idx="3">
                  <c:v>0.1111111111111111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5.5555555555555552E-2</c:v>
                </c:pt>
                <c:pt idx="8">
                  <c:v>0</c:v>
                </c:pt>
                <c:pt idx="9">
                  <c:v>0</c:v>
                </c:pt>
                <c:pt idx="10">
                  <c:v>0.14285714285714285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94B2-4D95-B192-93FBD5BF6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471777"/>
        <c:axId val="983316395"/>
      </c:barChart>
      <c:catAx>
        <c:axId val="684717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983316395"/>
        <c:crosses val="autoZero"/>
        <c:auto val="1"/>
        <c:lblAlgn val="ctr"/>
        <c:lblOffset val="100"/>
        <c:noMultiLvlLbl val="1"/>
      </c:catAx>
      <c:valAx>
        <c:axId val="9833163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68471777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Votaciones Art.4 por Colectivos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[1]Art4!$H$2:$H$13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[1]Art4!$I$2:$I$13</c:f>
              <c:numCache>
                <c:formatCode>General</c:formatCode>
                <c:ptCount val="12"/>
                <c:pt idx="0">
                  <c:v>11</c:v>
                </c:pt>
                <c:pt idx="1">
                  <c:v>11</c:v>
                </c:pt>
                <c:pt idx="2">
                  <c:v>10</c:v>
                </c:pt>
                <c:pt idx="3">
                  <c:v>8</c:v>
                </c:pt>
                <c:pt idx="4">
                  <c:v>15</c:v>
                </c:pt>
                <c:pt idx="5">
                  <c:v>12</c:v>
                </c:pt>
                <c:pt idx="6">
                  <c:v>13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FE8-4232-ACB5-19C52F168F90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[1]Art4!$H$2:$H$13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[1]Art4!$J$2:$J$13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7</c:v>
                </c:pt>
                <c:pt idx="8">
                  <c:v>21</c:v>
                </c:pt>
                <c:pt idx="9">
                  <c:v>15</c:v>
                </c:pt>
                <c:pt idx="10">
                  <c:v>3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FE8-4232-ACB5-19C52F168F90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[1]Art4!$H$2:$H$13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[1]Art4!$K$2:$K$13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7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4FE8-4232-ACB5-19C52F168F90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[1]Art4!$H$2:$H$13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[1]Art4!$L$2:$L$13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4FE8-4232-ACB5-19C52F168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9493169"/>
        <c:axId val="1670720314"/>
      </c:barChart>
      <c:catAx>
        <c:axId val="7694931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670720314"/>
        <c:crosses val="autoZero"/>
        <c:auto val="1"/>
        <c:lblAlgn val="ctr"/>
        <c:lblOffset val="100"/>
        <c:noMultiLvlLbl val="1"/>
      </c:catAx>
      <c:valAx>
        <c:axId val="16707203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76949316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% Votaciones Art.4 "Derechos de la Naturaleza" por Colectivos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[1]Art4!$H$46:$H$57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[1]Art4!$I$46:$I$57</c:f>
              <c:numCache>
                <c:formatCode>General</c:formatCode>
                <c:ptCount val="12"/>
                <c:pt idx="0">
                  <c:v>1</c:v>
                </c:pt>
                <c:pt idx="1">
                  <c:v>0.91666666666666663</c:v>
                </c:pt>
                <c:pt idx="2">
                  <c:v>1</c:v>
                </c:pt>
                <c:pt idx="3">
                  <c:v>0.88888888888888884</c:v>
                </c:pt>
                <c:pt idx="4">
                  <c:v>0.9375</c:v>
                </c:pt>
                <c:pt idx="5">
                  <c:v>1</c:v>
                </c:pt>
                <c:pt idx="6">
                  <c:v>0.8666666666666667</c:v>
                </c:pt>
                <c:pt idx="7">
                  <c:v>0.26315789473684209</c:v>
                </c:pt>
                <c:pt idx="8">
                  <c:v>0</c:v>
                </c:pt>
                <c:pt idx="9">
                  <c:v>0</c:v>
                </c:pt>
                <c:pt idx="10">
                  <c:v>0.14285714285714285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816-4FB4-A25D-C678EE053E86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[1]Art4!$H$46:$H$57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[1]Art4!$J$46:$J$57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6.6666666666666666E-2</c:v>
                </c:pt>
                <c:pt idx="7">
                  <c:v>0.36842105263157893</c:v>
                </c:pt>
                <c:pt idx="8">
                  <c:v>1</c:v>
                </c:pt>
                <c:pt idx="9">
                  <c:v>1</c:v>
                </c:pt>
                <c:pt idx="10">
                  <c:v>0.42857142857142855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816-4FB4-A25D-C678EE053E86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[1]Art4!$H$46:$H$57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[1]Art4!$K$46:$K$57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6.6666666666666666E-2</c:v>
                </c:pt>
                <c:pt idx="7">
                  <c:v>0.36842105263157893</c:v>
                </c:pt>
                <c:pt idx="8">
                  <c:v>0</c:v>
                </c:pt>
                <c:pt idx="9">
                  <c:v>0</c:v>
                </c:pt>
                <c:pt idx="10">
                  <c:v>0.2857142857142857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816-4FB4-A25D-C678EE053E86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[1]Art4!$H$46:$H$57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[1]Art4!$L$46:$L$57</c:f>
              <c:numCache>
                <c:formatCode>General</c:formatCode>
                <c:ptCount val="12"/>
                <c:pt idx="0">
                  <c:v>0</c:v>
                </c:pt>
                <c:pt idx="1">
                  <c:v>8.3333333333333329E-2</c:v>
                </c:pt>
                <c:pt idx="2">
                  <c:v>0</c:v>
                </c:pt>
                <c:pt idx="3">
                  <c:v>0.1111111111111111</c:v>
                </c:pt>
                <c:pt idx="4">
                  <c:v>6.25E-2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0.14285714285714285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C816-4FB4-A25D-C678EE053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8128489"/>
        <c:axId val="1727344417"/>
      </c:barChart>
      <c:catAx>
        <c:axId val="4881284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727344417"/>
        <c:crosses val="autoZero"/>
        <c:auto val="1"/>
        <c:lblAlgn val="ctr"/>
        <c:lblOffset val="100"/>
        <c:noMultiLvlLbl val="1"/>
      </c:catAx>
      <c:valAx>
        <c:axId val="17273444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48812848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Votaciones Art.5 por Colectivos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[1]Art5!$H$2:$H$13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[1]Art5!$I$2:$I$13</c:f>
              <c:numCache>
                <c:formatCode>General</c:formatCode>
                <c:ptCount val="12"/>
                <c:pt idx="0">
                  <c:v>11</c:v>
                </c:pt>
                <c:pt idx="1">
                  <c:v>12</c:v>
                </c:pt>
                <c:pt idx="2">
                  <c:v>10</c:v>
                </c:pt>
                <c:pt idx="3">
                  <c:v>8</c:v>
                </c:pt>
                <c:pt idx="4">
                  <c:v>15</c:v>
                </c:pt>
                <c:pt idx="5">
                  <c:v>12</c:v>
                </c:pt>
                <c:pt idx="6">
                  <c:v>15</c:v>
                </c:pt>
                <c:pt idx="7">
                  <c:v>12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945-4ECF-9C0D-AC974030620D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[1]Art5!$H$2:$H$13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[1]Art5!$J$2:$J$13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20</c:v>
                </c:pt>
                <c:pt idx="9">
                  <c:v>15</c:v>
                </c:pt>
                <c:pt idx="10">
                  <c:v>6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945-4ECF-9C0D-AC974030620D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[1]Art5!$H$2:$H$13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[1]Art5!$K$2:$K$13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945-4ECF-9C0D-AC974030620D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[1]Art5!$H$2:$H$13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[1]Art5!$L$2:$L$13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C945-4ECF-9C0D-AC9740306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6763953"/>
        <c:axId val="1194830965"/>
      </c:barChart>
      <c:catAx>
        <c:axId val="1067639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194830965"/>
        <c:crosses val="autoZero"/>
        <c:auto val="1"/>
        <c:lblAlgn val="ctr"/>
        <c:lblOffset val="100"/>
        <c:noMultiLvlLbl val="1"/>
      </c:catAx>
      <c:valAx>
        <c:axId val="11948309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0676395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% de Votaciones Art.5 por Colectivos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[1]Art5!$H$46:$H$57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[1]Art5!$I$46:$I$57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0.88888888888888884</c:v>
                </c:pt>
                <c:pt idx="4">
                  <c:v>0.9375</c:v>
                </c:pt>
                <c:pt idx="5">
                  <c:v>1</c:v>
                </c:pt>
                <c:pt idx="6">
                  <c:v>1</c:v>
                </c:pt>
                <c:pt idx="7">
                  <c:v>0.8571428571428571</c:v>
                </c:pt>
                <c:pt idx="8">
                  <c:v>0</c:v>
                </c:pt>
                <c:pt idx="9">
                  <c:v>0</c:v>
                </c:pt>
                <c:pt idx="10">
                  <c:v>0.14285714285714285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625-4D53-9149-B44CD3B5BA4D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[1]Art5!$H$46:$H$57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[1]Art5!$J$46:$J$57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7.1428571428571425E-2</c:v>
                </c:pt>
                <c:pt idx="8">
                  <c:v>0.95238095238095233</c:v>
                </c:pt>
                <c:pt idx="9">
                  <c:v>1</c:v>
                </c:pt>
                <c:pt idx="10">
                  <c:v>0.8571428571428571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625-4D53-9149-B44CD3B5BA4D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[1]Art5!$H$46:$H$57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[1]Art5!$K$46:$K$57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7.1428571428571425E-2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625-4D53-9149-B44CD3B5BA4D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[1]Art5!$H$46:$H$57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[1]Art5!$L$46:$L$57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0.1111111111111111</c:v>
                </c:pt>
                <c:pt idx="4">
                  <c:v>6.25E-2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4.7619047619047616E-2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0625-4D53-9149-B44CD3B5B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25126125"/>
        <c:axId val="1857396188"/>
      </c:barChart>
      <c:catAx>
        <c:axId val="9251261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857396188"/>
        <c:crosses val="autoZero"/>
        <c:auto val="1"/>
        <c:lblAlgn val="ctr"/>
        <c:lblOffset val="100"/>
        <c:noMultiLvlLbl val="1"/>
      </c:catAx>
      <c:valAx>
        <c:axId val="18573961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92512612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Votaciones Art.6 por Colectivos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[1]Art6!$H$2:$H$13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[1]Art6!$I$2:$I$13</c:f>
              <c:numCache>
                <c:formatCode>General</c:formatCode>
                <c:ptCount val="12"/>
                <c:pt idx="0">
                  <c:v>11</c:v>
                </c:pt>
                <c:pt idx="1">
                  <c:v>6</c:v>
                </c:pt>
                <c:pt idx="2">
                  <c:v>8</c:v>
                </c:pt>
                <c:pt idx="3">
                  <c:v>0</c:v>
                </c:pt>
                <c:pt idx="4">
                  <c:v>16</c:v>
                </c:pt>
                <c:pt idx="5">
                  <c:v>4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516-4BED-9EA7-065369BDC361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[1]Art6!$H$2:$H$13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[1]Art6!$J$2:$J$13</c:f>
              <c:numCache>
                <c:formatCode>General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2</c:v>
                </c:pt>
                <c:pt idx="3">
                  <c:v>8</c:v>
                </c:pt>
                <c:pt idx="4">
                  <c:v>0</c:v>
                </c:pt>
                <c:pt idx="5">
                  <c:v>1</c:v>
                </c:pt>
                <c:pt idx="6">
                  <c:v>13</c:v>
                </c:pt>
                <c:pt idx="7">
                  <c:v>8</c:v>
                </c:pt>
                <c:pt idx="8">
                  <c:v>21</c:v>
                </c:pt>
                <c:pt idx="9">
                  <c:v>15</c:v>
                </c:pt>
                <c:pt idx="10">
                  <c:v>6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516-4BED-9EA7-065369BDC361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[1]Art6!$H$2:$H$13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[1]Art6!$K$2:$K$13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</c:v>
                </c:pt>
                <c:pt idx="6">
                  <c:v>1</c:v>
                </c:pt>
                <c:pt idx="7">
                  <c:v>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E516-4BED-9EA7-065369BDC361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[1]Art6!$H$2:$H$13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[1]Art6!$L$2:$L$13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E516-4BED-9EA7-065369BDC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2945806"/>
        <c:axId val="851320002"/>
      </c:barChart>
      <c:catAx>
        <c:axId val="6529458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851320002"/>
        <c:crosses val="autoZero"/>
        <c:auto val="1"/>
        <c:lblAlgn val="ctr"/>
        <c:lblOffset val="100"/>
        <c:noMultiLvlLbl val="1"/>
      </c:catAx>
      <c:valAx>
        <c:axId val="8513200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65294580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% de Votaciones Art.6 por Colectivos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[1]Art6!$H$46:$H$57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[1]Art6!$I$46:$I$57</c:f>
              <c:numCache>
                <c:formatCode>General</c:formatCode>
                <c:ptCount val="12"/>
                <c:pt idx="0">
                  <c:v>1</c:v>
                </c:pt>
                <c:pt idx="1">
                  <c:v>0.5</c:v>
                </c:pt>
                <c:pt idx="2">
                  <c:v>0.8</c:v>
                </c:pt>
                <c:pt idx="3">
                  <c:v>0</c:v>
                </c:pt>
                <c:pt idx="4">
                  <c:v>1</c:v>
                </c:pt>
                <c:pt idx="5">
                  <c:v>0.33333333333333331</c:v>
                </c:pt>
                <c:pt idx="6">
                  <c:v>6.6666666666666666E-2</c:v>
                </c:pt>
                <c:pt idx="7">
                  <c:v>0.1111111111111111</c:v>
                </c:pt>
                <c:pt idx="8">
                  <c:v>0</c:v>
                </c:pt>
                <c:pt idx="9">
                  <c:v>0</c:v>
                </c:pt>
                <c:pt idx="10">
                  <c:v>0.14285714285714285</c:v>
                </c:pt>
                <c:pt idx="11">
                  <c:v>0.8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73F-4166-BE45-DC015D965C6D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[1]Art6!$H$46:$H$57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[1]Art6!$J$46:$J$57</c:f>
              <c:numCache>
                <c:formatCode>General</c:formatCode>
                <c:ptCount val="12"/>
                <c:pt idx="0">
                  <c:v>0</c:v>
                </c:pt>
                <c:pt idx="1">
                  <c:v>0.41666666666666669</c:v>
                </c:pt>
                <c:pt idx="2">
                  <c:v>0.2</c:v>
                </c:pt>
                <c:pt idx="3">
                  <c:v>0.88888888888888884</c:v>
                </c:pt>
                <c:pt idx="4">
                  <c:v>0</c:v>
                </c:pt>
                <c:pt idx="5">
                  <c:v>8.3333333333333329E-2</c:v>
                </c:pt>
                <c:pt idx="6">
                  <c:v>0.8666666666666667</c:v>
                </c:pt>
                <c:pt idx="7">
                  <c:v>0.44444444444444442</c:v>
                </c:pt>
                <c:pt idx="8">
                  <c:v>1</c:v>
                </c:pt>
                <c:pt idx="9">
                  <c:v>1</c:v>
                </c:pt>
                <c:pt idx="10">
                  <c:v>0.8571428571428571</c:v>
                </c:pt>
                <c:pt idx="11">
                  <c:v>0.2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73F-4166-BE45-DC015D965C6D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[1]Art6!$H$46:$H$57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[1]Art6!$K$46:$K$57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0.58333333333333337</c:v>
                </c:pt>
                <c:pt idx="6">
                  <c:v>6.6666666666666666E-2</c:v>
                </c:pt>
                <c:pt idx="7">
                  <c:v>0.44444444444444442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173F-4166-BE45-DC015D965C6D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[1]Art6!$H$46:$H$57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[1]Art6!$L$46:$L$57</c:f>
              <c:numCache>
                <c:formatCode>General</c:formatCode>
                <c:ptCount val="12"/>
                <c:pt idx="0">
                  <c:v>0</c:v>
                </c:pt>
                <c:pt idx="1">
                  <c:v>8.3333333333333329E-2</c:v>
                </c:pt>
                <c:pt idx="2">
                  <c:v>0</c:v>
                </c:pt>
                <c:pt idx="3">
                  <c:v>0.1111111111111111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173F-4166-BE45-DC015D965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45907770"/>
        <c:axId val="760011662"/>
      </c:barChart>
      <c:catAx>
        <c:axId val="13459077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760011662"/>
        <c:crosses val="autoZero"/>
        <c:auto val="1"/>
        <c:lblAlgn val="ctr"/>
        <c:lblOffset val="100"/>
        <c:noMultiLvlLbl val="1"/>
      </c:catAx>
      <c:valAx>
        <c:axId val="7600116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34590777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Votaciones Art.7 por Colectivos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[1]Art7!$H$2:$H$13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[1]Art7!$I$2:$I$13</c:f>
              <c:numCache>
                <c:formatCode>General</c:formatCode>
                <c:ptCount val="12"/>
                <c:pt idx="0">
                  <c:v>11</c:v>
                </c:pt>
                <c:pt idx="1">
                  <c:v>5</c:v>
                </c:pt>
                <c:pt idx="2">
                  <c:v>10</c:v>
                </c:pt>
                <c:pt idx="3">
                  <c:v>8</c:v>
                </c:pt>
                <c:pt idx="4">
                  <c:v>16</c:v>
                </c:pt>
                <c:pt idx="5">
                  <c:v>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EC5-4077-A52A-944EF2636253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[1]Art7!$H$2:$H$13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[1]Art7!$J$2:$J$13</c:f>
              <c:numCache>
                <c:formatCode>General</c:formatCode>
                <c:ptCount val="12"/>
                <c:pt idx="0">
                  <c:v>0</c:v>
                </c:pt>
                <c:pt idx="1">
                  <c:v>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14</c:v>
                </c:pt>
                <c:pt idx="7">
                  <c:v>10</c:v>
                </c:pt>
                <c:pt idx="8">
                  <c:v>21</c:v>
                </c:pt>
                <c:pt idx="9">
                  <c:v>15</c:v>
                </c:pt>
                <c:pt idx="10">
                  <c:v>7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EC5-4077-A52A-944EF2636253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[1]Art7!$H$2:$H$13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[1]Art7!$K$2:$K$13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1</c:v>
                </c:pt>
                <c:pt idx="7">
                  <c:v>10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EC5-4077-A52A-944EF2636253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[1]Art7!$H$2:$H$13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[1]Art7!$L$2:$L$13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2EC5-4077-A52A-944EF2636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17457453"/>
        <c:axId val="1726690111"/>
      </c:barChart>
      <c:catAx>
        <c:axId val="21174574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726690111"/>
        <c:crosses val="autoZero"/>
        <c:auto val="1"/>
        <c:lblAlgn val="ctr"/>
        <c:lblOffset val="100"/>
        <c:noMultiLvlLbl val="1"/>
      </c:catAx>
      <c:valAx>
        <c:axId val="17266901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211745745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% de Votaciones Art.7 por Colectivos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[1]Art7!$H$46:$H$57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[1]Art7!$I$46:$I$57</c:f>
              <c:numCache>
                <c:formatCode>General</c:formatCode>
                <c:ptCount val="12"/>
                <c:pt idx="0">
                  <c:v>1</c:v>
                </c:pt>
                <c:pt idx="1">
                  <c:v>0.41666666666666669</c:v>
                </c:pt>
                <c:pt idx="2">
                  <c:v>1</c:v>
                </c:pt>
                <c:pt idx="3">
                  <c:v>0.88888888888888884</c:v>
                </c:pt>
                <c:pt idx="4">
                  <c:v>1</c:v>
                </c:pt>
                <c:pt idx="5">
                  <c:v>0.41666666666666669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F2B-49EB-9996-446AB55EA151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[1]Art7!$H$46:$H$57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[1]Art7!$J$46:$J$57</c:f>
              <c:numCache>
                <c:formatCode>General</c:formatCode>
                <c:ptCount val="12"/>
                <c:pt idx="0">
                  <c:v>0</c:v>
                </c:pt>
                <c:pt idx="1">
                  <c:v>0.58333333333333337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0.25</c:v>
                </c:pt>
                <c:pt idx="6">
                  <c:v>0.93333333333333335</c:v>
                </c:pt>
                <c:pt idx="7">
                  <c:v>0.5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F2B-49EB-9996-446AB55EA151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[1]Art7!$H$46:$H$57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[1]Art7!$K$46:$K$57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0.33333333333333331</c:v>
                </c:pt>
                <c:pt idx="6">
                  <c:v>6.6666666666666666E-2</c:v>
                </c:pt>
                <c:pt idx="7">
                  <c:v>0.5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F2B-49EB-9996-446AB55EA151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[1]Art7!$H$46:$H$57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[1]Art7!$L$46:$L$57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0.1111111111111111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7F2B-49EB-9996-446AB55EA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60036211"/>
        <c:axId val="2084331330"/>
      </c:barChart>
      <c:catAx>
        <c:axId val="10600362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2084331330"/>
        <c:crosses val="autoZero"/>
        <c:auto val="1"/>
        <c:lblAlgn val="ctr"/>
        <c:lblOffset val="100"/>
        <c:noMultiLvlLbl val="1"/>
      </c:catAx>
      <c:valAx>
        <c:axId val="20843313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06003621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Votaciones Art.8 por Colectivos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[1]Art8!$H$2:$H$13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[1]Art8!$I$2:$I$13</c:f>
              <c:numCache>
                <c:formatCode>General</c:formatCode>
                <c:ptCount val="12"/>
                <c:pt idx="0">
                  <c:v>10</c:v>
                </c:pt>
                <c:pt idx="1">
                  <c:v>1</c:v>
                </c:pt>
                <c:pt idx="2">
                  <c:v>10</c:v>
                </c:pt>
                <c:pt idx="3">
                  <c:v>0</c:v>
                </c:pt>
                <c:pt idx="4">
                  <c:v>16</c:v>
                </c:pt>
                <c:pt idx="5">
                  <c:v>5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3</c:v>
                </c:pt>
                <c:pt idx="11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C78-4FFB-B308-34F9D28E5936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[1]Art8!$H$2:$H$13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[1]Art8!$J$2:$J$13</c:f>
              <c:numCache>
                <c:formatCode>General</c:formatCode>
                <c:ptCount val="12"/>
                <c:pt idx="0">
                  <c:v>1</c:v>
                </c:pt>
                <c:pt idx="1">
                  <c:v>11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13</c:v>
                </c:pt>
                <c:pt idx="7">
                  <c:v>11</c:v>
                </c:pt>
                <c:pt idx="8">
                  <c:v>21</c:v>
                </c:pt>
                <c:pt idx="9">
                  <c:v>8</c:v>
                </c:pt>
                <c:pt idx="10">
                  <c:v>4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C78-4FFB-B308-34F9D28E5936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[1]Art8!$H$2:$H$13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[1]Art8!$K$2:$K$13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11</c:v>
                </c:pt>
                <c:pt idx="8">
                  <c:v>0</c:v>
                </c:pt>
                <c:pt idx="9">
                  <c:v>6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C78-4FFB-B308-34F9D28E5936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[1]Art8!$H$2:$H$13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[1]Art8!$L$2:$L$13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CC78-4FFB-B308-34F9D28E5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84822068"/>
        <c:axId val="468030267"/>
      </c:barChart>
      <c:catAx>
        <c:axId val="19848220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468030267"/>
        <c:crosses val="autoZero"/>
        <c:auto val="1"/>
        <c:lblAlgn val="ctr"/>
        <c:lblOffset val="100"/>
        <c:noMultiLvlLbl val="1"/>
      </c:catAx>
      <c:valAx>
        <c:axId val="4680302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98482206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% de Votaciones Art.8 por Colectivos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[1]Art8!$H$46:$H$57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[1]Art8!$I$46:$I$57</c:f>
              <c:numCache>
                <c:formatCode>General</c:formatCode>
                <c:ptCount val="12"/>
                <c:pt idx="0">
                  <c:v>0.90909090909090906</c:v>
                </c:pt>
                <c:pt idx="1">
                  <c:v>8.3333333333333329E-2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0.41666666666666669</c:v>
                </c:pt>
                <c:pt idx="6">
                  <c:v>6.6666666666666666E-2</c:v>
                </c:pt>
                <c:pt idx="7">
                  <c:v>0</c:v>
                </c:pt>
                <c:pt idx="8">
                  <c:v>0</c:v>
                </c:pt>
                <c:pt idx="9">
                  <c:v>6.6666666666666666E-2</c:v>
                </c:pt>
                <c:pt idx="10">
                  <c:v>0.42857142857142855</c:v>
                </c:pt>
                <c:pt idx="11">
                  <c:v>0.8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933-49D2-AF57-43291B38F0FF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[1]Art8!$H$46:$H$57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[1]Art8!$J$46:$J$57</c:f>
              <c:numCache>
                <c:formatCode>General</c:formatCode>
                <c:ptCount val="12"/>
                <c:pt idx="0">
                  <c:v>9.0909090909090912E-2</c:v>
                </c:pt>
                <c:pt idx="1">
                  <c:v>0.91666666666666663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0.41666666666666669</c:v>
                </c:pt>
                <c:pt idx="6">
                  <c:v>0.8666666666666667</c:v>
                </c:pt>
                <c:pt idx="7">
                  <c:v>0.5</c:v>
                </c:pt>
                <c:pt idx="8">
                  <c:v>1</c:v>
                </c:pt>
                <c:pt idx="9">
                  <c:v>0.53333333333333333</c:v>
                </c:pt>
                <c:pt idx="10">
                  <c:v>0.5714285714285714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933-49D2-AF57-43291B38F0FF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[1]Art8!$H$46:$H$57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[1]Art8!$K$46:$K$57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0.77777777777777779</c:v>
                </c:pt>
                <c:pt idx="4">
                  <c:v>0</c:v>
                </c:pt>
                <c:pt idx="5">
                  <c:v>0.16666666666666666</c:v>
                </c:pt>
                <c:pt idx="6">
                  <c:v>6.6666666666666666E-2</c:v>
                </c:pt>
                <c:pt idx="7">
                  <c:v>0.5</c:v>
                </c:pt>
                <c:pt idx="8">
                  <c:v>0</c:v>
                </c:pt>
                <c:pt idx="9">
                  <c:v>0.4</c:v>
                </c:pt>
                <c:pt idx="10">
                  <c:v>0</c:v>
                </c:pt>
                <c:pt idx="11">
                  <c:v>0.2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1933-49D2-AF57-43291B38F0FF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[1]Art8!$H$46:$H$57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[1]Art8!$L$46:$L$57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0.22222222222222221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1933-49D2-AF57-43291B38F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822283"/>
        <c:axId val="898383309"/>
      </c:barChart>
      <c:catAx>
        <c:axId val="588222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898383309"/>
        <c:crosses val="autoZero"/>
        <c:auto val="1"/>
        <c:lblAlgn val="ctr"/>
        <c:lblOffset val="100"/>
        <c:noMultiLvlLbl val="1"/>
      </c:catAx>
      <c:valAx>
        <c:axId val="8983833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5882228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Votaciones Art.9 por Colectivos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[1]Art9!$H$2:$H$13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[1]Art9!$I$2:$I$13</c:f>
              <c:numCache>
                <c:formatCode>General</c:formatCode>
                <c:ptCount val="12"/>
                <c:pt idx="0">
                  <c:v>10</c:v>
                </c:pt>
                <c:pt idx="1">
                  <c:v>2</c:v>
                </c:pt>
                <c:pt idx="2">
                  <c:v>10</c:v>
                </c:pt>
                <c:pt idx="3">
                  <c:v>7</c:v>
                </c:pt>
                <c:pt idx="4">
                  <c:v>16</c:v>
                </c:pt>
                <c:pt idx="5">
                  <c:v>12</c:v>
                </c:pt>
                <c:pt idx="6">
                  <c:v>4</c:v>
                </c:pt>
                <c:pt idx="7">
                  <c:v>7</c:v>
                </c:pt>
                <c:pt idx="8">
                  <c:v>1</c:v>
                </c:pt>
                <c:pt idx="9">
                  <c:v>0</c:v>
                </c:pt>
                <c:pt idx="10">
                  <c:v>4</c:v>
                </c:pt>
                <c:pt idx="11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909-4496-B6A3-E5BC2F0D6460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[1]Art9!$H$2:$H$13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[1]Art9!$J$2:$J$13</c:f>
              <c:numCache>
                <c:formatCode>General</c:formatCode>
                <c:ptCount val="12"/>
                <c:pt idx="0">
                  <c:v>0</c:v>
                </c:pt>
                <c:pt idx="1">
                  <c:v>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</c:v>
                </c:pt>
                <c:pt idx="7">
                  <c:v>5</c:v>
                </c:pt>
                <c:pt idx="8">
                  <c:v>4</c:v>
                </c:pt>
                <c:pt idx="9">
                  <c:v>7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909-4496-B6A3-E5BC2F0D6460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[1]Art9!$H$2:$H$13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[1]Art9!$K$2:$K$13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5</c:v>
                </c:pt>
                <c:pt idx="8">
                  <c:v>16</c:v>
                </c:pt>
                <c:pt idx="9">
                  <c:v>8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909-4496-B6A3-E5BC2F0D6460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[1]Art9!$H$2:$H$13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[1]Art9!$L$2:$L$13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9909-4496-B6A3-E5BC2F0D6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5534084"/>
        <c:axId val="1067875867"/>
      </c:barChart>
      <c:catAx>
        <c:axId val="1555340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067875867"/>
        <c:crosses val="autoZero"/>
        <c:auto val="1"/>
        <c:lblAlgn val="ctr"/>
        <c:lblOffset val="100"/>
        <c:noMultiLvlLbl val="1"/>
      </c:catAx>
      <c:valAx>
        <c:axId val="10678758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55534084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sz="1600" b="1" i="0">
                <a:solidFill>
                  <a:srgbClr val="757575"/>
                </a:solidFill>
                <a:latin typeface="Arial"/>
              </a:rPr>
              <a:t>% de Votaciones Art.9 por Colectivos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[1]Art9!$H$46:$H$57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[1]Art9!$I$46:$I$57</c:f>
              <c:numCache>
                <c:formatCode>General</c:formatCode>
                <c:ptCount val="12"/>
                <c:pt idx="0">
                  <c:v>0.90909090909090906</c:v>
                </c:pt>
                <c:pt idx="1">
                  <c:v>0.16666666666666666</c:v>
                </c:pt>
                <c:pt idx="2">
                  <c:v>1</c:v>
                </c:pt>
                <c:pt idx="3">
                  <c:v>0.77777777777777779</c:v>
                </c:pt>
                <c:pt idx="4">
                  <c:v>1</c:v>
                </c:pt>
                <c:pt idx="5">
                  <c:v>1</c:v>
                </c:pt>
                <c:pt idx="6">
                  <c:v>0.26666666666666666</c:v>
                </c:pt>
                <c:pt idx="7">
                  <c:v>0.41176470588235292</c:v>
                </c:pt>
                <c:pt idx="8">
                  <c:v>4.7619047619047616E-2</c:v>
                </c:pt>
                <c:pt idx="9">
                  <c:v>0</c:v>
                </c:pt>
                <c:pt idx="10">
                  <c:v>0.5714285714285714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C06-49E8-AC18-49838698CD54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[1]Art9!$H$46:$H$57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[1]Art9!$J$46:$J$57</c:f>
              <c:numCache>
                <c:formatCode>General</c:formatCode>
                <c:ptCount val="12"/>
                <c:pt idx="0">
                  <c:v>0</c:v>
                </c:pt>
                <c:pt idx="1">
                  <c:v>0.75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0.6</c:v>
                </c:pt>
                <c:pt idx="7">
                  <c:v>0.29411764705882354</c:v>
                </c:pt>
                <c:pt idx="8">
                  <c:v>0.19047619047619047</c:v>
                </c:pt>
                <c:pt idx="9">
                  <c:v>0.46666666666666667</c:v>
                </c:pt>
                <c:pt idx="10">
                  <c:v>0.2857142857142857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C06-49E8-AC18-49838698CD54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[1]Art9!$H$46:$H$57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[1]Art9!$K$46:$K$57</c:f>
              <c:numCache>
                <c:formatCode>General</c:formatCode>
                <c:ptCount val="12"/>
                <c:pt idx="0">
                  <c:v>9.0909090909090912E-2</c:v>
                </c:pt>
                <c:pt idx="1">
                  <c:v>8.3333333333333329E-2</c:v>
                </c:pt>
                <c:pt idx="2">
                  <c:v>0</c:v>
                </c:pt>
                <c:pt idx="3">
                  <c:v>0.1111111111111111</c:v>
                </c:pt>
                <c:pt idx="4">
                  <c:v>0</c:v>
                </c:pt>
                <c:pt idx="5">
                  <c:v>0</c:v>
                </c:pt>
                <c:pt idx="6">
                  <c:v>0.13333333333333333</c:v>
                </c:pt>
                <c:pt idx="7">
                  <c:v>0.29411764705882354</c:v>
                </c:pt>
                <c:pt idx="8">
                  <c:v>0.76190476190476186</c:v>
                </c:pt>
                <c:pt idx="9">
                  <c:v>0.53333333333333333</c:v>
                </c:pt>
                <c:pt idx="10">
                  <c:v>0.14285714285714285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C06-49E8-AC18-49838698CD54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[1]Art9!$H$46:$H$57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[1]Art9!$L$46:$L$57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0.1111111111111111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0C06-49E8-AC18-49838698C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5824643"/>
        <c:axId val="111077846"/>
      </c:barChart>
      <c:catAx>
        <c:axId val="4458246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11077846"/>
        <c:crosses val="autoZero"/>
        <c:auto val="1"/>
        <c:lblAlgn val="ctr"/>
        <c:lblOffset val="100"/>
        <c:noMultiLvlLbl val="1"/>
      </c:catAx>
      <c:valAx>
        <c:axId val="1110778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44582464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Votaciones Art.10 por Colectivos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[1]Art10!$H$2:$H$13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[1]Art10!$I$2:$I$13</c:f>
              <c:numCache>
                <c:formatCode>General</c:formatCode>
                <c:ptCount val="12"/>
                <c:pt idx="0">
                  <c:v>7</c:v>
                </c:pt>
                <c:pt idx="1">
                  <c:v>2</c:v>
                </c:pt>
                <c:pt idx="2">
                  <c:v>10</c:v>
                </c:pt>
                <c:pt idx="3">
                  <c:v>0</c:v>
                </c:pt>
                <c:pt idx="4">
                  <c:v>15</c:v>
                </c:pt>
                <c:pt idx="5">
                  <c:v>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0BC-4EDF-A6C3-A5B773C06981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[1]Art10!$H$2:$H$13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[1]Art10!$J$2:$J$13</c:f>
              <c:numCache>
                <c:formatCode>General</c:formatCode>
                <c:ptCount val="12"/>
                <c:pt idx="0">
                  <c:v>1</c:v>
                </c:pt>
                <c:pt idx="1">
                  <c:v>10</c:v>
                </c:pt>
                <c:pt idx="2">
                  <c:v>0</c:v>
                </c:pt>
                <c:pt idx="3">
                  <c:v>8</c:v>
                </c:pt>
                <c:pt idx="4">
                  <c:v>0</c:v>
                </c:pt>
                <c:pt idx="5">
                  <c:v>4</c:v>
                </c:pt>
                <c:pt idx="6">
                  <c:v>13</c:v>
                </c:pt>
                <c:pt idx="7">
                  <c:v>12</c:v>
                </c:pt>
                <c:pt idx="8">
                  <c:v>20</c:v>
                </c:pt>
                <c:pt idx="9">
                  <c:v>11</c:v>
                </c:pt>
                <c:pt idx="10">
                  <c:v>6</c:v>
                </c:pt>
                <c:pt idx="11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0BC-4EDF-A6C3-A5B773C06981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[1]Art10!$H$2:$H$13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[1]Art10!$K$2:$K$13</c:f>
              <c:numCache>
                <c:formatCode>General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12</c:v>
                </c:pt>
                <c:pt idx="8">
                  <c:v>1</c:v>
                </c:pt>
                <c:pt idx="9">
                  <c:v>3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A0BC-4EDF-A6C3-A5B773C06981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[1]Art10!$H$2:$H$13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[1]Art10!$L$2:$L$13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A0BC-4EDF-A6C3-A5B773C06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77657175"/>
        <c:axId val="1923513871"/>
      </c:barChart>
      <c:catAx>
        <c:axId val="1777657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923513871"/>
        <c:crosses val="autoZero"/>
        <c:auto val="1"/>
        <c:lblAlgn val="ctr"/>
        <c:lblOffset val="100"/>
        <c:noMultiLvlLbl val="1"/>
      </c:catAx>
      <c:valAx>
        <c:axId val="19235138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77765717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sz="1600" b="1" i="0">
                <a:solidFill>
                  <a:srgbClr val="757575"/>
                </a:solidFill>
                <a:latin typeface="Arial"/>
              </a:rPr>
              <a:t>% de Votaciones Art.10 por Colectivos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[1]Art10!$H$46:$H$57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[1]Art10!$I$46:$I$57</c:f>
              <c:numCache>
                <c:formatCode>General</c:formatCode>
                <c:ptCount val="12"/>
                <c:pt idx="0">
                  <c:v>0.63636363636363635</c:v>
                </c:pt>
                <c:pt idx="1">
                  <c:v>0.16666666666666666</c:v>
                </c:pt>
                <c:pt idx="2">
                  <c:v>1</c:v>
                </c:pt>
                <c:pt idx="3">
                  <c:v>0</c:v>
                </c:pt>
                <c:pt idx="4">
                  <c:v>0.9375</c:v>
                </c:pt>
                <c:pt idx="5">
                  <c:v>0.41666666666666669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CF3-4EC6-B71F-44A5424080EA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[1]Art10!$H$46:$H$57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[1]Art10!$J$46:$J$57</c:f>
              <c:numCache>
                <c:formatCode>General</c:formatCode>
                <c:ptCount val="12"/>
                <c:pt idx="0">
                  <c:v>9.0909090909090912E-2</c:v>
                </c:pt>
                <c:pt idx="1">
                  <c:v>0.83333333333333337</c:v>
                </c:pt>
                <c:pt idx="2">
                  <c:v>0</c:v>
                </c:pt>
                <c:pt idx="3">
                  <c:v>0.88888888888888884</c:v>
                </c:pt>
                <c:pt idx="4">
                  <c:v>0</c:v>
                </c:pt>
                <c:pt idx="5">
                  <c:v>0.33333333333333331</c:v>
                </c:pt>
                <c:pt idx="6">
                  <c:v>0.8666666666666667</c:v>
                </c:pt>
                <c:pt idx="7">
                  <c:v>0.5</c:v>
                </c:pt>
                <c:pt idx="8">
                  <c:v>0.95238095238095233</c:v>
                </c:pt>
                <c:pt idx="9">
                  <c:v>0.73333333333333328</c:v>
                </c:pt>
                <c:pt idx="10">
                  <c:v>0.8571428571428571</c:v>
                </c:pt>
                <c:pt idx="11">
                  <c:v>0.4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CF3-4EC6-B71F-44A5424080EA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[1]Art10!$H$46:$H$57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[1]Art10!$K$46:$K$57</c:f>
              <c:numCache>
                <c:formatCode>General</c:formatCode>
                <c:ptCount val="12"/>
                <c:pt idx="0">
                  <c:v>0.27272727272727271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6.25E-2</c:v>
                </c:pt>
                <c:pt idx="5">
                  <c:v>0.16666666666666666</c:v>
                </c:pt>
                <c:pt idx="6">
                  <c:v>6.6666666666666666E-2</c:v>
                </c:pt>
                <c:pt idx="7">
                  <c:v>0.5</c:v>
                </c:pt>
                <c:pt idx="8">
                  <c:v>4.7619047619047616E-2</c:v>
                </c:pt>
                <c:pt idx="9">
                  <c:v>0.2</c:v>
                </c:pt>
                <c:pt idx="10">
                  <c:v>0.14285714285714285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CF3-4EC6-B71F-44A5424080EA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[1]Art10!$H$46:$H$57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[1]Art10!$L$46:$L$57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0.1111111111111111</c:v>
                </c:pt>
                <c:pt idx="4">
                  <c:v>0</c:v>
                </c:pt>
                <c:pt idx="5">
                  <c:v>8.3333333333333329E-2</c:v>
                </c:pt>
                <c:pt idx="6">
                  <c:v>6.6666666666666666E-2</c:v>
                </c:pt>
                <c:pt idx="7">
                  <c:v>0</c:v>
                </c:pt>
                <c:pt idx="8">
                  <c:v>0</c:v>
                </c:pt>
                <c:pt idx="9">
                  <c:v>6.6666666666666666E-2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8CF3-4EC6-B71F-44A542408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79569191"/>
        <c:axId val="279861284"/>
      </c:barChart>
      <c:catAx>
        <c:axId val="18795691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279861284"/>
        <c:crosses val="autoZero"/>
        <c:auto val="1"/>
        <c:lblAlgn val="ctr"/>
        <c:lblOffset val="100"/>
        <c:noMultiLvlLbl val="1"/>
      </c:catAx>
      <c:valAx>
        <c:axId val="2798612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87956919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Votaciones Art.11 por Colectivos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[1]Art11!$H$2:$H$13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[1]Art11!$I$2:$I$13</c:f>
              <c:numCache>
                <c:formatCode>General</c:formatCode>
                <c:ptCount val="12"/>
                <c:pt idx="0">
                  <c:v>11</c:v>
                </c:pt>
                <c:pt idx="1">
                  <c:v>2</c:v>
                </c:pt>
                <c:pt idx="2">
                  <c:v>8</c:v>
                </c:pt>
                <c:pt idx="3">
                  <c:v>0</c:v>
                </c:pt>
                <c:pt idx="4">
                  <c:v>15</c:v>
                </c:pt>
                <c:pt idx="5">
                  <c:v>3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B0D-4A2B-969B-2B39AF045302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[1]Art11!$H$2:$H$13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[1]Art11!$J$2:$J$13</c:f>
              <c:numCache>
                <c:formatCode>General</c:formatCode>
                <c:ptCount val="12"/>
                <c:pt idx="0">
                  <c:v>0</c:v>
                </c:pt>
                <c:pt idx="1">
                  <c:v>9</c:v>
                </c:pt>
                <c:pt idx="2">
                  <c:v>2</c:v>
                </c:pt>
                <c:pt idx="3">
                  <c:v>7</c:v>
                </c:pt>
                <c:pt idx="4">
                  <c:v>0</c:v>
                </c:pt>
                <c:pt idx="5">
                  <c:v>5</c:v>
                </c:pt>
                <c:pt idx="6">
                  <c:v>11</c:v>
                </c:pt>
                <c:pt idx="7">
                  <c:v>11</c:v>
                </c:pt>
                <c:pt idx="8">
                  <c:v>18</c:v>
                </c:pt>
                <c:pt idx="9">
                  <c:v>13</c:v>
                </c:pt>
                <c:pt idx="10">
                  <c:v>6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B0D-4A2B-969B-2B39AF045302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[1]Art11!$H$2:$H$13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[1]Art11!$K$2:$K$13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4</c:v>
                </c:pt>
                <c:pt idx="6">
                  <c:v>2</c:v>
                </c:pt>
                <c:pt idx="7">
                  <c:v>11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B0D-4A2B-969B-2B39AF045302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[1]Art11!$H$2:$H$13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[1]Art11!$L$2:$L$13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9B0D-4A2B-969B-2B39AF045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60933041"/>
        <c:axId val="11175149"/>
      </c:barChart>
      <c:catAx>
        <c:axId val="16609330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1175149"/>
        <c:crosses val="autoZero"/>
        <c:auto val="1"/>
        <c:lblAlgn val="ctr"/>
        <c:lblOffset val="100"/>
        <c:noMultiLvlLbl val="1"/>
      </c:catAx>
      <c:valAx>
        <c:axId val="111751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66093304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sz="1600" b="1" i="0">
                <a:solidFill>
                  <a:srgbClr val="757575"/>
                </a:solidFill>
                <a:latin typeface="Arial"/>
              </a:rPr>
              <a:t>% de Votaciones Art.11 por Colectivos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[1]Art11!$H$46:$H$57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[1]Art11!$I$46:$I$57</c:f>
              <c:numCache>
                <c:formatCode>General</c:formatCode>
                <c:ptCount val="12"/>
                <c:pt idx="0">
                  <c:v>1</c:v>
                </c:pt>
                <c:pt idx="1">
                  <c:v>0.16666666666666666</c:v>
                </c:pt>
                <c:pt idx="2">
                  <c:v>0.8</c:v>
                </c:pt>
                <c:pt idx="3">
                  <c:v>0</c:v>
                </c:pt>
                <c:pt idx="4">
                  <c:v>0.9375</c:v>
                </c:pt>
                <c:pt idx="5">
                  <c:v>0.25</c:v>
                </c:pt>
                <c:pt idx="6">
                  <c:v>0.13333333333333333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0A1-42CA-B249-C6C0008A8F2A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[1]Art11!$H$46:$H$57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[1]Art11!$J$46:$J$57</c:f>
              <c:numCache>
                <c:formatCode>General</c:formatCode>
                <c:ptCount val="12"/>
                <c:pt idx="0">
                  <c:v>0</c:v>
                </c:pt>
                <c:pt idx="1">
                  <c:v>0.75</c:v>
                </c:pt>
                <c:pt idx="2">
                  <c:v>0.2</c:v>
                </c:pt>
                <c:pt idx="3">
                  <c:v>0.77777777777777779</c:v>
                </c:pt>
                <c:pt idx="4">
                  <c:v>0</c:v>
                </c:pt>
                <c:pt idx="5">
                  <c:v>0.41666666666666669</c:v>
                </c:pt>
                <c:pt idx="6">
                  <c:v>0.73333333333333328</c:v>
                </c:pt>
                <c:pt idx="7">
                  <c:v>0.5</c:v>
                </c:pt>
                <c:pt idx="8">
                  <c:v>0.8571428571428571</c:v>
                </c:pt>
                <c:pt idx="9">
                  <c:v>0.8666666666666667</c:v>
                </c:pt>
                <c:pt idx="10">
                  <c:v>0.8571428571428571</c:v>
                </c:pt>
                <c:pt idx="11">
                  <c:v>0.2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0A1-42CA-B249-C6C0008A8F2A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[1]Art11!$H$46:$H$57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[1]Art11!$K$46:$K$57</c:f>
              <c:numCache>
                <c:formatCode>General</c:formatCode>
                <c:ptCount val="12"/>
                <c:pt idx="0">
                  <c:v>0</c:v>
                </c:pt>
                <c:pt idx="1">
                  <c:v>8.3333333333333329E-2</c:v>
                </c:pt>
                <c:pt idx="2">
                  <c:v>0</c:v>
                </c:pt>
                <c:pt idx="3">
                  <c:v>0.1111111111111111</c:v>
                </c:pt>
                <c:pt idx="4">
                  <c:v>6.25E-2</c:v>
                </c:pt>
                <c:pt idx="5">
                  <c:v>0.33333333333333331</c:v>
                </c:pt>
                <c:pt idx="6">
                  <c:v>0.13333333333333333</c:v>
                </c:pt>
                <c:pt idx="7">
                  <c:v>0.5</c:v>
                </c:pt>
                <c:pt idx="8">
                  <c:v>0.14285714285714285</c:v>
                </c:pt>
                <c:pt idx="9">
                  <c:v>0.13333333333333333</c:v>
                </c:pt>
                <c:pt idx="10">
                  <c:v>0.14285714285714285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A0A1-42CA-B249-C6C0008A8F2A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[1]Art11!$H$46:$H$57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[1]Art11!$L$46:$L$57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0.1111111111111111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A0A1-42CA-B249-C6C0008A8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5181800"/>
        <c:axId val="1788290304"/>
      </c:barChart>
      <c:catAx>
        <c:axId val="915181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788290304"/>
        <c:crosses val="autoZero"/>
        <c:auto val="1"/>
        <c:lblAlgn val="ctr"/>
        <c:lblOffset val="100"/>
        <c:noMultiLvlLbl val="1"/>
      </c:catAx>
      <c:valAx>
        <c:axId val="17882903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91518180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Votaciones Art.12 por Colectivos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[1]Art12!$H$2:$H$13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[1]Art12!$I$2:$I$13</c:f>
              <c:numCache>
                <c:formatCode>General</c:formatCode>
                <c:ptCount val="12"/>
                <c:pt idx="0">
                  <c:v>10</c:v>
                </c:pt>
                <c:pt idx="1">
                  <c:v>12</c:v>
                </c:pt>
                <c:pt idx="2">
                  <c:v>10</c:v>
                </c:pt>
                <c:pt idx="3">
                  <c:v>0</c:v>
                </c:pt>
                <c:pt idx="4">
                  <c:v>16</c:v>
                </c:pt>
                <c:pt idx="5">
                  <c:v>8</c:v>
                </c:pt>
                <c:pt idx="6">
                  <c:v>3</c:v>
                </c:pt>
                <c:pt idx="7">
                  <c:v>8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1DC-44CB-9B1B-C0581DB69436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[1]Art12!$H$2:$H$13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[1]Art12!$J$2:$J$13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12</c:v>
                </c:pt>
                <c:pt idx="7">
                  <c:v>3</c:v>
                </c:pt>
                <c:pt idx="8">
                  <c:v>21</c:v>
                </c:pt>
                <c:pt idx="9">
                  <c:v>13</c:v>
                </c:pt>
                <c:pt idx="10">
                  <c:v>5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1DC-44CB-9B1B-C0581DB69436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[1]Art12!$H$2:$H$13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[1]Art12!$K$2:$K$13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11DC-44CB-9B1B-C0581DB69436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[1]Art12!$H$2:$H$13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[1]Art12!$L$2:$L$13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11DC-44CB-9B1B-C0581DB69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77154005"/>
        <c:axId val="46823654"/>
      </c:barChart>
      <c:catAx>
        <c:axId val="18771540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46823654"/>
        <c:crosses val="autoZero"/>
        <c:auto val="1"/>
        <c:lblAlgn val="ctr"/>
        <c:lblOffset val="100"/>
        <c:noMultiLvlLbl val="1"/>
      </c:catAx>
      <c:valAx>
        <c:axId val="468236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87715400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% de Votaciones Art.12 por Colectivos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[1]Art12!$H$46:$H$57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[1]Art12!$I$46:$I$57</c:f>
              <c:numCache>
                <c:formatCode>General</c:formatCode>
                <c:ptCount val="12"/>
                <c:pt idx="0">
                  <c:v>0.90909090909090906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0.66666666666666663</c:v>
                </c:pt>
                <c:pt idx="6">
                  <c:v>0.2</c:v>
                </c:pt>
                <c:pt idx="7">
                  <c:v>0.5714285714285714</c:v>
                </c:pt>
                <c:pt idx="8">
                  <c:v>0</c:v>
                </c:pt>
                <c:pt idx="9">
                  <c:v>0</c:v>
                </c:pt>
                <c:pt idx="10">
                  <c:v>0.2857142857142857</c:v>
                </c:pt>
                <c:pt idx="11">
                  <c:v>0.8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79D-4E48-874C-0303BBEA6EB2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[1]Art12!$H$46:$H$57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[1]Art12!$J$46:$J$57</c:f>
              <c:numCache>
                <c:formatCode>General</c:formatCode>
                <c:ptCount val="12"/>
                <c:pt idx="0">
                  <c:v>9.0909090909090912E-2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0.16666666666666666</c:v>
                </c:pt>
                <c:pt idx="6">
                  <c:v>0.8</c:v>
                </c:pt>
                <c:pt idx="7">
                  <c:v>0.21428571428571427</c:v>
                </c:pt>
                <c:pt idx="8">
                  <c:v>1</c:v>
                </c:pt>
                <c:pt idx="9">
                  <c:v>0.8666666666666667</c:v>
                </c:pt>
                <c:pt idx="10">
                  <c:v>0.7142857142857143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79D-4E48-874C-0303BBEA6EB2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[1]Art12!$H$46:$H$57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[1]Art12!$K$46:$K$57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0.88888888888888884</c:v>
                </c:pt>
                <c:pt idx="4">
                  <c:v>0</c:v>
                </c:pt>
                <c:pt idx="5">
                  <c:v>0.16666666666666666</c:v>
                </c:pt>
                <c:pt idx="6">
                  <c:v>0</c:v>
                </c:pt>
                <c:pt idx="7">
                  <c:v>0.21428571428571427</c:v>
                </c:pt>
                <c:pt idx="8">
                  <c:v>0</c:v>
                </c:pt>
                <c:pt idx="9">
                  <c:v>6.6666666666666666E-2</c:v>
                </c:pt>
                <c:pt idx="10">
                  <c:v>0</c:v>
                </c:pt>
                <c:pt idx="11">
                  <c:v>0.2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D79D-4E48-874C-0303BBEA6EB2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[1]Art12!$H$46:$H$57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[1]Art12!$L$46:$L$57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0.1111111111111111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6.6666666666666666E-2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D79D-4E48-874C-0303BBEA6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91466151"/>
        <c:axId val="1924366158"/>
      </c:barChart>
      <c:catAx>
        <c:axId val="10914661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924366158"/>
        <c:crosses val="autoZero"/>
        <c:auto val="1"/>
        <c:lblAlgn val="ctr"/>
        <c:lblOffset val="100"/>
        <c:noMultiLvlLbl val="1"/>
      </c:catAx>
      <c:valAx>
        <c:axId val="19243661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09146615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Votaciones Art.13 por Colectivos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[1]Art13!$H$2:$H$13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[1]Art13!$I$2:$I$13</c:f>
              <c:numCache>
                <c:formatCode>General</c:formatCode>
                <c:ptCount val="12"/>
                <c:pt idx="0">
                  <c:v>11</c:v>
                </c:pt>
                <c:pt idx="1">
                  <c:v>12</c:v>
                </c:pt>
                <c:pt idx="2">
                  <c:v>10</c:v>
                </c:pt>
                <c:pt idx="3">
                  <c:v>0</c:v>
                </c:pt>
                <c:pt idx="4">
                  <c:v>15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7B3-4748-90AF-CDB777BCCB0C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[1]Art13!$H$2:$H$13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[1]Art13!$J$2:$J$13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4</c:v>
                </c:pt>
                <c:pt idx="6">
                  <c:v>11</c:v>
                </c:pt>
                <c:pt idx="7">
                  <c:v>10</c:v>
                </c:pt>
                <c:pt idx="8">
                  <c:v>21</c:v>
                </c:pt>
                <c:pt idx="9">
                  <c:v>14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7B3-4748-90AF-CDB777BCCB0C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[1]Art13!$H$2:$H$13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[1]Art13!$K$2:$K$13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</c:v>
                </c:pt>
                <c:pt idx="4">
                  <c:v>0</c:v>
                </c:pt>
                <c:pt idx="5">
                  <c:v>6</c:v>
                </c:pt>
                <c:pt idx="6">
                  <c:v>1</c:v>
                </c:pt>
                <c:pt idx="7">
                  <c:v>10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A7B3-4748-90AF-CDB777BCCB0C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[1]Art13!$H$2:$H$13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[1]Art13!$L$2:$L$13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A7B3-4748-90AF-CDB777BCC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96034267"/>
        <c:axId val="885404803"/>
      </c:barChart>
      <c:catAx>
        <c:axId val="4960342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885404803"/>
        <c:crosses val="autoZero"/>
        <c:auto val="1"/>
        <c:lblAlgn val="ctr"/>
        <c:lblOffset val="100"/>
        <c:noMultiLvlLbl val="1"/>
      </c:catAx>
      <c:valAx>
        <c:axId val="8854048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496034267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% de Votaciones Art.13 por Colectivos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[1]Art13!$H$46:$H$57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[1]Art13!$I$46:$I$57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0.9375</c:v>
                </c:pt>
                <c:pt idx="5">
                  <c:v>0.16666666666666666</c:v>
                </c:pt>
                <c:pt idx="6">
                  <c:v>0.2</c:v>
                </c:pt>
                <c:pt idx="7">
                  <c:v>9.0909090909090912E-2</c:v>
                </c:pt>
                <c:pt idx="8">
                  <c:v>0</c:v>
                </c:pt>
                <c:pt idx="9">
                  <c:v>0</c:v>
                </c:pt>
                <c:pt idx="10">
                  <c:v>0.14285714285714285</c:v>
                </c:pt>
                <c:pt idx="11">
                  <c:v>0.6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EF6-4E60-A207-44E2F70DF285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[1]Art13!$H$46:$H$57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[1]Art13!$J$46:$J$57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6.25E-2</c:v>
                </c:pt>
                <c:pt idx="5">
                  <c:v>0.33333333333333331</c:v>
                </c:pt>
                <c:pt idx="6">
                  <c:v>0.73333333333333328</c:v>
                </c:pt>
                <c:pt idx="7">
                  <c:v>0.45454545454545453</c:v>
                </c:pt>
                <c:pt idx="8">
                  <c:v>1</c:v>
                </c:pt>
                <c:pt idx="9">
                  <c:v>0.93333333333333335</c:v>
                </c:pt>
                <c:pt idx="10">
                  <c:v>0.5714285714285714</c:v>
                </c:pt>
                <c:pt idx="11">
                  <c:v>0.2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EF6-4E60-A207-44E2F70DF285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[1]Art13!$H$46:$H$57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[1]Art13!$K$46:$K$57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0.88888888888888884</c:v>
                </c:pt>
                <c:pt idx="4">
                  <c:v>0</c:v>
                </c:pt>
                <c:pt idx="5">
                  <c:v>0.5</c:v>
                </c:pt>
                <c:pt idx="6">
                  <c:v>6.6666666666666666E-2</c:v>
                </c:pt>
                <c:pt idx="7">
                  <c:v>0.45454545454545453</c:v>
                </c:pt>
                <c:pt idx="8">
                  <c:v>0</c:v>
                </c:pt>
                <c:pt idx="9">
                  <c:v>6.6666666666666666E-2</c:v>
                </c:pt>
                <c:pt idx="10">
                  <c:v>0.2857142857142857</c:v>
                </c:pt>
                <c:pt idx="11">
                  <c:v>0.2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DEF6-4E60-A207-44E2F70DF285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[1]Art13!$H$46:$H$57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[1]Art13!$L$46:$L$57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0.1111111111111111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DEF6-4E60-A207-44E2F70DF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1404726"/>
        <c:axId val="47371248"/>
      </c:barChart>
      <c:catAx>
        <c:axId val="7814047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47371248"/>
        <c:crosses val="autoZero"/>
        <c:auto val="1"/>
        <c:lblAlgn val="ctr"/>
        <c:lblOffset val="100"/>
        <c:noMultiLvlLbl val="1"/>
      </c:catAx>
      <c:valAx>
        <c:axId val="473712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78140472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Votaciones Art.14 por Colectivos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[1]Art14!$H$2:$H$13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[1]Art14!$I$2:$I$13</c:f>
              <c:numCache>
                <c:formatCode>General</c:formatCode>
                <c:ptCount val="12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0</c:v>
                </c:pt>
                <c:pt idx="4">
                  <c:v>3</c:v>
                </c:pt>
                <c:pt idx="5">
                  <c:v>9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C73-4721-A96B-BD4B1B116B2A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[1]Art14!$H$2:$H$13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[1]Art14!$J$2:$J$13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7</c:v>
                </c:pt>
                <c:pt idx="4">
                  <c:v>11</c:v>
                </c:pt>
                <c:pt idx="5">
                  <c:v>2</c:v>
                </c:pt>
                <c:pt idx="6">
                  <c:v>13</c:v>
                </c:pt>
                <c:pt idx="7">
                  <c:v>9</c:v>
                </c:pt>
                <c:pt idx="8">
                  <c:v>19</c:v>
                </c:pt>
                <c:pt idx="9">
                  <c:v>6</c:v>
                </c:pt>
                <c:pt idx="10">
                  <c:v>6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C73-4721-A96B-BD4B1B116B2A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[1]Art14!$H$2:$H$13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[1]Art14!$K$2:$K$13</c:f>
              <c:numCache>
                <c:formatCode>General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9</c:v>
                </c:pt>
                <c:pt idx="8">
                  <c:v>2</c:v>
                </c:pt>
                <c:pt idx="9">
                  <c:v>8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C73-4721-A96B-BD4B1B116B2A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[1]Art14!$H$2:$H$13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[1]Art14!$L$2:$L$13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0C73-4721-A96B-BD4B1B116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99885380"/>
        <c:axId val="105733031"/>
      </c:barChart>
      <c:catAx>
        <c:axId val="17998853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05733031"/>
        <c:crosses val="autoZero"/>
        <c:auto val="1"/>
        <c:lblAlgn val="ctr"/>
        <c:lblOffset val="100"/>
        <c:noMultiLvlLbl val="1"/>
      </c:catAx>
      <c:valAx>
        <c:axId val="1057330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79988538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% de Votaciones Art.14 por Colectivos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[1]Art14!$H$46:$H$57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[1]Art14!$I$46:$I$57</c:f>
              <c:numCache>
                <c:formatCode>General</c:formatCode>
                <c:ptCount val="12"/>
                <c:pt idx="0">
                  <c:v>0.72727272727272729</c:v>
                </c:pt>
                <c:pt idx="1">
                  <c:v>0.91666666666666663</c:v>
                </c:pt>
                <c:pt idx="2">
                  <c:v>1</c:v>
                </c:pt>
                <c:pt idx="3">
                  <c:v>0</c:v>
                </c:pt>
                <c:pt idx="4">
                  <c:v>0.1875</c:v>
                </c:pt>
                <c:pt idx="5">
                  <c:v>0.75</c:v>
                </c:pt>
                <c:pt idx="6">
                  <c:v>0</c:v>
                </c:pt>
                <c:pt idx="7">
                  <c:v>0.1</c:v>
                </c:pt>
                <c:pt idx="8">
                  <c:v>0</c:v>
                </c:pt>
                <c:pt idx="9">
                  <c:v>6.6666666666666666E-2</c:v>
                </c:pt>
                <c:pt idx="10">
                  <c:v>0</c:v>
                </c:pt>
                <c:pt idx="11">
                  <c:v>0.8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584-4946-868E-91C2B5A6BD66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[1]Art14!$H$46:$H$57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[1]Art14!$J$46:$J$57</c:f>
              <c:numCache>
                <c:formatCode>General</c:formatCode>
                <c:ptCount val="12"/>
                <c:pt idx="0">
                  <c:v>9.0909090909090912E-2</c:v>
                </c:pt>
                <c:pt idx="1">
                  <c:v>8.3333333333333329E-2</c:v>
                </c:pt>
                <c:pt idx="2">
                  <c:v>0</c:v>
                </c:pt>
                <c:pt idx="3">
                  <c:v>0.77777777777777779</c:v>
                </c:pt>
                <c:pt idx="4">
                  <c:v>0.6875</c:v>
                </c:pt>
                <c:pt idx="5">
                  <c:v>0.16666666666666666</c:v>
                </c:pt>
                <c:pt idx="6">
                  <c:v>0.8666666666666667</c:v>
                </c:pt>
                <c:pt idx="7">
                  <c:v>0.45</c:v>
                </c:pt>
                <c:pt idx="8">
                  <c:v>0.90476190476190477</c:v>
                </c:pt>
                <c:pt idx="9">
                  <c:v>0.4</c:v>
                </c:pt>
                <c:pt idx="10">
                  <c:v>0.8571428571428571</c:v>
                </c:pt>
                <c:pt idx="11">
                  <c:v>0.2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584-4946-868E-91C2B5A6BD66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[1]Art14!$H$46:$H$57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[1]Art14!$K$46:$K$57</c:f>
              <c:numCache>
                <c:formatCode>General</c:formatCode>
                <c:ptCount val="12"/>
                <c:pt idx="0">
                  <c:v>0.18181818181818182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0.125</c:v>
                </c:pt>
                <c:pt idx="5">
                  <c:v>8.3333333333333329E-2</c:v>
                </c:pt>
                <c:pt idx="6">
                  <c:v>0.13333333333333333</c:v>
                </c:pt>
                <c:pt idx="7">
                  <c:v>0.45</c:v>
                </c:pt>
                <c:pt idx="8">
                  <c:v>9.5238095238095233E-2</c:v>
                </c:pt>
                <c:pt idx="9">
                  <c:v>0.53333333333333333</c:v>
                </c:pt>
                <c:pt idx="10">
                  <c:v>0.14285714285714285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D584-4946-868E-91C2B5A6BD66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[1]Art14!$H$46:$H$57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[1]Art14!$L$46:$L$57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0.22222222222222221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D584-4946-868E-91C2B5A6B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15782844"/>
        <c:axId val="448035600"/>
      </c:barChart>
      <c:catAx>
        <c:axId val="15157828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448035600"/>
        <c:crosses val="autoZero"/>
        <c:auto val="1"/>
        <c:lblAlgn val="ctr"/>
        <c:lblOffset val="100"/>
        <c:noMultiLvlLbl val="1"/>
      </c:catAx>
      <c:valAx>
        <c:axId val="4480356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515782844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Votaciones Art.15 por Colectivos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[1]Art15!$H$2:$H$13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[1]Art15!$I$2:$I$13</c:f>
              <c:numCache>
                <c:formatCode>General</c:formatCode>
                <c:ptCount val="12"/>
                <c:pt idx="0">
                  <c:v>11</c:v>
                </c:pt>
                <c:pt idx="1">
                  <c:v>12</c:v>
                </c:pt>
                <c:pt idx="2">
                  <c:v>10</c:v>
                </c:pt>
                <c:pt idx="3">
                  <c:v>0</c:v>
                </c:pt>
                <c:pt idx="4">
                  <c:v>15</c:v>
                </c:pt>
                <c:pt idx="5">
                  <c:v>10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EA3-4A15-853A-8F2558E1098C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[1]Art15!$H$2:$H$13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[1]Art15!$J$2:$J$13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</c:v>
                </c:pt>
                <c:pt idx="4">
                  <c:v>0</c:v>
                </c:pt>
                <c:pt idx="5">
                  <c:v>0</c:v>
                </c:pt>
                <c:pt idx="6">
                  <c:v>13</c:v>
                </c:pt>
                <c:pt idx="7">
                  <c:v>9</c:v>
                </c:pt>
                <c:pt idx="8">
                  <c:v>21</c:v>
                </c:pt>
                <c:pt idx="9">
                  <c:v>14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EA3-4A15-853A-8F2558E1098C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[1]Art15!$H$2:$H$13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[1]Art15!$K$2:$K$13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9</c:v>
                </c:pt>
                <c:pt idx="8">
                  <c:v>0</c:v>
                </c:pt>
                <c:pt idx="9">
                  <c:v>1</c:v>
                </c:pt>
                <c:pt idx="10">
                  <c:v>3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EA3-4A15-853A-8F2558E1098C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[1]Art15!$H$2:$H$13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[1]Art15!$L$2:$L$13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0EA3-4A15-853A-8F2558E10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0501161"/>
        <c:axId val="1938881380"/>
      </c:barChart>
      <c:catAx>
        <c:axId val="3905011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938881380"/>
        <c:crosses val="autoZero"/>
        <c:auto val="1"/>
        <c:lblAlgn val="ctr"/>
        <c:lblOffset val="100"/>
        <c:noMultiLvlLbl val="1"/>
      </c:catAx>
      <c:valAx>
        <c:axId val="19388813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39050116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sz="1600" b="1" i="0">
                <a:solidFill>
                  <a:srgbClr val="757575"/>
                </a:solidFill>
                <a:latin typeface="Arial"/>
              </a:rPr>
              <a:t>% de Votaciones Art.15 por Colectivos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[1]Art15!$H$46:$H$57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[1]Art15!$I$46:$I$57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0.9375</c:v>
                </c:pt>
                <c:pt idx="5">
                  <c:v>0.83333333333333337</c:v>
                </c:pt>
                <c:pt idx="6">
                  <c:v>6.6666666666666666E-2</c:v>
                </c:pt>
                <c:pt idx="7">
                  <c:v>0.1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463-4DD7-A704-B84AE402C5B4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[1]Art15!$H$46:$H$57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[1]Art15!$J$46:$J$57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0.88888888888888884</c:v>
                </c:pt>
                <c:pt idx="4">
                  <c:v>0</c:v>
                </c:pt>
                <c:pt idx="5">
                  <c:v>0</c:v>
                </c:pt>
                <c:pt idx="6">
                  <c:v>0.8666666666666667</c:v>
                </c:pt>
                <c:pt idx="7">
                  <c:v>0.45</c:v>
                </c:pt>
                <c:pt idx="8">
                  <c:v>1</c:v>
                </c:pt>
                <c:pt idx="9">
                  <c:v>0.93333333333333335</c:v>
                </c:pt>
                <c:pt idx="10">
                  <c:v>0.42857142857142855</c:v>
                </c:pt>
                <c:pt idx="11">
                  <c:v>0.4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463-4DD7-A704-B84AE402C5B4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[1]Art15!$H$46:$H$57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[1]Art15!$K$46:$K$57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0.16666666666666666</c:v>
                </c:pt>
                <c:pt idx="6">
                  <c:v>6.6666666666666666E-2</c:v>
                </c:pt>
                <c:pt idx="7">
                  <c:v>0.45</c:v>
                </c:pt>
                <c:pt idx="8">
                  <c:v>0</c:v>
                </c:pt>
                <c:pt idx="9">
                  <c:v>6.6666666666666666E-2</c:v>
                </c:pt>
                <c:pt idx="10">
                  <c:v>0.42857142857142855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3463-4DD7-A704-B84AE402C5B4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[1]Art15!$H$46:$H$57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[1]Art15!$L$46:$L$57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0.1111111111111111</c:v>
                </c:pt>
                <c:pt idx="4">
                  <c:v>6.25E-2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0.14285714285714285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3463-4DD7-A704-B84AE402C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088653"/>
        <c:axId val="1443192152"/>
      </c:barChart>
      <c:catAx>
        <c:axId val="6280886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443192152"/>
        <c:crosses val="autoZero"/>
        <c:auto val="1"/>
        <c:lblAlgn val="ctr"/>
        <c:lblOffset val="100"/>
        <c:noMultiLvlLbl val="1"/>
      </c:catAx>
      <c:valAx>
        <c:axId val="14431921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62808865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Votaciones Art.16 por Colectivos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[1]Art16!$H$2:$H$13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[1]Art16!$I$2:$I$13</c:f>
              <c:numCache>
                <c:formatCode>General</c:formatCode>
                <c:ptCount val="12"/>
                <c:pt idx="0">
                  <c:v>11</c:v>
                </c:pt>
                <c:pt idx="1">
                  <c:v>6</c:v>
                </c:pt>
                <c:pt idx="2">
                  <c:v>10</c:v>
                </c:pt>
                <c:pt idx="3">
                  <c:v>0</c:v>
                </c:pt>
                <c:pt idx="4">
                  <c:v>16</c:v>
                </c:pt>
                <c:pt idx="5">
                  <c:v>5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C1A-4142-8A06-E412D3BC0CB5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[1]Art16!$H$2:$H$13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[1]Art16!$J$2:$J$13</c:f>
              <c:numCache>
                <c:formatCode>General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13</c:v>
                </c:pt>
                <c:pt idx="7">
                  <c:v>9</c:v>
                </c:pt>
                <c:pt idx="8">
                  <c:v>21</c:v>
                </c:pt>
                <c:pt idx="9">
                  <c:v>13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C1A-4142-8A06-E412D3BC0CB5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[1]Art16!$H$2:$H$13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[1]Art16!$K$2:$K$13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7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9</c:v>
                </c:pt>
                <c:pt idx="8">
                  <c:v>0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4C1A-4142-8A06-E412D3BC0CB5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[1]Art16!$H$2:$H$13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[1]Art16!$L$2:$L$13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4C1A-4142-8A06-E412D3BC0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19186778"/>
        <c:axId val="479933826"/>
      </c:barChart>
      <c:catAx>
        <c:axId val="12191867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479933826"/>
        <c:crosses val="autoZero"/>
        <c:auto val="1"/>
        <c:lblAlgn val="ctr"/>
        <c:lblOffset val="100"/>
        <c:noMultiLvlLbl val="1"/>
      </c:catAx>
      <c:valAx>
        <c:axId val="4799338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21918677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sz="1600" b="1" i="0">
                <a:solidFill>
                  <a:srgbClr val="757575"/>
                </a:solidFill>
                <a:latin typeface="Arial"/>
              </a:rPr>
              <a:t>% de Votaciones Art.16 por Colectivos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[1]Art16!$H$46:$H$57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[1]Art16!$I$46:$I$57</c:f>
              <c:numCache>
                <c:formatCode>General</c:formatCode>
                <c:ptCount val="12"/>
                <c:pt idx="0">
                  <c:v>1</c:v>
                </c:pt>
                <c:pt idx="1">
                  <c:v>0.5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0.41666666666666669</c:v>
                </c:pt>
                <c:pt idx="6">
                  <c:v>6.6666666666666666E-2</c:v>
                </c:pt>
                <c:pt idx="7">
                  <c:v>0.1</c:v>
                </c:pt>
                <c:pt idx="8">
                  <c:v>0</c:v>
                </c:pt>
                <c:pt idx="9">
                  <c:v>0</c:v>
                </c:pt>
                <c:pt idx="10">
                  <c:v>0.14285714285714285</c:v>
                </c:pt>
                <c:pt idx="11">
                  <c:v>0.8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1E6-4AD6-88BA-107C90299119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[1]Art16!$H$46:$H$57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[1]Art16!$J$46:$J$57</c:f>
              <c:numCache>
                <c:formatCode>General</c:formatCode>
                <c:ptCount val="12"/>
                <c:pt idx="0">
                  <c:v>0</c:v>
                </c:pt>
                <c:pt idx="1">
                  <c:v>0.41666666666666669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0.41666666666666669</c:v>
                </c:pt>
                <c:pt idx="6">
                  <c:v>0.8666666666666667</c:v>
                </c:pt>
                <c:pt idx="7">
                  <c:v>0.45</c:v>
                </c:pt>
                <c:pt idx="8">
                  <c:v>1</c:v>
                </c:pt>
                <c:pt idx="9">
                  <c:v>0.8666666666666667</c:v>
                </c:pt>
                <c:pt idx="10">
                  <c:v>0.5714285714285714</c:v>
                </c:pt>
                <c:pt idx="11">
                  <c:v>0.2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1E6-4AD6-88BA-107C90299119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[1]Art16!$H$46:$H$57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[1]Art16!$K$46:$K$57</c:f>
              <c:numCache>
                <c:formatCode>General</c:formatCode>
                <c:ptCount val="12"/>
                <c:pt idx="0">
                  <c:v>0</c:v>
                </c:pt>
                <c:pt idx="1">
                  <c:v>8.3333333333333329E-2</c:v>
                </c:pt>
                <c:pt idx="2">
                  <c:v>0</c:v>
                </c:pt>
                <c:pt idx="3">
                  <c:v>0.77777777777777779</c:v>
                </c:pt>
                <c:pt idx="4">
                  <c:v>0</c:v>
                </c:pt>
                <c:pt idx="5">
                  <c:v>0.16666666666666666</c:v>
                </c:pt>
                <c:pt idx="6">
                  <c:v>6.6666666666666666E-2</c:v>
                </c:pt>
                <c:pt idx="7">
                  <c:v>0.45</c:v>
                </c:pt>
                <c:pt idx="8">
                  <c:v>0</c:v>
                </c:pt>
                <c:pt idx="9">
                  <c:v>0.13333333333333333</c:v>
                </c:pt>
                <c:pt idx="10">
                  <c:v>0.2857142857142857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1E6-4AD6-88BA-107C90299119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[1]Art16!$H$46:$H$57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[1]Art16!$L$46:$L$57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0.22222222222222221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B1E6-4AD6-88BA-107C9029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42298605"/>
        <c:axId val="1875737957"/>
      </c:barChart>
      <c:catAx>
        <c:axId val="14422986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875737957"/>
        <c:crosses val="autoZero"/>
        <c:auto val="1"/>
        <c:lblAlgn val="ctr"/>
        <c:lblOffset val="100"/>
        <c:noMultiLvlLbl val="1"/>
      </c:catAx>
      <c:valAx>
        <c:axId val="18757379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44229860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Votaciones Art.17 por Colectivos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[1]Art17!$H$2:$H$13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[1]Art17!$I$2:$I$13</c:f>
              <c:numCache>
                <c:formatCode>General</c:formatCode>
                <c:ptCount val="12"/>
                <c:pt idx="0">
                  <c:v>11</c:v>
                </c:pt>
                <c:pt idx="1">
                  <c:v>11</c:v>
                </c:pt>
                <c:pt idx="2">
                  <c:v>9</c:v>
                </c:pt>
                <c:pt idx="3">
                  <c:v>7</c:v>
                </c:pt>
                <c:pt idx="4">
                  <c:v>16</c:v>
                </c:pt>
                <c:pt idx="5">
                  <c:v>3</c:v>
                </c:pt>
                <c:pt idx="6">
                  <c:v>5</c:v>
                </c:pt>
                <c:pt idx="7">
                  <c:v>9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424-449A-9F17-3B5331E182E6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[1]Art17!$H$2:$H$13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[1]Art17!$J$2:$J$13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8</c:v>
                </c:pt>
                <c:pt idx="6">
                  <c:v>10</c:v>
                </c:pt>
                <c:pt idx="7">
                  <c:v>2</c:v>
                </c:pt>
                <c:pt idx="8">
                  <c:v>21</c:v>
                </c:pt>
                <c:pt idx="9">
                  <c:v>15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424-449A-9F17-3B5331E182E6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[1]Art17!$H$2:$H$13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[1]Art17!$K$2:$K$13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4424-449A-9F17-3B5331E182E6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[1]Art17!$H$2:$H$13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[1]Art17!$L$2:$L$13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4424-449A-9F17-3B5331E18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32128975"/>
        <c:axId val="1490572533"/>
      </c:barChart>
      <c:catAx>
        <c:axId val="103212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490572533"/>
        <c:crosses val="autoZero"/>
        <c:auto val="1"/>
        <c:lblAlgn val="ctr"/>
        <c:lblOffset val="100"/>
        <c:noMultiLvlLbl val="1"/>
      </c:catAx>
      <c:valAx>
        <c:axId val="14905725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03212897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% de Votaciones Art.17 por Colectivos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[1]Art17!$H$46:$H$57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[1]Art17!$I$46:$I$57</c:f>
              <c:numCache>
                <c:formatCode>General</c:formatCode>
                <c:ptCount val="12"/>
                <c:pt idx="0">
                  <c:v>1</c:v>
                </c:pt>
                <c:pt idx="1">
                  <c:v>0.91666666666666663</c:v>
                </c:pt>
                <c:pt idx="2">
                  <c:v>0.9</c:v>
                </c:pt>
                <c:pt idx="3">
                  <c:v>0.77777777777777779</c:v>
                </c:pt>
                <c:pt idx="4">
                  <c:v>1</c:v>
                </c:pt>
                <c:pt idx="5">
                  <c:v>0.25</c:v>
                </c:pt>
                <c:pt idx="6">
                  <c:v>0.33333333333333331</c:v>
                </c:pt>
                <c:pt idx="7">
                  <c:v>0.69230769230769229</c:v>
                </c:pt>
                <c:pt idx="8">
                  <c:v>0</c:v>
                </c:pt>
                <c:pt idx="9">
                  <c:v>0</c:v>
                </c:pt>
                <c:pt idx="10">
                  <c:v>0.14285714285714285</c:v>
                </c:pt>
                <c:pt idx="11">
                  <c:v>0.8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8CF-4019-81FC-12B45F5580D2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[1]Art17!$H$46:$H$57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[1]Art17!$J$46:$J$57</c:f>
              <c:numCache>
                <c:formatCode>General</c:formatCode>
                <c:ptCount val="12"/>
                <c:pt idx="0">
                  <c:v>0</c:v>
                </c:pt>
                <c:pt idx="1">
                  <c:v>8.3333333333333329E-2</c:v>
                </c:pt>
                <c:pt idx="2">
                  <c:v>0.1</c:v>
                </c:pt>
                <c:pt idx="3">
                  <c:v>0</c:v>
                </c:pt>
                <c:pt idx="4">
                  <c:v>0</c:v>
                </c:pt>
                <c:pt idx="5">
                  <c:v>0.66666666666666663</c:v>
                </c:pt>
                <c:pt idx="6">
                  <c:v>0.66666666666666663</c:v>
                </c:pt>
                <c:pt idx="7">
                  <c:v>0.15384615384615385</c:v>
                </c:pt>
                <c:pt idx="8">
                  <c:v>1</c:v>
                </c:pt>
                <c:pt idx="9">
                  <c:v>1</c:v>
                </c:pt>
                <c:pt idx="10">
                  <c:v>0.5714285714285714</c:v>
                </c:pt>
                <c:pt idx="11">
                  <c:v>0.2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8CF-4019-81FC-12B45F5580D2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[1]Art17!$H$46:$H$57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[1]Art17!$K$46:$K$57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0.1111111111111111</c:v>
                </c:pt>
                <c:pt idx="4">
                  <c:v>0</c:v>
                </c:pt>
                <c:pt idx="5">
                  <c:v>8.3333333333333329E-2</c:v>
                </c:pt>
                <c:pt idx="6">
                  <c:v>0</c:v>
                </c:pt>
                <c:pt idx="7">
                  <c:v>0.15384615384615385</c:v>
                </c:pt>
                <c:pt idx="8">
                  <c:v>0</c:v>
                </c:pt>
                <c:pt idx="9">
                  <c:v>0</c:v>
                </c:pt>
                <c:pt idx="10">
                  <c:v>0.2857142857142857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48CF-4019-81FC-12B45F5580D2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[1]Art17!$H$46:$H$57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[1]Art17!$L$46:$L$57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0.1111111111111111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48CF-4019-81FC-12B45F558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2099198"/>
        <c:axId val="2006795428"/>
      </c:barChart>
      <c:catAx>
        <c:axId val="4520991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2006795428"/>
        <c:crosses val="autoZero"/>
        <c:auto val="1"/>
        <c:lblAlgn val="ctr"/>
        <c:lblOffset val="100"/>
        <c:noMultiLvlLbl val="1"/>
      </c:catAx>
      <c:valAx>
        <c:axId val="20067954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45209919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Votaciones Art.18 por Colectivos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[1]Art18!$H$2:$H$13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[1]Art18!$I$2:$I$13</c:f>
              <c:numCache>
                <c:formatCode>General</c:formatCode>
                <c:ptCount val="12"/>
                <c:pt idx="0">
                  <c:v>9</c:v>
                </c:pt>
                <c:pt idx="1">
                  <c:v>1</c:v>
                </c:pt>
                <c:pt idx="2">
                  <c:v>10</c:v>
                </c:pt>
                <c:pt idx="3">
                  <c:v>0</c:v>
                </c:pt>
                <c:pt idx="4">
                  <c:v>15</c:v>
                </c:pt>
                <c:pt idx="5">
                  <c:v>5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2DF-4F02-85A4-3034D646DC9F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[1]Art18!$H$2:$H$13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[1]Art18!$J$2:$J$13</c:f>
              <c:numCache>
                <c:formatCode>General</c:formatCode>
                <c:ptCount val="12"/>
                <c:pt idx="0">
                  <c:v>1</c:v>
                </c:pt>
                <c:pt idx="1">
                  <c:v>11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5</c:v>
                </c:pt>
                <c:pt idx="6">
                  <c:v>11</c:v>
                </c:pt>
                <c:pt idx="7">
                  <c:v>12</c:v>
                </c:pt>
                <c:pt idx="8">
                  <c:v>21</c:v>
                </c:pt>
                <c:pt idx="9">
                  <c:v>14</c:v>
                </c:pt>
                <c:pt idx="10">
                  <c:v>6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2DF-4F02-85A4-3034D646DC9F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[1]Art18!$H$2:$H$13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[1]Art18!$K$2:$K$13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7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12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2DF-4F02-85A4-3034D646DC9F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[1]Art18!$H$2:$H$13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[1]Art18!$L$2:$L$13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B2DF-4F02-85A4-3034D646D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43087009"/>
        <c:axId val="1148467754"/>
      </c:barChart>
      <c:catAx>
        <c:axId val="6430870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148467754"/>
        <c:crosses val="autoZero"/>
        <c:auto val="1"/>
        <c:lblAlgn val="ctr"/>
        <c:lblOffset val="100"/>
        <c:noMultiLvlLbl val="1"/>
      </c:catAx>
      <c:valAx>
        <c:axId val="11484677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64308700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% de Votaciones Art.18 por Colectivos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[1]Art18!$H$46:$H$57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[1]Art18!$I$46:$I$57</c:f>
              <c:numCache>
                <c:formatCode>General</c:formatCode>
                <c:ptCount val="12"/>
                <c:pt idx="0">
                  <c:v>0.81818181818181823</c:v>
                </c:pt>
                <c:pt idx="1">
                  <c:v>8.3333333333333329E-2</c:v>
                </c:pt>
                <c:pt idx="2">
                  <c:v>1</c:v>
                </c:pt>
                <c:pt idx="3">
                  <c:v>0</c:v>
                </c:pt>
                <c:pt idx="4">
                  <c:v>0.9375</c:v>
                </c:pt>
                <c:pt idx="5">
                  <c:v>0.41666666666666669</c:v>
                </c:pt>
                <c:pt idx="6">
                  <c:v>0.2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0.14285714285714285</c:v>
                </c:pt>
                <c:pt idx="11">
                  <c:v>0.8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510-4772-8728-9DF75B6FFAD1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[1]Art18!$H$46:$H$57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[1]Art18!$J$46:$J$57</c:f>
              <c:numCache>
                <c:formatCode>General</c:formatCode>
                <c:ptCount val="12"/>
                <c:pt idx="0">
                  <c:v>9.0909090909090912E-2</c:v>
                </c:pt>
                <c:pt idx="1">
                  <c:v>0.91666666666666663</c:v>
                </c:pt>
                <c:pt idx="2">
                  <c:v>0</c:v>
                </c:pt>
                <c:pt idx="3">
                  <c:v>0.1111111111111111</c:v>
                </c:pt>
                <c:pt idx="4">
                  <c:v>0</c:v>
                </c:pt>
                <c:pt idx="5">
                  <c:v>0.41666666666666669</c:v>
                </c:pt>
                <c:pt idx="6">
                  <c:v>0.73333333333333328</c:v>
                </c:pt>
                <c:pt idx="7">
                  <c:v>0.5</c:v>
                </c:pt>
                <c:pt idx="8">
                  <c:v>1</c:v>
                </c:pt>
                <c:pt idx="9">
                  <c:v>0.93333333333333335</c:v>
                </c:pt>
                <c:pt idx="10">
                  <c:v>0.8571428571428571</c:v>
                </c:pt>
                <c:pt idx="11">
                  <c:v>0.2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510-4772-8728-9DF75B6FFAD1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[1]Art18!$H$46:$H$57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[1]Art18!$K$46:$K$57</c:f>
              <c:numCache>
                <c:formatCode>General</c:formatCode>
                <c:ptCount val="12"/>
                <c:pt idx="0">
                  <c:v>9.0909090909090912E-2</c:v>
                </c:pt>
                <c:pt idx="1">
                  <c:v>0</c:v>
                </c:pt>
                <c:pt idx="2">
                  <c:v>0</c:v>
                </c:pt>
                <c:pt idx="3">
                  <c:v>0.77777777777777779</c:v>
                </c:pt>
                <c:pt idx="4">
                  <c:v>6.25E-2</c:v>
                </c:pt>
                <c:pt idx="5">
                  <c:v>0.16666666666666666</c:v>
                </c:pt>
                <c:pt idx="6">
                  <c:v>6.6666666666666666E-2</c:v>
                </c:pt>
                <c:pt idx="7">
                  <c:v>0.5</c:v>
                </c:pt>
                <c:pt idx="8">
                  <c:v>0</c:v>
                </c:pt>
                <c:pt idx="9">
                  <c:v>6.6666666666666666E-2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510-4772-8728-9DF75B6FFAD1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[1]Art18!$H$46:$H$57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[1]Art18!$L$46:$L$57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0.1111111111111111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B510-4772-8728-9DF75B6FF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2924537"/>
        <c:axId val="849381465"/>
      </c:barChart>
      <c:catAx>
        <c:axId val="8529245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849381465"/>
        <c:crosses val="autoZero"/>
        <c:auto val="1"/>
        <c:lblAlgn val="ctr"/>
        <c:lblOffset val="100"/>
        <c:noMultiLvlLbl val="1"/>
      </c:catAx>
      <c:valAx>
        <c:axId val="8493814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852924537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Votaciones Art.19 por Colectivos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[1]Art19!$H$2:$H$13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[1]Art19!$I$2:$I$13</c:f>
              <c:numCache>
                <c:formatCode>General</c:formatCode>
                <c:ptCount val="12"/>
                <c:pt idx="0">
                  <c:v>11</c:v>
                </c:pt>
                <c:pt idx="1">
                  <c:v>12</c:v>
                </c:pt>
                <c:pt idx="2">
                  <c:v>10</c:v>
                </c:pt>
                <c:pt idx="3">
                  <c:v>7</c:v>
                </c:pt>
                <c:pt idx="4">
                  <c:v>16</c:v>
                </c:pt>
                <c:pt idx="5">
                  <c:v>7</c:v>
                </c:pt>
                <c:pt idx="6">
                  <c:v>8</c:v>
                </c:pt>
                <c:pt idx="7">
                  <c:v>12</c:v>
                </c:pt>
                <c:pt idx="8">
                  <c:v>0</c:v>
                </c:pt>
                <c:pt idx="9">
                  <c:v>0</c:v>
                </c:pt>
                <c:pt idx="10">
                  <c:v>4</c:v>
                </c:pt>
                <c:pt idx="11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F23-4AE7-812B-2BC7F1C0E48E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[1]Art19!$H$2:$H$13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[1]Art19!$J$2:$J$13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4</c:v>
                </c:pt>
                <c:pt idx="7">
                  <c:v>1</c:v>
                </c:pt>
                <c:pt idx="8">
                  <c:v>21</c:v>
                </c:pt>
                <c:pt idx="9">
                  <c:v>11</c:v>
                </c:pt>
                <c:pt idx="10">
                  <c:v>3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F23-4AE7-812B-2BC7F1C0E48E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[1]Art19!$H$2:$H$13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[1]Art19!$K$2:$K$13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F23-4AE7-812B-2BC7F1C0E48E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[1]Art19!$H$2:$H$13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[1]Art19!$L$2:$L$13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CF23-4AE7-812B-2BC7F1C0E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5406231"/>
        <c:axId val="1648828156"/>
      </c:barChart>
      <c:catAx>
        <c:axId val="5554062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648828156"/>
        <c:crosses val="autoZero"/>
        <c:auto val="1"/>
        <c:lblAlgn val="ctr"/>
        <c:lblOffset val="100"/>
        <c:noMultiLvlLbl val="1"/>
      </c:catAx>
      <c:valAx>
        <c:axId val="16488281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55540623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sz="1600" b="1" i="0">
                <a:solidFill>
                  <a:srgbClr val="757575"/>
                </a:solidFill>
                <a:latin typeface="Arial"/>
              </a:rPr>
              <a:t>% de Votaciones Art.19 por Colectivos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[1]Art19!$H$46:$H$57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[1]Art19!$I$46:$I$57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0.77777777777777779</c:v>
                </c:pt>
                <c:pt idx="4">
                  <c:v>1</c:v>
                </c:pt>
                <c:pt idx="5">
                  <c:v>0.58333333333333337</c:v>
                </c:pt>
                <c:pt idx="6">
                  <c:v>0.53333333333333333</c:v>
                </c:pt>
                <c:pt idx="7">
                  <c:v>0.8571428571428571</c:v>
                </c:pt>
                <c:pt idx="8">
                  <c:v>0</c:v>
                </c:pt>
                <c:pt idx="9">
                  <c:v>0</c:v>
                </c:pt>
                <c:pt idx="10">
                  <c:v>0.5714285714285714</c:v>
                </c:pt>
                <c:pt idx="11">
                  <c:v>0.8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381-4CD3-8E72-B22D72E6E84E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[1]Art19!$H$46:$H$57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[1]Art19!$J$46:$J$57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0.33333333333333331</c:v>
                </c:pt>
                <c:pt idx="6">
                  <c:v>0.26666666666666666</c:v>
                </c:pt>
                <c:pt idx="7">
                  <c:v>7.1428571428571425E-2</c:v>
                </c:pt>
                <c:pt idx="8">
                  <c:v>1</c:v>
                </c:pt>
                <c:pt idx="9">
                  <c:v>0.73333333333333328</c:v>
                </c:pt>
                <c:pt idx="10">
                  <c:v>0.42857142857142855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381-4CD3-8E72-B22D72E6E84E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[1]Art19!$H$46:$H$57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[1]Art19!$K$46:$K$57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8.3333333333333329E-2</c:v>
                </c:pt>
                <c:pt idx="6">
                  <c:v>0.2</c:v>
                </c:pt>
                <c:pt idx="7">
                  <c:v>7.1428571428571425E-2</c:v>
                </c:pt>
                <c:pt idx="8">
                  <c:v>0</c:v>
                </c:pt>
                <c:pt idx="9">
                  <c:v>0.13333333333333333</c:v>
                </c:pt>
                <c:pt idx="10">
                  <c:v>0</c:v>
                </c:pt>
                <c:pt idx="11">
                  <c:v>0.2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381-4CD3-8E72-B22D72E6E84E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[1]Art19!$H$46:$H$57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[1]Art19!$L$46:$L$57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0.22222222222222221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0.13333333333333333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8381-4CD3-8E72-B22D72E6E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51791529"/>
        <c:axId val="840075758"/>
      </c:barChart>
      <c:catAx>
        <c:axId val="18517915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840075758"/>
        <c:crosses val="autoZero"/>
        <c:auto val="1"/>
        <c:lblAlgn val="ctr"/>
        <c:lblOffset val="100"/>
        <c:noMultiLvlLbl val="1"/>
      </c:catAx>
      <c:valAx>
        <c:axId val="8400757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85179152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Votaciones Art.20 por Colectivos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[1]Art20!$H$2:$H$13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[1]Art20!$I$2:$I$13</c:f>
              <c:numCache>
                <c:formatCode>General</c:formatCode>
                <c:ptCount val="12"/>
                <c:pt idx="0">
                  <c:v>11</c:v>
                </c:pt>
                <c:pt idx="1">
                  <c:v>12</c:v>
                </c:pt>
                <c:pt idx="2">
                  <c:v>10</c:v>
                </c:pt>
                <c:pt idx="3">
                  <c:v>8</c:v>
                </c:pt>
                <c:pt idx="4">
                  <c:v>16</c:v>
                </c:pt>
                <c:pt idx="5">
                  <c:v>6</c:v>
                </c:pt>
                <c:pt idx="6">
                  <c:v>6</c:v>
                </c:pt>
                <c:pt idx="7">
                  <c:v>9</c:v>
                </c:pt>
                <c:pt idx="8">
                  <c:v>0</c:v>
                </c:pt>
                <c:pt idx="9">
                  <c:v>3</c:v>
                </c:pt>
                <c:pt idx="10">
                  <c:v>1</c:v>
                </c:pt>
                <c:pt idx="11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CE3-4FE8-A75B-47F3099F8052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[1]Art20!$H$2:$H$13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[1]Art20!$J$2:$J$13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8</c:v>
                </c:pt>
                <c:pt idx="7">
                  <c:v>2</c:v>
                </c:pt>
                <c:pt idx="8">
                  <c:v>7</c:v>
                </c:pt>
                <c:pt idx="9">
                  <c:v>1</c:v>
                </c:pt>
                <c:pt idx="10">
                  <c:v>4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CE3-4FE8-A75B-47F3099F8052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[1]Art20!$H$2:$H$13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[1]Art20!$K$2:$K$13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14</c:v>
                </c:pt>
                <c:pt idx="9">
                  <c:v>11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CE3-4FE8-A75B-47F3099F8052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[1]Art20!$H$2:$H$13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[1]Art20!$L$2:$L$13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7CE3-4FE8-A75B-47F3099F8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69224366"/>
        <c:axId val="345127511"/>
      </c:barChart>
      <c:catAx>
        <c:axId val="20692243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345127511"/>
        <c:crosses val="autoZero"/>
        <c:auto val="1"/>
        <c:lblAlgn val="ctr"/>
        <c:lblOffset val="100"/>
        <c:noMultiLvlLbl val="1"/>
      </c:catAx>
      <c:valAx>
        <c:axId val="3451275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206922436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% de Votaciones Art.20 por Colectivos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[1]Art20!$H$46:$H$57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[1]Art20!$I$46:$I$57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0.88888888888888884</c:v>
                </c:pt>
                <c:pt idx="4">
                  <c:v>1</c:v>
                </c:pt>
                <c:pt idx="5">
                  <c:v>0.5</c:v>
                </c:pt>
                <c:pt idx="6">
                  <c:v>0.4</c:v>
                </c:pt>
                <c:pt idx="7">
                  <c:v>0.69230769230769229</c:v>
                </c:pt>
                <c:pt idx="8">
                  <c:v>0</c:v>
                </c:pt>
                <c:pt idx="9">
                  <c:v>0.2</c:v>
                </c:pt>
                <c:pt idx="10">
                  <c:v>0.14285714285714285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9CF-41EC-B559-4408557BA0CD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[1]Art20!$H$46:$H$57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[1]Art20!$J$46:$J$57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0.25</c:v>
                </c:pt>
                <c:pt idx="6">
                  <c:v>0.53333333333333333</c:v>
                </c:pt>
                <c:pt idx="7">
                  <c:v>0.15384615384615385</c:v>
                </c:pt>
                <c:pt idx="8">
                  <c:v>0.33333333333333331</c:v>
                </c:pt>
                <c:pt idx="9">
                  <c:v>6.6666666666666666E-2</c:v>
                </c:pt>
                <c:pt idx="10">
                  <c:v>0.5714285714285714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9CF-41EC-B559-4408557BA0CD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[1]Art20!$H$46:$H$57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[1]Art20!$K$46:$K$57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0.25</c:v>
                </c:pt>
                <c:pt idx="6">
                  <c:v>6.6666666666666666E-2</c:v>
                </c:pt>
                <c:pt idx="7">
                  <c:v>0.15384615384615385</c:v>
                </c:pt>
                <c:pt idx="8">
                  <c:v>0.66666666666666663</c:v>
                </c:pt>
                <c:pt idx="9">
                  <c:v>0.73333333333333328</c:v>
                </c:pt>
                <c:pt idx="10">
                  <c:v>0.2857142857142857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9CF-41EC-B559-4408557BA0CD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[1]Art20!$H$46:$H$57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[1]Art20!$L$46:$L$57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0.1111111111111111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09CF-41EC-B559-4408557BA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85304518"/>
        <c:axId val="1686098515"/>
      </c:barChart>
      <c:catAx>
        <c:axId val="19853045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686098515"/>
        <c:crosses val="autoZero"/>
        <c:auto val="1"/>
        <c:lblAlgn val="ctr"/>
        <c:lblOffset val="100"/>
        <c:noMultiLvlLbl val="1"/>
      </c:catAx>
      <c:valAx>
        <c:axId val="16860985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98530451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Votaciones Art.21 por Colectivos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[1]Art21!$H$2:$H$13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[1]Art21!$I$2:$I$13</c:f>
              <c:numCache>
                <c:formatCode>General</c:formatCode>
                <c:ptCount val="12"/>
                <c:pt idx="0">
                  <c:v>11</c:v>
                </c:pt>
                <c:pt idx="1">
                  <c:v>10</c:v>
                </c:pt>
                <c:pt idx="2">
                  <c:v>10</c:v>
                </c:pt>
                <c:pt idx="3">
                  <c:v>0</c:v>
                </c:pt>
                <c:pt idx="4">
                  <c:v>16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1D3-4752-977C-E86518F1C1DB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[1]Art21!$H$2:$H$13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[1]Art21!$J$2:$J$13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</c:v>
                </c:pt>
                <c:pt idx="6">
                  <c:v>12</c:v>
                </c:pt>
                <c:pt idx="7">
                  <c:v>10</c:v>
                </c:pt>
                <c:pt idx="8">
                  <c:v>7</c:v>
                </c:pt>
                <c:pt idx="9">
                  <c:v>5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1D3-4752-977C-E86518F1C1DB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[1]Art21!$H$2:$H$13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[1]Art21!$K$2:$K$13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8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10</c:v>
                </c:pt>
                <c:pt idx="8">
                  <c:v>14</c:v>
                </c:pt>
                <c:pt idx="9">
                  <c:v>9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31D3-4752-977C-E86518F1C1DB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[1]Art21!$H$2:$H$13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[1]Art21!$L$2:$L$13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31D3-4752-977C-E86518F1C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08316375"/>
        <c:axId val="1272524800"/>
      </c:barChart>
      <c:catAx>
        <c:axId val="21083163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272524800"/>
        <c:crosses val="autoZero"/>
        <c:auto val="1"/>
        <c:lblAlgn val="ctr"/>
        <c:lblOffset val="100"/>
        <c:noMultiLvlLbl val="1"/>
      </c:catAx>
      <c:valAx>
        <c:axId val="12725248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210831637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% de Votaciones Art.21 por Colectivos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[1]Art21!$H$46:$H$57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[1]Art21!$I$46:$I$57</c:f>
              <c:numCache>
                <c:formatCode>General</c:formatCode>
                <c:ptCount val="12"/>
                <c:pt idx="0">
                  <c:v>1</c:v>
                </c:pt>
                <c:pt idx="1">
                  <c:v>0.83333333333333337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0.25</c:v>
                </c:pt>
                <c:pt idx="6">
                  <c:v>6.6666666666666666E-2</c:v>
                </c:pt>
                <c:pt idx="7">
                  <c:v>9.0909090909090912E-2</c:v>
                </c:pt>
                <c:pt idx="8">
                  <c:v>0</c:v>
                </c:pt>
                <c:pt idx="9">
                  <c:v>6.6666666666666666E-2</c:v>
                </c:pt>
                <c:pt idx="10">
                  <c:v>0.2857142857142857</c:v>
                </c:pt>
                <c:pt idx="11">
                  <c:v>0.4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923-404F-8B5B-CC756055D61D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[1]Art21!$H$46:$H$57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[1]Art21!$J$46:$J$57</c:f>
              <c:numCache>
                <c:formatCode>General</c:formatCode>
                <c:ptCount val="12"/>
                <c:pt idx="0">
                  <c:v>0</c:v>
                </c:pt>
                <c:pt idx="1">
                  <c:v>8.3333333333333329E-2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0.75</c:v>
                </c:pt>
                <c:pt idx="6">
                  <c:v>0.8</c:v>
                </c:pt>
                <c:pt idx="7">
                  <c:v>0.45454545454545453</c:v>
                </c:pt>
                <c:pt idx="8">
                  <c:v>0.33333333333333331</c:v>
                </c:pt>
                <c:pt idx="9">
                  <c:v>0.33333333333333331</c:v>
                </c:pt>
                <c:pt idx="10">
                  <c:v>0.14285714285714285</c:v>
                </c:pt>
                <c:pt idx="11">
                  <c:v>0.4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923-404F-8B5B-CC756055D61D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[1]Art21!$H$46:$H$57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[1]Art21!$K$46:$K$57</c:f>
              <c:numCache>
                <c:formatCode>General</c:formatCode>
                <c:ptCount val="12"/>
                <c:pt idx="0">
                  <c:v>0</c:v>
                </c:pt>
                <c:pt idx="1">
                  <c:v>8.3333333333333329E-2</c:v>
                </c:pt>
                <c:pt idx="2">
                  <c:v>0</c:v>
                </c:pt>
                <c:pt idx="3">
                  <c:v>0.88888888888888884</c:v>
                </c:pt>
                <c:pt idx="4">
                  <c:v>0</c:v>
                </c:pt>
                <c:pt idx="5">
                  <c:v>0</c:v>
                </c:pt>
                <c:pt idx="6">
                  <c:v>0.13333333333333333</c:v>
                </c:pt>
                <c:pt idx="7">
                  <c:v>0.45454545454545453</c:v>
                </c:pt>
                <c:pt idx="8">
                  <c:v>0.66666666666666663</c:v>
                </c:pt>
                <c:pt idx="9">
                  <c:v>0.6</c:v>
                </c:pt>
                <c:pt idx="10">
                  <c:v>0.5714285714285714</c:v>
                </c:pt>
                <c:pt idx="11">
                  <c:v>0.2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4923-404F-8B5B-CC756055D61D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[1]Art21!$H$46:$H$57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[1]Art21!$L$46:$L$57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0.1111111111111111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4923-404F-8B5B-CC756055D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8931888"/>
        <c:axId val="1996018515"/>
      </c:barChart>
      <c:catAx>
        <c:axId val="1228931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996018515"/>
        <c:crosses val="autoZero"/>
        <c:auto val="1"/>
        <c:lblAlgn val="ctr"/>
        <c:lblOffset val="100"/>
        <c:noMultiLvlLbl val="1"/>
      </c:catAx>
      <c:valAx>
        <c:axId val="19960185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22893188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Votaciones Art.22 por Colectivos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[1]Art22!$H$2:$H$13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[1]Art22!$I$2:$I$13</c:f>
              <c:numCache>
                <c:formatCode>General</c:formatCode>
                <c:ptCount val="12"/>
                <c:pt idx="0">
                  <c:v>9</c:v>
                </c:pt>
                <c:pt idx="1">
                  <c:v>11</c:v>
                </c:pt>
                <c:pt idx="2">
                  <c:v>9</c:v>
                </c:pt>
                <c:pt idx="3">
                  <c:v>0</c:v>
                </c:pt>
                <c:pt idx="4">
                  <c:v>15</c:v>
                </c:pt>
                <c:pt idx="5">
                  <c:v>7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AE3-41FE-B6D5-46E0C33A900B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[1]Art22!$H$2:$H$13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[1]Art22!$J$2:$J$13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8</c:v>
                </c:pt>
                <c:pt idx="4">
                  <c:v>0</c:v>
                </c:pt>
                <c:pt idx="5">
                  <c:v>5</c:v>
                </c:pt>
                <c:pt idx="6">
                  <c:v>12</c:v>
                </c:pt>
                <c:pt idx="7">
                  <c:v>9</c:v>
                </c:pt>
                <c:pt idx="8">
                  <c:v>20</c:v>
                </c:pt>
                <c:pt idx="9">
                  <c:v>10</c:v>
                </c:pt>
                <c:pt idx="10">
                  <c:v>5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AE3-41FE-B6D5-46E0C33A900B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[1]Art22!$H$2:$H$13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[1]Art22!$K$2:$K$13</c:f>
              <c:numCache>
                <c:formatCode>General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9</c:v>
                </c:pt>
                <c:pt idx="8">
                  <c:v>1</c:v>
                </c:pt>
                <c:pt idx="9">
                  <c:v>4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6AE3-41FE-B6D5-46E0C33A900B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[1]Art22!$H$2:$H$13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[1]Art22!$L$2:$L$13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6AE3-41FE-B6D5-46E0C33A90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84559863"/>
        <c:axId val="615551205"/>
      </c:barChart>
      <c:catAx>
        <c:axId val="11845598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615551205"/>
        <c:crosses val="autoZero"/>
        <c:auto val="1"/>
        <c:lblAlgn val="ctr"/>
        <c:lblOffset val="100"/>
        <c:noMultiLvlLbl val="1"/>
      </c:catAx>
      <c:valAx>
        <c:axId val="6155512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18455986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sz="1600" b="1" i="0">
                <a:solidFill>
                  <a:srgbClr val="757575"/>
                </a:solidFill>
                <a:latin typeface="Arial"/>
              </a:rPr>
              <a:t>% de Votaciones Art.22 por Colectivos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[1]Art22!$H$46:$H$57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[1]Art22!$I$46:$I$57</c:f>
              <c:numCache>
                <c:formatCode>General</c:formatCode>
                <c:ptCount val="12"/>
                <c:pt idx="0">
                  <c:v>0.81818181818181823</c:v>
                </c:pt>
                <c:pt idx="1">
                  <c:v>0.91666666666666663</c:v>
                </c:pt>
                <c:pt idx="2">
                  <c:v>0.9</c:v>
                </c:pt>
                <c:pt idx="3">
                  <c:v>0</c:v>
                </c:pt>
                <c:pt idx="4">
                  <c:v>0.9375</c:v>
                </c:pt>
                <c:pt idx="5">
                  <c:v>0.58333333333333337</c:v>
                </c:pt>
                <c:pt idx="6">
                  <c:v>0.2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0.14285714285714285</c:v>
                </c:pt>
                <c:pt idx="11">
                  <c:v>0.8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502-4067-9E15-B1306AD66054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[1]Art22!$H$46:$H$57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[1]Art22!$J$46:$J$57</c:f>
              <c:numCache>
                <c:formatCode>General</c:formatCode>
                <c:ptCount val="12"/>
                <c:pt idx="0">
                  <c:v>0</c:v>
                </c:pt>
                <c:pt idx="1">
                  <c:v>8.3333333333333329E-2</c:v>
                </c:pt>
                <c:pt idx="2">
                  <c:v>0</c:v>
                </c:pt>
                <c:pt idx="3">
                  <c:v>0.88888888888888884</c:v>
                </c:pt>
                <c:pt idx="4">
                  <c:v>0</c:v>
                </c:pt>
                <c:pt idx="5">
                  <c:v>0.41666666666666669</c:v>
                </c:pt>
                <c:pt idx="6">
                  <c:v>0.8</c:v>
                </c:pt>
                <c:pt idx="7">
                  <c:v>0.5</c:v>
                </c:pt>
                <c:pt idx="8">
                  <c:v>0.95238095238095233</c:v>
                </c:pt>
                <c:pt idx="9">
                  <c:v>0.66666666666666663</c:v>
                </c:pt>
                <c:pt idx="10">
                  <c:v>0.7142857142857143</c:v>
                </c:pt>
                <c:pt idx="11">
                  <c:v>0.2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502-4067-9E15-B1306AD66054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[1]Art22!$H$46:$H$57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[1]Art22!$K$46:$K$57</c:f>
              <c:numCache>
                <c:formatCode>General</c:formatCode>
                <c:ptCount val="12"/>
                <c:pt idx="0">
                  <c:v>0.18181818181818182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6.25E-2</c:v>
                </c:pt>
                <c:pt idx="5">
                  <c:v>0</c:v>
                </c:pt>
                <c:pt idx="6">
                  <c:v>0</c:v>
                </c:pt>
                <c:pt idx="7">
                  <c:v>0.5</c:v>
                </c:pt>
                <c:pt idx="8">
                  <c:v>4.7619047619047616E-2</c:v>
                </c:pt>
                <c:pt idx="9">
                  <c:v>0.26666666666666666</c:v>
                </c:pt>
                <c:pt idx="10">
                  <c:v>0.14285714285714285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D502-4067-9E15-B1306AD66054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[1]Art22!$H$46:$H$57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[1]Art22!$L$46:$L$57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0.1111111111111111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6.6666666666666666E-2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D502-4067-9E15-B1306AD66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7056918"/>
        <c:axId val="1253244659"/>
      </c:barChart>
      <c:catAx>
        <c:axId val="8870569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253244659"/>
        <c:crosses val="autoZero"/>
        <c:auto val="1"/>
        <c:lblAlgn val="ctr"/>
        <c:lblOffset val="100"/>
        <c:noMultiLvlLbl val="1"/>
      </c:catAx>
      <c:valAx>
        <c:axId val="12532446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88705691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Votaciones Art.23 por Colectivos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[1]Art23!$H$2:$H$13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[1]Art23!$I$2:$I$13</c:f>
              <c:numCache>
                <c:formatCode>General</c:formatCode>
                <c:ptCount val="12"/>
                <c:pt idx="0">
                  <c:v>11</c:v>
                </c:pt>
                <c:pt idx="1">
                  <c:v>12</c:v>
                </c:pt>
                <c:pt idx="2">
                  <c:v>10</c:v>
                </c:pt>
                <c:pt idx="3">
                  <c:v>3</c:v>
                </c:pt>
                <c:pt idx="4">
                  <c:v>15</c:v>
                </c:pt>
                <c:pt idx="5">
                  <c:v>11</c:v>
                </c:pt>
                <c:pt idx="6">
                  <c:v>14</c:v>
                </c:pt>
                <c:pt idx="7">
                  <c:v>12</c:v>
                </c:pt>
                <c:pt idx="8">
                  <c:v>0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A23-4961-B53D-04CEEB7B1B76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[1]Art23!$H$2:$H$13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[1]Art23!$J$2:$J$13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18</c:v>
                </c:pt>
                <c:pt idx="9">
                  <c:v>6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A23-4961-B53D-04CEEB7B1B76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[1]Art23!$H$2:$H$13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[1]Art23!$K$2:$K$13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  <c:pt idx="9">
                  <c:v>8</c:v>
                </c:pt>
                <c:pt idx="10">
                  <c:v>3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A23-4961-B53D-04CEEB7B1B76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[1]Art23!$H$2:$H$13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[1]Art23!$L$2:$L$13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9A23-4961-B53D-04CEEB7B1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49817834"/>
        <c:axId val="65141544"/>
      </c:barChart>
      <c:catAx>
        <c:axId val="13498178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65141544"/>
        <c:crosses val="autoZero"/>
        <c:auto val="1"/>
        <c:lblAlgn val="ctr"/>
        <c:lblOffset val="100"/>
        <c:noMultiLvlLbl val="1"/>
      </c:catAx>
      <c:valAx>
        <c:axId val="651415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349817834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sz="1600" b="1" i="0">
                <a:solidFill>
                  <a:srgbClr val="757575"/>
                </a:solidFill>
                <a:latin typeface="Arial"/>
              </a:rPr>
              <a:t>% de Votaciones Art.23 por Colectivos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[1]Art23!$H$46:$H$57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[1]Art23!$I$46:$I$57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0.33333333333333331</c:v>
                </c:pt>
                <c:pt idx="4">
                  <c:v>0.9375</c:v>
                </c:pt>
                <c:pt idx="5">
                  <c:v>0.91666666666666663</c:v>
                </c:pt>
                <c:pt idx="6">
                  <c:v>0.93333333333333335</c:v>
                </c:pt>
                <c:pt idx="7">
                  <c:v>0.8571428571428571</c:v>
                </c:pt>
                <c:pt idx="8">
                  <c:v>0</c:v>
                </c:pt>
                <c:pt idx="9">
                  <c:v>6.6666666666666666E-2</c:v>
                </c:pt>
                <c:pt idx="10">
                  <c:v>0.42857142857142855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757-4C3A-9309-35F6C3050ADB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[1]Art23!$H$46:$H$57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[1]Art23!$J$46:$J$57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0.1111111111111111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7.1428571428571425E-2</c:v>
                </c:pt>
                <c:pt idx="8">
                  <c:v>0.8571428571428571</c:v>
                </c:pt>
                <c:pt idx="9">
                  <c:v>0.4</c:v>
                </c:pt>
                <c:pt idx="10">
                  <c:v>0.14285714285714285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757-4C3A-9309-35F6C3050ADB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[1]Art23!$H$46:$H$57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[1]Art23!$K$46:$K$57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0.33333333333333331</c:v>
                </c:pt>
                <c:pt idx="4">
                  <c:v>0</c:v>
                </c:pt>
                <c:pt idx="5">
                  <c:v>8.3333333333333329E-2</c:v>
                </c:pt>
                <c:pt idx="6">
                  <c:v>6.6666666666666666E-2</c:v>
                </c:pt>
                <c:pt idx="7">
                  <c:v>7.1428571428571425E-2</c:v>
                </c:pt>
                <c:pt idx="8">
                  <c:v>0.14285714285714285</c:v>
                </c:pt>
                <c:pt idx="9">
                  <c:v>0.53333333333333333</c:v>
                </c:pt>
                <c:pt idx="10">
                  <c:v>0.42857142857142855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757-4C3A-9309-35F6C3050ADB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[1]Art23!$H$46:$H$57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[1]Art23!$L$46:$L$57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0.22222222222222221</c:v>
                </c:pt>
                <c:pt idx="4">
                  <c:v>6.25E-2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7757-4C3A-9309-35F6C3050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7641027"/>
        <c:axId val="331399421"/>
      </c:barChart>
      <c:catAx>
        <c:axId val="1276410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331399421"/>
        <c:crosses val="autoZero"/>
        <c:auto val="1"/>
        <c:lblAlgn val="ctr"/>
        <c:lblOffset val="100"/>
        <c:noMultiLvlLbl val="1"/>
      </c:catAx>
      <c:valAx>
        <c:axId val="3313994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27641027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Votaciones Art.24 por Colectivos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[1]Art24!$H$2:$H$13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[1]Art24!$I$2:$I$13</c:f>
              <c:numCache>
                <c:formatCode>General</c:formatCode>
                <c:ptCount val="12"/>
                <c:pt idx="0">
                  <c:v>11</c:v>
                </c:pt>
                <c:pt idx="1">
                  <c:v>3</c:v>
                </c:pt>
                <c:pt idx="2">
                  <c:v>10</c:v>
                </c:pt>
                <c:pt idx="3">
                  <c:v>3</c:v>
                </c:pt>
                <c:pt idx="4">
                  <c:v>15</c:v>
                </c:pt>
                <c:pt idx="5">
                  <c:v>7</c:v>
                </c:pt>
                <c:pt idx="6">
                  <c:v>3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744-4AEE-B907-EBD427D265EA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[1]Art24!$H$2:$H$13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[1]Art24!$J$2:$J$13</c:f>
              <c:numCache>
                <c:formatCode>General</c:formatCode>
                <c:ptCount val="12"/>
                <c:pt idx="0">
                  <c:v>0</c:v>
                </c:pt>
                <c:pt idx="1">
                  <c:v>8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9</c:v>
                </c:pt>
                <c:pt idx="7">
                  <c:v>10</c:v>
                </c:pt>
                <c:pt idx="8">
                  <c:v>19</c:v>
                </c:pt>
                <c:pt idx="9">
                  <c:v>10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744-4AEE-B907-EBD427D265EA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[1]Art24!$H$2:$H$13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[1]Art24!$K$2:$K$13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5</c:v>
                </c:pt>
                <c:pt idx="4">
                  <c:v>0</c:v>
                </c:pt>
                <c:pt idx="5">
                  <c:v>3</c:v>
                </c:pt>
                <c:pt idx="6">
                  <c:v>2</c:v>
                </c:pt>
                <c:pt idx="7">
                  <c:v>10</c:v>
                </c:pt>
                <c:pt idx="8">
                  <c:v>2</c:v>
                </c:pt>
                <c:pt idx="9">
                  <c:v>5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744-4AEE-B907-EBD427D265EA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[1]Art24!$H$2:$H$13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[1]Art24!$L$2:$L$13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0744-4AEE-B907-EBD427D26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5395774"/>
        <c:axId val="1969275219"/>
      </c:barChart>
      <c:catAx>
        <c:axId val="20253957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969275219"/>
        <c:crosses val="autoZero"/>
        <c:auto val="1"/>
        <c:lblAlgn val="ctr"/>
        <c:lblOffset val="100"/>
        <c:noMultiLvlLbl val="1"/>
      </c:catAx>
      <c:valAx>
        <c:axId val="19692752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2025395774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sz="1600" b="1" i="0">
                <a:solidFill>
                  <a:srgbClr val="757575"/>
                </a:solidFill>
                <a:latin typeface="Arial"/>
              </a:rPr>
              <a:t>% de Votaciones Art.24 por Colectivos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[1]Art24!$H$46:$H$57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[1]Art24!$I$46:$I$57</c:f>
              <c:numCache>
                <c:formatCode>General</c:formatCode>
                <c:ptCount val="12"/>
                <c:pt idx="0">
                  <c:v>1</c:v>
                </c:pt>
                <c:pt idx="1">
                  <c:v>0.25</c:v>
                </c:pt>
                <c:pt idx="2">
                  <c:v>1</c:v>
                </c:pt>
                <c:pt idx="3">
                  <c:v>0.33333333333333331</c:v>
                </c:pt>
                <c:pt idx="4">
                  <c:v>0.9375</c:v>
                </c:pt>
                <c:pt idx="5">
                  <c:v>0.58333333333333337</c:v>
                </c:pt>
                <c:pt idx="6">
                  <c:v>0.2</c:v>
                </c:pt>
                <c:pt idx="7">
                  <c:v>9.0909090909090912E-2</c:v>
                </c:pt>
                <c:pt idx="8">
                  <c:v>0</c:v>
                </c:pt>
                <c:pt idx="9">
                  <c:v>0</c:v>
                </c:pt>
                <c:pt idx="10">
                  <c:v>0.42857142857142855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2C3-428A-B39A-183CE07954D8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[1]Art24!$H$46:$H$57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[1]Art24!$J$46:$J$57</c:f>
              <c:numCache>
                <c:formatCode>General</c:formatCode>
                <c:ptCount val="12"/>
                <c:pt idx="0">
                  <c:v>0</c:v>
                </c:pt>
                <c:pt idx="1">
                  <c:v>0.66666666666666663</c:v>
                </c:pt>
                <c:pt idx="2">
                  <c:v>0</c:v>
                </c:pt>
                <c:pt idx="3">
                  <c:v>0</c:v>
                </c:pt>
                <c:pt idx="4">
                  <c:v>6.25E-2</c:v>
                </c:pt>
                <c:pt idx="5">
                  <c:v>0.16666666666666666</c:v>
                </c:pt>
                <c:pt idx="6">
                  <c:v>0.6</c:v>
                </c:pt>
                <c:pt idx="7">
                  <c:v>0.45454545454545453</c:v>
                </c:pt>
                <c:pt idx="8">
                  <c:v>0.90476190476190477</c:v>
                </c:pt>
                <c:pt idx="9">
                  <c:v>0.66666666666666663</c:v>
                </c:pt>
                <c:pt idx="10">
                  <c:v>0.2857142857142857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2C3-428A-B39A-183CE07954D8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[1]Art24!$H$46:$H$57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[1]Art24!$K$46:$K$57</c:f>
              <c:numCache>
                <c:formatCode>General</c:formatCode>
                <c:ptCount val="12"/>
                <c:pt idx="0">
                  <c:v>0</c:v>
                </c:pt>
                <c:pt idx="1">
                  <c:v>8.3333333333333329E-2</c:v>
                </c:pt>
                <c:pt idx="2">
                  <c:v>0</c:v>
                </c:pt>
                <c:pt idx="3">
                  <c:v>0.55555555555555558</c:v>
                </c:pt>
                <c:pt idx="4">
                  <c:v>0</c:v>
                </c:pt>
                <c:pt idx="5">
                  <c:v>0.25</c:v>
                </c:pt>
                <c:pt idx="6">
                  <c:v>0.13333333333333333</c:v>
                </c:pt>
                <c:pt idx="7">
                  <c:v>0.45454545454545453</c:v>
                </c:pt>
                <c:pt idx="8">
                  <c:v>9.5238095238095233E-2</c:v>
                </c:pt>
                <c:pt idx="9">
                  <c:v>0.33333333333333331</c:v>
                </c:pt>
                <c:pt idx="10">
                  <c:v>0.2857142857142857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2C3-428A-B39A-183CE07954D8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[1]Art24!$H$46:$H$57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[1]Art24!$L$46:$L$57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0.1111111111111111</c:v>
                </c:pt>
                <c:pt idx="4">
                  <c:v>0</c:v>
                </c:pt>
                <c:pt idx="5">
                  <c:v>0</c:v>
                </c:pt>
                <c:pt idx="6">
                  <c:v>6.6666666666666666E-2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52C3-428A-B39A-183CE0795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8113758"/>
        <c:axId val="275971432"/>
      </c:barChart>
      <c:catAx>
        <c:axId val="1481137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275971432"/>
        <c:crosses val="autoZero"/>
        <c:auto val="1"/>
        <c:lblAlgn val="ctr"/>
        <c:lblOffset val="100"/>
        <c:noMultiLvlLbl val="1"/>
      </c:catAx>
      <c:valAx>
        <c:axId val="2759714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4811375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Votaciones Art.25 por Colectivos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[1]Art25!$H$2:$H$13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[1]Art25!$I$2:$I$13</c:f>
              <c:numCache>
                <c:formatCode>General</c:formatCode>
                <c:ptCount val="12"/>
                <c:pt idx="0">
                  <c:v>11</c:v>
                </c:pt>
                <c:pt idx="1">
                  <c:v>12</c:v>
                </c:pt>
                <c:pt idx="2">
                  <c:v>10</c:v>
                </c:pt>
                <c:pt idx="3">
                  <c:v>8</c:v>
                </c:pt>
                <c:pt idx="4">
                  <c:v>16</c:v>
                </c:pt>
                <c:pt idx="5">
                  <c:v>8</c:v>
                </c:pt>
                <c:pt idx="6">
                  <c:v>12</c:v>
                </c:pt>
                <c:pt idx="7">
                  <c:v>4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4DC-412A-92FE-D85CE91A3A9E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[1]Art25!$H$2:$H$13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[1]Art25!$J$2:$J$13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8</c:v>
                </c:pt>
                <c:pt idx="8">
                  <c:v>3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4DC-412A-92FE-D85CE91A3A9E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[1]Art25!$H$2:$H$13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[1]Art25!$K$2:$K$13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2</c:v>
                </c:pt>
                <c:pt idx="7">
                  <c:v>8</c:v>
                </c:pt>
                <c:pt idx="8">
                  <c:v>15</c:v>
                </c:pt>
                <c:pt idx="9">
                  <c:v>8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4DC-412A-92FE-D85CE91A3A9E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[1]Art25!$H$2:$H$13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[1]Art25!$L$2:$L$13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F4DC-412A-92FE-D85CE91A3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10281235"/>
        <c:axId val="1108266582"/>
      </c:barChart>
      <c:catAx>
        <c:axId val="14102812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108266582"/>
        <c:crosses val="autoZero"/>
        <c:auto val="1"/>
        <c:lblAlgn val="ctr"/>
        <c:lblOffset val="100"/>
        <c:noMultiLvlLbl val="1"/>
      </c:catAx>
      <c:valAx>
        <c:axId val="11082665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41028123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sz="1600" b="1" i="0">
                <a:solidFill>
                  <a:srgbClr val="757575"/>
                </a:solidFill>
                <a:latin typeface="Arial"/>
              </a:rPr>
              <a:t>% de Votaciones Art.25 por Colectivos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[1]Art25!$H$46:$H$57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[1]Art25!$I$46:$I$57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0.88888888888888884</c:v>
                </c:pt>
                <c:pt idx="4">
                  <c:v>1</c:v>
                </c:pt>
                <c:pt idx="5">
                  <c:v>0.66666666666666663</c:v>
                </c:pt>
                <c:pt idx="6">
                  <c:v>0.8</c:v>
                </c:pt>
                <c:pt idx="7">
                  <c:v>0.2</c:v>
                </c:pt>
                <c:pt idx="8">
                  <c:v>0.14285714285714285</c:v>
                </c:pt>
                <c:pt idx="9">
                  <c:v>0.26666666666666666</c:v>
                </c:pt>
                <c:pt idx="10">
                  <c:v>0.7142857142857143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6B0-43F7-81DE-1A775379245F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[1]Art25!$H$46:$H$57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[1]Art25!$J$46:$J$57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6.6666666666666666E-2</c:v>
                </c:pt>
                <c:pt idx="7">
                  <c:v>0.4</c:v>
                </c:pt>
                <c:pt idx="8">
                  <c:v>0.14285714285714285</c:v>
                </c:pt>
                <c:pt idx="9">
                  <c:v>0.2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6B0-43F7-81DE-1A775379245F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[1]Art25!$H$46:$H$57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[1]Art25!$K$46:$K$57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0.33333333333333331</c:v>
                </c:pt>
                <c:pt idx="6">
                  <c:v>0.13333333333333333</c:v>
                </c:pt>
                <c:pt idx="7">
                  <c:v>0.4</c:v>
                </c:pt>
                <c:pt idx="8">
                  <c:v>0.7142857142857143</c:v>
                </c:pt>
                <c:pt idx="9">
                  <c:v>0.53333333333333333</c:v>
                </c:pt>
                <c:pt idx="10">
                  <c:v>0.2857142857142857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6B0-43F7-81DE-1A775379245F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[1]Art25!$H$46:$H$57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[1]Art25!$L$46:$L$57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0.1111111111111111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F6B0-43F7-81DE-1A7753792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10109101"/>
        <c:axId val="37946395"/>
      </c:barChart>
      <c:catAx>
        <c:axId val="14101091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37946395"/>
        <c:crosses val="autoZero"/>
        <c:auto val="1"/>
        <c:lblAlgn val="ctr"/>
        <c:lblOffset val="100"/>
        <c:noMultiLvlLbl val="1"/>
      </c:catAx>
      <c:valAx>
        <c:axId val="379463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41010910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Votaciones Art.26 por Colectivos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[1]Art26!$H$2:$H$13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[1]Art26!$I$2:$I$13</c:f>
              <c:numCache>
                <c:formatCode>General</c:formatCode>
                <c:ptCount val="12"/>
                <c:pt idx="0">
                  <c:v>11</c:v>
                </c:pt>
                <c:pt idx="1">
                  <c:v>12</c:v>
                </c:pt>
                <c:pt idx="2">
                  <c:v>10</c:v>
                </c:pt>
                <c:pt idx="3">
                  <c:v>8</c:v>
                </c:pt>
                <c:pt idx="4">
                  <c:v>13</c:v>
                </c:pt>
                <c:pt idx="5">
                  <c:v>10</c:v>
                </c:pt>
                <c:pt idx="6">
                  <c:v>5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90C-4707-A62A-288FDE0CBD27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[1]Art26!$H$2:$H$13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[1]Art26!$J$2:$J$13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2</c:v>
                </c:pt>
                <c:pt idx="6">
                  <c:v>9</c:v>
                </c:pt>
                <c:pt idx="7">
                  <c:v>10</c:v>
                </c:pt>
                <c:pt idx="8">
                  <c:v>20</c:v>
                </c:pt>
                <c:pt idx="9">
                  <c:v>14</c:v>
                </c:pt>
                <c:pt idx="10">
                  <c:v>6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90C-4707-A62A-288FDE0CBD27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[1]Art26!$H$2:$H$13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[1]Art26!$K$2:$K$13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10</c:v>
                </c:pt>
                <c:pt idx="8">
                  <c:v>1</c:v>
                </c:pt>
                <c:pt idx="9">
                  <c:v>11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90C-4707-A62A-288FDE0CBD27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[1]Art26!$H$2:$H$13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[1]Art26!$L$2:$L$13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590C-4707-A62A-288FDE0CB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0480828"/>
        <c:axId val="2058507544"/>
      </c:barChart>
      <c:catAx>
        <c:axId val="304808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2058507544"/>
        <c:crosses val="autoZero"/>
        <c:auto val="1"/>
        <c:lblAlgn val="ctr"/>
        <c:lblOffset val="100"/>
        <c:noMultiLvlLbl val="1"/>
      </c:catAx>
      <c:valAx>
        <c:axId val="20585075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3048082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sz="1600" b="1" i="0">
                <a:solidFill>
                  <a:srgbClr val="757575"/>
                </a:solidFill>
                <a:latin typeface="Arial"/>
              </a:rPr>
              <a:t>% de Votaciones Art.26 por Colectivos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[1]Art26!$H$46:$H$57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[1]Art26!$I$46:$I$57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0.88888888888888884</c:v>
                </c:pt>
                <c:pt idx="4">
                  <c:v>0.8125</c:v>
                </c:pt>
                <c:pt idx="5">
                  <c:v>0.83333333333333337</c:v>
                </c:pt>
                <c:pt idx="6">
                  <c:v>0.33333333333333331</c:v>
                </c:pt>
                <c:pt idx="7">
                  <c:v>4.7619047619047616E-2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2A3-4256-B83D-9B30D8E5FA46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[1]Art26!$H$46:$H$57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[1]Art26!$J$46:$J$57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0.1875</c:v>
                </c:pt>
                <c:pt idx="5">
                  <c:v>0.16666666666666666</c:v>
                </c:pt>
                <c:pt idx="6">
                  <c:v>0.6</c:v>
                </c:pt>
                <c:pt idx="7">
                  <c:v>0.47619047619047616</c:v>
                </c:pt>
                <c:pt idx="8">
                  <c:v>0.95238095238095233</c:v>
                </c:pt>
                <c:pt idx="9">
                  <c:v>0.56000000000000005</c:v>
                </c:pt>
                <c:pt idx="10">
                  <c:v>0.8571428571428571</c:v>
                </c:pt>
                <c:pt idx="11">
                  <c:v>0.2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2A3-4256-B83D-9B30D8E5FA46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[1]Art26!$H$46:$H$57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[1]Art26!$K$46:$K$57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6.6666666666666666E-2</c:v>
                </c:pt>
                <c:pt idx="7">
                  <c:v>0.47619047619047616</c:v>
                </c:pt>
                <c:pt idx="8">
                  <c:v>4.7619047619047616E-2</c:v>
                </c:pt>
                <c:pt idx="9">
                  <c:v>0.44</c:v>
                </c:pt>
                <c:pt idx="10">
                  <c:v>0.14285714285714285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32A3-4256-B83D-9B30D8E5FA46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[1]Art26!$H$46:$H$57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[1]Art26!$L$46:$L$57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0.1111111111111111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32A3-4256-B83D-9B30D8E5F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2074213"/>
        <c:axId val="1940458005"/>
      </c:barChart>
      <c:catAx>
        <c:axId val="5820742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940458005"/>
        <c:crosses val="autoZero"/>
        <c:auto val="1"/>
        <c:lblAlgn val="ctr"/>
        <c:lblOffset val="100"/>
        <c:noMultiLvlLbl val="1"/>
      </c:catAx>
      <c:valAx>
        <c:axId val="19404580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58207421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Votaciones Art.27 por Colectivos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[1]Art27!$H$2:$H$13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[1]Art27!$I$2:$I$13</c:f>
              <c:numCache>
                <c:formatCode>General</c:formatCode>
                <c:ptCount val="12"/>
                <c:pt idx="0">
                  <c:v>11</c:v>
                </c:pt>
                <c:pt idx="1">
                  <c:v>12</c:v>
                </c:pt>
                <c:pt idx="2">
                  <c:v>8</c:v>
                </c:pt>
                <c:pt idx="3">
                  <c:v>8</c:v>
                </c:pt>
                <c:pt idx="4">
                  <c:v>16</c:v>
                </c:pt>
                <c:pt idx="5">
                  <c:v>7</c:v>
                </c:pt>
                <c:pt idx="6">
                  <c:v>10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42A-4CC0-98A3-D5CADCCC6CCC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[1]Art27!$H$2:$H$13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[1]Art27!$J$2:$J$13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2</c:v>
                </c:pt>
                <c:pt idx="7">
                  <c:v>0</c:v>
                </c:pt>
                <c:pt idx="8">
                  <c:v>21</c:v>
                </c:pt>
                <c:pt idx="9">
                  <c:v>9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42A-4CC0-98A3-D5CADCCC6CCC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[1]Art27!$H$2:$H$13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[1]Art27!$K$2:$K$13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4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342A-4CC0-98A3-D5CADCCC6CCC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[1]Art27!$H$2:$H$13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[1]Art27!$L$2:$L$13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342A-4CC0-98A3-D5CADCCC6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92737991"/>
        <c:axId val="321382695"/>
      </c:barChart>
      <c:catAx>
        <c:axId val="12927379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321382695"/>
        <c:crosses val="autoZero"/>
        <c:auto val="1"/>
        <c:lblAlgn val="ctr"/>
        <c:lblOffset val="100"/>
        <c:noMultiLvlLbl val="1"/>
      </c:catAx>
      <c:valAx>
        <c:axId val="3213826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29273799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sz="1600" b="1" i="0">
                <a:solidFill>
                  <a:srgbClr val="757575"/>
                </a:solidFill>
                <a:latin typeface="Arial"/>
              </a:rPr>
              <a:t>% de Votaciones Art.27 por Colectivos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[1]Art27!$H$46:$H$57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[1]Art27!$I$46:$I$57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0.8</c:v>
                </c:pt>
                <c:pt idx="3">
                  <c:v>0.88888888888888884</c:v>
                </c:pt>
                <c:pt idx="4">
                  <c:v>1</c:v>
                </c:pt>
                <c:pt idx="5">
                  <c:v>0.58333333333333337</c:v>
                </c:pt>
                <c:pt idx="6">
                  <c:v>0.66666666666666663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0.2857142857142857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6AF-443F-9984-B508D32E10C0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[1]Art27!$H$46:$H$57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[1]Art27!$J$46:$J$57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0.16666666666666666</c:v>
                </c:pt>
                <c:pt idx="6">
                  <c:v>0.13333333333333333</c:v>
                </c:pt>
                <c:pt idx="7">
                  <c:v>0</c:v>
                </c:pt>
                <c:pt idx="8">
                  <c:v>1</c:v>
                </c:pt>
                <c:pt idx="9">
                  <c:v>0.6</c:v>
                </c:pt>
                <c:pt idx="10">
                  <c:v>0.14285714285714285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6AF-443F-9984-B508D32E10C0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[1]Art27!$H$46:$H$57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[1]Art27!$K$46:$K$57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0.25</c:v>
                </c:pt>
                <c:pt idx="6">
                  <c:v>0.2</c:v>
                </c:pt>
                <c:pt idx="7">
                  <c:v>0</c:v>
                </c:pt>
                <c:pt idx="8">
                  <c:v>0</c:v>
                </c:pt>
                <c:pt idx="9">
                  <c:v>0.4</c:v>
                </c:pt>
                <c:pt idx="10">
                  <c:v>0.5714285714285714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66AF-443F-9984-B508D32E10C0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[1]Art27!$H$46:$H$57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[1]Art27!$L$46:$L$57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0.1111111111111111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66AF-443F-9984-B508D32E1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7657238"/>
        <c:axId val="836622037"/>
      </c:barChart>
      <c:catAx>
        <c:axId val="17276572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836622037"/>
        <c:crosses val="autoZero"/>
        <c:auto val="1"/>
        <c:lblAlgn val="ctr"/>
        <c:lblOffset val="100"/>
        <c:noMultiLvlLbl val="1"/>
      </c:catAx>
      <c:valAx>
        <c:axId val="8366220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72765723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Votaciones Art.28 por Colectivos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[1]Art28!$H$2:$H$13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[1]Art28!$I$2:$I$13</c:f>
              <c:numCache>
                <c:formatCode>General</c:formatCode>
                <c:ptCount val="12"/>
                <c:pt idx="0">
                  <c:v>10</c:v>
                </c:pt>
                <c:pt idx="1">
                  <c:v>6</c:v>
                </c:pt>
                <c:pt idx="2">
                  <c:v>10</c:v>
                </c:pt>
                <c:pt idx="3">
                  <c:v>0</c:v>
                </c:pt>
                <c:pt idx="4">
                  <c:v>15</c:v>
                </c:pt>
                <c:pt idx="5">
                  <c:v>7</c:v>
                </c:pt>
                <c:pt idx="6">
                  <c:v>14</c:v>
                </c:pt>
                <c:pt idx="7">
                  <c:v>5</c:v>
                </c:pt>
                <c:pt idx="8">
                  <c:v>0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398-40BE-A85F-9A15AB3B4FB3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[1]Art28!$H$2:$H$13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[1]Art28!$J$2:$J$13</c:f>
              <c:numCache>
                <c:formatCode>General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7</c:v>
                </c:pt>
                <c:pt idx="8">
                  <c:v>6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398-40BE-A85F-9A15AB3B4FB3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[1]Art28!$H$2:$H$13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[1]Art28!$K$2:$K$13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7</c:v>
                </c:pt>
                <c:pt idx="4">
                  <c:v>0</c:v>
                </c:pt>
                <c:pt idx="5">
                  <c:v>4</c:v>
                </c:pt>
                <c:pt idx="6">
                  <c:v>0</c:v>
                </c:pt>
                <c:pt idx="7">
                  <c:v>7</c:v>
                </c:pt>
                <c:pt idx="8">
                  <c:v>15</c:v>
                </c:pt>
                <c:pt idx="9">
                  <c:v>9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D398-40BE-A85F-9A15AB3B4FB3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[1]Art28!$H$2:$H$13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[1]Art28!$L$2:$L$13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D398-40BE-A85F-9A15AB3B4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41420649"/>
        <c:axId val="1443294770"/>
      </c:barChart>
      <c:catAx>
        <c:axId val="7414206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443294770"/>
        <c:crosses val="autoZero"/>
        <c:auto val="1"/>
        <c:lblAlgn val="ctr"/>
        <c:lblOffset val="100"/>
        <c:noMultiLvlLbl val="1"/>
      </c:catAx>
      <c:valAx>
        <c:axId val="14432947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74142064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% de Votaciones Art.28 por Colectivos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[1]Art28!$H$46:$H$57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[1]Art28!$I$46:$I$57</c:f>
              <c:numCache>
                <c:formatCode>General</c:formatCode>
                <c:ptCount val="12"/>
                <c:pt idx="0">
                  <c:v>0.90909090909090906</c:v>
                </c:pt>
                <c:pt idx="1">
                  <c:v>0.5</c:v>
                </c:pt>
                <c:pt idx="2">
                  <c:v>1</c:v>
                </c:pt>
                <c:pt idx="3">
                  <c:v>0</c:v>
                </c:pt>
                <c:pt idx="4">
                  <c:v>0.9375</c:v>
                </c:pt>
                <c:pt idx="5">
                  <c:v>0.58333333333333337</c:v>
                </c:pt>
                <c:pt idx="6">
                  <c:v>0.93333333333333335</c:v>
                </c:pt>
                <c:pt idx="7">
                  <c:v>0.26315789473684209</c:v>
                </c:pt>
                <c:pt idx="8">
                  <c:v>0</c:v>
                </c:pt>
                <c:pt idx="9">
                  <c:v>0.2</c:v>
                </c:pt>
                <c:pt idx="10">
                  <c:v>0.42857142857142855</c:v>
                </c:pt>
                <c:pt idx="11">
                  <c:v>0.8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EB3-4639-93E7-0DDD6D47A6F1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[1]Art28!$H$46:$H$57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[1]Art28!$J$46:$J$57</c:f>
              <c:numCache>
                <c:formatCode>General</c:formatCode>
                <c:ptCount val="12"/>
                <c:pt idx="0">
                  <c:v>0</c:v>
                </c:pt>
                <c:pt idx="1">
                  <c:v>0.41666666666666669</c:v>
                </c:pt>
                <c:pt idx="2">
                  <c:v>0</c:v>
                </c:pt>
                <c:pt idx="3">
                  <c:v>0.1111111111111111</c:v>
                </c:pt>
                <c:pt idx="4">
                  <c:v>0</c:v>
                </c:pt>
                <c:pt idx="5">
                  <c:v>8.3333333333333329E-2</c:v>
                </c:pt>
                <c:pt idx="6">
                  <c:v>6.6666666666666666E-2</c:v>
                </c:pt>
                <c:pt idx="7">
                  <c:v>0.36842105263157893</c:v>
                </c:pt>
                <c:pt idx="8">
                  <c:v>0.2857142857142857</c:v>
                </c:pt>
                <c:pt idx="9">
                  <c:v>0.2</c:v>
                </c:pt>
                <c:pt idx="10">
                  <c:v>0.2857142857142857</c:v>
                </c:pt>
                <c:pt idx="11">
                  <c:v>0.2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EB3-4639-93E7-0DDD6D47A6F1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[1]Art28!$H$46:$H$57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[1]Art28!$K$46:$K$57</c:f>
              <c:numCache>
                <c:formatCode>General</c:formatCode>
                <c:ptCount val="12"/>
                <c:pt idx="0">
                  <c:v>9.0909090909090912E-2</c:v>
                </c:pt>
                <c:pt idx="1">
                  <c:v>8.3333333333333329E-2</c:v>
                </c:pt>
                <c:pt idx="2">
                  <c:v>0</c:v>
                </c:pt>
                <c:pt idx="3">
                  <c:v>0.77777777777777779</c:v>
                </c:pt>
                <c:pt idx="4">
                  <c:v>0</c:v>
                </c:pt>
                <c:pt idx="5">
                  <c:v>0.33333333333333331</c:v>
                </c:pt>
                <c:pt idx="6">
                  <c:v>0</c:v>
                </c:pt>
                <c:pt idx="7">
                  <c:v>0.36842105263157893</c:v>
                </c:pt>
                <c:pt idx="8">
                  <c:v>0.7142857142857143</c:v>
                </c:pt>
                <c:pt idx="9">
                  <c:v>0.6</c:v>
                </c:pt>
                <c:pt idx="10">
                  <c:v>0.2857142857142857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EB3-4639-93E7-0DDD6D47A6F1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[1]Art28!$H$46:$H$57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[1]Art28!$L$46:$L$57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0.1111111111111111</c:v>
                </c:pt>
                <c:pt idx="4">
                  <c:v>6.25E-2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2EB3-4639-93E7-0DDD6D47A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5845633"/>
        <c:axId val="509892036"/>
      </c:barChart>
      <c:catAx>
        <c:axId val="3958456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509892036"/>
        <c:crosses val="autoZero"/>
        <c:auto val="1"/>
        <c:lblAlgn val="ctr"/>
        <c:lblOffset val="100"/>
        <c:noMultiLvlLbl val="1"/>
      </c:catAx>
      <c:valAx>
        <c:axId val="5098920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39584563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Votaciones Art.29 por Colectivos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[1]Art29!$H$2:$H$13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[1]Art29!$I$2:$I$13</c:f>
              <c:numCache>
                <c:formatCode>General</c:formatCode>
                <c:ptCount val="12"/>
                <c:pt idx="0">
                  <c:v>11</c:v>
                </c:pt>
                <c:pt idx="1">
                  <c:v>12</c:v>
                </c:pt>
                <c:pt idx="2">
                  <c:v>10</c:v>
                </c:pt>
                <c:pt idx="3">
                  <c:v>8</c:v>
                </c:pt>
                <c:pt idx="4">
                  <c:v>13</c:v>
                </c:pt>
                <c:pt idx="5">
                  <c:v>10</c:v>
                </c:pt>
                <c:pt idx="6">
                  <c:v>5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759-4613-9360-70C69628FB75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[1]Art29!$H$2:$H$13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[1]Art29!$J$2:$J$13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2</c:v>
                </c:pt>
                <c:pt idx="6">
                  <c:v>9</c:v>
                </c:pt>
                <c:pt idx="7">
                  <c:v>10</c:v>
                </c:pt>
                <c:pt idx="8">
                  <c:v>20</c:v>
                </c:pt>
                <c:pt idx="9">
                  <c:v>14</c:v>
                </c:pt>
                <c:pt idx="10">
                  <c:v>6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759-4613-9360-70C69628FB75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[1]Art29!$H$2:$H$13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[1]Art29!$K$2:$K$13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759-4613-9360-70C69628FB75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[1]Art29!$H$2:$H$13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[1]Art29!$L$2:$L$13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C759-4613-9360-70C69628F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16587026"/>
        <c:axId val="1305081003"/>
      </c:barChart>
      <c:catAx>
        <c:axId val="11165870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305081003"/>
        <c:crosses val="autoZero"/>
        <c:auto val="1"/>
        <c:lblAlgn val="ctr"/>
        <c:lblOffset val="100"/>
        <c:noMultiLvlLbl val="1"/>
      </c:catAx>
      <c:valAx>
        <c:axId val="13050810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11658702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sz="1600" b="1" i="0">
                <a:solidFill>
                  <a:srgbClr val="757575"/>
                </a:solidFill>
                <a:latin typeface="Arial"/>
              </a:rPr>
              <a:t>% de Votaciones Art.29 por Colectivos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[1]Art29!$H$46:$H$57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[1]Art29!$I$46:$I$57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0.88888888888888884</c:v>
                </c:pt>
                <c:pt idx="4">
                  <c:v>0.8125</c:v>
                </c:pt>
                <c:pt idx="5">
                  <c:v>0.83333333333333337</c:v>
                </c:pt>
                <c:pt idx="6">
                  <c:v>0.33333333333333331</c:v>
                </c:pt>
                <c:pt idx="7">
                  <c:v>4.7619047619047616E-2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2A6-4026-940C-149CDC1E0AC8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[1]Art29!$H$46:$H$57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[1]Art29!$J$46:$J$57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0.1875</c:v>
                </c:pt>
                <c:pt idx="5">
                  <c:v>0.16666666666666666</c:v>
                </c:pt>
                <c:pt idx="6">
                  <c:v>0.6</c:v>
                </c:pt>
                <c:pt idx="7">
                  <c:v>0.47619047619047616</c:v>
                </c:pt>
                <c:pt idx="8">
                  <c:v>0.95238095238095233</c:v>
                </c:pt>
                <c:pt idx="9">
                  <c:v>0.93333333333333335</c:v>
                </c:pt>
                <c:pt idx="10">
                  <c:v>0.8571428571428571</c:v>
                </c:pt>
                <c:pt idx="11">
                  <c:v>0.2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2A6-4026-940C-149CDC1E0AC8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[1]Art29!$H$46:$H$57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[1]Art29!$K$46:$K$57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6.6666666666666666E-2</c:v>
                </c:pt>
                <c:pt idx="7">
                  <c:v>0.47619047619047616</c:v>
                </c:pt>
                <c:pt idx="8">
                  <c:v>4.7619047619047616E-2</c:v>
                </c:pt>
                <c:pt idx="9">
                  <c:v>6.6666666666666666E-2</c:v>
                </c:pt>
                <c:pt idx="10">
                  <c:v>0.14285714285714285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2A6-4026-940C-149CDC1E0AC8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[1]Art29!$H$46:$H$57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[1]Art29!$L$46:$L$57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0.1111111111111111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92A6-4026-940C-149CDC1E0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18310789"/>
        <c:axId val="2081659354"/>
      </c:barChart>
      <c:catAx>
        <c:axId val="11183107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2081659354"/>
        <c:crosses val="autoZero"/>
        <c:auto val="1"/>
        <c:lblAlgn val="ctr"/>
        <c:lblOffset val="100"/>
        <c:noMultiLvlLbl val="1"/>
      </c:catAx>
      <c:valAx>
        <c:axId val="20816593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11831078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Votaciones Art.30 por Colectivos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[1]Art30!$H$2:$H$13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[1]Art30!$I$2:$I$13</c:f>
              <c:numCache>
                <c:formatCode>General</c:formatCode>
                <c:ptCount val="12"/>
                <c:pt idx="0">
                  <c:v>11</c:v>
                </c:pt>
                <c:pt idx="1">
                  <c:v>6</c:v>
                </c:pt>
                <c:pt idx="2">
                  <c:v>10</c:v>
                </c:pt>
                <c:pt idx="3">
                  <c:v>0</c:v>
                </c:pt>
                <c:pt idx="4">
                  <c:v>15</c:v>
                </c:pt>
                <c:pt idx="5">
                  <c:v>6</c:v>
                </c:pt>
                <c:pt idx="6">
                  <c:v>3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2</c:v>
                </c:pt>
                <c:pt idx="11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347-47A9-B312-041043134347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[1]Art30!$H$2:$H$13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[1]Art30!$J$2:$J$13</c:f>
              <c:numCache>
                <c:formatCode>General</c:formatCode>
                <c:ptCount val="12"/>
                <c:pt idx="0">
                  <c:v>0</c:v>
                </c:pt>
                <c:pt idx="1">
                  <c:v>6</c:v>
                </c:pt>
                <c:pt idx="2">
                  <c:v>0</c:v>
                </c:pt>
                <c:pt idx="3">
                  <c:v>8</c:v>
                </c:pt>
                <c:pt idx="4">
                  <c:v>0</c:v>
                </c:pt>
                <c:pt idx="5">
                  <c:v>4</c:v>
                </c:pt>
                <c:pt idx="6">
                  <c:v>9</c:v>
                </c:pt>
                <c:pt idx="7">
                  <c:v>11</c:v>
                </c:pt>
                <c:pt idx="8">
                  <c:v>6</c:v>
                </c:pt>
                <c:pt idx="9">
                  <c:v>5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347-47A9-B312-041043134347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[1]Art30!$H$2:$H$13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[1]Art30!$K$2:$K$13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3</c:v>
                </c:pt>
                <c:pt idx="7">
                  <c:v>11</c:v>
                </c:pt>
                <c:pt idx="8">
                  <c:v>15</c:v>
                </c:pt>
                <c:pt idx="9">
                  <c:v>8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E347-47A9-B312-041043134347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[1]Art30!$H$2:$H$13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[1]Art30!$L$2:$L$13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E347-47A9-B312-041043134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2030242"/>
        <c:axId val="6385341"/>
      </c:barChart>
      <c:catAx>
        <c:axId val="1120302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6385341"/>
        <c:crosses val="autoZero"/>
        <c:auto val="1"/>
        <c:lblAlgn val="ctr"/>
        <c:lblOffset val="100"/>
        <c:noMultiLvlLbl val="1"/>
      </c:catAx>
      <c:valAx>
        <c:axId val="63853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1203024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% de Votaciones Art.30 por Colectivos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[1]Art30!$H$46:$H$57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[1]Art30!$I$46:$I$57</c:f>
              <c:numCache>
                <c:formatCode>General</c:formatCode>
                <c:ptCount val="12"/>
                <c:pt idx="0">
                  <c:v>1</c:v>
                </c:pt>
                <c:pt idx="1">
                  <c:v>0.5</c:v>
                </c:pt>
                <c:pt idx="2">
                  <c:v>1</c:v>
                </c:pt>
                <c:pt idx="3">
                  <c:v>0</c:v>
                </c:pt>
                <c:pt idx="4">
                  <c:v>0.9375</c:v>
                </c:pt>
                <c:pt idx="5">
                  <c:v>0.5</c:v>
                </c:pt>
                <c:pt idx="6">
                  <c:v>0.2</c:v>
                </c:pt>
                <c:pt idx="7">
                  <c:v>4.3478260869565216E-2</c:v>
                </c:pt>
                <c:pt idx="8">
                  <c:v>0</c:v>
                </c:pt>
                <c:pt idx="9">
                  <c:v>0.13333333333333333</c:v>
                </c:pt>
                <c:pt idx="10">
                  <c:v>0.2857142857142857</c:v>
                </c:pt>
                <c:pt idx="11">
                  <c:v>0.8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17B-48B0-820F-F0E9290B6709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[1]Art30!$H$46:$H$57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[1]Art30!$J$46:$J$57</c:f>
              <c:numCache>
                <c:formatCode>General</c:formatCode>
                <c:ptCount val="12"/>
                <c:pt idx="0">
                  <c:v>0</c:v>
                </c:pt>
                <c:pt idx="1">
                  <c:v>0.5</c:v>
                </c:pt>
                <c:pt idx="2">
                  <c:v>0</c:v>
                </c:pt>
                <c:pt idx="3">
                  <c:v>0.88888888888888884</c:v>
                </c:pt>
                <c:pt idx="4">
                  <c:v>0</c:v>
                </c:pt>
                <c:pt idx="5">
                  <c:v>0.33333333333333331</c:v>
                </c:pt>
                <c:pt idx="6">
                  <c:v>0.6</c:v>
                </c:pt>
                <c:pt idx="7">
                  <c:v>0.47826086956521741</c:v>
                </c:pt>
                <c:pt idx="8">
                  <c:v>0.2857142857142857</c:v>
                </c:pt>
                <c:pt idx="9">
                  <c:v>0.33333333333333331</c:v>
                </c:pt>
                <c:pt idx="10">
                  <c:v>0.5714285714285714</c:v>
                </c:pt>
                <c:pt idx="11">
                  <c:v>0.2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17B-48B0-820F-F0E9290B6709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[1]Art30!$H$46:$H$57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[1]Art30!$K$46:$K$57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0.16666666666666666</c:v>
                </c:pt>
                <c:pt idx="6">
                  <c:v>0.2</c:v>
                </c:pt>
                <c:pt idx="7">
                  <c:v>0.47826086956521741</c:v>
                </c:pt>
                <c:pt idx="8">
                  <c:v>0.7142857142857143</c:v>
                </c:pt>
                <c:pt idx="9">
                  <c:v>0.53333333333333333</c:v>
                </c:pt>
                <c:pt idx="10">
                  <c:v>0.14285714285714285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17B-48B0-820F-F0E9290B6709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[1]Art30!$H$46:$H$57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[1]Art30!$L$46:$L$57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0.1111111111111111</c:v>
                </c:pt>
                <c:pt idx="4">
                  <c:v>6.25E-2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917B-48B0-820F-F0E9290B6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51597551"/>
        <c:axId val="1760702216"/>
      </c:barChart>
      <c:catAx>
        <c:axId val="13515975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760702216"/>
        <c:crosses val="autoZero"/>
        <c:auto val="1"/>
        <c:lblAlgn val="ctr"/>
        <c:lblOffset val="100"/>
        <c:noMultiLvlLbl val="1"/>
      </c:catAx>
      <c:valAx>
        <c:axId val="17607022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35159755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Votaciones Art.31 por Colectivos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[1]Art31!$H$2:$H$13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[1]Art31!$I$2:$I$13</c:f>
              <c:numCache>
                <c:formatCode>General</c:formatCode>
                <c:ptCount val="12"/>
                <c:pt idx="0">
                  <c:v>11</c:v>
                </c:pt>
                <c:pt idx="1">
                  <c:v>12</c:v>
                </c:pt>
                <c:pt idx="2">
                  <c:v>10</c:v>
                </c:pt>
                <c:pt idx="3">
                  <c:v>8</c:v>
                </c:pt>
                <c:pt idx="4">
                  <c:v>15</c:v>
                </c:pt>
                <c:pt idx="5">
                  <c:v>3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6B7-48AD-98EF-8463E707A741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[1]Art31!$H$2:$H$13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[1]Art31!$J$2:$J$13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12</c:v>
                </c:pt>
                <c:pt idx="7">
                  <c:v>12</c:v>
                </c:pt>
                <c:pt idx="8">
                  <c:v>4</c:v>
                </c:pt>
                <c:pt idx="9">
                  <c:v>10</c:v>
                </c:pt>
                <c:pt idx="10">
                  <c:v>6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6B7-48AD-98EF-8463E707A741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[1]Art31!$H$2:$H$13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[1]Art31!$K$2:$K$13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1</c:v>
                </c:pt>
                <c:pt idx="7">
                  <c:v>12</c:v>
                </c:pt>
                <c:pt idx="8">
                  <c:v>17</c:v>
                </c:pt>
                <c:pt idx="9">
                  <c:v>4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6B7-48AD-98EF-8463E707A741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[1]Art31!$H$2:$H$13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[1]Art31!$L$2:$L$13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F6B7-48AD-98EF-8463E707A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4518108"/>
        <c:axId val="1532131772"/>
      </c:barChart>
      <c:catAx>
        <c:axId val="444518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532131772"/>
        <c:crosses val="autoZero"/>
        <c:auto val="1"/>
        <c:lblAlgn val="ctr"/>
        <c:lblOffset val="100"/>
        <c:noMultiLvlLbl val="1"/>
      </c:catAx>
      <c:valAx>
        <c:axId val="15321317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44451810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sz="1600" b="1" i="0">
                <a:solidFill>
                  <a:srgbClr val="757575"/>
                </a:solidFill>
                <a:latin typeface="Arial"/>
              </a:rPr>
              <a:t>% de Votaciones Art.31 por Colectivos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[1]Art31!$H$46:$H$57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[1]Art31!$I$46:$I$57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0.88888888888888884</c:v>
                </c:pt>
                <c:pt idx="4">
                  <c:v>0.9375</c:v>
                </c:pt>
                <c:pt idx="5">
                  <c:v>0.25</c:v>
                </c:pt>
                <c:pt idx="6">
                  <c:v>0.13333333333333333</c:v>
                </c:pt>
                <c:pt idx="7">
                  <c:v>0</c:v>
                </c:pt>
                <c:pt idx="8">
                  <c:v>0</c:v>
                </c:pt>
                <c:pt idx="9">
                  <c:v>6.6666666666666666E-2</c:v>
                </c:pt>
                <c:pt idx="10">
                  <c:v>0</c:v>
                </c:pt>
                <c:pt idx="11">
                  <c:v>0.8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E80-43C7-869C-79362A408DA0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[1]Art31!$H$46:$H$57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[1]Art31!$J$46:$J$57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0.41666666666666669</c:v>
                </c:pt>
                <c:pt idx="6">
                  <c:v>0.8</c:v>
                </c:pt>
                <c:pt idx="7">
                  <c:v>0.5</c:v>
                </c:pt>
                <c:pt idx="8">
                  <c:v>0.19047619047619047</c:v>
                </c:pt>
                <c:pt idx="9">
                  <c:v>0.66666666666666663</c:v>
                </c:pt>
                <c:pt idx="10">
                  <c:v>0.8571428571428571</c:v>
                </c:pt>
                <c:pt idx="11">
                  <c:v>0.2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E80-43C7-869C-79362A408DA0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[1]Art31!$H$46:$H$57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[1]Art31!$K$46:$K$57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0.33333333333333331</c:v>
                </c:pt>
                <c:pt idx="6">
                  <c:v>6.6666666666666666E-2</c:v>
                </c:pt>
                <c:pt idx="7">
                  <c:v>0.5</c:v>
                </c:pt>
                <c:pt idx="8">
                  <c:v>0.80952380952380953</c:v>
                </c:pt>
                <c:pt idx="9">
                  <c:v>0.26666666666666666</c:v>
                </c:pt>
                <c:pt idx="10">
                  <c:v>0.14285714285714285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E80-43C7-869C-79362A408DA0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[1]Art31!$H$46:$H$57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[1]Art31!$L$46:$L$57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0.1111111111111111</c:v>
                </c:pt>
                <c:pt idx="4">
                  <c:v>6.25E-2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0E80-43C7-869C-79362A408D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0998195"/>
        <c:axId val="28170353"/>
      </c:barChart>
      <c:catAx>
        <c:axId val="17209981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28170353"/>
        <c:crosses val="autoZero"/>
        <c:auto val="1"/>
        <c:lblAlgn val="ctr"/>
        <c:lblOffset val="100"/>
        <c:noMultiLvlLbl val="1"/>
      </c:catAx>
      <c:valAx>
        <c:axId val="281703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72099819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Votaciones Art.32 por Colectivos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[1]Art32!$H$2:$H$13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[1]Art32!$I$2:$I$13</c:f>
              <c:numCache>
                <c:formatCode>General</c:formatCode>
                <c:ptCount val="12"/>
                <c:pt idx="0">
                  <c:v>9</c:v>
                </c:pt>
                <c:pt idx="1">
                  <c:v>12</c:v>
                </c:pt>
                <c:pt idx="2">
                  <c:v>10</c:v>
                </c:pt>
                <c:pt idx="3">
                  <c:v>8</c:v>
                </c:pt>
                <c:pt idx="4">
                  <c:v>16</c:v>
                </c:pt>
                <c:pt idx="5">
                  <c:v>11</c:v>
                </c:pt>
                <c:pt idx="6">
                  <c:v>3</c:v>
                </c:pt>
                <c:pt idx="7">
                  <c:v>7</c:v>
                </c:pt>
                <c:pt idx="8">
                  <c:v>1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E62-4648-9660-F9995DDAE9D8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[1]Art32!$H$2:$H$13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[1]Art32!$J$2:$J$13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12</c:v>
                </c:pt>
                <c:pt idx="7">
                  <c:v>5</c:v>
                </c:pt>
                <c:pt idx="8">
                  <c:v>5</c:v>
                </c:pt>
                <c:pt idx="9">
                  <c:v>3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E62-4648-9660-F9995DDAE9D8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[1]Art32!$H$2:$H$13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[1]Art32!$K$2:$K$13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5</c:v>
                </c:pt>
                <c:pt idx="8">
                  <c:v>15</c:v>
                </c:pt>
                <c:pt idx="9">
                  <c:v>11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E62-4648-9660-F9995DDAE9D8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[1]Art32!$H$2:$H$13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[1]Art32!$L$2:$L$13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8E62-4648-9660-F9995DDAE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63275987"/>
        <c:axId val="622874111"/>
      </c:barChart>
      <c:catAx>
        <c:axId val="5632759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622874111"/>
        <c:crosses val="autoZero"/>
        <c:auto val="1"/>
        <c:lblAlgn val="ctr"/>
        <c:lblOffset val="100"/>
        <c:noMultiLvlLbl val="1"/>
      </c:catAx>
      <c:valAx>
        <c:axId val="6228741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563275987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sz="1600" b="1" i="0">
                <a:solidFill>
                  <a:srgbClr val="757575"/>
                </a:solidFill>
                <a:latin typeface="Arial"/>
              </a:rPr>
              <a:t>% de Votaciones Art.32 por Colectivos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[1]Art32!$H$46:$H$57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[1]Art32!$I$46:$I$57</c:f>
              <c:numCache>
                <c:formatCode>General</c:formatCode>
                <c:ptCount val="12"/>
                <c:pt idx="0">
                  <c:v>0.81818181818181823</c:v>
                </c:pt>
                <c:pt idx="1">
                  <c:v>1</c:v>
                </c:pt>
                <c:pt idx="2">
                  <c:v>1</c:v>
                </c:pt>
                <c:pt idx="3">
                  <c:v>0.88888888888888884</c:v>
                </c:pt>
                <c:pt idx="4">
                  <c:v>1</c:v>
                </c:pt>
                <c:pt idx="5">
                  <c:v>0.91666666666666663</c:v>
                </c:pt>
                <c:pt idx="6">
                  <c:v>0.2</c:v>
                </c:pt>
                <c:pt idx="7">
                  <c:v>0.41176470588235292</c:v>
                </c:pt>
                <c:pt idx="8">
                  <c:v>4.7619047619047616E-2</c:v>
                </c:pt>
                <c:pt idx="9">
                  <c:v>6.6666666666666666E-2</c:v>
                </c:pt>
                <c:pt idx="10">
                  <c:v>0.42857142857142855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D20-48DE-A5C6-53C9453008E2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[1]Art32!$H$46:$H$57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[1]Art32!$J$46:$J$57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0.8</c:v>
                </c:pt>
                <c:pt idx="7">
                  <c:v>0.29411764705882354</c:v>
                </c:pt>
                <c:pt idx="8">
                  <c:v>0.23809523809523808</c:v>
                </c:pt>
                <c:pt idx="9">
                  <c:v>0.2</c:v>
                </c:pt>
                <c:pt idx="10">
                  <c:v>0.2857142857142857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D20-48DE-A5C6-53C9453008E2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[1]Art32!$H$46:$H$57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[1]Art32!$K$46:$K$57</c:f>
              <c:numCache>
                <c:formatCode>General</c:formatCode>
                <c:ptCount val="12"/>
                <c:pt idx="0">
                  <c:v>9.0909090909090912E-2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8.3333333333333329E-2</c:v>
                </c:pt>
                <c:pt idx="6">
                  <c:v>0</c:v>
                </c:pt>
                <c:pt idx="7">
                  <c:v>0.29411764705882354</c:v>
                </c:pt>
                <c:pt idx="8">
                  <c:v>0.7142857142857143</c:v>
                </c:pt>
                <c:pt idx="9">
                  <c:v>0.73333333333333328</c:v>
                </c:pt>
                <c:pt idx="10">
                  <c:v>0.2857142857142857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D20-48DE-A5C6-53C9453008E2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[1]Art32!$H$46:$H$57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[1]Art32!$L$46:$L$57</c:f>
              <c:numCache>
                <c:formatCode>General</c:formatCode>
                <c:ptCount val="12"/>
                <c:pt idx="0">
                  <c:v>9.0909090909090912E-2</c:v>
                </c:pt>
                <c:pt idx="1">
                  <c:v>0</c:v>
                </c:pt>
                <c:pt idx="2">
                  <c:v>0</c:v>
                </c:pt>
                <c:pt idx="3">
                  <c:v>0.1111111111111111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2D20-48DE-A5C6-53C945300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1806632"/>
        <c:axId val="1834458111"/>
      </c:barChart>
      <c:catAx>
        <c:axId val="1931806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834458111"/>
        <c:crosses val="autoZero"/>
        <c:auto val="1"/>
        <c:lblAlgn val="ctr"/>
        <c:lblOffset val="100"/>
        <c:noMultiLvlLbl val="1"/>
      </c:catAx>
      <c:valAx>
        <c:axId val="18344581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93180663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Votaciones Art.33 por Colectivos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[1]Art33!$H$2:$H$13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[1]Art33!$I$2:$I$13</c:f>
              <c:numCache>
                <c:formatCode>General</c:formatCode>
                <c:ptCount val="12"/>
                <c:pt idx="0">
                  <c:v>11</c:v>
                </c:pt>
                <c:pt idx="1">
                  <c:v>12</c:v>
                </c:pt>
                <c:pt idx="2">
                  <c:v>10</c:v>
                </c:pt>
                <c:pt idx="3">
                  <c:v>8</c:v>
                </c:pt>
                <c:pt idx="4">
                  <c:v>16</c:v>
                </c:pt>
                <c:pt idx="5">
                  <c:v>8</c:v>
                </c:pt>
                <c:pt idx="6">
                  <c:v>13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F1E-4DAA-A249-0B3C3C1CA711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[1]Art33!$H$2:$H$13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[1]Art33!$J$2:$J$13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19</c:v>
                </c:pt>
                <c:pt idx="9">
                  <c:v>9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F1E-4DAA-A249-0B3C3C1CA711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[1]Art33!$H$2:$H$13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[1]Art33!$K$2:$K$13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6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F1E-4DAA-A249-0B3C3C1CA711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[1]Art33!$H$2:$H$13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[1]Art33!$L$2:$L$13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0F1E-4DAA-A249-0B3C3C1CA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67928877"/>
        <c:axId val="948689988"/>
      </c:barChart>
      <c:catAx>
        <c:axId val="5679288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948689988"/>
        <c:crosses val="autoZero"/>
        <c:auto val="1"/>
        <c:lblAlgn val="ctr"/>
        <c:lblOffset val="100"/>
        <c:noMultiLvlLbl val="1"/>
      </c:catAx>
      <c:valAx>
        <c:axId val="9486899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567928877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% de Votaciones Art.33 por Colectivos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[1]Art33!$H$46:$H$57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[1]Art33!$I$46:$I$57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0.88888888888888884</c:v>
                </c:pt>
                <c:pt idx="4">
                  <c:v>1</c:v>
                </c:pt>
                <c:pt idx="5">
                  <c:v>0.66666666666666663</c:v>
                </c:pt>
                <c:pt idx="6">
                  <c:v>0.8666666666666667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0.2857142857142857</c:v>
                </c:pt>
                <c:pt idx="11">
                  <c:v>0.8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209-4AC4-8703-680A538BAAFC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[1]Art33!$H$46:$H$57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[1]Art33!$J$46:$J$57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0.90476190476190477</c:v>
                </c:pt>
                <c:pt idx="9">
                  <c:v>0.6</c:v>
                </c:pt>
                <c:pt idx="10">
                  <c:v>0.5714285714285714</c:v>
                </c:pt>
                <c:pt idx="11">
                  <c:v>0.2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209-4AC4-8703-680A538BAAFC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[1]Art33!$H$46:$H$57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[1]Art33!$K$46:$K$57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0.33333333333333331</c:v>
                </c:pt>
                <c:pt idx="6">
                  <c:v>0.13333333333333333</c:v>
                </c:pt>
                <c:pt idx="7">
                  <c:v>0</c:v>
                </c:pt>
                <c:pt idx="8">
                  <c:v>9.5238095238095233E-2</c:v>
                </c:pt>
                <c:pt idx="9">
                  <c:v>0.4</c:v>
                </c:pt>
                <c:pt idx="10">
                  <c:v>0.14285714285714285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209-4AC4-8703-680A538BAAFC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[1]Art33!$H$46:$H$57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[1]Art33!$L$46:$L$57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0.1111111111111111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F209-4AC4-8703-680A538BA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81841198"/>
        <c:axId val="1545682401"/>
      </c:barChart>
      <c:catAx>
        <c:axId val="19818411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545682401"/>
        <c:crosses val="autoZero"/>
        <c:auto val="1"/>
        <c:lblAlgn val="ctr"/>
        <c:lblOffset val="100"/>
        <c:noMultiLvlLbl val="1"/>
      </c:catAx>
      <c:valAx>
        <c:axId val="15456824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98184119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Votaciones Art.34 por Colectivos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[1]Art34!$H$2:$H$13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[1]Art34!$I$2:$I$13</c:f>
              <c:numCache>
                <c:formatCode>General</c:formatCode>
                <c:ptCount val="12"/>
                <c:pt idx="0">
                  <c:v>11</c:v>
                </c:pt>
                <c:pt idx="1">
                  <c:v>12</c:v>
                </c:pt>
                <c:pt idx="2">
                  <c:v>10</c:v>
                </c:pt>
                <c:pt idx="3">
                  <c:v>1</c:v>
                </c:pt>
                <c:pt idx="4">
                  <c:v>15</c:v>
                </c:pt>
                <c:pt idx="5">
                  <c:v>8</c:v>
                </c:pt>
                <c:pt idx="6">
                  <c:v>4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B62-4C3E-8DDF-D0A15DFA93DD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[1]Art34!$H$2:$H$13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[1]Art34!$J$2:$J$13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11</c:v>
                </c:pt>
                <c:pt idx="7">
                  <c:v>8</c:v>
                </c:pt>
                <c:pt idx="8">
                  <c:v>21</c:v>
                </c:pt>
                <c:pt idx="9">
                  <c:v>12</c:v>
                </c:pt>
                <c:pt idx="10">
                  <c:v>5</c:v>
                </c:pt>
                <c:pt idx="11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B62-4C3E-8DDF-D0A15DFA93DD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[1]Art34!$H$2:$H$13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[1]Art34!$K$2:$K$13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8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B62-4C3E-8DDF-D0A15DFA93DD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[1]Art34!$H$2:$H$13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[1]Art34!$L$2:$L$13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BB62-4C3E-8DDF-D0A15DFA9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2840296"/>
        <c:axId val="426115569"/>
      </c:barChart>
      <c:catAx>
        <c:axId val="992840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426115569"/>
        <c:crosses val="autoZero"/>
        <c:auto val="1"/>
        <c:lblAlgn val="ctr"/>
        <c:lblOffset val="100"/>
        <c:noMultiLvlLbl val="1"/>
      </c:catAx>
      <c:valAx>
        <c:axId val="4261155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99284029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sz="1600" b="1" i="0">
                <a:solidFill>
                  <a:srgbClr val="757575"/>
                </a:solidFill>
                <a:latin typeface="Arial"/>
              </a:rPr>
              <a:t>% de Votaciones Art.34por Colectivos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[1]Art34!$H$46:$H$57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[1]Art34!$I$46:$I$57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0.1111111111111111</c:v>
                </c:pt>
                <c:pt idx="4">
                  <c:v>0.9375</c:v>
                </c:pt>
                <c:pt idx="5">
                  <c:v>0.66666666666666663</c:v>
                </c:pt>
                <c:pt idx="6">
                  <c:v>0.26666666666666666</c:v>
                </c:pt>
                <c:pt idx="7">
                  <c:v>0</c:v>
                </c:pt>
                <c:pt idx="8">
                  <c:v>0</c:v>
                </c:pt>
                <c:pt idx="9">
                  <c:v>6.6666666666666666E-2</c:v>
                </c:pt>
                <c:pt idx="10">
                  <c:v>0.14285714285714285</c:v>
                </c:pt>
                <c:pt idx="11">
                  <c:v>0.6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21B-42F3-9FD1-F6EA003693BA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[1]Art34!$H$46:$H$57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[1]Art34!$J$46:$J$57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0.16666666666666666</c:v>
                </c:pt>
                <c:pt idx="6">
                  <c:v>0.73333333333333328</c:v>
                </c:pt>
                <c:pt idx="7">
                  <c:v>0.5</c:v>
                </c:pt>
                <c:pt idx="8">
                  <c:v>1</c:v>
                </c:pt>
                <c:pt idx="9">
                  <c:v>0.8</c:v>
                </c:pt>
                <c:pt idx="10">
                  <c:v>0.7142857142857143</c:v>
                </c:pt>
                <c:pt idx="11">
                  <c:v>0.4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21B-42F3-9FD1-F6EA003693BA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[1]Art34!$H$46:$H$57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[1]Art34!$K$46:$K$57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0.77777777777777779</c:v>
                </c:pt>
                <c:pt idx="4">
                  <c:v>0</c:v>
                </c:pt>
                <c:pt idx="5">
                  <c:v>0.16666666666666666</c:v>
                </c:pt>
                <c:pt idx="6">
                  <c:v>0</c:v>
                </c:pt>
                <c:pt idx="7">
                  <c:v>0.5</c:v>
                </c:pt>
                <c:pt idx="8">
                  <c:v>0</c:v>
                </c:pt>
                <c:pt idx="9">
                  <c:v>0.13333333333333333</c:v>
                </c:pt>
                <c:pt idx="10">
                  <c:v>0.14285714285714285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321B-42F3-9FD1-F6EA003693BA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[1]Art34!$H$46:$H$57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[1]Art34!$L$46:$L$57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0.1111111111111111</c:v>
                </c:pt>
                <c:pt idx="4">
                  <c:v>6.25E-2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321B-42F3-9FD1-F6EA00369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09390125"/>
        <c:axId val="1041729833"/>
      </c:barChart>
      <c:catAx>
        <c:axId val="16093901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041729833"/>
        <c:crosses val="autoZero"/>
        <c:auto val="1"/>
        <c:lblAlgn val="ctr"/>
        <c:lblOffset val="100"/>
        <c:noMultiLvlLbl val="1"/>
      </c:catAx>
      <c:valAx>
        <c:axId val="10417298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60939012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Votaciones Art.35 por Colectivos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[1]Art35!$H$2:$H$13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[1]Art35!$I$2:$I$13</c:f>
              <c:numCache>
                <c:formatCode>General</c:formatCode>
                <c:ptCount val="12"/>
                <c:pt idx="0">
                  <c:v>11</c:v>
                </c:pt>
                <c:pt idx="1">
                  <c:v>11</c:v>
                </c:pt>
                <c:pt idx="2">
                  <c:v>10</c:v>
                </c:pt>
                <c:pt idx="3">
                  <c:v>1</c:v>
                </c:pt>
                <c:pt idx="4">
                  <c:v>16</c:v>
                </c:pt>
                <c:pt idx="5">
                  <c:v>5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AC6-46E1-AD22-34C04BAB896D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[1]Art35!$H$2:$H$13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[1]Art35!$J$2:$J$13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9</c:v>
                </c:pt>
                <c:pt idx="7">
                  <c:v>7</c:v>
                </c:pt>
                <c:pt idx="8">
                  <c:v>20</c:v>
                </c:pt>
                <c:pt idx="9">
                  <c:v>14</c:v>
                </c:pt>
                <c:pt idx="10">
                  <c:v>7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AC6-46E1-AD22-34C04BAB896D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[1]Art35!$H$2:$H$13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[1]Art35!$K$2:$K$13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</c:v>
                </c:pt>
                <c:pt idx="4">
                  <c:v>0</c:v>
                </c:pt>
                <c:pt idx="5">
                  <c:v>2</c:v>
                </c:pt>
                <c:pt idx="6">
                  <c:v>2</c:v>
                </c:pt>
                <c:pt idx="7">
                  <c:v>7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AC6-46E1-AD22-34C04BAB896D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[1]Art35!$H$2:$H$13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[1]Art35!$L$2:$L$13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CAC6-46E1-AD22-34C04BAB8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36963840"/>
        <c:axId val="524792784"/>
      </c:barChart>
      <c:catAx>
        <c:axId val="836963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524792784"/>
        <c:crosses val="autoZero"/>
        <c:auto val="1"/>
        <c:lblAlgn val="ctr"/>
        <c:lblOffset val="100"/>
        <c:noMultiLvlLbl val="1"/>
      </c:catAx>
      <c:valAx>
        <c:axId val="5247927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83696384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sz="1600" b="1" i="0">
                <a:solidFill>
                  <a:srgbClr val="757575"/>
                </a:solidFill>
                <a:latin typeface="Arial"/>
              </a:rPr>
              <a:t>% de Votaciones Art.35 por Colectivos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[1]Art35!$H$46:$H$57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[1]Art35!$I$46:$I$57</c:f>
              <c:numCache>
                <c:formatCode>General</c:formatCode>
                <c:ptCount val="12"/>
                <c:pt idx="0">
                  <c:v>1</c:v>
                </c:pt>
                <c:pt idx="1">
                  <c:v>0.91666666666666663</c:v>
                </c:pt>
                <c:pt idx="2">
                  <c:v>1</c:v>
                </c:pt>
                <c:pt idx="3">
                  <c:v>0.1111111111111111</c:v>
                </c:pt>
                <c:pt idx="4">
                  <c:v>1</c:v>
                </c:pt>
                <c:pt idx="5">
                  <c:v>0.41666666666666669</c:v>
                </c:pt>
                <c:pt idx="6">
                  <c:v>0.2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8BD-43C1-9A4D-4153CD89F101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[1]Art35!$H$46:$H$57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[1]Art35!$J$46:$J$57</c:f>
              <c:numCache>
                <c:formatCode>General</c:formatCode>
                <c:ptCount val="12"/>
                <c:pt idx="0">
                  <c:v>0</c:v>
                </c:pt>
                <c:pt idx="1">
                  <c:v>8.3333333333333329E-2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0.41666666666666669</c:v>
                </c:pt>
                <c:pt idx="6">
                  <c:v>0.6</c:v>
                </c:pt>
                <c:pt idx="7">
                  <c:v>0.5</c:v>
                </c:pt>
                <c:pt idx="8">
                  <c:v>0.95238095238095233</c:v>
                </c:pt>
                <c:pt idx="9">
                  <c:v>0.93333333333333335</c:v>
                </c:pt>
                <c:pt idx="10">
                  <c:v>1</c:v>
                </c:pt>
                <c:pt idx="11">
                  <c:v>0.2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8BD-43C1-9A4D-4153CD89F101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[1]Art35!$H$46:$H$57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[1]Art35!$K$46:$K$57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0.77777777777777779</c:v>
                </c:pt>
                <c:pt idx="4">
                  <c:v>0</c:v>
                </c:pt>
                <c:pt idx="5">
                  <c:v>0.16666666666666666</c:v>
                </c:pt>
                <c:pt idx="6">
                  <c:v>0.13333333333333333</c:v>
                </c:pt>
                <c:pt idx="7">
                  <c:v>0.5</c:v>
                </c:pt>
                <c:pt idx="8">
                  <c:v>4.7619047619047616E-2</c:v>
                </c:pt>
                <c:pt idx="9">
                  <c:v>6.6666666666666666E-2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A8BD-43C1-9A4D-4153CD89F101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[1]Art35!$H$46:$H$57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[1]Art35!$L$46:$L$57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0.1111111111111111</c:v>
                </c:pt>
                <c:pt idx="4">
                  <c:v>0</c:v>
                </c:pt>
                <c:pt idx="5">
                  <c:v>0</c:v>
                </c:pt>
                <c:pt idx="6">
                  <c:v>6.6666666666666666E-2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A8BD-43C1-9A4D-4153CD89F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18474853"/>
        <c:axId val="1300202358"/>
      </c:barChart>
      <c:catAx>
        <c:axId val="16184748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300202358"/>
        <c:crosses val="autoZero"/>
        <c:auto val="1"/>
        <c:lblAlgn val="ctr"/>
        <c:lblOffset val="100"/>
        <c:noMultiLvlLbl val="1"/>
      </c:catAx>
      <c:valAx>
        <c:axId val="13002023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61847485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Votaciones Art.36 por Colectivos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[1]Art36!$H$2:$H$13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[1]Art36!$I$2:$I$13</c:f>
              <c:numCache>
                <c:formatCode>General</c:formatCode>
                <c:ptCount val="12"/>
                <c:pt idx="0">
                  <c:v>10</c:v>
                </c:pt>
                <c:pt idx="1">
                  <c:v>12</c:v>
                </c:pt>
                <c:pt idx="2">
                  <c:v>9</c:v>
                </c:pt>
                <c:pt idx="3">
                  <c:v>1</c:v>
                </c:pt>
                <c:pt idx="4">
                  <c:v>16</c:v>
                </c:pt>
                <c:pt idx="5">
                  <c:v>4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1A8-4303-8422-387F42338294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[1]Art36!$H$2:$H$13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[1]Art36!$J$2:$J$13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9</c:v>
                </c:pt>
                <c:pt idx="7">
                  <c:v>11</c:v>
                </c:pt>
                <c:pt idx="8">
                  <c:v>21</c:v>
                </c:pt>
                <c:pt idx="9">
                  <c:v>13</c:v>
                </c:pt>
                <c:pt idx="10">
                  <c:v>5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1A8-4303-8422-387F42338294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[1]Art36!$H$2:$H$13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[1]Art36!$K$2:$K$13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7</c:v>
                </c:pt>
                <c:pt idx="4">
                  <c:v>0</c:v>
                </c:pt>
                <c:pt idx="5">
                  <c:v>3</c:v>
                </c:pt>
                <c:pt idx="6">
                  <c:v>2</c:v>
                </c:pt>
                <c:pt idx="7">
                  <c:v>11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1A8-4303-8422-387F42338294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[1]Art36!$H$2:$H$13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[1]Art36!$L$2:$L$13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81A8-4303-8422-387F42338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60017249"/>
        <c:axId val="1578623377"/>
      </c:barChart>
      <c:catAx>
        <c:axId val="14600172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578623377"/>
        <c:crosses val="autoZero"/>
        <c:auto val="1"/>
        <c:lblAlgn val="ctr"/>
        <c:lblOffset val="100"/>
        <c:noMultiLvlLbl val="1"/>
      </c:catAx>
      <c:valAx>
        <c:axId val="15786233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46001724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% de Votaciones Art.36 por Colectivos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[1]Art36!$H$46:$H$57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[1]Art36!$I$46:$I$57</c:f>
              <c:numCache>
                <c:formatCode>General</c:formatCode>
                <c:ptCount val="12"/>
                <c:pt idx="0">
                  <c:v>0.90909090909090906</c:v>
                </c:pt>
                <c:pt idx="1">
                  <c:v>1</c:v>
                </c:pt>
                <c:pt idx="2">
                  <c:v>0.9</c:v>
                </c:pt>
                <c:pt idx="3">
                  <c:v>0.1111111111111111</c:v>
                </c:pt>
                <c:pt idx="4">
                  <c:v>1</c:v>
                </c:pt>
                <c:pt idx="5">
                  <c:v>0.33333333333333331</c:v>
                </c:pt>
                <c:pt idx="6">
                  <c:v>0.2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0.14285714285714285</c:v>
                </c:pt>
                <c:pt idx="11">
                  <c:v>0.8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494-4A7D-BC59-A600666B64B2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[1]Art36!$H$46:$H$57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[1]Art36!$J$46:$J$57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0.41666666666666669</c:v>
                </c:pt>
                <c:pt idx="6">
                  <c:v>0.6</c:v>
                </c:pt>
                <c:pt idx="7">
                  <c:v>0.5</c:v>
                </c:pt>
                <c:pt idx="8">
                  <c:v>1</c:v>
                </c:pt>
                <c:pt idx="9">
                  <c:v>0.8666666666666667</c:v>
                </c:pt>
                <c:pt idx="10">
                  <c:v>0.7142857142857143</c:v>
                </c:pt>
                <c:pt idx="11">
                  <c:v>0.2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494-4A7D-BC59-A600666B64B2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[1]Art36!$H$46:$H$57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[1]Art36!$K$46:$K$57</c:f>
              <c:numCache>
                <c:formatCode>General</c:formatCode>
                <c:ptCount val="12"/>
                <c:pt idx="0">
                  <c:v>9.0909090909090912E-2</c:v>
                </c:pt>
                <c:pt idx="1">
                  <c:v>0</c:v>
                </c:pt>
                <c:pt idx="2">
                  <c:v>0</c:v>
                </c:pt>
                <c:pt idx="3">
                  <c:v>0.77777777777777779</c:v>
                </c:pt>
                <c:pt idx="4">
                  <c:v>0</c:v>
                </c:pt>
                <c:pt idx="5">
                  <c:v>0.25</c:v>
                </c:pt>
                <c:pt idx="6">
                  <c:v>0.13333333333333333</c:v>
                </c:pt>
                <c:pt idx="7">
                  <c:v>0.5</c:v>
                </c:pt>
                <c:pt idx="8">
                  <c:v>0</c:v>
                </c:pt>
                <c:pt idx="9">
                  <c:v>0.13333333333333333</c:v>
                </c:pt>
                <c:pt idx="10">
                  <c:v>0.14285714285714285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1494-4A7D-BC59-A600666B64B2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[1]Art36!$H$46:$H$57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[1]Art36!$L$46:$L$57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0.1111111111111111</c:v>
                </c:pt>
                <c:pt idx="4">
                  <c:v>0</c:v>
                </c:pt>
                <c:pt idx="5">
                  <c:v>0</c:v>
                </c:pt>
                <c:pt idx="6">
                  <c:v>6.6666666666666666E-2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1494-4A7D-BC59-A600666B6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55767523"/>
        <c:axId val="809291443"/>
      </c:barChart>
      <c:catAx>
        <c:axId val="14557675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809291443"/>
        <c:crosses val="autoZero"/>
        <c:auto val="1"/>
        <c:lblAlgn val="ctr"/>
        <c:lblOffset val="100"/>
        <c:noMultiLvlLbl val="1"/>
      </c:catAx>
      <c:valAx>
        <c:axId val="8092914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45576752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Votaciones Art.37 por Colectivos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[1]Art37!$H$2:$H$13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[1]Art37!$I$2:$I$13</c:f>
              <c:numCache>
                <c:formatCode>General</c:formatCode>
                <c:ptCount val="12"/>
                <c:pt idx="0">
                  <c:v>11</c:v>
                </c:pt>
                <c:pt idx="1">
                  <c:v>12</c:v>
                </c:pt>
                <c:pt idx="2">
                  <c:v>10</c:v>
                </c:pt>
                <c:pt idx="3">
                  <c:v>8</c:v>
                </c:pt>
                <c:pt idx="4">
                  <c:v>16</c:v>
                </c:pt>
                <c:pt idx="5">
                  <c:v>10</c:v>
                </c:pt>
                <c:pt idx="6">
                  <c:v>13</c:v>
                </c:pt>
                <c:pt idx="7">
                  <c:v>10</c:v>
                </c:pt>
                <c:pt idx="8">
                  <c:v>0</c:v>
                </c:pt>
                <c:pt idx="9">
                  <c:v>1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251-4D37-9156-133F26A48C49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[1]Art37!$H$2:$H$13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[1]Art37!$J$2:$J$13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20</c:v>
                </c:pt>
                <c:pt idx="9">
                  <c:v>7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251-4D37-9156-133F26A48C49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[1]Art37!$H$2:$H$13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[1]Art37!$K$2:$K$13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7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251-4D37-9156-133F26A48C49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[1]Art37!$H$2:$H$13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[1]Art37!$L$2:$L$13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5251-4D37-9156-133F26A48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8312644"/>
        <c:axId val="1419614284"/>
      </c:barChart>
      <c:catAx>
        <c:axId val="2883126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419614284"/>
        <c:crosses val="autoZero"/>
        <c:auto val="1"/>
        <c:lblAlgn val="ctr"/>
        <c:lblOffset val="100"/>
        <c:noMultiLvlLbl val="1"/>
      </c:catAx>
      <c:valAx>
        <c:axId val="14196142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288312644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sz="1600" b="1" i="0">
                <a:solidFill>
                  <a:srgbClr val="757575"/>
                </a:solidFill>
                <a:latin typeface="Arial"/>
              </a:rPr>
              <a:t>% de Votaciones Art.37 por Colectivos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[1]Art37!$H$46:$H$57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[1]Art37!$I$46:$I$57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0.88888888888888884</c:v>
                </c:pt>
                <c:pt idx="4">
                  <c:v>1</c:v>
                </c:pt>
                <c:pt idx="5">
                  <c:v>0.83333333333333337</c:v>
                </c:pt>
                <c:pt idx="6">
                  <c:v>0.8666666666666667</c:v>
                </c:pt>
                <c:pt idx="7">
                  <c:v>0.7142857142857143</c:v>
                </c:pt>
                <c:pt idx="8">
                  <c:v>0</c:v>
                </c:pt>
                <c:pt idx="9">
                  <c:v>6.6666666666666666E-2</c:v>
                </c:pt>
                <c:pt idx="10">
                  <c:v>0.7142857142857143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6E1-42F1-A54E-8EBDDB7EF364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[1]Art37!$H$46:$H$57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[1]Art37!$J$46:$J$57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6.6666666666666666E-2</c:v>
                </c:pt>
                <c:pt idx="7">
                  <c:v>0.14285714285714285</c:v>
                </c:pt>
                <c:pt idx="8">
                  <c:v>0.95238095238095233</c:v>
                </c:pt>
                <c:pt idx="9">
                  <c:v>0.46666666666666667</c:v>
                </c:pt>
                <c:pt idx="10">
                  <c:v>0.14285714285714285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6E1-42F1-A54E-8EBDDB7EF364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[1]Art37!$H$46:$H$57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[1]Art37!$K$46:$K$57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0.16666666666666666</c:v>
                </c:pt>
                <c:pt idx="6">
                  <c:v>6.6666666666666666E-2</c:v>
                </c:pt>
                <c:pt idx="7">
                  <c:v>0.14285714285714285</c:v>
                </c:pt>
                <c:pt idx="8">
                  <c:v>4.7619047619047616E-2</c:v>
                </c:pt>
                <c:pt idx="9">
                  <c:v>0.46666666666666667</c:v>
                </c:pt>
                <c:pt idx="10">
                  <c:v>0.14285714285714285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36E1-42F1-A54E-8EBDDB7EF364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[1]Art37!$H$46:$H$57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[1]Art37!$L$46:$L$57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0.1111111111111111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36E1-42F1-A54E-8EBDDB7EF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0447859"/>
        <c:axId val="161428181"/>
      </c:barChart>
      <c:catAx>
        <c:axId val="6504478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61428181"/>
        <c:crosses val="autoZero"/>
        <c:auto val="1"/>
        <c:lblAlgn val="ctr"/>
        <c:lblOffset val="100"/>
        <c:noMultiLvlLbl val="1"/>
      </c:catAx>
      <c:valAx>
        <c:axId val="1614281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65044785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Votaciones Art.38 por Colectivos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[1]Art38!$H$2:$H$13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[1]Art38!$I$2:$I$13</c:f>
              <c:numCache>
                <c:formatCode>General</c:formatCode>
                <c:ptCount val="12"/>
                <c:pt idx="0">
                  <c:v>9</c:v>
                </c:pt>
                <c:pt idx="1">
                  <c:v>12</c:v>
                </c:pt>
                <c:pt idx="2">
                  <c:v>9</c:v>
                </c:pt>
                <c:pt idx="3">
                  <c:v>0</c:v>
                </c:pt>
                <c:pt idx="4">
                  <c:v>15</c:v>
                </c:pt>
                <c:pt idx="5">
                  <c:v>9</c:v>
                </c:pt>
                <c:pt idx="6">
                  <c:v>7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FED-4608-AF45-82B3299837AC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[1]Art38!$H$2:$H$13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[1]Art38!$J$2:$J$13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8</c:v>
                </c:pt>
                <c:pt idx="4">
                  <c:v>0</c:v>
                </c:pt>
                <c:pt idx="5">
                  <c:v>3</c:v>
                </c:pt>
                <c:pt idx="6">
                  <c:v>5</c:v>
                </c:pt>
                <c:pt idx="7">
                  <c:v>6</c:v>
                </c:pt>
                <c:pt idx="8">
                  <c:v>5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FED-4608-AF45-82B3299837AC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[1]Art38!$H$2:$H$13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[1]Art38!$K$2:$K$13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6</c:v>
                </c:pt>
                <c:pt idx="8">
                  <c:v>16</c:v>
                </c:pt>
                <c:pt idx="9">
                  <c:v>12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FED-4608-AF45-82B3299837AC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[1]Art38!$H$2:$H$13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[1]Art38!$L$2:$L$13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CFED-4608-AF45-82B329983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61083586"/>
        <c:axId val="1317673113"/>
      </c:barChart>
      <c:catAx>
        <c:axId val="10610835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317673113"/>
        <c:crosses val="autoZero"/>
        <c:auto val="1"/>
        <c:lblAlgn val="ctr"/>
        <c:lblOffset val="100"/>
        <c:noMultiLvlLbl val="1"/>
      </c:catAx>
      <c:valAx>
        <c:axId val="13176731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06108358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% de Votaciones Art.38 por Colectivos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[1]Art38!$H$46:$H$57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[1]Art38!$I$46:$I$57</c:f>
              <c:numCache>
                <c:formatCode>General</c:formatCode>
                <c:ptCount val="12"/>
                <c:pt idx="0">
                  <c:v>0.81818181818181823</c:v>
                </c:pt>
                <c:pt idx="1">
                  <c:v>1</c:v>
                </c:pt>
                <c:pt idx="2">
                  <c:v>0.9</c:v>
                </c:pt>
                <c:pt idx="3">
                  <c:v>0</c:v>
                </c:pt>
                <c:pt idx="4">
                  <c:v>0.9375</c:v>
                </c:pt>
                <c:pt idx="5">
                  <c:v>0.75</c:v>
                </c:pt>
                <c:pt idx="6">
                  <c:v>0.46666666666666667</c:v>
                </c:pt>
                <c:pt idx="7">
                  <c:v>7.6923076923076927E-2</c:v>
                </c:pt>
                <c:pt idx="8">
                  <c:v>0</c:v>
                </c:pt>
                <c:pt idx="9">
                  <c:v>6.6666666666666666E-2</c:v>
                </c:pt>
                <c:pt idx="10">
                  <c:v>0.2857142857142857</c:v>
                </c:pt>
                <c:pt idx="11">
                  <c:v>0.6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FAB-487C-816A-114ED73371F9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[1]Art38!$H$46:$H$57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[1]Art38!$J$46:$J$57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0.88888888888888884</c:v>
                </c:pt>
                <c:pt idx="4">
                  <c:v>0</c:v>
                </c:pt>
                <c:pt idx="5">
                  <c:v>0.25</c:v>
                </c:pt>
                <c:pt idx="6">
                  <c:v>0.33333333333333331</c:v>
                </c:pt>
                <c:pt idx="7">
                  <c:v>0.46153846153846156</c:v>
                </c:pt>
                <c:pt idx="8">
                  <c:v>0.23809523809523808</c:v>
                </c:pt>
                <c:pt idx="9">
                  <c:v>0.13333333333333333</c:v>
                </c:pt>
                <c:pt idx="10">
                  <c:v>0.42857142857142855</c:v>
                </c:pt>
                <c:pt idx="11">
                  <c:v>0.2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FAB-487C-816A-114ED73371F9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[1]Art38!$H$46:$H$57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[1]Art38!$K$46:$K$57</c:f>
              <c:numCache>
                <c:formatCode>General</c:formatCode>
                <c:ptCount val="12"/>
                <c:pt idx="0">
                  <c:v>9.0909090909090912E-2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0.2</c:v>
                </c:pt>
                <c:pt idx="7">
                  <c:v>0.46153846153846156</c:v>
                </c:pt>
                <c:pt idx="8">
                  <c:v>0.76190476190476186</c:v>
                </c:pt>
                <c:pt idx="9">
                  <c:v>0.8</c:v>
                </c:pt>
                <c:pt idx="10">
                  <c:v>0.2857142857142857</c:v>
                </c:pt>
                <c:pt idx="11">
                  <c:v>0.2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FAB-487C-816A-114ED73371F9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[1]Art38!$H$46:$H$57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[1]Art38!$L$46:$L$57</c:f>
              <c:numCache>
                <c:formatCode>General</c:formatCode>
                <c:ptCount val="12"/>
                <c:pt idx="0">
                  <c:v>9.0909090909090912E-2</c:v>
                </c:pt>
                <c:pt idx="1">
                  <c:v>0</c:v>
                </c:pt>
                <c:pt idx="2">
                  <c:v>0</c:v>
                </c:pt>
                <c:pt idx="3">
                  <c:v>0.1111111111111111</c:v>
                </c:pt>
                <c:pt idx="4">
                  <c:v>6.25E-2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CFAB-487C-816A-114ED7337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81988760"/>
        <c:axId val="1584012007"/>
      </c:barChart>
      <c:catAx>
        <c:axId val="1681988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584012007"/>
        <c:crosses val="autoZero"/>
        <c:auto val="1"/>
        <c:lblAlgn val="ctr"/>
        <c:lblOffset val="100"/>
        <c:noMultiLvlLbl val="1"/>
      </c:catAx>
      <c:valAx>
        <c:axId val="15840120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68198876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Votaciones Art.T1 por Colectivos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[1]ArtT1!$H$2:$H$13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[1]ArtT1!$I$2:$I$13</c:f>
              <c:numCache>
                <c:formatCode>General</c:formatCode>
                <c:ptCount val="12"/>
                <c:pt idx="0">
                  <c:v>9</c:v>
                </c:pt>
                <c:pt idx="1">
                  <c:v>5</c:v>
                </c:pt>
                <c:pt idx="2">
                  <c:v>10</c:v>
                </c:pt>
                <c:pt idx="3">
                  <c:v>0</c:v>
                </c:pt>
                <c:pt idx="4">
                  <c:v>16</c:v>
                </c:pt>
                <c:pt idx="5">
                  <c:v>4</c:v>
                </c:pt>
                <c:pt idx="6">
                  <c:v>7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7D5-4EA2-AB2B-DCC336E54452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[1]ArtT1!$H$2:$H$13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[1]ArtT1!$J$2:$J$13</c:f>
              <c:numCache>
                <c:formatCode>General</c:formatCode>
                <c:ptCount val="12"/>
                <c:pt idx="0">
                  <c:v>0</c:v>
                </c:pt>
                <c:pt idx="1">
                  <c:v>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7</c:v>
                </c:pt>
                <c:pt idx="7">
                  <c:v>9</c:v>
                </c:pt>
                <c:pt idx="8">
                  <c:v>21</c:v>
                </c:pt>
                <c:pt idx="9">
                  <c:v>11</c:v>
                </c:pt>
                <c:pt idx="10">
                  <c:v>5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7D5-4EA2-AB2B-DCC336E54452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[1]ArtT1!$H$2:$H$13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[1]ArtT1!$K$2:$K$13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8</c:v>
                </c:pt>
                <c:pt idx="4">
                  <c:v>0</c:v>
                </c:pt>
                <c:pt idx="5">
                  <c:v>5</c:v>
                </c:pt>
                <c:pt idx="6">
                  <c:v>1</c:v>
                </c:pt>
                <c:pt idx="7">
                  <c:v>9</c:v>
                </c:pt>
                <c:pt idx="8">
                  <c:v>0</c:v>
                </c:pt>
                <c:pt idx="9">
                  <c:v>4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17D5-4EA2-AB2B-DCC336E54452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[1]ArtT1!$H$2:$H$13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[1]ArtT1!$L$2:$L$13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17D5-4EA2-AB2B-DCC336E54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91041970"/>
        <c:axId val="713189628"/>
      </c:barChart>
      <c:catAx>
        <c:axId val="17910419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713189628"/>
        <c:crosses val="autoZero"/>
        <c:auto val="1"/>
        <c:lblAlgn val="ctr"/>
        <c:lblOffset val="100"/>
        <c:noMultiLvlLbl val="1"/>
      </c:catAx>
      <c:valAx>
        <c:axId val="7131896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79104197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% de Votaciones Art.T1 por Colectivos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[1]ArtT1!$H$46:$H$57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[1]ArtT1!$I$46:$I$57</c:f>
              <c:numCache>
                <c:formatCode>General</c:formatCode>
                <c:ptCount val="12"/>
                <c:pt idx="0">
                  <c:v>0.81818181818181823</c:v>
                </c:pt>
                <c:pt idx="1">
                  <c:v>0.41666666666666669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0.33333333333333331</c:v>
                </c:pt>
                <c:pt idx="6">
                  <c:v>0.46666666666666667</c:v>
                </c:pt>
                <c:pt idx="7">
                  <c:v>5.2631578947368418E-2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884-47A3-A237-7381D6E4E091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[1]ArtT1!$H$46:$H$57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[1]ArtT1!$J$46:$J$57</c:f>
              <c:numCache>
                <c:formatCode>General</c:formatCode>
                <c:ptCount val="12"/>
                <c:pt idx="0">
                  <c:v>0</c:v>
                </c:pt>
                <c:pt idx="1">
                  <c:v>0.5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0.25</c:v>
                </c:pt>
                <c:pt idx="6">
                  <c:v>0.46666666666666667</c:v>
                </c:pt>
                <c:pt idx="7">
                  <c:v>0.47368421052631576</c:v>
                </c:pt>
                <c:pt idx="8">
                  <c:v>1</c:v>
                </c:pt>
                <c:pt idx="9">
                  <c:v>0.73333333333333328</c:v>
                </c:pt>
                <c:pt idx="10">
                  <c:v>0.7142857142857143</c:v>
                </c:pt>
                <c:pt idx="11">
                  <c:v>0.2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884-47A3-A237-7381D6E4E091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[1]ArtT1!$H$46:$H$57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[1]ArtT1!$K$46:$K$57</c:f>
              <c:numCache>
                <c:formatCode>General</c:formatCode>
                <c:ptCount val="12"/>
                <c:pt idx="0">
                  <c:v>9.0909090909090912E-2</c:v>
                </c:pt>
                <c:pt idx="1">
                  <c:v>0</c:v>
                </c:pt>
                <c:pt idx="2">
                  <c:v>0</c:v>
                </c:pt>
                <c:pt idx="3">
                  <c:v>0.88888888888888884</c:v>
                </c:pt>
                <c:pt idx="4">
                  <c:v>0</c:v>
                </c:pt>
                <c:pt idx="5">
                  <c:v>0.41666666666666669</c:v>
                </c:pt>
                <c:pt idx="6">
                  <c:v>6.6666666666666666E-2</c:v>
                </c:pt>
                <c:pt idx="7">
                  <c:v>0.47368421052631576</c:v>
                </c:pt>
                <c:pt idx="8">
                  <c:v>0</c:v>
                </c:pt>
                <c:pt idx="9">
                  <c:v>0.26666666666666666</c:v>
                </c:pt>
                <c:pt idx="10">
                  <c:v>0.2857142857142857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884-47A3-A237-7381D6E4E091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[1]ArtT1!$H$46:$H$57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[1]ArtT1!$L$46:$L$57</c:f>
              <c:numCache>
                <c:formatCode>General</c:formatCode>
                <c:ptCount val="12"/>
                <c:pt idx="0">
                  <c:v>9.0909090909090912E-2</c:v>
                </c:pt>
                <c:pt idx="1">
                  <c:v>8.3333333333333329E-2</c:v>
                </c:pt>
                <c:pt idx="2">
                  <c:v>0</c:v>
                </c:pt>
                <c:pt idx="3">
                  <c:v>0.1111111111111111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5884-47A3-A237-7381D6E4E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3911901"/>
        <c:axId val="1657358153"/>
      </c:barChart>
      <c:catAx>
        <c:axId val="13039119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657358153"/>
        <c:crosses val="autoZero"/>
        <c:auto val="1"/>
        <c:lblAlgn val="ctr"/>
        <c:lblOffset val="100"/>
        <c:noMultiLvlLbl val="1"/>
      </c:catAx>
      <c:valAx>
        <c:axId val="16573581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30391190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Votaciones Art.T2 por Colectivos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[1]ArtT2!$H$2:$H$13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[1]ArtT2!$I$2:$I$13</c:f>
              <c:numCache>
                <c:formatCode>General</c:formatCode>
                <c:ptCount val="12"/>
                <c:pt idx="0">
                  <c:v>10</c:v>
                </c:pt>
                <c:pt idx="1">
                  <c:v>7</c:v>
                </c:pt>
                <c:pt idx="2">
                  <c:v>10</c:v>
                </c:pt>
                <c:pt idx="3">
                  <c:v>0</c:v>
                </c:pt>
                <c:pt idx="4">
                  <c:v>16</c:v>
                </c:pt>
                <c:pt idx="5">
                  <c:v>5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F0A-4077-B957-484C7FAD19B8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[1]ArtT2!$H$2:$H$13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[1]ArtT2!$J$2:$J$13</c:f>
              <c:numCache>
                <c:formatCode>General</c:formatCode>
                <c:ptCount val="12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13</c:v>
                </c:pt>
                <c:pt idx="7">
                  <c:v>8</c:v>
                </c:pt>
                <c:pt idx="8">
                  <c:v>21</c:v>
                </c:pt>
                <c:pt idx="9">
                  <c:v>13</c:v>
                </c:pt>
                <c:pt idx="10">
                  <c:v>6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F0A-4077-B957-484C7FAD19B8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[1]ArtT2!$H$2:$H$13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[1]ArtT2!$K$2:$K$13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8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8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F0A-4077-B957-484C7FAD19B8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[1]ArtT2!$H$2:$H$13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[1]ArtT2!$L$2:$L$13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CF0A-4077-B957-484C7FAD1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09524036"/>
        <c:axId val="1654466242"/>
      </c:barChart>
      <c:catAx>
        <c:axId val="18095240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654466242"/>
        <c:crosses val="autoZero"/>
        <c:auto val="1"/>
        <c:lblAlgn val="ctr"/>
        <c:lblOffset val="100"/>
        <c:noMultiLvlLbl val="1"/>
      </c:catAx>
      <c:valAx>
        <c:axId val="16544662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80952403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% de Votaciones Art.T2 por Colectivos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[1]ArtT2!$H$46:$H$57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[1]ArtT2!$I$46:$I$57</c:f>
              <c:numCache>
                <c:formatCode>General</c:formatCode>
                <c:ptCount val="12"/>
                <c:pt idx="0">
                  <c:v>0.90909090909090906</c:v>
                </c:pt>
                <c:pt idx="1">
                  <c:v>0.58333333333333337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0.41666666666666669</c:v>
                </c:pt>
                <c:pt idx="6">
                  <c:v>6.6666666666666666E-2</c:v>
                </c:pt>
                <c:pt idx="7">
                  <c:v>0</c:v>
                </c:pt>
                <c:pt idx="8">
                  <c:v>0</c:v>
                </c:pt>
                <c:pt idx="9">
                  <c:v>6.6666666666666666E-2</c:v>
                </c:pt>
                <c:pt idx="10">
                  <c:v>0</c:v>
                </c:pt>
                <c:pt idx="11">
                  <c:v>0.8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8E9-43CC-9F07-8E12AF793785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[1]ArtT2!$H$46:$H$57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[1]ArtT2!$J$46:$J$57</c:f>
              <c:numCache>
                <c:formatCode>General</c:formatCode>
                <c:ptCount val="12"/>
                <c:pt idx="0">
                  <c:v>0</c:v>
                </c:pt>
                <c:pt idx="1">
                  <c:v>0.33333333333333331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0.41666666666666669</c:v>
                </c:pt>
                <c:pt idx="6">
                  <c:v>0.8666666666666667</c:v>
                </c:pt>
                <c:pt idx="7">
                  <c:v>0.5</c:v>
                </c:pt>
                <c:pt idx="8">
                  <c:v>1</c:v>
                </c:pt>
                <c:pt idx="9">
                  <c:v>0.8666666666666667</c:v>
                </c:pt>
                <c:pt idx="10">
                  <c:v>0.8571428571428571</c:v>
                </c:pt>
                <c:pt idx="11">
                  <c:v>0.2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8E9-43CC-9F07-8E12AF793785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[1]ArtT2!$H$46:$H$57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[1]ArtT2!$K$46:$K$57</c:f>
              <c:numCache>
                <c:formatCode>General</c:formatCode>
                <c:ptCount val="12"/>
                <c:pt idx="0">
                  <c:v>9.0909090909090912E-2</c:v>
                </c:pt>
                <c:pt idx="1">
                  <c:v>0</c:v>
                </c:pt>
                <c:pt idx="2">
                  <c:v>0</c:v>
                </c:pt>
                <c:pt idx="3">
                  <c:v>0.88888888888888884</c:v>
                </c:pt>
                <c:pt idx="4">
                  <c:v>0</c:v>
                </c:pt>
                <c:pt idx="5">
                  <c:v>0.16666666666666666</c:v>
                </c:pt>
                <c:pt idx="6">
                  <c:v>6.6666666666666666E-2</c:v>
                </c:pt>
                <c:pt idx="7">
                  <c:v>0.5</c:v>
                </c:pt>
                <c:pt idx="8">
                  <c:v>0</c:v>
                </c:pt>
                <c:pt idx="9">
                  <c:v>6.6666666666666666E-2</c:v>
                </c:pt>
                <c:pt idx="10">
                  <c:v>0.14285714285714285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8E9-43CC-9F07-8E12AF793785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[1]ArtT2!$H$46:$H$57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[1]ArtT2!$L$46:$L$57</c:f>
              <c:numCache>
                <c:formatCode>General</c:formatCode>
                <c:ptCount val="12"/>
                <c:pt idx="0">
                  <c:v>0</c:v>
                </c:pt>
                <c:pt idx="1">
                  <c:v>8.3333333333333329E-2</c:v>
                </c:pt>
                <c:pt idx="2">
                  <c:v>0</c:v>
                </c:pt>
                <c:pt idx="3">
                  <c:v>0.1111111111111111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C8E9-43CC-9F07-8E12AF793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40853047"/>
        <c:axId val="1010928921"/>
      </c:barChart>
      <c:catAx>
        <c:axId val="14408530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010928921"/>
        <c:crosses val="autoZero"/>
        <c:auto val="1"/>
        <c:lblAlgn val="ctr"/>
        <c:lblOffset val="100"/>
        <c:noMultiLvlLbl val="1"/>
      </c:catAx>
      <c:valAx>
        <c:axId val="10109289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440853047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Votaciones en general Pleno Comision Medio Ambiente por Colectivos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'[1]En general'!$I$2:$I$13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'[1]En general'!$J$2:$J$13</c:f>
              <c:numCache>
                <c:formatCode>General</c:formatCode>
                <c:ptCount val="12"/>
                <c:pt idx="0">
                  <c:v>415</c:v>
                </c:pt>
                <c:pt idx="1">
                  <c:v>353</c:v>
                </c:pt>
                <c:pt idx="2">
                  <c:v>389</c:v>
                </c:pt>
                <c:pt idx="3">
                  <c:v>142</c:v>
                </c:pt>
                <c:pt idx="4">
                  <c:v>604</c:v>
                </c:pt>
                <c:pt idx="5">
                  <c:v>279</c:v>
                </c:pt>
                <c:pt idx="6">
                  <c:v>221</c:v>
                </c:pt>
                <c:pt idx="7">
                  <c:v>169</c:v>
                </c:pt>
                <c:pt idx="8">
                  <c:v>5</c:v>
                </c:pt>
                <c:pt idx="9">
                  <c:v>35</c:v>
                </c:pt>
                <c:pt idx="10">
                  <c:v>65</c:v>
                </c:pt>
                <c:pt idx="11">
                  <c:v>167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E7C-44E7-A9B0-393948383EA1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'[1]En general'!$I$2:$I$13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'[1]En general'!$K$2:$K$13</c:f>
              <c:numCache>
                <c:formatCode>General</c:formatCode>
                <c:ptCount val="12"/>
                <c:pt idx="0">
                  <c:v>6</c:v>
                </c:pt>
                <c:pt idx="1">
                  <c:v>112</c:v>
                </c:pt>
                <c:pt idx="2">
                  <c:v>6</c:v>
                </c:pt>
                <c:pt idx="3">
                  <c:v>65</c:v>
                </c:pt>
                <c:pt idx="4">
                  <c:v>19</c:v>
                </c:pt>
                <c:pt idx="5">
                  <c:v>112</c:v>
                </c:pt>
                <c:pt idx="6">
                  <c:v>327</c:v>
                </c:pt>
                <c:pt idx="7">
                  <c:v>275</c:v>
                </c:pt>
                <c:pt idx="8">
                  <c:v>662</c:v>
                </c:pt>
                <c:pt idx="9">
                  <c:v>378</c:v>
                </c:pt>
                <c:pt idx="10">
                  <c:v>159</c:v>
                </c:pt>
                <c:pt idx="11">
                  <c:v>27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E7C-44E7-A9B0-393948383EA1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'[1]En general'!$I$2:$I$13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'[1]En general'!$L$2:$L$13</c:f>
              <c:numCache>
                <c:formatCode>General</c:formatCode>
                <c:ptCount val="12"/>
                <c:pt idx="0">
                  <c:v>15</c:v>
                </c:pt>
                <c:pt idx="1">
                  <c:v>8</c:v>
                </c:pt>
                <c:pt idx="2">
                  <c:v>1</c:v>
                </c:pt>
                <c:pt idx="3">
                  <c:v>108</c:v>
                </c:pt>
                <c:pt idx="4">
                  <c:v>7</c:v>
                </c:pt>
                <c:pt idx="5">
                  <c:v>88</c:v>
                </c:pt>
                <c:pt idx="6">
                  <c:v>48</c:v>
                </c:pt>
                <c:pt idx="7">
                  <c:v>275</c:v>
                </c:pt>
                <c:pt idx="8">
                  <c:v>172</c:v>
                </c:pt>
                <c:pt idx="9">
                  <c:v>192</c:v>
                </c:pt>
                <c:pt idx="10">
                  <c:v>52</c:v>
                </c:pt>
                <c:pt idx="11">
                  <c:v>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E7C-44E7-A9B0-393948383EA1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'[1]En general'!$I$2:$I$13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'[1]En general'!$M$2:$M$13</c:f>
              <c:numCache>
                <c:formatCode>General</c:formatCode>
                <c:ptCount val="12"/>
                <c:pt idx="0">
                  <c:v>4</c:v>
                </c:pt>
                <c:pt idx="1">
                  <c:v>7</c:v>
                </c:pt>
                <c:pt idx="2">
                  <c:v>4</c:v>
                </c:pt>
                <c:pt idx="3">
                  <c:v>45</c:v>
                </c:pt>
                <c:pt idx="4">
                  <c:v>10</c:v>
                </c:pt>
                <c:pt idx="5">
                  <c:v>1</c:v>
                </c:pt>
                <c:pt idx="6">
                  <c:v>4</c:v>
                </c:pt>
                <c:pt idx="7">
                  <c:v>1</c:v>
                </c:pt>
                <c:pt idx="8">
                  <c:v>1</c:v>
                </c:pt>
                <c:pt idx="9">
                  <c:v>5</c:v>
                </c:pt>
                <c:pt idx="10">
                  <c:v>4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7E7C-44E7-A9B0-393948383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89014885"/>
        <c:axId val="1237522079"/>
      </c:barChart>
      <c:catAx>
        <c:axId val="13890148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237522079"/>
        <c:crosses val="autoZero"/>
        <c:auto val="1"/>
        <c:lblAlgn val="ctr"/>
        <c:lblOffset val="100"/>
        <c:noMultiLvlLbl val="1"/>
      </c:catAx>
      <c:valAx>
        <c:axId val="12375220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38901488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% de Votaciones  Pleno Medio Ambiente por Colectivos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'[1]En general'!$I$46:$I$57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'[1]En general'!$J$46:$J$57</c:f>
              <c:numCache>
                <c:formatCode>General</c:formatCode>
                <c:ptCount val="12"/>
                <c:pt idx="0">
                  <c:v>0.94318181818181823</c:v>
                </c:pt>
                <c:pt idx="1">
                  <c:v>0.73541666666666672</c:v>
                </c:pt>
                <c:pt idx="2">
                  <c:v>0.97250000000000003</c:v>
                </c:pt>
                <c:pt idx="3">
                  <c:v>0.39444444444444443</c:v>
                </c:pt>
                <c:pt idx="4">
                  <c:v>0.94374999999999998</c:v>
                </c:pt>
                <c:pt idx="5">
                  <c:v>0.58125000000000004</c:v>
                </c:pt>
                <c:pt idx="6">
                  <c:v>0.36833333333333335</c:v>
                </c:pt>
                <c:pt idx="7">
                  <c:v>0.23472222222222222</c:v>
                </c:pt>
                <c:pt idx="8">
                  <c:v>5.9523809523809521E-3</c:v>
                </c:pt>
                <c:pt idx="9">
                  <c:v>5.737704918032787E-2</c:v>
                </c:pt>
                <c:pt idx="10">
                  <c:v>0.23214285714285715</c:v>
                </c:pt>
                <c:pt idx="11">
                  <c:v>0.83499999999999996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B33-481B-9B97-9C2BC7249651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'[1]En general'!$I$46:$I$57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'[1]En general'!$K$46:$K$57</c:f>
              <c:numCache>
                <c:formatCode>General</c:formatCode>
                <c:ptCount val="12"/>
                <c:pt idx="0">
                  <c:v>1.3636363636363636E-2</c:v>
                </c:pt>
                <c:pt idx="1">
                  <c:v>0.23333333333333334</c:v>
                </c:pt>
                <c:pt idx="2">
                  <c:v>1.4999999999999999E-2</c:v>
                </c:pt>
                <c:pt idx="3">
                  <c:v>0.18055555555555555</c:v>
                </c:pt>
                <c:pt idx="4">
                  <c:v>2.9687499999999999E-2</c:v>
                </c:pt>
                <c:pt idx="5">
                  <c:v>0.23333333333333334</c:v>
                </c:pt>
                <c:pt idx="6">
                  <c:v>0.54500000000000004</c:v>
                </c:pt>
                <c:pt idx="7">
                  <c:v>0.38194444444444442</c:v>
                </c:pt>
                <c:pt idx="8">
                  <c:v>0.78809523809523807</c:v>
                </c:pt>
                <c:pt idx="9">
                  <c:v>0.61967213114754094</c:v>
                </c:pt>
                <c:pt idx="10">
                  <c:v>0.56785714285714284</c:v>
                </c:pt>
                <c:pt idx="11">
                  <c:v>0.13500000000000001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B33-481B-9B97-9C2BC7249651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'[1]En general'!$I$46:$I$57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'[1]En general'!$L$46:$L$57</c:f>
              <c:numCache>
                <c:formatCode>General</c:formatCode>
                <c:ptCount val="12"/>
                <c:pt idx="0">
                  <c:v>3.4090909090909088E-2</c:v>
                </c:pt>
                <c:pt idx="1">
                  <c:v>1.6666666666666666E-2</c:v>
                </c:pt>
                <c:pt idx="2">
                  <c:v>2.5000000000000001E-3</c:v>
                </c:pt>
                <c:pt idx="3">
                  <c:v>0.3</c:v>
                </c:pt>
                <c:pt idx="4">
                  <c:v>1.0937499999999999E-2</c:v>
                </c:pt>
                <c:pt idx="5">
                  <c:v>0.18333333333333332</c:v>
                </c:pt>
                <c:pt idx="6">
                  <c:v>0.08</c:v>
                </c:pt>
                <c:pt idx="7">
                  <c:v>0.38194444444444442</c:v>
                </c:pt>
                <c:pt idx="8">
                  <c:v>0.20476190476190476</c:v>
                </c:pt>
                <c:pt idx="9">
                  <c:v>0.31475409836065577</c:v>
                </c:pt>
                <c:pt idx="10">
                  <c:v>0.18571428571428572</c:v>
                </c:pt>
                <c:pt idx="11">
                  <c:v>0.03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B33-481B-9B97-9C2BC7249651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'[1]En general'!$I$46:$I$57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'[1]En general'!$M$46:$M$57</c:f>
              <c:numCache>
                <c:formatCode>General</c:formatCode>
                <c:ptCount val="12"/>
                <c:pt idx="0">
                  <c:v>9.0909090909090905E-3</c:v>
                </c:pt>
                <c:pt idx="1">
                  <c:v>1.4583333333333334E-2</c:v>
                </c:pt>
                <c:pt idx="2">
                  <c:v>0.01</c:v>
                </c:pt>
                <c:pt idx="3">
                  <c:v>0.125</c:v>
                </c:pt>
                <c:pt idx="4">
                  <c:v>1.5625E-2</c:v>
                </c:pt>
                <c:pt idx="5">
                  <c:v>2.0833333333333333E-3</c:v>
                </c:pt>
                <c:pt idx="6">
                  <c:v>6.6666666666666671E-3</c:v>
                </c:pt>
                <c:pt idx="7">
                  <c:v>1.3888888888888889E-3</c:v>
                </c:pt>
                <c:pt idx="8">
                  <c:v>1.1904761904761906E-3</c:v>
                </c:pt>
                <c:pt idx="9">
                  <c:v>8.1967213114754103E-3</c:v>
                </c:pt>
                <c:pt idx="10">
                  <c:v>1.4285714285714285E-2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BB33-481B-9B97-9C2BC7249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01845124"/>
        <c:axId val="436063721"/>
      </c:barChart>
      <c:catAx>
        <c:axId val="18018451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436063721"/>
        <c:crosses val="autoZero"/>
        <c:auto val="1"/>
        <c:lblAlgn val="ctr"/>
        <c:lblOffset val="100"/>
        <c:noMultiLvlLbl val="1"/>
      </c:catAx>
      <c:valAx>
        <c:axId val="4360637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801845124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800" b="1" i="0">
                <a:solidFill>
                  <a:schemeClr val="dk1"/>
                </a:solidFill>
                <a:latin typeface="Arial"/>
              </a:defRPr>
            </a:pPr>
            <a:r>
              <a:rPr lang="es-CL" sz="1800" b="1" i="0">
                <a:solidFill>
                  <a:schemeClr val="dk1"/>
                </a:solidFill>
                <a:latin typeface="Arial"/>
              </a:rPr>
              <a:t>% de Votos Pleno Medio Ambiente -  Frente Amplio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D488-48E3-AACB-6A41D6A60A80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'[1]En general'!$J$45:$M$45</c:f>
              <c:strCache>
                <c:ptCount val="4"/>
                <c:pt idx="0">
                  <c:v>Aprueba</c:v>
                </c:pt>
                <c:pt idx="1">
                  <c:v>Rechaza</c:v>
                </c:pt>
                <c:pt idx="2">
                  <c:v>Abstiene</c:v>
                </c:pt>
                <c:pt idx="3">
                  <c:v>No Vota</c:v>
                </c:pt>
              </c:strCache>
            </c:strRef>
          </c:cat>
          <c:val>
            <c:numRef>
              <c:f>'[1]En general'!$J$53:$M$53</c:f>
              <c:numCache>
                <c:formatCode>General</c:formatCode>
                <c:ptCount val="4"/>
                <c:pt idx="0">
                  <c:v>0.23472222222222222</c:v>
                </c:pt>
                <c:pt idx="1">
                  <c:v>0.38194444444444442</c:v>
                </c:pt>
                <c:pt idx="2">
                  <c:v>0.38194444444444442</c:v>
                </c:pt>
                <c:pt idx="3">
                  <c:v>1.3888888888888889E-3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88-48E3-AACB-6A41D6A60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800" b="1" i="0">
                <a:solidFill>
                  <a:schemeClr val="dk1"/>
                </a:solidFill>
                <a:latin typeface="Arial"/>
              </a:defRPr>
            </a:pPr>
            <a:r>
              <a:rPr lang="es-CL" sz="1800" b="1" i="0">
                <a:solidFill>
                  <a:schemeClr val="dk1"/>
                </a:solidFill>
                <a:latin typeface="Arial"/>
              </a:rPr>
              <a:t>% de Votos Pleno Medio Ambiente -  Chile Digno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606C-4C33-BDAC-6EAA9E8BA101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'[1]En general'!$J$45:$M$45</c:f>
              <c:strCache>
                <c:ptCount val="4"/>
                <c:pt idx="0">
                  <c:v>Aprueba</c:v>
                </c:pt>
                <c:pt idx="1">
                  <c:v>Rechaza</c:v>
                </c:pt>
                <c:pt idx="2">
                  <c:v>Abstiene</c:v>
                </c:pt>
                <c:pt idx="3">
                  <c:v>No Vota</c:v>
                </c:pt>
              </c:strCache>
            </c:strRef>
          </c:cat>
          <c:val>
            <c:numRef>
              <c:f>'[1]En general'!$J$46:$M$46</c:f>
              <c:numCache>
                <c:formatCode>General</c:formatCode>
                <c:ptCount val="4"/>
                <c:pt idx="0">
                  <c:v>0.94318181818181823</c:v>
                </c:pt>
                <c:pt idx="1">
                  <c:v>1.3636363636363636E-2</c:v>
                </c:pt>
                <c:pt idx="2">
                  <c:v>3.4090909090909088E-2</c:v>
                </c:pt>
                <c:pt idx="3">
                  <c:v>9.0909090909090905E-3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6C-4C33-BDAC-6EAA9E8BA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800" b="1" i="0">
                <a:solidFill>
                  <a:schemeClr val="dk1"/>
                </a:solidFill>
                <a:latin typeface="Arial"/>
              </a:defRPr>
            </a:pPr>
            <a:r>
              <a:rPr lang="es-CL" sz="1800" b="1" i="0">
                <a:solidFill>
                  <a:schemeClr val="dk1"/>
                </a:solidFill>
                <a:latin typeface="Arial"/>
              </a:rPr>
              <a:t>% de Votos Pleno Medio Ambiente -  Mov. Sociales Constituyentes</a:t>
            </a:r>
          </a:p>
        </c:rich>
      </c:tx>
      <c:layout>
        <c:manualLayout>
          <c:xMode val="edge"/>
          <c:yMode val="edge"/>
          <c:x val="0.19345822397200349"/>
          <c:y val="1.3888888888888888E-2"/>
        </c:manualLayout>
      </c:layout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1823-4B2F-9B21-B2C5AC2A4FAB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'[1]En general'!$J$45:$M$45</c:f>
              <c:strCache>
                <c:ptCount val="4"/>
                <c:pt idx="0">
                  <c:v>Aprueba</c:v>
                </c:pt>
                <c:pt idx="1">
                  <c:v>Rechaza</c:v>
                </c:pt>
                <c:pt idx="2">
                  <c:v>Abstiene</c:v>
                </c:pt>
                <c:pt idx="3">
                  <c:v>No Vota</c:v>
                </c:pt>
              </c:strCache>
            </c:strRef>
          </c:cat>
          <c:val>
            <c:numRef>
              <c:f>'[1]En general'!$J$47:$M$47</c:f>
              <c:numCache>
                <c:formatCode>General</c:formatCode>
                <c:ptCount val="4"/>
                <c:pt idx="0">
                  <c:v>0.73541666666666672</c:v>
                </c:pt>
                <c:pt idx="1">
                  <c:v>0.23333333333333334</c:v>
                </c:pt>
                <c:pt idx="2">
                  <c:v>1.6666666666666666E-2</c:v>
                </c:pt>
                <c:pt idx="3">
                  <c:v>1.4583333333333334E-2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23-4B2F-9B21-B2C5AC2A4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800" b="1" i="0">
                <a:solidFill>
                  <a:schemeClr val="dk1"/>
                </a:solidFill>
                <a:latin typeface="Arial"/>
              </a:defRPr>
            </a:pPr>
            <a:r>
              <a:rPr lang="es-CL" sz="1800" b="1" i="0">
                <a:solidFill>
                  <a:schemeClr val="dk1"/>
                </a:solidFill>
                <a:latin typeface="Arial"/>
              </a:rPr>
              <a:t>% de Votos Pleno Medio Ambiente -  Pueblo Constituyente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40DA-4EF4-A237-0DF778E127C3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'[1]En general'!$J$45:$M$45</c:f>
              <c:strCache>
                <c:ptCount val="4"/>
                <c:pt idx="0">
                  <c:v>Aprueba</c:v>
                </c:pt>
                <c:pt idx="1">
                  <c:v>Rechaza</c:v>
                </c:pt>
                <c:pt idx="2">
                  <c:v>Abstiene</c:v>
                </c:pt>
                <c:pt idx="3">
                  <c:v>No Vota</c:v>
                </c:pt>
              </c:strCache>
            </c:strRef>
          </c:cat>
          <c:val>
            <c:numRef>
              <c:f>'[1]En general'!$J$48:$M$48</c:f>
              <c:numCache>
                <c:formatCode>General</c:formatCode>
                <c:ptCount val="4"/>
                <c:pt idx="0">
                  <c:v>0.97250000000000003</c:v>
                </c:pt>
                <c:pt idx="1">
                  <c:v>1.4999999999999999E-2</c:v>
                </c:pt>
                <c:pt idx="2">
                  <c:v>2.5000000000000001E-3</c:v>
                </c:pt>
                <c:pt idx="3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DA-4EF4-A237-0DF778E12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800" b="1" i="0">
                <a:solidFill>
                  <a:schemeClr val="dk1"/>
                </a:solidFill>
                <a:latin typeface="Arial"/>
              </a:defRPr>
            </a:pPr>
            <a:r>
              <a:rPr lang="es-CL" sz="1800" b="1" i="0">
                <a:solidFill>
                  <a:schemeClr val="dk1"/>
                </a:solidFill>
                <a:latin typeface="Arial"/>
              </a:rPr>
              <a:t>% de Votos Pleno Medio Ambiente -  Escaños Reservados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70CA-404A-93F8-EF7FC084B536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'[1]En general'!$J$45:$M$45</c:f>
              <c:strCache>
                <c:ptCount val="4"/>
                <c:pt idx="0">
                  <c:v>Aprueba</c:v>
                </c:pt>
                <c:pt idx="1">
                  <c:v>Rechaza</c:v>
                </c:pt>
                <c:pt idx="2">
                  <c:v>Abstiene</c:v>
                </c:pt>
                <c:pt idx="3">
                  <c:v>No Vota</c:v>
                </c:pt>
              </c:strCache>
            </c:strRef>
          </c:cat>
          <c:val>
            <c:numRef>
              <c:f>'[1]En general'!$J$49:$M$49</c:f>
              <c:numCache>
                <c:formatCode>General</c:formatCode>
                <c:ptCount val="4"/>
                <c:pt idx="0">
                  <c:v>0.39444444444444443</c:v>
                </c:pt>
                <c:pt idx="1">
                  <c:v>0.18055555555555555</c:v>
                </c:pt>
                <c:pt idx="2">
                  <c:v>0.3</c:v>
                </c:pt>
                <c:pt idx="3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CA-404A-93F8-EF7FC084B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800" b="1" i="0">
                <a:solidFill>
                  <a:schemeClr val="dk1"/>
                </a:solidFill>
                <a:latin typeface="Arial"/>
              </a:defRPr>
            </a:pPr>
            <a:r>
              <a:rPr lang="es-CL" sz="1800" b="1" i="0">
                <a:solidFill>
                  <a:schemeClr val="dk1"/>
                </a:solidFill>
                <a:latin typeface="Arial"/>
              </a:rPr>
              <a:t>% de Votos Pleno Medio Ambiente -  Coordinadora Plurinacional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D101-422D-865B-66F0F9F7C4C4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'[1]En general'!$J$45:$M$45</c:f>
              <c:strCache>
                <c:ptCount val="4"/>
                <c:pt idx="0">
                  <c:v>Aprueba</c:v>
                </c:pt>
                <c:pt idx="1">
                  <c:v>Rechaza</c:v>
                </c:pt>
                <c:pt idx="2">
                  <c:v>Abstiene</c:v>
                </c:pt>
                <c:pt idx="3">
                  <c:v>No Vota</c:v>
                </c:pt>
              </c:strCache>
            </c:strRef>
          </c:cat>
          <c:val>
            <c:numRef>
              <c:f>'[1]En general'!$J$50:$M$50</c:f>
              <c:numCache>
                <c:formatCode>General</c:formatCode>
                <c:ptCount val="4"/>
                <c:pt idx="0">
                  <c:v>0.94374999999999998</c:v>
                </c:pt>
                <c:pt idx="1">
                  <c:v>2.9687499999999999E-2</c:v>
                </c:pt>
                <c:pt idx="2">
                  <c:v>1.0937499999999999E-2</c:v>
                </c:pt>
                <c:pt idx="3">
                  <c:v>1.5625E-2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01-422D-865B-66F0F9F7C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800" b="1" i="0">
                <a:solidFill>
                  <a:schemeClr val="dk1"/>
                </a:solidFill>
                <a:latin typeface="Arial"/>
              </a:defRPr>
            </a:pPr>
            <a:r>
              <a:rPr lang="es-CL" sz="1800" b="1" i="0">
                <a:solidFill>
                  <a:schemeClr val="dk1"/>
                </a:solidFill>
                <a:latin typeface="Arial"/>
              </a:rPr>
              <a:t>% de Votos Pleno Medio Ambiente -  Ind por una Nueva Constitucion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57AD-4E60-B70E-554A75860FD0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'[1]En general'!$J$45:$M$45</c:f>
              <c:strCache>
                <c:ptCount val="4"/>
                <c:pt idx="0">
                  <c:v>Aprueba</c:v>
                </c:pt>
                <c:pt idx="1">
                  <c:v>Rechaza</c:v>
                </c:pt>
                <c:pt idx="2">
                  <c:v>Abstiene</c:v>
                </c:pt>
                <c:pt idx="3">
                  <c:v>No Vota</c:v>
                </c:pt>
              </c:strCache>
            </c:strRef>
          </c:cat>
          <c:val>
            <c:numRef>
              <c:f>'[1]En general'!$J$51:$M$51</c:f>
              <c:numCache>
                <c:formatCode>General</c:formatCode>
                <c:ptCount val="4"/>
                <c:pt idx="0">
                  <c:v>0.58125000000000004</c:v>
                </c:pt>
                <c:pt idx="1">
                  <c:v>0.23333333333333334</c:v>
                </c:pt>
                <c:pt idx="2">
                  <c:v>0.18333333333333332</c:v>
                </c:pt>
                <c:pt idx="3">
                  <c:v>2.0833333333333333E-3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AD-4E60-B70E-554A75860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800" b="1" i="0">
                <a:solidFill>
                  <a:schemeClr val="dk1"/>
                </a:solidFill>
                <a:latin typeface="Arial"/>
              </a:defRPr>
            </a:pPr>
            <a:r>
              <a:rPr lang="es-CL" sz="1800" b="1" i="0">
                <a:solidFill>
                  <a:schemeClr val="dk1"/>
                </a:solidFill>
                <a:latin typeface="Arial"/>
              </a:rPr>
              <a:t>% de Votos Pleno Medio Ambiente -  Colectivo Socialista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5324-4A5C-9E6C-C9390450997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'[1]En general'!$J$45:$M$45</c:f>
              <c:strCache>
                <c:ptCount val="4"/>
                <c:pt idx="0">
                  <c:v>Aprueba</c:v>
                </c:pt>
                <c:pt idx="1">
                  <c:v>Rechaza</c:v>
                </c:pt>
                <c:pt idx="2">
                  <c:v>Abstiene</c:v>
                </c:pt>
                <c:pt idx="3">
                  <c:v>No Vota</c:v>
                </c:pt>
              </c:strCache>
            </c:strRef>
          </c:cat>
          <c:val>
            <c:numRef>
              <c:f>'[1]En general'!$J$52:$M$52</c:f>
              <c:numCache>
                <c:formatCode>General</c:formatCode>
                <c:ptCount val="4"/>
                <c:pt idx="0">
                  <c:v>0.36833333333333335</c:v>
                </c:pt>
                <c:pt idx="1">
                  <c:v>0.54500000000000004</c:v>
                </c:pt>
                <c:pt idx="2">
                  <c:v>0.08</c:v>
                </c:pt>
                <c:pt idx="3">
                  <c:v>6.6666666666666671E-3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24-4A5C-9E6C-C93904509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800" b="1" i="0">
                <a:solidFill>
                  <a:schemeClr val="dk1"/>
                </a:solidFill>
                <a:latin typeface="Arial"/>
              </a:defRPr>
            </a:pPr>
            <a:r>
              <a:rPr lang="es-CL" sz="1800" b="1" i="0">
                <a:solidFill>
                  <a:schemeClr val="dk1"/>
                </a:solidFill>
                <a:latin typeface="Arial"/>
              </a:rPr>
              <a:t>% de Votos Pleno Medio Ambiente -  Ind + UDI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145E-4962-A2C4-CE073E1DD874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'[1]En general'!$J$45:$M$45</c:f>
              <c:strCache>
                <c:ptCount val="4"/>
                <c:pt idx="0">
                  <c:v>Aprueba</c:v>
                </c:pt>
                <c:pt idx="1">
                  <c:v>Rechaza</c:v>
                </c:pt>
                <c:pt idx="2">
                  <c:v>Abstiene</c:v>
                </c:pt>
                <c:pt idx="3">
                  <c:v>No Vota</c:v>
                </c:pt>
              </c:strCache>
            </c:strRef>
          </c:cat>
          <c:val>
            <c:numRef>
              <c:f>'[1]En general'!$J$54:$M$54</c:f>
              <c:numCache>
                <c:formatCode>General</c:formatCode>
                <c:ptCount val="4"/>
                <c:pt idx="0">
                  <c:v>5.9523809523809521E-3</c:v>
                </c:pt>
                <c:pt idx="1">
                  <c:v>0.78809523809523807</c:v>
                </c:pt>
                <c:pt idx="2">
                  <c:v>0.20476190476190476</c:v>
                </c:pt>
                <c:pt idx="3">
                  <c:v>1.1904761904761906E-3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5E-4962-A2C4-CE073E1DD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800" b="1" i="0">
                <a:solidFill>
                  <a:schemeClr val="dk1"/>
                </a:solidFill>
                <a:latin typeface="Arial"/>
              </a:defRPr>
            </a:pPr>
            <a:r>
              <a:rPr lang="es-CL" sz="1800" b="1" i="0">
                <a:solidFill>
                  <a:schemeClr val="dk1"/>
                </a:solidFill>
                <a:latin typeface="Arial"/>
              </a:rPr>
              <a:t>% de Votos Pleno Medio Ambiente -  Ind RN + Evopoli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23A9-43CC-85A6-63F76E9183BE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'[1]En general'!$J$45:$M$45</c:f>
              <c:strCache>
                <c:ptCount val="4"/>
                <c:pt idx="0">
                  <c:v>Aprueba</c:v>
                </c:pt>
                <c:pt idx="1">
                  <c:v>Rechaza</c:v>
                </c:pt>
                <c:pt idx="2">
                  <c:v>Abstiene</c:v>
                </c:pt>
                <c:pt idx="3">
                  <c:v>No Vota</c:v>
                </c:pt>
              </c:strCache>
            </c:strRef>
          </c:cat>
          <c:val>
            <c:numRef>
              <c:f>'[1]En general'!$J$55:$M$55</c:f>
              <c:numCache>
                <c:formatCode>General</c:formatCode>
                <c:ptCount val="4"/>
                <c:pt idx="0">
                  <c:v>5.737704918032787E-2</c:v>
                </c:pt>
                <c:pt idx="1">
                  <c:v>0.61967213114754094</c:v>
                </c:pt>
                <c:pt idx="2">
                  <c:v>0.31475409836065577</c:v>
                </c:pt>
                <c:pt idx="3">
                  <c:v>8.1967213114754103E-3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A9-43CC-85A6-63F76E918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800" b="1" i="0">
                <a:solidFill>
                  <a:schemeClr val="dk1"/>
                </a:solidFill>
                <a:latin typeface="Arial"/>
              </a:defRPr>
            </a:pPr>
            <a:r>
              <a:rPr lang="es-CL" sz="1800" b="1" i="0">
                <a:solidFill>
                  <a:schemeClr val="dk1"/>
                </a:solidFill>
                <a:latin typeface="Arial"/>
              </a:rPr>
              <a:t>% de Votos Pleno Medio Ambiente -  Colectivo del Apruebo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E42A-4857-ABDC-080F7B7E8966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'[1]En general'!$J$45:$M$45</c:f>
              <c:strCache>
                <c:ptCount val="4"/>
                <c:pt idx="0">
                  <c:v>Aprueba</c:v>
                </c:pt>
                <c:pt idx="1">
                  <c:v>Rechaza</c:v>
                </c:pt>
                <c:pt idx="2">
                  <c:v>Abstiene</c:v>
                </c:pt>
                <c:pt idx="3">
                  <c:v>No Vota</c:v>
                </c:pt>
              </c:strCache>
            </c:strRef>
          </c:cat>
          <c:val>
            <c:numRef>
              <c:f>'[1]En general'!$J$56:$M$56</c:f>
              <c:numCache>
                <c:formatCode>General</c:formatCode>
                <c:ptCount val="4"/>
                <c:pt idx="0">
                  <c:v>0.23214285714285715</c:v>
                </c:pt>
                <c:pt idx="1">
                  <c:v>0.56785714285714284</c:v>
                </c:pt>
                <c:pt idx="2">
                  <c:v>0.18571428571428572</c:v>
                </c:pt>
                <c:pt idx="3">
                  <c:v>1.4285714285714285E-2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2A-4857-ABDC-080F7B7E8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800" b="1" i="0">
                <a:solidFill>
                  <a:schemeClr val="dk1"/>
                </a:solidFill>
                <a:latin typeface="Arial"/>
              </a:defRPr>
            </a:pPr>
            <a:r>
              <a:rPr lang="es-CL" sz="1800" b="1" i="0">
                <a:solidFill>
                  <a:schemeClr val="dk1"/>
                </a:solidFill>
                <a:latin typeface="Arial"/>
              </a:rPr>
              <a:t>% de Votos Pleno Medio Ambiente -  Otros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B6C8-4367-B083-24A3C8FB03BC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'[1]En general'!$J$45:$M$45</c:f>
              <c:strCache>
                <c:ptCount val="4"/>
                <c:pt idx="0">
                  <c:v>Aprueba</c:v>
                </c:pt>
                <c:pt idx="1">
                  <c:v>Rechaza</c:v>
                </c:pt>
                <c:pt idx="2">
                  <c:v>Abstiene</c:v>
                </c:pt>
                <c:pt idx="3">
                  <c:v>No Vota</c:v>
                </c:pt>
              </c:strCache>
            </c:strRef>
          </c:cat>
          <c:val>
            <c:numRef>
              <c:f>'[1]En general'!$J$57:$M$57</c:f>
              <c:numCache>
                <c:formatCode>General</c:formatCode>
                <c:ptCount val="4"/>
                <c:pt idx="0">
                  <c:v>0.83499999999999996</c:v>
                </c:pt>
                <c:pt idx="1">
                  <c:v>0.13500000000000001</c:v>
                </c:pt>
                <c:pt idx="2">
                  <c:v>0.03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C8-4367-B083-24A3C8FB0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 i="0">
                <a:solidFill>
                  <a:schemeClr val="dk1"/>
                </a:solidFill>
                <a:latin typeface="Arial"/>
              </a:defRPr>
            </a:pPr>
            <a:r>
              <a:rPr lang="es-CL" b="0" i="0">
                <a:solidFill>
                  <a:schemeClr val="dk1"/>
                </a:solidFill>
                <a:latin typeface="Arial"/>
              </a:rPr>
              <a:t>¿Cómo votó Jaime Bassa en el Pleno de Medio Ambiente?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3.0555555555555555E-2"/>
          <c:y val="0.30277777777777781"/>
          <c:w val="0.93888888888888888"/>
          <c:h val="0.61398148148148146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B2AD-48A3-A723-516F09587A98}"/>
              </c:ext>
            </c:extLst>
          </c:dPt>
          <c:dPt>
            <c:idx val="1"/>
            <c:invertIfNegative val="1"/>
            <c:bubble3D val="0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B2AD-48A3-A723-516F09587A98}"/>
              </c:ext>
            </c:extLst>
          </c:dPt>
          <c:dPt>
            <c:idx val="2"/>
            <c:invertIfNegative val="1"/>
            <c:bubble3D val="0"/>
            <c:spPr>
              <a:solidFill>
                <a:srgbClr val="FFFF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B2AD-48A3-A723-516F09587A98}"/>
              </c:ext>
            </c:extLst>
          </c:dPt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5-B2AD-48A3-A723-516F09587A98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 sz="1600" b="1" i="0">
                      <a:solidFill>
                        <a:srgbClr val="000000"/>
                      </a:solidFill>
                      <a:latin typeface="Arial"/>
                    </a:defRPr>
                  </a:pPr>
                  <a:endParaRPr lang="es-CL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B2AD-48A3-A723-516F09587A9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pPr lvl="0">
                      <a:defRPr sz="1600" b="1" i="0">
                        <a:solidFill>
                          <a:schemeClr val="lt1"/>
                        </a:solidFill>
                        <a:latin typeface="Arial"/>
                      </a:defRPr>
                    </a:pPr>
                    <a:r>
                      <a:rPr lang="en-US" sz="1600" b="1" i="0">
                        <a:solidFill>
                          <a:schemeClr val="lt1"/>
                        </a:solidFill>
                        <a:latin typeface="Arial"/>
                      </a:rPr>
                      <a:t>[VALOR]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B2AD-48A3-A723-516F09587A9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pPr lvl="0">
                      <a:defRPr sz="1600" b="1" i="0">
                        <a:solidFill>
                          <a:schemeClr val="lt1"/>
                        </a:solidFill>
                        <a:latin typeface="Arial"/>
                      </a:defRPr>
                    </a:pPr>
                    <a:r>
                      <a:rPr lang="en-US" sz="1600" b="1" i="0">
                        <a:solidFill>
                          <a:schemeClr val="lt1"/>
                        </a:solidFill>
                        <a:latin typeface="Arial"/>
                      </a:rPr>
                      <a:t>[VALOR]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B2AD-48A3-A723-516F09587A98}"/>
                </c:ext>
              </c:extLst>
            </c:dLbl>
            <c:dLbl>
              <c:idx val="3"/>
              <c:spPr/>
              <c:txPr>
                <a:bodyPr/>
                <a:lstStyle/>
                <a:p>
                  <a:pPr lvl="0">
                    <a:defRPr sz="1600" b="1" i="0">
                      <a:solidFill>
                        <a:srgbClr val="000000"/>
                      </a:solidFill>
                      <a:latin typeface="Arial"/>
                    </a:defRPr>
                  </a:pPr>
                  <a:endParaRPr lang="es-CL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B2AD-48A3-A723-516F09587A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 b="1" i="0">
                    <a:solidFill>
                      <a:srgbClr val="FFFFFF"/>
                    </a:solidFill>
                    <a:latin typeface="Arial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'[1]Por constituyentes'!$D$2:$G$2</c:f>
              <c:strCache>
                <c:ptCount val="4"/>
                <c:pt idx="0">
                  <c:v>aprueba</c:v>
                </c:pt>
                <c:pt idx="1">
                  <c:v>rechaza</c:v>
                </c:pt>
                <c:pt idx="2">
                  <c:v>abstiene</c:v>
                </c:pt>
                <c:pt idx="3">
                  <c:v>no voto</c:v>
                </c:pt>
              </c:strCache>
            </c:strRef>
          </c:cat>
          <c:val>
            <c:numRef>
              <c:f>'[1]Por constituyentes'!$D$24:$G$24</c:f>
              <c:numCache>
                <c:formatCode>General</c:formatCode>
                <c:ptCount val="4"/>
                <c:pt idx="0">
                  <c:v>9</c:v>
                </c:pt>
                <c:pt idx="1">
                  <c:v>17</c:v>
                </c:pt>
                <c:pt idx="2">
                  <c:v>12</c:v>
                </c:pt>
                <c:pt idx="3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B2AD-48A3-A723-516F09587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1529702"/>
        <c:axId val="511628037"/>
      </c:barChart>
      <c:catAx>
        <c:axId val="3415297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Arial"/>
              </a:defRPr>
            </a:pPr>
            <a:endParaRPr lang="es-CL"/>
          </a:p>
        </c:txPr>
        <c:crossAx val="511628037"/>
        <c:crosses val="autoZero"/>
        <c:auto val="1"/>
        <c:lblAlgn val="ctr"/>
        <c:lblOffset val="100"/>
        <c:noMultiLvlLbl val="1"/>
      </c:catAx>
      <c:valAx>
        <c:axId val="51162803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341529702"/>
        <c:crosses val="autoZero"/>
        <c:crossBetween val="between"/>
      </c:valAx>
    </c:plotArea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 i="0">
                <a:solidFill>
                  <a:schemeClr val="dk1"/>
                </a:solidFill>
                <a:latin typeface="Arial"/>
              </a:defRPr>
            </a:pPr>
            <a:r>
              <a:rPr lang="es-CL" b="0" i="0">
                <a:solidFill>
                  <a:schemeClr val="dk1"/>
                </a:solidFill>
                <a:latin typeface="Arial"/>
              </a:rPr>
              <a:t>¿Cómo votó Fernando Atria en el Pleno de Medio Ambiente?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3.0555555555555555E-2"/>
          <c:y val="0.30277777777777781"/>
          <c:w val="0.93888888888888888"/>
          <c:h val="0.61398148148148146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F283-499A-A27B-BD59B68EDF2F}"/>
              </c:ext>
            </c:extLst>
          </c:dPt>
          <c:dPt>
            <c:idx val="1"/>
            <c:invertIfNegative val="1"/>
            <c:bubble3D val="0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F283-499A-A27B-BD59B68EDF2F}"/>
              </c:ext>
            </c:extLst>
          </c:dPt>
          <c:dPt>
            <c:idx val="2"/>
            <c:invertIfNegative val="1"/>
            <c:bubble3D val="0"/>
            <c:spPr>
              <a:solidFill>
                <a:srgbClr val="FFFF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F283-499A-A27B-BD59B68EDF2F}"/>
              </c:ext>
            </c:extLst>
          </c:dPt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5-F283-499A-A27B-BD59B68EDF2F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 sz="1600" b="1" i="0">
                      <a:solidFill>
                        <a:srgbClr val="000000"/>
                      </a:solidFill>
                      <a:latin typeface="Arial"/>
                    </a:defRPr>
                  </a:pPr>
                  <a:endParaRPr lang="es-CL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F283-499A-A27B-BD59B68EDF2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pPr lvl="0">
                      <a:defRPr sz="1600" b="1" i="0">
                        <a:solidFill>
                          <a:schemeClr val="lt1"/>
                        </a:solidFill>
                        <a:latin typeface="Arial"/>
                      </a:defRPr>
                    </a:pPr>
                    <a:r>
                      <a:rPr lang="en-US" sz="1600" b="1" i="0">
                        <a:solidFill>
                          <a:schemeClr val="lt1"/>
                        </a:solidFill>
                        <a:latin typeface="Arial"/>
                      </a:rPr>
                      <a:t>[VALOR]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F283-499A-A27B-BD59B68EDF2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pPr lvl="0">
                      <a:defRPr sz="1600" b="1" i="0">
                        <a:solidFill>
                          <a:schemeClr val="lt1"/>
                        </a:solidFill>
                        <a:latin typeface="Arial"/>
                      </a:defRPr>
                    </a:pPr>
                    <a:r>
                      <a:rPr lang="en-US" sz="1600" b="1" i="0">
                        <a:solidFill>
                          <a:schemeClr val="lt1"/>
                        </a:solidFill>
                        <a:latin typeface="Arial"/>
                      </a:rPr>
                      <a:t>[VALOR]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F283-499A-A27B-BD59B68EDF2F}"/>
                </c:ext>
              </c:extLst>
            </c:dLbl>
            <c:dLbl>
              <c:idx val="3"/>
              <c:spPr/>
              <c:txPr>
                <a:bodyPr/>
                <a:lstStyle/>
                <a:p>
                  <a:pPr lvl="0">
                    <a:defRPr sz="1600" b="1" i="0">
                      <a:solidFill>
                        <a:srgbClr val="000000"/>
                      </a:solidFill>
                      <a:latin typeface="Arial"/>
                    </a:defRPr>
                  </a:pPr>
                  <a:endParaRPr lang="es-CL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F283-499A-A27B-BD59B68EDF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 b="1" i="0">
                    <a:solidFill>
                      <a:srgbClr val="FFFFFF"/>
                    </a:solidFill>
                    <a:latin typeface="Arial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'[1]Por constituyentes'!$D$2:$G$2</c:f>
              <c:strCache>
                <c:ptCount val="4"/>
                <c:pt idx="0">
                  <c:v>aprueba</c:v>
                </c:pt>
                <c:pt idx="1">
                  <c:v>rechaza</c:v>
                </c:pt>
                <c:pt idx="2">
                  <c:v>abstiene</c:v>
                </c:pt>
                <c:pt idx="3">
                  <c:v>no voto</c:v>
                </c:pt>
              </c:strCache>
            </c:strRef>
          </c:cat>
          <c:val>
            <c:numRef>
              <c:f>'[1]Por constituyentes'!$D$18:$G$18</c:f>
              <c:numCache>
                <c:formatCode>General</c:formatCode>
                <c:ptCount val="4"/>
                <c:pt idx="0">
                  <c:v>5</c:v>
                </c:pt>
                <c:pt idx="1">
                  <c:v>35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F283-499A-A27B-BD59B68ED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1841374"/>
        <c:axId val="593766308"/>
      </c:barChart>
      <c:catAx>
        <c:axId val="20718413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Arial"/>
              </a:defRPr>
            </a:pPr>
            <a:endParaRPr lang="es-CL"/>
          </a:p>
        </c:txPr>
        <c:crossAx val="593766308"/>
        <c:crosses val="autoZero"/>
        <c:auto val="1"/>
        <c:lblAlgn val="ctr"/>
        <c:lblOffset val="100"/>
        <c:noMultiLvlLbl val="1"/>
      </c:catAx>
      <c:valAx>
        <c:axId val="5937663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2071841374"/>
        <c:crosses val="autoZero"/>
        <c:crossBetween val="between"/>
      </c:valAx>
    </c:plotArea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Votaciones Art.X por Colectivos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Aprueba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'[1]Base votos'!$I$3:$I$14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'[1]Base votos'!$J$3:$J$14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247-456D-A210-FB744EC108C9}"/>
            </c:ext>
          </c:extLst>
        </c:ser>
        <c:ser>
          <c:idx val="1"/>
          <c:order val="1"/>
          <c:tx>
            <c:v>Rechaza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'[1]Base votos'!$I$3:$I$14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'[1]Base votos'!$K$3:$K$14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247-456D-A210-FB744EC108C9}"/>
            </c:ext>
          </c:extLst>
        </c:ser>
        <c:ser>
          <c:idx val="2"/>
          <c:order val="2"/>
          <c:tx>
            <c:v>Abstiene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'[1]Base votos'!$I$3:$I$14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'[1]Base votos'!$L$3:$L$14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6247-456D-A210-FB744EC108C9}"/>
            </c:ext>
          </c:extLst>
        </c:ser>
        <c:ser>
          <c:idx val="3"/>
          <c:order val="3"/>
          <c:tx>
            <c:v>No Vota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'[1]Base votos'!$I$3:$I$14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'[1]Base votos'!$M$3:$M$14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6247-456D-A210-FB744EC108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3729350"/>
        <c:axId val="235621118"/>
      </c:barChart>
      <c:catAx>
        <c:axId val="1137293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235621118"/>
        <c:crosses val="autoZero"/>
        <c:auto val="1"/>
        <c:lblAlgn val="ctr"/>
        <c:lblOffset val="100"/>
        <c:noMultiLvlLbl val="1"/>
      </c:catAx>
      <c:valAx>
        <c:axId val="2356211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1372935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Arial"/>
              </a:defRPr>
            </a:pPr>
            <a:r>
              <a:rPr lang="es-CL" sz="1600" b="1" i="0">
                <a:solidFill>
                  <a:srgbClr val="757575"/>
                </a:solidFill>
                <a:latin typeface="Arial"/>
              </a:rPr>
              <a:t>% de Votaciones Art.X por Colectivos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strRef>
              <c:f>'[1]Base votos'!$J$46</c:f>
              <c:strCache>
                <c:ptCount val="1"/>
                <c:pt idx="0">
                  <c:v>Aprueba</c:v>
                </c:pt>
              </c:strCache>
            </c:strRef>
          </c:tx>
          <c:invertIfNegative val="1"/>
          <c:cat>
            <c:strRef>
              <c:f>'[1]Base votos'!$I$47:$I$58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'[1]Base votos'!$J$47:$J$58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8E-4004-98F4-326DADC2CBF0}"/>
            </c:ext>
          </c:extLst>
        </c:ser>
        <c:ser>
          <c:idx val="1"/>
          <c:order val="1"/>
          <c:tx>
            <c:strRef>
              <c:f>'[1]Base votos'!$K$46</c:f>
              <c:strCache>
                <c:ptCount val="1"/>
                <c:pt idx="0">
                  <c:v>Rechaza</c:v>
                </c:pt>
              </c:strCache>
            </c:strRef>
          </c:tx>
          <c:invertIfNegative val="1"/>
          <c:cat>
            <c:strRef>
              <c:f>'[1]Base votos'!$I$47:$I$58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'[1]Base votos'!$K$47:$K$58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8E-4004-98F4-326DADC2CBF0}"/>
            </c:ext>
          </c:extLst>
        </c:ser>
        <c:ser>
          <c:idx val="2"/>
          <c:order val="2"/>
          <c:tx>
            <c:strRef>
              <c:f>'[1]Base votos'!$L$46</c:f>
              <c:strCache>
                <c:ptCount val="1"/>
                <c:pt idx="0">
                  <c:v>Abstiene</c:v>
                </c:pt>
              </c:strCache>
            </c:strRef>
          </c:tx>
          <c:invertIfNegative val="1"/>
          <c:cat>
            <c:strRef>
              <c:f>'[1]Base votos'!$I$47:$I$58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'[1]Base votos'!$L$47:$L$58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8E-4004-98F4-326DADC2CBF0}"/>
            </c:ext>
          </c:extLst>
        </c:ser>
        <c:ser>
          <c:idx val="3"/>
          <c:order val="3"/>
          <c:tx>
            <c:strRef>
              <c:f>'[1]Base votos'!$M$46</c:f>
              <c:strCache>
                <c:ptCount val="1"/>
                <c:pt idx="0">
                  <c:v>No Vota</c:v>
                </c:pt>
              </c:strCache>
            </c:strRef>
          </c:tx>
          <c:invertIfNegative val="1"/>
          <c:cat>
            <c:strRef>
              <c:f>'[1]Base votos'!$I$47:$I$58</c:f>
              <c:strCache>
                <c:ptCount val="12"/>
                <c:pt idx="0">
                  <c:v>Chile Digno</c:v>
                </c:pt>
                <c:pt idx="1">
                  <c:v>Mov. Sociales Const.</c:v>
                </c:pt>
                <c:pt idx="2">
                  <c:v>Pueblo Constituyente</c:v>
                </c:pt>
                <c:pt idx="3">
                  <c:v>Escaños Reservados </c:v>
                </c:pt>
                <c:pt idx="4">
                  <c:v>Coord. Plurinacional</c:v>
                </c:pt>
                <c:pt idx="5">
                  <c:v>Ind. Por Nueva Const.</c:v>
                </c:pt>
                <c:pt idx="6">
                  <c:v>Colectivo Socialista</c:v>
                </c:pt>
                <c:pt idx="7">
                  <c:v>Frente Amplio</c:v>
                </c:pt>
                <c:pt idx="8">
                  <c:v>Ind. + UDI</c:v>
                </c:pt>
                <c:pt idx="9">
                  <c:v>Ind. RN - Evópoli</c:v>
                </c:pt>
                <c:pt idx="10">
                  <c:v>Colectivo del Apruebo</c:v>
                </c:pt>
                <c:pt idx="11">
                  <c:v>Otros</c:v>
                </c:pt>
              </c:strCache>
            </c:strRef>
          </c:cat>
          <c:val>
            <c:numRef>
              <c:f>'[1]Base votos'!$M$47:$M$58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8E-4004-98F4-326DADC2C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8270034"/>
        <c:axId val="124090571"/>
      </c:barChart>
      <c:catAx>
        <c:axId val="13382700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s-CL"/>
          </a:p>
        </c:txPr>
        <c:crossAx val="124090571"/>
        <c:crosses val="autoZero"/>
        <c:auto val="1"/>
        <c:lblAlgn val="ctr"/>
        <c:lblOffset val="100"/>
        <c:noMultiLvlLbl val="1"/>
      </c:catAx>
      <c:valAx>
        <c:axId val="124090571"/>
        <c:scaling>
          <c:orientation val="minMax"/>
        </c:scaling>
        <c:delete val="0"/>
        <c:axPos val="l"/>
        <c:numFmt formatCode="0%" sourceLinked="1"/>
        <c:majorTickMark val="cross"/>
        <c:minorTickMark val="cross"/>
        <c:tickLblPos val="nextTo"/>
        <c:spPr>
          <a:ln>
            <a:noFill/>
          </a:ln>
        </c:spPr>
        <c:crossAx val="1338270034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Arial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0.xml"/><Relationship Id="rId1" Type="http://schemas.openxmlformats.org/officeDocument/2006/relationships/chart" Target="../charts/chart59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2.xml"/><Relationship Id="rId1" Type="http://schemas.openxmlformats.org/officeDocument/2006/relationships/chart" Target="../charts/chart61.xml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4.xml"/><Relationship Id="rId1" Type="http://schemas.openxmlformats.org/officeDocument/2006/relationships/chart" Target="../charts/chart63.xml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6.xml"/><Relationship Id="rId1" Type="http://schemas.openxmlformats.org/officeDocument/2006/relationships/chart" Target="../charts/chart65.xml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8.xml"/><Relationship Id="rId1" Type="http://schemas.openxmlformats.org/officeDocument/2006/relationships/chart" Target="../charts/chart67.xml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0.xml"/><Relationship Id="rId1" Type="http://schemas.openxmlformats.org/officeDocument/2006/relationships/chart" Target="../charts/chart69.xml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2.xml"/><Relationship Id="rId1" Type="http://schemas.openxmlformats.org/officeDocument/2006/relationships/chart" Target="../charts/chart71.xml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4.xml"/><Relationship Id="rId1" Type="http://schemas.openxmlformats.org/officeDocument/2006/relationships/chart" Target="../charts/chart73.xml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6.xml"/><Relationship Id="rId1" Type="http://schemas.openxmlformats.org/officeDocument/2006/relationships/chart" Target="../charts/chart75.xml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8.xml"/><Relationship Id="rId1" Type="http://schemas.openxmlformats.org/officeDocument/2006/relationships/chart" Target="../charts/chart77.xml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0.xml"/><Relationship Id="rId1" Type="http://schemas.openxmlformats.org/officeDocument/2006/relationships/chart" Target="../charts/chart79.xml"/></Relationships>
</file>

<file path=xl/drawings/_rels/drawing4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8.xml"/><Relationship Id="rId13" Type="http://schemas.openxmlformats.org/officeDocument/2006/relationships/chart" Target="../charts/chart93.xml"/><Relationship Id="rId3" Type="http://schemas.openxmlformats.org/officeDocument/2006/relationships/chart" Target="../charts/chart83.xml"/><Relationship Id="rId7" Type="http://schemas.openxmlformats.org/officeDocument/2006/relationships/chart" Target="../charts/chart87.xml"/><Relationship Id="rId12" Type="http://schemas.openxmlformats.org/officeDocument/2006/relationships/chart" Target="../charts/chart92.xml"/><Relationship Id="rId2" Type="http://schemas.openxmlformats.org/officeDocument/2006/relationships/chart" Target="../charts/chart82.xml"/><Relationship Id="rId1" Type="http://schemas.openxmlformats.org/officeDocument/2006/relationships/chart" Target="../charts/chart81.xml"/><Relationship Id="rId6" Type="http://schemas.openxmlformats.org/officeDocument/2006/relationships/chart" Target="../charts/chart86.xml"/><Relationship Id="rId11" Type="http://schemas.openxmlformats.org/officeDocument/2006/relationships/chart" Target="../charts/chart91.xml"/><Relationship Id="rId5" Type="http://schemas.openxmlformats.org/officeDocument/2006/relationships/chart" Target="../charts/chart85.xml"/><Relationship Id="rId10" Type="http://schemas.openxmlformats.org/officeDocument/2006/relationships/chart" Target="../charts/chart90.xml"/><Relationship Id="rId4" Type="http://schemas.openxmlformats.org/officeDocument/2006/relationships/chart" Target="../charts/chart84.xml"/><Relationship Id="rId9" Type="http://schemas.openxmlformats.org/officeDocument/2006/relationships/chart" Target="../charts/chart89.xml"/><Relationship Id="rId14" Type="http://schemas.openxmlformats.org/officeDocument/2006/relationships/chart" Target="../charts/chart94.xml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6.xml"/><Relationship Id="rId1" Type="http://schemas.openxmlformats.org/officeDocument/2006/relationships/chart" Target="../charts/chart95.xml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8.xml"/><Relationship Id="rId1" Type="http://schemas.openxmlformats.org/officeDocument/2006/relationships/chart" Target="../charts/chart9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15</xdr:row>
      <xdr:rowOff>0</xdr:rowOff>
    </xdr:from>
    <xdr:ext cx="9220200" cy="4810125"/>
    <xdr:graphicFrame macro="">
      <xdr:nvGraphicFramePr>
        <xdr:cNvPr id="2" name="Chart 15">
          <a:extLst>
            <a:ext uri="{FF2B5EF4-FFF2-40B4-BE49-F238E27FC236}">
              <a16:creationId xmlns:a16="http://schemas.microsoft.com/office/drawing/2014/main" id="{2D791C81-F526-42CD-B676-F925AEE910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9525</xdr:colOff>
      <xdr:row>58</xdr:row>
      <xdr:rowOff>142875</xdr:rowOff>
    </xdr:from>
    <xdr:ext cx="9220200" cy="4838700"/>
    <xdr:graphicFrame macro="">
      <xdr:nvGraphicFramePr>
        <xdr:cNvPr id="3" name="Chart 16">
          <a:extLst>
            <a:ext uri="{FF2B5EF4-FFF2-40B4-BE49-F238E27FC236}">
              <a16:creationId xmlns:a16="http://schemas.microsoft.com/office/drawing/2014/main" id="{360B35BF-3496-4EF4-BCB1-EE373E7C43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752475</xdr:colOff>
      <xdr:row>15</xdr:row>
      <xdr:rowOff>47625</xdr:rowOff>
    </xdr:from>
    <xdr:ext cx="9277350" cy="4324350"/>
    <xdr:graphicFrame macro="">
      <xdr:nvGraphicFramePr>
        <xdr:cNvPr id="2" name="Chart 17">
          <a:extLst>
            <a:ext uri="{FF2B5EF4-FFF2-40B4-BE49-F238E27FC236}">
              <a16:creationId xmlns:a16="http://schemas.microsoft.com/office/drawing/2014/main" id="{38D80688-5D91-4272-B8A7-ACFE5DB5A8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9525</xdr:colOff>
      <xdr:row>57</xdr:row>
      <xdr:rowOff>152400</xdr:rowOff>
    </xdr:from>
    <xdr:ext cx="9220200" cy="4324350"/>
    <xdr:graphicFrame macro="">
      <xdr:nvGraphicFramePr>
        <xdr:cNvPr id="3" name="Chart 18">
          <a:extLst>
            <a:ext uri="{FF2B5EF4-FFF2-40B4-BE49-F238E27FC236}">
              <a16:creationId xmlns:a16="http://schemas.microsoft.com/office/drawing/2014/main" id="{4013BEB7-59A1-41AB-BC3A-269E72F7D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14</xdr:row>
      <xdr:rowOff>104775</xdr:rowOff>
    </xdr:from>
    <xdr:ext cx="9220200" cy="4324350"/>
    <xdr:graphicFrame macro="">
      <xdr:nvGraphicFramePr>
        <xdr:cNvPr id="2" name="Chart 19">
          <a:extLst>
            <a:ext uri="{FF2B5EF4-FFF2-40B4-BE49-F238E27FC236}">
              <a16:creationId xmlns:a16="http://schemas.microsoft.com/office/drawing/2014/main" id="{7A31112E-ABFB-4F28-9BDA-E67374EC31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9525</xdr:colOff>
      <xdr:row>58</xdr:row>
      <xdr:rowOff>152400</xdr:rowOff>
    </xdr:from>
    <xdr:ext cx="9220200" cy="4324350"/>
    <xdr:graphicFrame macro="">
      <xdr:nvGraphicFramePr>
        <xdr:cNvPr id="3" name="Chart 20">
          <a:extLst>
            <a:ext uri="{FF2B5EF4-FFF2-40B4-BE49-F238E27FC236}">
              <a16:creationId xmlns:a16="http://schemas.microsoft.com/office/drawing/2014/main" id="{48C33201-900B-4007-BDF9-01678F3A6F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14</xdr:row>
      <xdr:rowOff>104775</xdr:rowOff>
    </xdr:from>
    <xdr:ext cx="9220200" cy="4324350"/>
    <xdr:graphicFrame macro="">
      <xdr:nvGraphicFramePr>
        <xdr:cNvPr id="2" name="Chart 21">
          <a:extLst>
            <a:ext uri="{FF2B5EF4-FFF2-40B4-BE49-F238E27FC236}">
              <a16:creationId xmlns:a16="http://schemas.microsoft.com/office/drawing/2014/main" id="{1D692BFD-6C11-4B96-826C-3782BE3F7B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9525</xdr:colOff>
      <xdr:row>58</xdr:row>
      <xdr:rowOff>152400</xdr:rowOff>
    </xdr:from>
    <xdr:ext cx="9220200" cy="4324350"/>
    <xdr:graphicFrame macro="">
      <xdr:nvGraphicFramePr>
        <xdr:cNvPr id="3" name="Chart 22">
          <a:extLst>
            <a:ext uri="{FF2B5EF4-FFF2-40B4-BE49-F238E27FC236}">
              <a16:creationId xmlns:a16="http://schemas.microsoft.com/office/drawing/2014/main" id="{4B4AF2BD-DFDA-41BA-B0DB-5F6319ACE9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15</xdr:row>
      <xdr:rowOff>0</xdr:rowOff>
    </xdr:from>
    <xdr:ext cx="9220200" cy="4810125"/>
    <xdr:graphicFrame macro="">
      <xdr:nvGraphicFramePr>
        <xdr:cNvPr id="2" name="Chart 23">
          <a:extLst>
            <a:ext uri="{FF2B5EF4-FFF2-40B4-BE49-F238E27FC236}">
              <a16:creationId xmlns:a16="http://schemas.microsoft.com/office/drawing/2014/main" id="{C5A5F27A-A8BC-4217-A55E-B7B9F37C31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9525</xdr:colOff>
      <xdr:row>58</xdr:row>
      <xdr:rowOff>142875</xdr:rowOff>
    </xdr:from>
    <xdr:ext cx="9220200" cy="4838700"/>
    <xdr:graphicFrame macro="">
      <xdr:nvGraphicFramePr>
        <xdr:cNvPr id="3" name="Chart 24">
          <a:extLst>
            <a:ext uri="{FF2B5EF4-FFF2-40B4-BE49-F238E27FC236}">
              <a16:creationId xmlns:a16="http://schemas.microsoft.com/office/drawing/2014/main" id="{867DD00C-F88E-49C1-BC1B-9051480235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15</xdr:row>
      <xdr:rowOff>0</xdr:rowOff>
    </xdr:from>
    <xdr:ext cx="9220200" cy="4314825"/>
    <xdr:graphicFrame macro="">
      <xdr:nvGraphicFramePr>
        <xdr:cNvPr id="2" name="Chart 25">
          <a:extLst>
            <a:ext uri="{FF2B5EF4-FFF2-40B4-BE49-F238E27FC236}">
              <a16:creationId xmlns:a16="http://schemas.microsoft.com/office/drawing/2014/main" id="{93DDD423-3655-430A-93D5-E658C85EA3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9525</xdr:colOff>
      <xdr:row>58</xdr:row>
      <xdr:rowOff>142875</xdr:rowOff>
    </xdr:from>
    <xdr:ext cx="9220200" cy="4324350"/>
    <xdr:graphicFrame macro="">
      <xdr:nvGraphicFramePr>
        <xdr:cNvPr id="3" name="Chart 26">
          <a:extLst>
            <a:ext uri="{FF2B5EF4-FFF2-40B4-BE49-F238E27FC236}">
              <a16:creationId xmlns:a16="http://schemas.microsoft.com/office/drawing/2014/main" id="{8F186306-323D-4D7D-9350-C319BA0717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15</xdr:row>
      <xdr:rowOff>0</xdr:rowOff>
    </xdr:from>
    <xdr:ext cx="9220200" cy="4314825"/>
    <xdr:graphicFrame macro="">
      <xdr:nvGraphicFramePr>
        <xdr:cNvPr id="2" name="Chart 27">
          <a:extLst>
            <a:ext uri="{FF2B5EF4-FFF2-40B4-BE49-F238E27FC236}">
              <a16:creationId xmlns:a16="http://schemas.microsoft.com/office/drawing/2014/main" id="{E742D3EB-1AF5-4097-84A6-685F6B7D9A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9525</xdr:colOff>
      <xdr:row>58</xdr:row>
      <xdr:rowOff>142875</xdr:rowOff>
    </xdr:from>
    <xdr:ext cx="9220200" cy="4324350"/>
    <xdr:graphicFrame macro="">
      <xdr:nvGraphicFramePr>
        <xdr:cNvPr id="3" name="Chart 28">
          <a:extLst>
            <a:ext uri="{FF2B5EF4-FFF2-40B4-BE49-F238E27FC236}">
              <a16:creationId xmlns:a16="http://schemas.microsoft.com/office/drawing/2014/main" id="{6C5DA440-4E9D-41C0-9176-2A55A58250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15</xdr:row>
      <xdr:rowOff>0</xdr:rowOff>
    </xdr:from>
    <xdr:ext cx="9220200" cy="4314825"/>
    <xdr:graphicFrame macro="">
      <xdr:nvGraphicFramePr>
        <xdr:cNvPr id="2" name="Chart 29">
          <a:extLst>
            <a:ext uri="{FF2B5EF4-FFF2-40B4-BE49-F238E27FC236}">
              <a16:creationId xmlns:a16="http://schemas.microsoft.com/office/drawing/2014/main" id="{434282FB-AB64-48C2-A3EC-A5E4C4D1C6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9525</xdr:colOff>
      <xdr:row>58</xdr:row>
      <xdr:rowOff>142875</xdr:rowOff>
    </xdr:from>
    <xdr:ext cx="9220200" cy="4324350"/>
    <xdr:graphicFrame macro="">
      <xdr:nvGraphicFramePr>
        <xdr:cNvPr id="3" name="Chart 30">
          <a:extLst>
            <a:ext uri="{FF2B5EF4-FFF2-40B4-BE49-F238E27FC236}">
              <a16:creationId xmlns:a16="http://schemas.microsoft.com/office/drawing/2014/main" id="{D86EAC95-E5BE-4B90-B2BF-5DB5ADCF31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15</xdr:row>
      <xdr:rowOff>0</xdr:rowOff>
    </xdr:from>
    <xdr:ext cx="9220200" cy="5057775"/>
    <xdr:graphicFrame macro="">
      <xdr:nvGraphicFramePr>
        <xdr:cNvPr id="2" name="Chart 31">
          <a:extLst>
            <a:ext uri="{FF2B5EF4-FFF2-40B4-BE49-F238E27FC236}">
              <a16:creationId xmlns:a16="http://schemas.microsoft.com/office/drawing/2014/main" id="{22CAD55B-B878-4BA9-AC6D-707A70BB9B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9525</xdr:colOff>
      <xdr:row>58</xdr:row>
      <xdr:rowOff>142875</xdr:rowOff>
    </xdr:from>
    <xdr:ext cx="9220200" cy="5095875"/>
    <xdr:graphicFrame macro="">
      <xdr:nvGraphicFramePr>
        <xdr:cNvPr id="3" name="Chart 32">
          <a:extLst>
            <a:ext uri="{FF2B5EF4-FFF2-40B4-BE49-F238E27FC236}">
              <a16:creationId xmlns:a16="http://schemas.microsoft.com/office/drawing/2014/main" id="{C8C5269D-55D3-4563-85A3-6D157D7344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15</xdr:row>
      <xdr:rowOff>0</xdr:rowOff>
    </xdr:from>
    <xdr:ext cx="9220200" cy="4314825"/>
    <xdr:graphicFrame macro="">
      <xdr:nvGraphicFramePr>
        <xdr:cNvPr id="2" name="Chart 33">
          <a:extLst>
            <a:ext uri="{FF2B5EF4-FFF2-40B4-BE49-F238E27FC236}">
              <a16:creationId xmlns:a16="http://schemas.microsoft.com/office/drawing/2014/main" id="{58FEE771-C3B6-4D93-A09B-8DCE445B21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9525</xdr:colOff>
      <xdr:row>58</xdr:row>
      <xdr:rowOff>142875</xdr:rowOff>
    </xdr:from>
    <xdr:ext cx="9220200" cy="4324350"/>
    <xdr:graphicFrame macro="">
      <xdr:nvGraphicFramePr>
        <xdr:cNvPr id="3" name="Chart 34">
          <a:extLst>
            <a:ext uri="{FF2B5EF4-FFF2-40B4-BE49-F238E27FC236}">
              <a16:creationId xmlns:a16="http://schemas.microsoft.com/office/drawing/2014/main" id="{BD918CA5-9F2C-404B-A7E1-9E66CA099D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15</xdr:row>
      <xdr:rowOff>0</xdr:rowOff>
    </xdr:from>
    <xdr:ext cx="9220200" cy="4562475"/>
    <xdr:graphicFrame macro="">
      <xdr:nvGraphicFramePr>
        <xdr:cNvPr id="2" name="Chart 35">
          <a:extLst>
            <a:ext uri="{FF2B5EF4-FFF2-40B4-BE49-F238E27FC236}">
              <a16:creationId xmlns:a16="http://schemas.microsoft.com/office/drawing/2014/main" id="{FA1F8BC6-C0FC-4D9F-A2E5-C0226C607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9525</xdr:colOff>
      <xdr:row>58</xdr:row>
      <xdr:rowOff>142875</xdr:rowOff>
    </xdr:from>
    <xdr:ext cx="9220200" cy="4581525"/>
    <xdr:graphicFrame macro="">
      <xdr:nvGraphicFramePr>
        <xdr:cNvPr id="3" name="Chart 36">
          <a:extLst>
            <a:ext uri="{FF2B5EF4-FFF2-40B4-BE49-F238E27FC236}">
              <a16:creationId xmlns:a16="http://schemas.microsoft.com/office/drawing/2014/main" id="{C7F4D5E8-6976-4260-AC3B-C7E742C04F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15</xdr:row>
      <xdr:rowOff>0</xdr:rowOff>
    </xdr:from>
    <xdr:ext cx="9220200" cy="4314825"/>
    <xdr:graphicFrame macro="">
      <xdr:nvGraphicFramePr>
        <xdr:cNvPr id="2" name="Chart 37">
          <a:extLst>
            <a:ext uri="{FF2B5EF4-FFF2-40B4-BE49-F238E27FC236}">
              <a16:creationId xmlns:a16="http://schemas.microsoft.com/office/drawing/2014/main" id="{1D016617-7D5B-44DC-B33D-818814A8B7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9525</xdr:colOff>
      <xdr:row>58</xdr:row>
      <xdr:rowOff>142875</xdr:rowOff>
    </xdr:from>
    <xdr:ext cx="9220200" cy="4324350"/>
    <xdr:graphicFrame macro="">
      <xdr:nvGraphicFramePr>
        <xdr:cNvPr id="3" name="Chart 38">
          <a:extLst>
            <a:ext uri="{FF2B5EF4-FFF2-40B4-BE49-F238E27FC236}">
              <a16:creationId xmlns:a16="http://schemas.microsoft.com/office/drawing/2014/main" id="{38E950B1-F28D-4820-9B8F-9B9EEF00B0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15</xdr:row>
      <xdr:rowOff>0</xdr:rowOff>
    </xdr:from>
    <xdr:ext cx="9220200" cy="4314825"/>
    <xdr:graphicFrame macro="">
      <xdr:nvGraphicFramePr>
        <xdr:cNvPr id="2" name="Chart 39">
          <a:extLst>
            <a:ext uri="{FF2B5EF4-FFF2-40B4-BE49-F238E27FC236}">
              <a16:creationId xmlns:a16="http://schemas.microsoft.com/office/drawing/2014/main" id="{C91B2BA7-9033-4CC9-BEDE-5858B8F83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9525</xdr:colOff>
      <xdr:row>58</xdr:row>
      <xdr:rowOff>142875</xdr:rowOff>
    </xdr:from>
    <xdr:ext cx="9220200" cy="4324350"/>
    <xdr:graphicFrame macro="">
      <xdr:nvGraphicFramePr>
        <xdr:cNvPr id="3" name="Chart 40">
          <a:extLst>
            <a:ext uri="{FF2B5EF4-FFF2-40B4-BE49-F238E27FC236}">
              <a16:creationId xmlns:a16="http://schemas.microsoft.com/office/drawing/2014/main" id="{8B2A6CCE-1291-4BAD-8D39-C34A8819C0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15</xdr:row>
      <xdr:rowOff>0</xdr:rowOff>
    </xdr:from>
    <xdr:ext cx="9220200" cy="4067175"/>
    <xdr:graphicFrame macro="">
      <xdr:nvGraphicFramePr>
        <xdr:cNvPr id="2" name="Chart 41">
          <a:extLst>
            <a:ext uri="{FF2B5EF4-FFF2-40B4-BE49-F238E27FC236}">
              <a16:creationId xmlns:a16="http://schemas.microsoft.com/office/drawing/2014/main" id="{CEF339F8-DC3D-4ACD-B4FC-F5758D1A2E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9525</xdr:colOff>
      <xdr:row>58</xdr:row>
      <xdr:rowOff>142875</xdr:rowOff>
    </xdr:from>
    <xdr:ext cx="9220200" cy="4067175"/>
    <xdr:graphicFrame macro="">
      <xdr:nvGraphicFramePr>
        <xdr:cNvPr id="3" name="Chart 42">
          <a:extLst>
            <a:ext uri="{FF2B5EF4-FFF2-40B4-BE49-F238E27FC236}">
              <a16:creationId xmlns:a16="http://schemas.microsoft.com/office/drawing/2014/main" id="{105BB561-1EA4-4C73-85BE-4C7B12B25B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15</xdr:row>
      <xdr:rowOff>0</xdr:rowOff>
    </xdr:from>
    <xdr:ext cx="9220200" cy="4810125"/>
    <xdr:graphicFrame macro="">
      <xdr:nvGraphicFramePr>
        <xdr:cNvPr id="2" name="Chart 43">
          <a:extLst>
            <a:ext uri="{FF2B5EF4-FFF2-40B4-BE49-F238E27FC236}">
              <a16:creationId xmlns:a16="http://schemas.microsoft.com/office/drawing/2014/main" id="{EF27894C-D2BE-44A0-AD65-1810FD216A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9525</xdr:colOff>
      <xdr:row>58</xdr:row>
      <xdr:rowOff>142875</xdr:rowOff>
    </xdr:from>
    <xdr:ext cx="9220200" cy="4838700"/>
    <xdr:graphicFrame macro="">
      <xdr:nvGraphicFramePr>
        <xdr:cNvPr id="3" name="Chart 44">
          <a:extLst>
            <a:ext uri="{FF2B5EF4-FFF2-40B4-BE49-F238E27FC236}">
              <a16:creationId xmlns:a16="http://schemas.microsoft.com/office/drawing/2014/main" id="{352B90F2-2779-44DE-B871-93AA3C66F8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15</xdr:row>
      <xdr:rowOff>0</xdr:rowOff>
    </xdr:from>
    <xdr:ext cx="9220200" cy="5305425"/>
    <xdr:graphicFrame macro="">
      <xdr:nvGraphicFramePr>
        <xdr:cNvPr id="2" name="Chart 45">
          <a:extLst>
            <a:ext uri="{FF2B5EF4-FFF2-40B4-BE49-F238E27FC236}">
              <a16:creationId xmlns:a16="http://schemas.microsoft.com/office/drawing/2014/main" id="{B7479F31-B714-4FD9-B580-521893FB8B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9525</xdr:colOff>
      <xdr:row>58</xdr:row>
      <xdr:rowOff>142875</xdr:rowOff>
    </xdr:from>
    <xdr:ext cx="9220200" cy="5353050"/>
    <xdr:graphicFrame macro="">
      <xdr:nvGraphicFramePr>
        <xdr:cNvPr id="3" name="Chart 46">
          <a:extLst>
            <a:ext uri="{FF2B5EF4-FFF2-40B4-BE49-F238E27FC236}">
              <a16:creationId xmlns:a16="http://schemas.microsoft.com/office/drawing/2014/main" id="{AB5D5C28-858A-4C51-A300-E7BC97A564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15</xdr:row>
      <xdr:rowOff>0</xdr:rowOff>
    </xdr:from>
    <xdr:ext cx="9220200" cy="4314825"/>
    <xdr:graphicFrame macro="">
      <xdr:nvGraphicFramePr>
        <xdr:cNvPr id="2" name="Chart 47">
          <a:extLst>
            <a:ext uri="{FF2B5EF4-FFF2-40B4-BE49-F238E27FC236}">
              <a16:creationId xmlns:a16="http://schemas.microsoft.com/office/drawing/2014/main" id="{11442CBD-4997-4C1B-90A9-FAED00371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9525</xdr:colOff>
      <xdr:row>58</xdr:row>
      <xdr:rowOff>142875</xdr:rowOff>
    </xdr:from>
    <xdr:ext cx="9220200" cy="4324350"/>
    <xdr:graphicFrame macro="">
      <xdr:nvGraphicFramePr>
        <xdr:cNvPr id="3" name="Chart 48">
          <a:extLst>
            <a:ext uri="{FF2B5EF4-FFF2-40B4-BE49-F238E27FC236}">
              <a16:creationId xmlns:a16="http://schemas.microsoft.com/office/drawing/2014/main" id="{5412FCE4-5705-43B8-8B46-CF5C02EF65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15</xdr:row>
      <xdr:rowOff>0</xdr:rowOff>
    </xdr:from>
    <xdr:ext cx="9220200" cy="5305425"/>
    <xdr:graphicFrame macro="">
      <xdr:nvGraphicFramePr>
        <xdr:cNvPr id="2" name="Chart 49">
          <a:extLst>
            <a:ext uri="{FF2B5EF4-FFF2-40B4-BE49-F238E27FC236}">
              <a16:creationId xmlns:a16="http://schemas.microsoft.com/office/drawing/2014/main" id="{C1DCF389-8990-4D22-B2D0-617B02F7AE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9525</xdr:colOff>
      <xdr:row>58</xdr:row>
      <xdr:rowOff>142875</xdr:rowOff>
    </xdr:from>
    <xdr:ext cx="9220200" cy="5353050"/>
    <xdr:graphicFrame macro="">
      <xdr:nvGraphicFramePr>
        <xdr:cNvPr id="3" name="Chart 50">
          <a:extLst>
            <a:ext uri="{FF2B5EF4-FFF2-40B4-BE49-F238E27FC236}">
              <a16:creationId xmlns:a16="http://schemas.microsoft.com/office/drawing/2014/main" id="{A3864E70-CEFF-4E4F-A3C1-F2C1B5C094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15</xdr:row>
      <xdr:rowOff>0</xdr:rowOff>
    </xdr:from>
    <xdr:ext cx="9220200" cy="4810125"/>
    <xdr:graphicFrame macro="">
      <xdr:nvGraphicFramePr>
        <xdr:cNvPr id="2" name="Chart 51">
          <a:extLst>
            <a:ext uri="{FF2B5EF4-FFF2-40B4-BE49-F238E27FC236}">
              <a16:creationId xmlns:a16="http://schemas.microsoft.com/office/drawing/2014/main" id="{A21A1B7D-05F4-4C5D-86D3-85790C8ECA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9525</xdr:colOff>
      <xdr:row>58</xdr:row>
      <xdr:rowOff>142875</xdr:rowOff>
    </xdr:from>
    <xdr:ext cx="9220200" cy="4838700"/>
    <xdr:graphicFrame macro="">
      <xdr:nvGraphicFramePr>
        <xdr:cNvPr id="3" name="Chart 52">
          <a:extLst>
            <a:ext uri="{FF2B5EF4-FFF2-40B4-BE49-F238E27FC236}">
              <a16:creationId xmlns:a16="http://schemas.microsoft.com/office/drawing/2014/main" id="{ECE90F03-06B7-4C63-9ED2-6B3F8AB901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15</xdr:row>
      <xdr:rowOff>0</xdr:rowOff>
    </xdr:from>
    <xdr:ext cx="9220200" cy="4810125"/>
    <xdr:graphicFrame macro="">
      <xdr:nvGraphicFramePr>
        <xdr:cNvPr id="2" name="Chart 53">
          <a:extLst>
            <a:ext uri="{FF2B5EF4-FFF2-40B4-BE49-F238E27FC236}">
              <a16:creationId xmlns:a16="http://schemas.microsoft.com/office/drawing/2014/main" id="{F9C04DC7-1CAF-497E-BDE8-20AEF43A98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9525</xdr:colOff>
      <xdr:row>58</xdr:row>
      <xdr:rowOff>142875</xdr:rowOff>
    </xdr:from>
    <xdr:ext cx="9220200" cy="4838700"/>
    <xdr:graphicFrame macro="">
      <xdr:nvGraphicFramePr>
        <xdr:cNvPr id="3" name="Chart 54">
          <a:extLst>
            <a:ext uri="{FF2B5EF4-FFF2-40B4-BE49-F238E27FC236}">
              <a16:creationId xmlns:a16="http://schemas.microsoft.com/office/drawing/2014/main" id="{9D3EF6AF-C0D6-4C9D-A765-AAB4578152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15</xdr:row>
      <xdr:rowOff>0</xdr:rowOff>
    </xdr:from>
    <xdr:ext cx="9220200" cy="4314825"/>
    <xdr:graphicFrame macro="">
      <xdr:nvGraphicFramePr>
        <xdr:cNvPr id="2" name="Chart 55">
          <a:extLst>
            <a:ext uri="{FF2B5EF4-FFF2-40B4-BE49-F238E27FC236}">
              <a16:creationId xmlns:a16="http://schemas.microsoft.com/office/drawing/2014/main" id="{E6D491F0-E3AE-43B4-B735-5BBB81ECA1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9525</xdr:colOff>
      <xdr:row>58</xdr:row>
      <xdr:rowOff>142875</xdr:rowOff>
    </xdr:from>
    <xdr:ext cx="9220200" cy="4324350"/>
    <xdr:graphicFrame macro="">
      <xdr:nvGraphicFramePr>
        <xdr:cNvPr id="3" name="Chart 56">
          <a:extLst>
            <a:ext uri="{FF2B5EF4-FFF2-40B4-BE49-F238E27FC236}">
              <a16:creationId xmlns:a16="http://schemas.microsoft.com/office/drawing/2014/main" id="{92507C0C-977D-4434-82C6-2B5A684163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15</xdr:row>
      <xdr:rowOff>0</xdr:rowOff>
    </xdr:from>
    <xdr:ext cx="9220200" cy="4562475"/>
    <xdr:graphicFrame macro="">
      <xdr:nvGraphicFramePr>
        <xdr:cNvPr id="2" name="Chart 57">
          <a:extLst>
            <a:ext uri="{FF2B5EF4-FFF2-40B4-BE49-F238E27FC236}">
              <a16:creationId xmlns:a16="http://schemas.microsoft.com/office/drawing/2014/main" id="{94B60E5C-DB98-4767-86B1-85201D9632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9525</xdr:colOff>
      <xdr:row>58</xdr:row>
      <xdr:rowOff>142875</xdr:rowOff>
    </xdr:from>
    <xdr:ext cx="9220200" cy="4581525"/>
    <xdr:graphicFrame macro="">
      <xdr:nvGraphicFramePr>
        <xdr:cNvPr id="3" name="Chart 58">
          <a:extLst>
            <a:ext uri="{FF2B5EF4-FFF2-40B4-BE49-F238E27FC236}">
              <a16:creationId xmlns:a16="http://schemas.microsoft.com/office/drawing/2014/main" id="{CA995AAA-6CF3-419B-A7A3-492F9E8B8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15</xdr:row>
      <xdr:rowOff>0</xdr:rowOff>
    </xdr:from>
    <xdr:ext cx="9220200" cy="4810125"/>
    <xdr:graphicFrame macro="">
      <xdr:nvGraphicFramePr>
        <xdr:cNvPr id="2" name="Chart 59">
          <a:extLst>
            <a:ext uri="{FF2B5EF4-FFF2-40B4-BE49-F238E27FC236}">
              <a16:creationId xmlns:a16="http://schemas.microsoft.com/office/drawing/2014/main" id="{A45C7A80-ADA0-498C-9EA9-A6F5A875A4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9525</xdr:colOff>
      <xdr:row>58</xdr:row>
      <xdr:rowOff>142875</xdr:rowOff>
    </xdr:from>
    <xdr:ext cx="9220200" cy="4838700"/>
    <xdr:graphicFrame macro="">
      <xdr:nvGraphicFramePr>
        <xdr:cNvPr id="3" name="Chart 60">
          <a:extLst>
            <a:ext uri="{FF2B5EF4-FFF2-40B4-BE49-F238E27FC236}">
              <a16:creationId xmlns:a16="http://schemas.microsoft.com/office/drawing/2014/main" id="{5C0647DF-E34B-475D-8725-6887C2F1FA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15</xdr:row>
      <xdr:rowOff>0</xdr:rowOff>
    </xdr:from>
    <xdr:ext cx="9220200" cy="4562475"/>
    <xdr:graphicFrame macro="">
      <xdr:nvGraphicFramePr>
        <xdr:cNvPr id="2" name="Chart 61">
          <a:extLst>
            <a:ext uri="{FF2B5EF4-FFF2-40B4-BE49-F238E27FC236}">
              <a16:creationId xmlns:a16="http://schemas.microsoft.com/office/drawing/2014/main" id="{FC156E14-BFB0-4462-9F0B-1838FE4466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9525</xdr:colOff>
      <xdr:row>58</xdr:row>
      <xdr:rowOff>142875</xdr:rowOff>
    </xdr:from>
    <xdr:ext cx="9220200" cy="4581525"/>
    <xdr:graphicFrame macro="">
      <xdr:nvGraphicFramePr>
        <xdr:cNvPr id="3" name="Chart 62">
          <a:extLst>
            <a:ext uri="{FF2B5EF4-FFF2-40B4-BE49-F238E27FC236}">
              <a16:creationId xmlns:a16="http://schemas.microsoft.com/office/drawing/2014/main" id="{B9EB4C3B-F81A-4CCF-9C57-C8D52DF807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15</xdr:row>
      <xdr:rowOff>0</xdr:rowOff>
    </xdr:from>
    <xdr:ext cx="9220200" cy="4810125"/>
    <xdr:graphicFrame macro="">
      <xdr:nvGraphicFramePr>
        <xdr:cNvPr id="2" name="Chart 63">
          <a:extLst>
            <a:ext uri="{FF2B5EF4-FFF2-40B4-BE49-F238E27FC236}">
              <a16:creationId xmlns:a16="http://schemas.microsoft.com/office/drawing/2014/main" id="{D734F83D-C94D-46EB-8D35-7C3D2BD02D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9525</xdr:colOff>
      <xdr:row>58</xdr:row>
      <xdr:rowOff>142875</xdr:rowOff>
    </xdr:from>
    <xdr:ext cx="9220200" cy="4838700"/>
    <xdr:graphicFrame macro="">
      <xdr:nvGraphicFramePr>
        <xdr:cNvPr id="3" name="Chart 64">
          <a:extLst>
            <a:ext uri="{FF2B5EF4-FFF2-40B4-BE49-F238E27FC236}">
              <a16:creationId xmlns:a16="http://schemas.microsoft.com/office/drawing/2014/main" id="{63EF006A-2DDF-4B69-9052-A2B44186DB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15</xdr:row>
      <xdr:rowOff>0</xdr:rowOff>
    </xdr:from>
    <xdr:ext cx="9220200" cy="4314825"/>
    <xdr:graphicFrame macro="">
      <xdr:nvGraphicFramePr>
        <xdr:cNvPr id="2" name="Chart 65">
          <a:extLst>
            <a:ext uri="{FF2B5EF4-FFF2-40B4-BE49-F238E27FC236}">
              <a16:creationId xmlns:a16="http://schemas.microsoft.com/office/drawing/2014/main" id="{7ECE65D6-1CA6-4D46-899D-E06B9C6B0C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9525</xdr:colOff>
      <xdr:row>58</xdr:row>
      <xdr:rowOff>142875</xdr:rowOff>
    </xdr:from>
    <xdr:ext cx="9220200" cy="4324350"/>
    <xdr:graphicFrame macro="">
      <xdr:nvGraphicFramePr>
        <xdr:cNvPr id="3" name="Chart 66">
          <a:extLst>
            <a:ext uri="{FF2B5EF4-FFF2-40B4-BE49-F238E27FC236}">
              <a16:creationId xmlns:a16="http://schemas.microsoft.com/office/drawing/2014/main" id="{51CE7835-A152-4552-A062-E1BB93F9B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15</xdr:row>
      <xdr:rowOff>0</xdr:rowOff>
    </xdr:from>
    <xdr:ext cx="9220200" cy="4562475"/>
    <xdr:graphicFrame macro="">
      <xdr:nvGraphicFramePr>
        <xdr:cNvPr id="2" name="Chart 67">
          <a:extLst>
            <a:ext uri="{FF2B5EF4-FFF2-40B4-BE49-F238E27FC236}">
              <a16:creationId xmlns:a16="http://schemas.microsoft.com/office/drawing/2014/main" id="{B821A7F4-3C29-4ECD-91CB-F19DCD3A20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9525</xdr:colOff>
      <xdr:row>58</xdr:row>
      <xdr:rowOff>142875</xdr:rowOff>
    </xdr:from>
    <xdr:ext cx="9220200" cy="4581525"/>
    <xdr:graphicFrame macro="">
      <xdr:nvGraphicFramePr>
        <xdr:cNvPr id="3" name="Chart 68">
          <a:extLst>
            <a:ext uri="{FF2B5EF4-FFF2-40B4-BE49-F238E27FC236}">
              <a16:creationId xmlns:a16="http://schemas.microsoft.com/office/drawing/2014/main" id="{430D60CE-8D23-42E9-A6B9-F6303DAA5E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15</xdr:row>
      <xdr:rowOff>0</xdr:rowOff>
    </xdr:from>
    <xdr:ext cx="9220200" cy="4314825"/>
    <xdr:graphicFrame macro="">
      <xdr:nvGraphicFramePr>
        <xdr:cNvPr id="2" name="Chart 69">
          <a:extLst>
            <a:ext uri="{FF2B5EF4-FFF2-40B4-BE49-F238E27FC236}">
              <a16:creationId xmlns:a16="http://schemas.microsoft.com/office/drawing/2014/main" id="{1CB40B0C-6CCC-4CA0-A749-B9E0C7C781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9525</xdr:colOff>
      <xdr:row>58</xdr:row>
      <xdr:rowOff>142875</xdr:rowOff>
    </xdr:from>
    <xdr:ext cx="9220200" cy="4324350"/>
    <xdr:graphicFrame macro="">
      <xdr:nvGraphicFramePr>
        <xdr:cNvPr id="3" name="Chart 70">
          <a:extLst>
            <a:ext uri="{FF2B5EF4-FFF2-40B4-BE49-F238E27FC236}">
              <a16:creationId xmlns:a16="http://schemas.microsoft.com/office/drawing/2014/main" id="{335B93DB-3B9C-4839-944A-2AF3D23743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15</xdr:row>
      <xdr:rowOff>0</xdr:rowOff>
    </xdr:from>
    <xdr:ext cx="9220200" cy="4314825"/>
    <xdr:graphicFrame macro="">
      <xdr:nvGraphicFramePr>
        <xdr:cNvPr id="2" name="Chart 71">
          <a:extLst>
            <a:ext uri="{FF2B5EF4-FFF2-40B4-BE49-F238E27FC236}">
              <a16:creationId xmlns:a16="http://schemas.microsoft.com/office/drawing/2014/main" id="{0791E9F8-5AE2-4537-90FE-317F953FA8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9525</xdr:colOff>
      <xdr:row>58</xdr:row>
      <xdr:rowOff>142875</xdr:rowOff>
    </xdr:from>
    <xdr:ext cx="9220200" cy="4324350"/>
    <xdr:graphicFrame macro="">
      <xdr:nvGraphicFramePr>
        <xdr:cNvPr id="3" name="Chart 72">
          <a:extLst>
            <a:ext uri="{FF2B5EF4-FFF2-40B4-BE49-F238E27FC236}">
              <a16:creationId xmlns:a16="http://schemas.microsoft.com/office/drawing/2014/main" id="{DA6825D3-8A4A-46DB-9C41-7EBE16BE1E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15</xdr:row>
      <xdr:rowOff>0</xdr:rowOff>
    </xdr:from>
    <xdr:ext cx="9220200" cy="4562475"/>
    <xdr:graphicFrame macro="">
      <xdr:nvGraphicFramePr>
        <xdr:cNvPr id="2" name="Chart 73">
          <a:extLst>
            <a:ext uri="{FF2B5EF4-FFF2-40B4-BE49-F238E27FC236}">
              <a16:creationId xmlns:a16="http://schemas.microsoft.com/office/drawing/2014/main" id="{67DC6582-3D8D-4BD7-989A-034893AA52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9525</xdr:colOff>
      <xdr:row>58</xdr:row>
      <xdr:rowOff>142875</xdr:rowOff>
    </xdr:from>
    <xdr:ext cx="9220200" cy="4581525"/>
    <xdr:graphicFrame macro="">
      <xdr:nvGraphicFramePr>
        <xdr:cNvPr id="3" name="Chart 74">
          <a:extLst>
            <a:ext uri="{FF2B5EF4-FFF2-40B4-BE49-F238E27FC236}">
              <a16:creationId xmlns:a16="http://schemas.microsoft.com/office/drawing/2014/main" id="{D6A7F582-9929-4704-954A-11E04A56C7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15</xdr:row>
      <xdr:rowOff>0</xdr:rowOff>
    </xdr:from>
    <xdr:ext cx="9220200" cy="4810125"/>
    <xdr:graphicFrame macro="">
      <xdr:nvGraphicFramePr>
        <xdr:cNvPr id="2" name="Chart 75">
          <a:extLst>
            <a:ext uri="{FF2B5EF4-FFF2-40B4-BE49-F238E27FC236}">
              <a16:creationId xmlns:a16="http://schemas.microsoft.com/office/drawing/2014/main" id="{27531EE3-709C-40B8-B60E-E4DAF0DC7B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9525</xdr:colOff>
      <xdr:row>58</xdr:row>
      <xdr:rowOff>142875</xdr:rowOff>
    </xdr:from>
    <xdr:ext cx="9220200" cy="4838700"/>
    <xdr:graphicFrame macro="">
      <xdr:nvGraphicFramePr>
        <xdr:cNvPr id="3" name="Chart 76">
          <a:extLst>
            <a:ext uri="{FF2B5EF4-FFF2-40B4-BE49-F238E27FC236}">
              <a16:creationId xmlns:a16="http://schemas.microsoft.com/office/drawing/2014/main" id="{A5B3C751-3E90-4340-A843-8D15AFEB06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15</xdr:row>
      <xdr:rowOff>0</xdr:rowOff>
    </xdr:from>
    <xdr:ext cx="9220200" cy="4810125"/>
    <xdr:graphicFrame macro="">
      <xdr:nvGraphicFramePr>
        <xdr:cNvPr id="2" name="Chart 77">
          <a:extLst>
            <a:ext uri="{FF2B5EF4-FFF2-40B4-BE49-F238E27FC236}">
              <a16:creationId xmlns:a16="http://schemas.microsoft.com/office/drawing/2014/main" id="{A6E9566F-564F-4669-A607-BD165D938B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9525</xdr:colOff>
      <xdr:row>58</xdr:row>
      <xdr:rowOff>142875</xdr:rowOff>
    </xdr:from>
    <xdr:ext cx="9220200" cy="4838700"/>
    <xdr:graphicFrame macro="">
      <xdr:nvGraphicFramePr>
        <xdr:cNvPr id="3" name="Chart 78">
          <a:extLst>
            <a:ext uri="{FF2B5EF4-FFF2-40B4-BE49-F238E27FC236}">
              <a16:creationId xmlns:a16="http://schemas.microsoft.com/office/drawing/2014/main" id="{5D51A163-1EF5-4E05-B634-747EA43B2E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15</xdr:row>
      <xdr:rowOff>0</xdr:rowOff>
    </xdr:from>
    <xdr:ext cx="9220200" cy="4810125"/>
    <xdr:graphicFrame macro="">
      <xdr:nvGraphicFramePr>
        <xdr:cNvPr id="2" name="Chart 79">
          <a:extLst>
            <a:ext uri="{FF2B5EF4-FFF2-40B4-BE49-F238E27FC236}">
              <a16:creationId xmlns:a16="http://schemas.microsoft.com/office/drawing/2014/main" id="{398BCCB9-3665-47C0-8C76-D57772EC66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9525</xdr:colOff>
      <xdr:row>58</xdr:row>
      <xdr:rowOff>142875</xdr:rowOff>
    </xdr:from>
    <xdr:ext cx="9220200" cy="4838700"/>
    <xdr:graphicFrame macro="">
      <xdr:nvGraphicFramePr>
        <xdr:cNvPr id="3" name="Chart 80">
          <a:extLst>
            <a:ext uri="{FF2B5EF4-FFF2-40B4-BE49-F238E27FC236}">
              <a16:creationId xmlns:a16="http://schemas.microsoft.com/office/drawing/2014/main" id="{D24A0B9C-7591-40A4-84E9-F3274E83C4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15</xdr:row>
      <xdr:rowOff>0</xdr:rowOff>
    </xdr:from>
    <xdr:ext cx="9220200" cy="4562475"/>
    <xdr:graphicFrame macro="">
      <xdr:nvGraphicFramePr>
        <xdr:cNvPr id="2" name="Chart 81">
          <a:extLst>
            <a:ext uri="{FF2B5EF4-FFF2-40B4-BE49-F238E27FC236}">
              <a16:creationId xmlns:a16="http://schemas.microsoft.com/office/drawing/2014/main" id="{A6866011-2591-410D-B2F9-F8490C2C92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9525</xdr:colOff>
      <xdr:row>58</xdr:row>
      <xdr:rowOff>142875</xdr:rowOff>
    </xdr:from>
    <xdr:ext cx="9220200" cy="4581525"/>
    <xdr:graphicFrame macro="">
      <xdr:nvGraphicFramePr>
        <xdr:cNvPr id="3" name="Chart 82">
          <a:extLst>
            <a:ext uri="{FF2B5EF4-FFF2-40B4-BE49-F238E27FC236}">
              <a16:creationId xmlns:a16="http://schemas.microsoft.com/office/drawing/2014/main" id="{A65F01F6-382D-4814-BF8D-02A691CD9B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15</xdr:row>
      <xdr:rowOff>0</xdr:rowOff>
    </xdr:from>
    <xdr:ext cx="9220200" cy="4562475"/>
    <xdr:graphicFrame macro="">
      <xdr:nvGraphicFramePr>
        <xdr:cNvPr id="2" name="Chart 83">
          <a:extLst>
            <a:ext uri="{FF2B5EF4-FFF2-40B4-BE49-F238E27FC236}">
              <a16:creationId xmlns:a16="http://schemas.microsoft.com/office/drawing/2014/main" id="{AF87C633-0BE6-476E-9325-B817B5D1EC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9525</xdr:colOff>
      <xdr:row>58</xdr:row>
      <xdr:rowOff>142875</xdr:rowOff>
    </xdr:from>
    <xdr:ext cx="9220200" cy="4581525"/>
    <xdr:graphicFrame macro="">
      <xdr:nvGraphicFramePr>
        <xdr:cNvPr id="3" name="Chart 84">
          <a:extLst>
            <a:ext uri="{FF2B5EF4-FFF2-40B4-BE49-F238E27FC236}">
              <a16:creationId xmlns:a16="http://schemas.microsoft.com/office/drawing/2014/main" id="{AB4F4897-F016-4184-8EEB-ADA4D3AE74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15</xdr:row>
      <xdr:rowOff>0</xdr:rowOff>
    </xdr:from>
    <xdr:ext cx="9220200" cy="4810125"/>
    <xdr:graphicFrame macro="">
      <xdr:nvGraphicFramePr>
        <xdr:cNvPr id="2" name="Chart 85">
          <a:extLst>
            <a:ext uri="{FF2B5EF4-FFF2-40B4-BE49-F238E27FC236}">
              <a16:creationId xmlns:a16="http://schemas.microsoft.com/office/drawing/2014/main" id="{4E7DDA56-F98A-420F-89A1-11F0EBBB3C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9525</xdr:colOff>
      <xdr:row>58</xdr:row>
      <xdr:rowOff>142875</xdr:rowOff>
    </xdr:from>
    <xdr:ext cx="9220200" cy="4838700"/>
    <xdr:graphicFrame macro="">
      <xdr:nvGraphicFramePr>
        <xdr:cNvPr id="3" name="Chart 86">
          <a:extLst>
            <a:ext uri="{FF2B5EF4-FFF2-40B4-BE49-F238E27FC236}">
              <a16:creationId xmlns:a16="http://schemas.microsoft.com/office/drawing/2014/main" id="{E7FB9F73-A909-468D-84AF-36565FE433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15</xdr:row>
      <xdr:rowOff>0</xdr:rowOff>
    </xdr:from>
    <xdr:ext cx="9220200" cy="4810125"/>
    <xdr:graphicFrame macro="">
      <xdr:nvGraphicFramePr>
        <xdr:cNvPr id="2" name="Chart 87">
          <a:extLst>
            <a:ext uri="{FF2B5EF4-FFF2-40B4-BE49-F238E27FC236}">
              <a16:creationId xmlns:a16="http://schemas.microsoft.com/office/drawing/2014/main" id="{6BBA80AC-CD71-4782-9619-EF93FD046F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9525</xdr:colOff>
      <xdr:row>58</xdr:row>
      <xdr:rowOff>142875</xdr:rowOff>
    </xdr:from>
    <xdr:ext cx="9220200" cy="4838700"/>
    <xdr:graphicFrame macro="">
      <xdr:nvGraphicFramePr>
        <xdr:cNvPr id="3" name="Chart 88">
          <a:extLst>
            <a:ext uri="{FF2B5EF4-FFF2-40B4-BE49-F238E27FC236}">
              <a16:creationId xmlns:a16="http://schemas.microsoft.com/office/drawing/2014/main" id="{F11D1311-2EC5-4C00-82AC-D0EF71AEF5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31750</xdr:colOff>
      <xdr:row>16</xdr:row>
      <xdr:rowOff>57150</xdr:rowOff>
    </xdr:from>
    <xdr:ext cx="9220200" cy="4810125"/>
    <xdr:graphicFrame macro="">
      <xdr:nvGraphicFramePr>
        <xdr:cNvPr id="2" name="Chart 89">
          <a:extLst>
            <a:ext uri="{FF2B5EF4-FFF2-40B4-BE49-F238E27FC236}">
              <a16:creationId xmlns:a16="http://schemas.microsoft.com/office/drawing/2014/main" id="{B7AB2442-B452-4750-8528-E464E3F7CE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9525</xdr:colOff>
      <xdr:row>58</xdr:row>
      <xdr:rowOff>142875</xdr:rowOff>
    </xdr:from>
    <xdr:ext cx="9220200" cy="4838700"/>
    <xdr:graphicFrame macro="">
      <xdr:nvGraphicFramePr>
        <xdr:cNvPr id="3" name="Chart 90">
          <a:extLst>
            <a:ext uri="{FF2B5EF4-FFF2-40B4-BE49-F238E27FC236}">
              <a16:creationId xmlns:a16="http://schemas.microsoft.com/office/drawing/2014/main" id="{BEF71276-8B87-4EF1-9F40-72DB3F0D5D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15</xdr:row>
      <xdr:rowOff>0</xdr:rowOff>
    </xdr:from>
    <xdr:ext cx="9220200" cy="4810125"/>
    <xdr:graphicFrame macro="">
      <xdr:nvGraphicFramePr>
        <xdr:cNvPr id="2" name="Chart 91">
          <a:extLst>
            <a:ext uri="{FF2B5EF4-FFF2-40B4-BE49-F238E27FC236}">
              <a16:creationId xmlns:a16="http://schemas.microsoft.com/office/drawing/2014/main" id="{62877A20-E0D5-4EF5-AF83-29F7B1E464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9525</xdr:colOff>
      <xdr:row>58</xdr:row>
      <xdr:rowOff>142875</xdr:rowOff>
    </xdr:from>
    <xdr:ext cx="9220200" cy="4838700"/>
    <xdr:graphicFrame macro="">
      <xdr:nvGraphicFramePr>
        <xdr:cNvPr id="3" name="Chart 92">
          <a:extLst>
            <a:ext uri="{FF2B5EF4-FFF2-40B4-BE49-F238E27FC236}">
              <a16:creationId xmlns:a16="http://schemas.microsoft.com/office/drawing/2014/main" id="{7508058D-1BCB-4889-B170-CB6BBC72D2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15</xdr:row>
      <xdr:rowOff>0</xdr:rowOff>
    </xdr:from>
    <xdr:ext cx="9220200" cy="4810125"/>
    <xdr:graphicFrame macro="">
      <xdr:nvGraphicFramePr>
        <xdr:cNvPr id="2" name="Chart 93">
          <a:extLst>
            <a:ext uri="{FF2B5EF4-FFF2-40B4-BE49-F238E27FC236}">
              <a16:creationId xmlns:a16="http://schemas.microsoft.com/office/drawing/2014/main" id="{F8DF1228-492A-4F89-9332-39A14D9358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9525</xdr:colOff>
      <xdr:row>58</xdr:row>
      <xdr:rowOff>142875</xdr:rowOff>
    </xdr:from>
    <xdr:ext cx="9220200" cy="4838700"/>
    <xdr:graphicFrame macro="">
      <xdr:nvGraphicFramePr>
        <xdr:cNvPr id="3" name="Chart 94">
          <a:extLst>
            <a:ext uri="{FF2B5EF4-FFF2-40B4-BE49-F238E27FC236}">
              <a16:creationId xmlns:a16="http://schemas.microsoft.com/office/drawing/2014/main" id="{B4A50F50-8BF9-4D68-B63B-91A8DA6165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15</xdr:row>
      <xdr:rowOff>0</xdr:rowOff>
    </xdr:from>
    <xdr:ext cx="9344025" cy="4810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BA339E-4ACF-4291-AD0C-F72F103E70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9525</xdr:colOff>
      <xdr:row>58</xdr:row>
      <xdr:rowOff>142875</xdr:rowOff>
    </xdr:from>
    <xdr:ext cx="9344025" cy="48387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BE4E15-88EE-415A-BD3C-B552650A04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13</xdr:col>
      <xdr:colOff>762000</xdr:colOff>
      <xdr:row>135</xdr:row>
      <xdr:rowOff>0</xdr:rowOff>
    </xdr:from>
    <xdr:ext cx="4838700" cy="2667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BD8E31-FFAF-4248-8812-BA232EC3CD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7</xdr:col>
      <xdr:colOff>0</xdr:colOff>
      <xdr:row>87</xdr:row>
      <xdr:rowOff>9525</xdr:rowOff>
    </xdr:from>
    <xdr:ext cx="4905375" cy="2667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EC0B88B-59CD-43D9-BAEB-CF8B074116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13</xdr:col>
      <xdr:colOff>742950</xdr:colOff>
      <xdr:row>87</xdr:row>
      <xdr:rowOff>0</xdr:rowOff>
    </xdr:from>
    <xdr:ext cx="4838700" cy="2667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71F176D-E24E-4DAA-B8E0-46A190E381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7</xdr:col>
      <xdr:colOff>9525</xdr:colOff>
      <xdr:row>103</xdr:row>
      <xdr:rowOff>28575</xdr:rowOff>
    </xdr:from>
    <xdr:ext cx="4905375" cy="2667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28021B6-A4AB-4E53-835C-61A4665D63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14</xdr:col>
      <xdr:colOff>0</xdr:colOff>
      <xdr:row>103</xdr:row>
      <xdr:rowOff>0</xdr:rowOff>
    </xdr:from>
    <xdr:ext cx="4781550" cy="2667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B80B591-9953-41CB-8A8F-7DB1D32909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7</xdr:col>
      <xdr:colOff>0</xdr:colOff>
      <xdr:row>119</xdr:row>
      <xdr:rowOff>0</xdr:rowOff>
    </xdr:from>
    <xdr:ext cx="4905375" cy="2667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64E4A5D-8E1B-47B7-B14A-04209F6699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14</xdr:col>
      <xdr:colOff>0</xdr:colOff>
      <xdr:row>119</xdr:row>
      <xdr:rowOff>0</xdr:rowOff>
    </xdr:from>
    <xdr:ext cx="4781550" cy="2667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8B0BC64-3636-44C4-88F0-C333160FB4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7</xdr:col>
      <xdr:colOff>0</xdr:colOff>
      <xdr:row>134</xdr:row>
      <xdr:rowOff>180975</xdr:rowOff>
    </xdr:from>
    <xdr:ext cx="4905375" cy="2667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E60EDFF-DB2B-43FF-B9A3-1284E910F4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  <xdr:oneCellAnchor>
    <xdr:from>
      <xdr:col>7</xdr:col>
      <xdr:colOff>0</xdr:colOff>
      <xdr:row>151</xdr:row>
      <xdr:rowOff>0</xdr:rowOff>
    </xdr:from>
    <xdr:ext cx="4905375" cy="2667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30C156D-AF5C-4FB7-B8FB-8ACEC5189B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oneCellAnchor>
    <xdr:from>
      <xdr:col>14</xdr:col>
      <xdr:colOff>0</xdr:colOff>
      <xdr:row>151</xdr:row>
      <xdr:rowOff>0</xdr:rowOff>
    </xdr:from>
    <xdr:ext cx="4781550" cy="2667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C223CB1-62F6-44ED-A256-C2DB1AFD87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 fLocksWithSheet="0"/>
  </xdr:oneCellAnchor>
  <xdr:oneCellAnchor>
    <xdr:from>
      <xdr:col>7</xdr:col>
      <xdr:colOff>0</xdr:colOff>
      <xdr:row>167</xdr:row>
      <xdr:rowOff>0</xdr:rowOff>
    </xdr:from>
    <xdr:ext cx="4905375" cy="2667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DFA0CC2-F595-47D4-977D-98E8717B00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 fLocksWithSheet="0"/>
  </xdr:oneCellAnchor>
  <xdr:oneCellAnchor>
    <xdr:from>
      <xdr:col>14</xdr:col>
      <xdr:colOff>0</xdr:colOff>
      <xdr:row>167</xdr:row>
      <xdr:rowOff>0</xdr:rowOff>
    </xdr:from>
    <xdr:ext cx="4781550" cy="2667000"/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3E1F114-4B24-4E63-8514-6501D78F05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479425</xdr:colOff>
      <xdr:row>4</xdr:row>
      <xdr:rowOff>79375</xdr:rowOff>
    </xdr:from>
    <xdr:ext cx="4857750" cy="2743200"/>
    <xdr:graphicFrame macro="">
      <xdr:nvGraphicFramePr>
        <xdr:cNvPr id="2" name="Chart 97" title="Gráfico">
          <a:extLst>
            <a:ext uri="{FF2B5EF4-FFF2-40B4-BE49-F238E27FC236}">
              <a16:creationId xmlns:a16="http://schemas.microsoft.com/office/drawing/2014/main" id="{811A667D-7E19-4B69-95EA-BAD153E52E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514350</xdr:colOff>
      <xdr:row>23</xdr:row>
      <xdr:rowOff>101600</xdr:rowOff>
    </xdr:from>
    <xdr:ext cx="4857750" cy="2743200"/>
    <xdr:graphicFrame macro="">
      <xdr:nvGraphicFramePr>
        <xdr:cNvPr id="3" name="Chart 98">
          <a:extLst>
            <a:ext uri="{FF2B5EF4-FFF2-40B4-BE49-F238E27FC236}">
              <a16:creationId xmlns:a16="http://schemas.microsoft.com/office/drawing/2014/main" id="{CB5D6288-82F1-4147-AEC3-14306E9F9A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15</xdr:row>
      <xdr:rowOff>0</xdr:rowOff>
    </xdr:from>
    <xdr:ext cx="9220200" cy="4314825"/>
    <xdr:graphicFrame macro="">
      <xdr:nvGraphicFramePr>
        <xdr:cNvPr id="2" name="Chart 95">
          <a:extLst>
            <a:ext uri="{FF2B5EF4-FFF2-40B4-BE49-F238E27FC236}">
              <a16:creationId xmlns:a16="http://schemas.microsoft.com/office/drawing/2014/main" id="{FF3D2A9D-A3AD-4800-8065-9AD111B066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9525</xdr:colOff>
      <xdr:row>58</xdr:row>
      <xdr:rowOff>142875</xdr:rowOff>
    </xdr:from>
    <xdr:ext cx="9220200" cy="4324350"/>
    <xdr:graphicFrame macro="">
      <xdr:nvGraphicFramePr>
        <xdr:cNvPr id="3" name="Chart 96">
          <a:extLst>
            <a:ext uri="{FF2B5EF4-FFF2-40B4-BE49-F238E27FC236}">
              <a16:creationId xmlns:a16="http://schemas.microsoft.com/office/drawing/2014/main" id="{5D460BCF-AD32-4699-9B47-53C70807D5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arque%20Las%20Salinas\Desktop\Organizador\votaciones_medioambiente2022.xlsx" TargetMode="External"/><Relationship Id="rId1" Type="http://schemas.openxmlformats.org/officeDocument/2006/relationships/externalLinkPath" Target="/Users/Parque%20Las%20Salinas/Desktop/Organizador/votaciones_medioambiente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 general"/>
      <sheetName val="Art1"/>
      <sheetName val="Art2"/>
      <sheetName val="Art3"/>
      <sheetName val="Art4"/>
      <sheetName val="Art5"/>
      <sheetName val="Art6"/>
      <sheetName val="Art7"/>
      <sheetName val="Art8"/>
      <sheetName val="Art9"/>
      <sheetName val="Art10"/>
      <sheetName val="Art11"/>
      <sheetName val="Art12"/>
      <sheetName val="Art13"/>
      <sheetName val="Art14"/>
      <sheetName val="Art15"/>
      <sheetName val="Art16"/>
      <sheetName val="Art17"/>
      <sheetName val="Art18"/>
      <sheetName val="Art19"/>
      <sheetName val="Art20"/>
      <sheetName val="Art21"/>
      <sheetName val="Art22"/>
      <sheetName val="Art23"/>
      <sheetName val="Art24"/>
      <sheetName val="Art25"/>
      <sheetName val="Art26"/>
      <sheetName val="Art27"/>
      <sheetName val="Art28"/>
      <sheetName val="Art29"/>
      <sheetName val="Art30"/>
      <sheetName val="Art31"/>
      <sheetName val="Art32"/>
      <sheetName val="Art33"/>
      <sheetName val="Art34"/>
      <sheetName val="Art35"/>
      <sheetName val="Art36"/>
      <sheetName val="Art37"/>
      <sheetName val="Art38"/>
      <sheetName val="ArtT1"/>
      <sheetName val="ArtT2"/>
      <sheetName val="Base votos"/>
      <sheetName val="Por constituyentes"/>
    </sheetNames>
    <sheetDataSet>
      <sheetData sheetId="0">
        <row r="2">
          <cell r="I2" t="str">
            <v>Chile Digno</v>
          </cell>
          <cell r="J2">
            <v>415</v>
          </cell>
          <cell r="K2">
            <v>6</v>
          </cell>
          <cell r="L2">
            <v>15</v>
          </cell>
          <cell r="M2">
            <v>4</v>
          </cell>
        </row>
        <row r="3">
          <cell r="I3" t="str">
            <v>Mov. Sociales Const.</v>
          </cell>
          <cell r="J3">
            <v>353</v>
          </cell>
          <cell r="K3">
            <v>112</v>
          </cell>
          <cell r="L3">
            <v>8</v>
          </cell>
          <cell r="M3">
            <v>7</v>
          </cell>
        </row>
        <row r="4">
          <cell r="I4" t="str">
            <v>Pueblo Constituyente</v>
          </cell>
          <cell r="J4">
            <v>389</v>
          </cell>
          <cell r="K4">
            <v>6</v>
          </cell>
          <cell r="L4">
            <v>1</v>
          </cell>
          <cell r="M4">
            <v>4</v>
          </cell>
        </row>
        <row r="5">
          <cell r="I5" t="str">
            <v xml:space="preserve">Escaños Reservados </v>
          </cell>
          <cell r="J5">
            <v>142</v>
          </cell>
          <cell r="K5">
            <v>65</v>
          </cell>
          <cell r="L5">
            <v>108</v>
          </cell>
          <cell r="M5">
            <v>45</v>
          </cell>
        </row>
        <row r="6">
          <cell r="I6" t="str">
            <v>Coord. Plurinacional</v>
          </cell>
          <cell r="J6">
            <v>604</v>
          </cell>
          <cell r="K6">
            <v>19</v>
          </cell>
          <cell r="L6">
            <v>7</v>
          </cell>
          <cell r="M6">
            <v>10</v>
          </cell>
        </row>
        <row r="7">
          <cell r="I7" t="str">
            <v>Ind. Por Nueva Const.</v>
          </cell>
          <cell r="J7">
            <v>279</v>
          </cell>
          <cell r="K7">
            <v>112</v>
          </cell>
          <cell r="L7">
            <v>88</v>
          </cell>
          <cell r="M7">
            <v>1</v>
          </cell>
        </row>
        <row r="8">
          <cell r="I8" t="str">
            <v>Colectivo Socialista</v>
          </cell>
          <cell r="J8">
            <v>221</v>
          </cell>
          <cell r="K8">
            <v>327</v>
          </cell>
          <cell r="L8">
            <v>48</v>
          </cell>
          <cell r="M8">
            <v>4</v>
          </cell>
        </row>
        <row r="9">
          <cell r="I9" t="str">
            <v>Frente Amplio</v>
          </cell>
          <cell r="J9">
            <v>169</v>
          </cell>
          <cell r="K9">
            <v>275</v>
          </cell>
          <cell r="L9">
            <v>275</v>
          </cell>
          <cell r="M9">
            <v>1</v>
          </cell>
        </row>
        <row r="10">
          <cell r="I10" t="str">
            <v>Ind. + UDI</v>
          </cell>
          <cell r="J10">
            <v>5</v>
          </cell>
          <cell r="K10">
            <v>662</v>
          </cell>
          <cell r="L10">
            <v>172</v>
          </cell>
          <cell r="M10">
            <v>1</v>
          </cell>
        </row>
        <row r="11">
          <cell r="I11" t="str">
            <v>Ind. RN - Evópoli</v>
          </cell>
          <cell r="J11">
            <v>35</v>
          </cell>
          <cell r="K11">
            <v>378</v>
          </cell>
          <cell r="L11">
            <v>192</v>
          </cell>
          <cell r="M11">
            <v>5</v>
          </cell>
        </row>
        <row r="12">
          <cell r="I12" t="str">
            <v>Colectivo del Apruebo</v>
          </cell>
          <cell r="J12">
            <v>65</v>
          </cell>
          <cell r="K12">
            <v>159</v>
          </cell>
          <cell r="L12">
            <v>52</v>
          </cell>
          <cell r="M12">
            <v>4</v>
          </cell>
        </row>
        <row r="13">
          <cell r="I13" t="str">
            <v>Otros</v>
          </cell>
          <cell r="J13">
            <v>167</v>
          </cell>
          <cell r="K13">
            <v>27</v>
          </cell>
          <cell r="L13">
            <v>6</v>
          </cell>
          <cell r="M13">
            <v>0</v>
          </cell>
        </row>
        <row r="45">
          <cell r="J45" t="str">
            <v>Aprueba</v>
          </cell>
          <cell r="K45" t="str">
            <v>Rechaza</v>
          </cell>
          <cell r="L45" t="str">
            <v>Abstiene</v>
          </cell>
          <cell r="M45" t="str">
            <v>No Vota</v>
          </cell>
        </row>
        <row r="46">
          <cell r="I46" t="str">
            <v>Chile Digno</v>
          </cell>
          <cell r="J46">
            <v>0.94318181818181823</v>
          </cell>
          <cell r="K46">
            <v>1.3636363636363636E-2</v>
          </cell>
          <cell r="L46">
            <v>3.4090909090909088E-2</v>
          </cell>
          <cell r="M46">
            <v>9.0909090909090905E-3</v>
          </cell>
        </row>
        <row r="47">
          <cell r="I47" t="str">
            <v>Mov. Sociales Const.</v>
          </cell>
          <cell r="J47">
            <v>0.73541666666666672</v>
          </cell>
          <cell r="K47">
            <v>0.23333333333333334</v>
          </cell>
          <cell r="L47">
            <v>1.6666666666666666E-2</v>
          </cell>
          <cell r="M47">
            <v>1.4583333333333334E-2</v>
          </cell>
        </row>
        <row r="48">
          <cell r="I48" t="str">
            <v>Pueblo Constituyente</v>
          </cell>
          <cell r="J48">
            <v>0.97250000000000003</v>
          </cell>
          <cell r="K48">
            <v>1.4999999999999999E-2</v>
          </cell>
          <cell r="L48">
            <v>2.5000000000000001E-3</v>
          </cell>
          <cell r="M48">
            <v>0.01</v>
          </cell>
        </row>
        <row r="49">
          <cell r="I49" t="str">
            <v xml:space="preserve">Escaños Reservados </v>
          </cell>
          <cell r="J49">
            <v>0.39444444444444443</v>
          </cell>
          <cell r="K49">
            <v>0.18055555555555555</v>
          </cell>
          <cell r="L49">
            <v>0.3</v>
          </cell>
          <cell r="M49">
            <v>0.125</v>
          </cell>
        </row>
        <row r="50">
          <cell r="I50" t="str">
            <v>Coord. Plurinacional</v>
          </cell>
          <cell r="J50">
            <v>0.94374999999999998</v>
          </cell>
          <cell r="K50">
            <v>2.9687499999999999E-2</v>
          </cell>
          <cell r="L50">
            <v>1.0937499999999999E-2</v>
          </cell>
          <cell r="M50">
            <v>1.5625E-2</v>
          </cell>
        </row>
        <row r="51">
          <cell r="I51" t="str">
            <v>Ind. Por Nueva Const.</v>
          </cell>
          <cell r="J51">
            <v>0.58125000000000004</v>
          </cell>
          <cell r="K51">
            <v>0.23333333333333334</v>
          </cell>
          <cell r="L51">
            <v>0.18333333333333332</v>
          </cell>
          <cell r="M51">
            <v>2.0833333333333333E-3</v>
          </cell>
        </row>
        <row r="52">
          <cell r="I52" t="str">
            <v>Colectivo Socialista</v>
          </cell>
          <cell r="J52">
            <v>0.36833333333333335</v>
          </cell>
          <cell r="K52">
            <v>0.54500000000000004</v>
          </cell>
          <cell r="L52">
            <v>0.08</v>
          </cell>
          <cell r="M52">
            <v>6.6666666666666671E-3</v>
          </cell>
        </row>
        <row r="53">
          <cell r="I53" t="str">
            <v>Frente Amplio</v>
          </cell>
          <cell r="J53">
            <v>0.23472222222222222</v>
          </cell>
          <cell r="K53">
            <v>0.38194444444444442</v>
          </cell>
          <cell r="L53">
            <v>0.38194444444444442</v>
          </cell>
          <cell r="M53">
            <v>1.3888888888888889E-3</v>
          </cell>
        </row>
        <row r="54">
          <cell r="I54" t="str">
            <v>Ind. + UDI</v>
          </cell>
          <cell r="J54">
            <v>5.9523809523809521E-3</v>
          </cell>
          <cell r="K54">
            <v>0.78809523809523807</v>
          </cell>
          <cell r="L54">
            <v>0.20476190476190476</v>
          </cell>
          <cell r="M54">
            <v>1.1904761904761906E-3</v>
          </cell>
        </row>
        <row r="55">
          <cell r="I55" t="str">
            <v>Ind. RN - Evópoli</v>
          </cell>
          <cell r="J55">
            <v>5.737704918032787E-2</v>
          </cell>
          <cell r="K55">
            <v>0.61967213114754094</v>
          </cell>
          <cell r="L55">
            <v>0.31475409836065577</v>
          </cell>
          <cell r="M55">
            <v>8.1967213114754103E-3</v>
          </cell>
        </row>
        <row r="56">
          <cell r="I56" t="str">
            <v>Colectivo del Apruebo</v>
          </cell>
          <cell r="J56">
            <v>0.23214285714285715</v>
          </cell>
          <cell r="K56">
            <v>0.56785714285714284</v>
          </cell>
          <cell r="L56">
            <v>0.18571428571428572</v>
          </cell>
          <cell r="M56">
            <v>1.4285714285714285E-2</v>
          </cell>
        </row>
        <row r="57">
          <cell r="I57" t="str">
            <v>Otros</v>
          </cell>
          <cell r="J57">
            <v>0.83499999999999996</v>
          </cell>
          <cell r="K57">
            <v>0.13500000000000001</v>
          </cell>
          <cell r="L57">
            <v>0.03</v>
          </cell>
          <cell r="M57">
            <v>0</v>
          </cell>
        </row>
      </sheetData>
      <sheetData sheetId="1">
        <row r="2">
          <cell r="C2">
            <v>1</v>
          </cell>
          <cell r="H2" t="str">
            <v>Chile Digno</v>
          </cell>
          <cell r="I2">
            <v>10</v>
          </cell>
          <cell r="J2">
            <v>0</v>
          </cell>
          <cell r="K2">
            <v>0</v>
          </cell>
          <cell r="L2">
            <v>1</v>
          </cell>
          <cell r="M2">
            <v>11</v>
          </cell>
        </row>
        <row r="3">
          <cell r="C3">
            <v>1</v>
          </cell>
          <cell r="H3" t="str">
            <v>Mov. Sociales Const.</v>
          </cell>
          <cell r="I3">
            <v>11</v>
          </cell>
          <cell r="J3">
            <v>0</v>
          </cell>
          <cell r="K3">
            <v>0</v>
          </cell>
          <cell r="L3">
            <v>1</v>
          </cell>
          <cell r="M3">
            <v>12</v>
          </cell>
        </row>
        <row r="4">
          <cell r="C4">
            <v>1</v>
          </cell>
          <cell r="H4" t="str">
            <v>Pueblo Constituyente</v>
          </cell>
          <cell r="I4">
            <v>10</v>
          </cell>
          <cell r="J4">
            <v>0</v>
          </cell>
          <cell r="K4">
            <v>0</v>
          </cell>
          <cell r="L4">
            <v>0</v>
          </cell>
          <cell r="M4">
            <v>10</v>
          </cell>
        </row>
        <row r="5">
          <cell r="C5">
            <v>1</v>
          </cell>
          <cell r="H5" t="str">
            <v xml:space="preserve">Escaños Reservados </v>
          </cell>
          <cell r="I5">
            <v>8</v>
          </cell>
          <cell r="J5">
            <v>0</v>
          </cell>
          <cell r="K5">
            <v>0</v>
          </cell>
          <cell r="L5">
            <v>1</v>
          </cell>
          <cell r="M5">
            <v>9</v>
          </cell>
        </row>
        <row r="6">
          <cell r="C6">
            <v>1</v>
          </cell>
          <cell r="H6" t="str">
            <v>Coord. Plurinacional</v>
          </cell>
          <cell r="I6">
            <v>14</v>
          </cell>
          <cell r="J6">
            <v>0</v>
          </cell>
          <cell r="K6">
            <v>1</v>
          </cell>
          <cell r="L6">
            <v>1</v>
          </cell>
          <cell r="M6">
            <v>16</v>
          </cell>
        </row>
        <row r="7">
          <cell r="C7">
            <v>1</v>
          </cell>
          <cell r="H7" t="str">
            <v>Ind. Por Nueva Const.</v>
          </cell>
          <cell r="I7">
            <v>12</v>
          </cell>
          <cell r="J7">
            <v>0</v>
          </cell>
          <cell r="K7">
            <v>0</v>
          </cell>
          <cell r="L7">
            <v>0</v>
          </cell>
          <cell r="M7">
            <v>12</v>
          </cell>
        </row>
        <row r="8">
          <cell r="D8">
            <v>1</v>
          </cell>
          <cell r="H8" t="str">
            <v>Colectivo Socialista</v>
          </cell>
          <cell r="I8">
            <v>15</v>
          </cell>
          <cell r="J8">
            <v>0</v>
          </cell>
          <cell r="K8">
            <v>0</v>
          </cell>
          <cell r="L8">
            <v>0</v>
          </cell>
          <cell r="M8">
            <v>15</v>
          </cell>
        </row>
        <row r="9">
          <cell r="C9">
            <v>1</v>
          </cell>
          <cell r="H9" t="str">
            <v>Frente Amplio</v>
          </cell>
          <cell r="I9">
            <v>13</v>
          </cell>
          <cell r="J9">
            <v>0</v>
          </cell>
          <cell r="K9">
            <v>0</v>
          </cell>
          <cell r="L9">
            <v>0</v>
          </cell>
          <cell r="M9">
            <v>13</v>
          </cell>
        </row>
        <row r="10">
          <cell r="C10">
            <v>1</v>
          </cell>
          <cell r="H10" t="str">
            <v>Ind. + UDI</v>
          </cell>
          <cell r="I10">
            <v>0</v>
          </cell>
          <cell r="J10">
            <v>21</v>
          </cell>
          <cell r="K10">
            <v>0</v>
          </cell>
          <cell r="L10">
            <v>0</v>
          </cell>
          <cell r="M10">
            <v>21</v>
          </cell>
        </row>
        <row r="11">
          <cell r="C11">
            <v>1</v>
          </cell>
          <cell r="H11" t="str">
            <v>Ind. RN - Evópoli</v>
          </cell>
          <cell r="I11">
            <v>0</v>
          </cell>
          <cell r="J11">
            <v>5</v>
          </cell>
          <cell r="K11">
            <v>10</v>
          </cell>
          <cell r="L11">
            <v>0</v>
          </cell>
          <cell r="M11">
            <v>15</v>
          </cell>
        </row>
        <row r="12">
          <cell r="C12">
            <v>1</v>
          </cell>
          <cell r="H12" t="str">
            <v>Colectivo del Apruebo</v>
          </cell>
          <cell r="I12">
            <v>5</v>
          </cell>
          <cell r="J12">
            <v>0</v>
          </cell>
          <cell r="K12">
            <v>1</v>
          </cell>
          <cell r="L12">
            <v>1</v>
          </cell>
          <cell r="M12">
            <v>7</v>
          </cell>
        </row>
        <row r="13">
          <cell r="D13">
            <v>1</v>
          </cell>
          <cell r="H13" t="str">
            <v>Otros</v>
          </cell>
          <cell r="I13">
            <v>5</v>
          </cell>
          <cell r="J13">
            <v>0</v>
          </cell>
          <cell r="K13">
            <v>0</v>
          </cell>
          <cell r="L13">
            <v>0</v>
          </cell>
          <cell r="M13">
            <v>5</v>
          </cell>
        </row>
        <row r="14">
          <cell r="C14">
            <v>1</v>
          </cell>
        </row>
        <row r="15">
          <cell r="C15">
            <v>1</v>
          </cell>
        </row>
        <row r="16">
          <cell r="D16">
            <v>1</v>
          </cell>
        </row>
        <row r="17">
          <cell r="C17">
            <v>1</v>
          </cell>
        </row>
        <row r="18">
          <cell r="C18">
            <v>1</v>
          </cell>
        </row>
        <row r="19">
          <cell r="C19">
            <v>1</v>
          </cell>
        </row>
        <row r="20">
          <cell r="C20">
            <v>1</v>
          </cell>
        </row>
        <row r="21">
          <cell r="C21">
            <v>1</v>
          </cell>
        </row>
        <row r="22">
          <cell r="C22">
            <v>1</v>
          </cell>
        </row>
        <row r="23">
          <cell r="C23">
            <v>1</v>
          </cell>
        </row>
        <row r="24">
          <cell r="E24">
            <v>1</v>
          </cell>
        </row>
        <row r="25">
          <cell r="D25">
            <v>1</v>
          </cell>
        </row>
        <row r="26">
          <cell r="C26">
            <v>1</v>
          </cell>
        </row>
        <row r="27">
          <cell r="C27">
            <v>1</v>
          </cell>
        </row>
        <row r="28">
          <cell r="C28">
            <v>1</v>
          </cell>
        </row>
        <row r="29">
          <cell r="C29">
            <v>1</v>
          </cell>
        </row>
        <row r="30">
          <cell r="C30">
            <v>1</v>
          </cell>
        </row>
        <row r="31">
          <cell r="D31">
            <v>1</v>
          </cell>
        </row>
        <row r="32">
          <cell r="C32">
            <v>1</v>
          </cell>
        </row>
        <row r="33">
          <cell r="C33">
            <v>1</v>
          </cell>
        </row>
        <row r="34">
          <cell r="C34">
            <v>1</v>
          </cell>
        </row>
        <row r="35">
          <cell r="D35">
            <v>1</v>
          </cell>
        </row>
        <row r="36">
          <cell r="C36">
            <v>1</v>
          </cell>
        </row>
        <row r="37">
          <cell r="C37">
            <v>1</v>
          </cell>
        </row>
        <row r="38">
          <cell r="E38">
            <v>1</v>
          </cell>
        </row>
        <row r="39">
          <cell r="C39">
            <v>1</v>
          </cell>
        </row>
        <row r="40">
          <cell r="C40">
            <v>1</v>
          </cell>
        </row>
        <row r="41">
          <cell r="C41">
            <v>1</v>
          </cell>
        </row>
        <row r="42">
          <cell r="D42">
            <v>1</v>
          </cell>
        </row>
        <row r="43">
          <cell r="D43">
            <v>1</v>
          </cell>
        </row>
        <row r="44">
          <cell r="C44">
            <v>1</v>
          </cell>
        </row>
        <row r="45">
          <cell r="D45">
            <v>1</v>
          </cell>
        </row>
        <row r="46">
          <cell r="C46">
            <v>1</v>
          </cell>
          <cell r="H46" t="str">
            <v>Chile Digno</v>
          </cell>
          <cell r="I46">
            <v>0.90909090909090906</v>
          </cell>
          <cell r="J46">
            <v>0</v>
          </cell>
          <cell r="K46">
            <v>0</v>
          </cell>
          <cell r="L46">
            <v>9.0909090909090912E-2</v>
          </cell>
        </row>
        <row r="47">
          <cell r="E47">
            <v>1</v>
          </cell>
          <cell r="H47" t="str">
            <v>Mov. Sociales Const.</v>
          </cell>
          <cell r="I47">
            <v>0.91666666666666663</v>
          </cell>
          <cell r="J47">
            <v>0</v>
          </cell>
          <cell r="K47">
            <v>0</v>
          </cell>
          <cell r="L47">
            <v>8.3333333333333329E-2</v>
          </cell>
        </row>
        <row r="48">
          <cell r="C48">
            <v>1</v>
          </cell>
          <cell r="H48" t="str">
            <v>Pueblo Constituyente</v>
          </cell>
          <cell r="I48">
            <v>1</v>
          </cell>
          <cell r="J48">
            <v>0</v>
          </cell>
          <cell r="K48">
            <v>0</v>
          </cell>
          <cell r="L48">
            <v>0</v>
          </cell>
        </row>
        <row r="49">
          <cell r="C49">
            <v>1</v>
          </cell>
          <cell r="H49" t="str">
            <v xml:space="preserve">Escaños Reservados </v>
          </cell>
          <cell r="I49">
            <v>0.88888888888888884</v>
          </cell>
          <cell r="J49">
            <v>0</v>
          </cell>
          <cell r="K49">
            <v>0</v>
          </cell>
          <cell r="L49">
            <v>0.1111111111111111</v>
          </cell>
        </row>
        <row r="50">
          <cell r="F50">
            <v>1</v>
          </cell>
          <cell r="H50" t="str">
            <v>Coord. Plurinacional</v>
          </cell>
          <cell r="I50">
            <v>0.875</v>
          </cell>
          <cell r="J50">
            <v>0</v>
          </cell>
          <cell r="K50">
            <v>6.25E-2</v>
          </cell>
          <cell r="L50">
            <v>6.25E-2</v>
          </cell>
        </row>
        <row r="51">
          <cell r="C51">
            <v>1</v>
          </cell>
          <cell r="H51" t="str">
            <v>Ind. Por Nueva Const.</v>
          </cell>
          <cell r="I51">
            <v>1</v>
          </cell>
          <cell r="J51">
            <v>0</v>
          </cell>
          <cell r="K51">
            <v>0</v>
          </cell>
          <cell r="L51">
            <v>0</v>
          </cell>
        </row>
        <row r="52">
          <cell r="C52">
            <v>1</v>
          </cell>
          <cell r="H52" t="str">
            <v>Colectivo Socialista</v>
          </cell>
          <cell r="I52">
            <v>1</v>
          </cell>
          <cell r="J52">
            <v>0</v>
          </cell>
          <cell r="K52">
            <v>0</v>
          </cell>
          <cell r="L52">
            <v>0</v>
          </cell>
        </row>
        <row r="53">
          <cell r="D53">
            <v>1</v>
          </cell>
          <cell r="H53" t="str">
            <v>Frente Amplio</v>
          </cell>
          <cell r="I53">
            <v>1</v>
          </cell>
          <cell r="J53">
            <v>0</v>
          </cell>
          <cell r="K53">
            <v>0</v>
          </cell>
          <cell r="L53">
            <v>0</v>
          </cell>
        </row>
        <row r="54">
          <cell r="C54">
            <v>1</v>
          </cell>
          <cell r="H54" t="str">
            <v>Ind. + UDI</v>
          </cell>
          <cell r="I54">
            <v>0</v>
          </cell>
          <cell r="J54">
            <v>1</v>
          </cell>
          <cell r="K54">
            <v>0</v>
          </cell>
          <cell r="L54">
            <v>0</v>
          </cell>
        </row>
        <row r="55">
          <cell r="C55">
            <v>1</v>
          </cell>
          <cell r="H55" t="str">
            <v>Ind. RN - Evópoli</v>
          </cell>
          <cell r="I55">
            <v>0</v>
          </cell>
          <cell r="J55">
            <v>0.33333333333333331</v>
          </cell>
          <cell r="K55">
            <v>0.66666666666666663</v>
          </cell>
          <cell r="L55">
            <v>0</v>
          </cell>
        </row>
        <row r="56">
          <cell r="C56">
            <v>1</v>
          </cell>
          <cell r="H56" t="str">
            <v>Colectivo del Apruebo</v>
          </cell>
          <cell r="I56">
            <v>0.7142857142857143</v>
          </cell>
          <cell r="J56">
            <v>0</v>
          </cell>
          <cell r="K56">
            <v>0.14285714285714285</v>
          </cell>
          <cell r="L56">
            <v>0.14285714285714285</v>
          </cell>
        </row>
        <row r="57">
          <cell r="C57">
            <v>1</v>
          </cell>
          <cell r="H57" t="str">
            <v>Otros</v>
          </cell>
          <cell r="I57">
            <v>1</v>
          </cell>
          <cell r="J57">
            <v>0</v>
          </cell>
          <cell r="K57">
            <v>0</v>
          </cell>
          <cell r="L57">
            <v>0</v>
          </cell>
        </row>
        <row r="58">
          <cell r="C58">
            <v>1</v>
          </cell>
        </row>
        <row r="59">
          <cell r="F59">
            <v>1</v>
          </cell>
        </row>
        <row r="60">
          <cell r="C60">
            <v>1</v>
          </cell>
        </row>
        <row r="61">
          <cell r="C61">
            <v>1</v>
          </cell>
        </row>
        <row r="62">
          <cell r="C62">
            <v>1</v>
          </cell>
        </row>
        <row r="63">
          <cell r="F63">
            <v>1</v>
          </cell>
        </row>
        <row r="64">
          <cell r="E64">
            <v>1</v>
          </cell>
        </row>
        <row r="65">
          <cell r="C65">
            <v>1</v>
          </cell>
        </row>
        <row r="66">
          <cell r="C66">
            <v>1</v>
          </cell>
        </row>
        <row r="67">
          <cell r="F67">
            <v>1</v>
          </cell>
        </row>
        <row r="68">
          <cell r="C68">
            <v>1</v>
          </cell>
        </row>
        <row r="69">
          <cell r="C69">
            <v>1</v>
          </cell>
        </row>
        <row r="70">
          <cell r="D70">
            <v>1</v>
          </cell>
        </row>
        <row r="71">
          <cell r="D71">
            <v>1</v>
          </cell>
        </row>
        <row r="72">
          <cell r="C72">
            <v>1</v>
          </cell>
        </row>
        <row r="73">
          <cell r="C73">
            <v>1</v>
          </cell>
        </row>
        <row r="74">
          <cell r="D74">
            <v>1</v>
          </cell>
        </row>
        <row r="75">
          <cell r="D75">
            <v>1</v>
          </cell>
        </row>
        <row r="76">
          <cell r="C76">
            <v>1</v>
          </cell>
        </row>
        <row r="77">
          <cell r="E77">
            <v>1</v>
          </cell>
        </row>
        <row r="78">
          <cell r="C78">
            <v>1</v>
          </cell>
        </row>
        <row r="79">
          <cell r="C79">
            <v>1</v>
          </cell>
        </row>
        <row r="80">
          <cell r="E80">
            <v>1</v>
          </cell>
        </row>
        <row r="81">
          <cell r="D81">
            <v>1</v>
          </cell>
        </row>
        <row r="82">
          <cell r="C82">
            <v>1</v>
          </cell>
        </row>
        <row r="83">
          <cell r="C83">
            <v>1</v>
          </cell>
        </row>
        <row r="84">
          <cell r="C84">
            <v>1</v>
          </cell>
        </row>
        <row r="85">
          <cell r="C85">
            <v>1</v>
          </cell>
        </row>
        <row r="86">
          <cell r="C86">
            <v>1</v>
          </cell>
        </row>
        <row r="87">
          <cell r="C87">
            <v>1</v>
          </cell>
        </row>
        <row r="88">
          <cell r="D88">
            <v>1</v>
          </cell>
        </row>
        <row r="89">
          <cell r="C89">
            <v>1</v>
          </cell>
        </row>
        <row r="90">
          <cell r="C90">
            <v>1</v>
          </cell>
        </row>
        <row r="91">
          <cell r="D91">
            <v>1</v>
          </cell>
        </row>
        <row r="92">
          <cell r="C92">
            <v>1</v>
          </cell>
        </row>
        <row r="93">
          <cell r="D93">
            <v>1</v>
          </cell>
        </row>
        <row r="94">
          <cell r="C94">
            <v>1</v>
          </cell>
        </row>
        <row r="95">
          <cell r="C95">
            <v>1</v>
          </cell>
        </row>
        <row r="96">
          <cell r="C96">
            <v>1</v>
          </cell>
        </row>
        <row r="97">
          <cell r="D97">
            <v>1</v>
          </cell>
        </row>
        <row r="98">
          <cell r="D98">
            <v>1</v>
          </cell>
        </row>
        <row r="99">
          <cell r="C99">
            <v>1</v>
          </cell>
        </row>
        <row r="100">
          <cell r="D100">
            <v>1</v>
          </cell>
        </row>
        <row r="101">
          <cell r="C101">
            <v>1</v>
          </cell>
        </row>
        <row r="102">
          <cell r="C102">
            <v>1</v>
          </cell>
        </row>
        <row r="103">
          <cell r="E103">
            <v>1</v>
          </cell>
        </row>
        <row r="104">
          <cell r="D104">
            <v>1</v>
          </cell>
        </row>
        <row r="105">
          <cell r="F105">
            <v>1</v>
          </cell>
        </row>
        <row r="106">
          <cell r="C106">
            <v>1</v>
          </cell>
        </row>
        <row r="107">
          <cell r="C107">
            <v>1</v>
          </cell>
        </row>
        <row r="108">
          <cell r="E108">
            <v>1</v>
          </cell>
        </row>
        <row r="109">
          <cell r="C109">
            <v>1</v>
          </cell>
        </row>
        <row r="110">
          <cell r="C110">
            <v>1</v>
          </cell>
        </row>
        <row r="111">
          <cell r="C111">
            <v>1</v>
          </cell>
        </row>
        <row r="112">
          <cell r="C112">
            <v>1</v>
          </cell>
        </row>
        <row r="113">
          <cell r="C113">
            <v>1</v>
          </cell>
        </row>
        <row r="114">
          <cell r="C114">
            <v>1</v>
          </cell>
        </row>
        <row r="115">
          <cell r="C115">
            <v>1</v>
          </cell>
        </row>
        <row r="116">
          <cell r="E116">
            <v>1</v>
          </cell>
        </row>
        <row r="117">
          <cell r="C117">
            <v>1</v>
          </cell>
        </row>
        <row r="118">
          <cell r="D118">
            <v>1</v>
          </cell>
        </row>
        <row r="119">
          <cell r="C119">
            <v>1</v>
          </cell>
        </row>
        <row r="120">
          <cell r="C120">
            <v>1</v>
          </cell>
        </row>
        <row r="121">
          <cell r="F121">
            <v>1</v>
          </cell>
        </row>
        <row r="122">
          <cell r="C122">
            <v>1</v>
          </cell>
        </row>
        <row r="123">
          <cell r="C123">
            <v>1</v>
          </cell>
        </row>
        <row r="124">
          <cell r="C124">
            <v>1</v>
          </cell>
        </row>
        <row r="125">
          <cell r="C125">
            <v>1</v>
          </cell>
        </row>
        <row r="126">
          <cell r="C126">
            <v>1</v>
          </cell>
        </row>
        <row r="127">
          <cell r="C127">
            <v>1</v>
          </cell>
        </row>
        <row r="128">
          <cell r="C128">
            <v>1</v>
          </cell>
        </row>
        <row r="129">
          <cell r="C129">
            <v>1</v>
          </cell>
        </row>
        <row r="130">
          <cell r="C130">
            <v>1</v>
          </cell>
        </row>
        <row r="131">
          <cell r="E131">
            <v>1</v>
          </cell>
        </row>
        <row r="132">
          <cell r="C132">
            <v>1</v>
          </cell>
        </row>
        <row r="133">
          <cell r="C133">
            <v>1</v>
          </cell>
        </row>
        <row r="134">
          <cell r="E134">
            <v>1</v>
          </cell>
        </row>
        <row r="135">
          <cell r="C135">
            <v>1</v>
          </cell>
        </row>
        <row r="136">
          <cell r="D136">
            <v>1</v>
          </cell>
        </row>
        <row r="137">
          <cell r="D137">
            <v>1</v>
          </cell>
        </row>
        <row r="138">
          <cell r="C138">
            <v>1</v>
          </cell>
        </row>
        <row r="139">
          <cell r="C139">
            <v>1</v>
          </cell>
        </row>
        <row r="140">
          <cell r="C140">
            <v>1</v>
          </cell>
        </row>
        <row r="141">
          <cell r="C141">
            <v>1</v>
          </cell>
        </row>
        <row r="142">
          <cell r="C142">
            <v>1</v>
          </cell>
        </row>
        <row r="143">
          <cell r="C143">
            <v>1</v>
          </cell>
        </row>
        <row r="144">
          <cell r="C144">
            <v>1</v>
          </cell>
        </row>
        <row r="145">
          <cell r="E145">
            <v>1</v>
          </cell>
        </row>
        <row r="146">
          <cell r="C146">
            <v>1</v>
          </cell>
        </row>
        <row r="147">
          <cell r="E147">
            <v>1</v>
          </cell>
        </row>
        <row r="148">
          <cell r="C148">
            <v>1</v>
          </cell>
        </row>
        <row r="149">
          <cell r="C149">
            <v>1</v>
          </cell>
        </row>
        <row r="150">
          <cell r="C150">
            <v>1</v>
          </cell>
        </row>
        <row r="151">
          <cell r="C151">
            <v>1</v>
          </cell>
        </row>
        <row r="152">
          <cell r="C152">
            <v>1</v>
          </cell>
        </row>
        <row r="153">
          <cell r="C153">
            <v>1</v>
          </cell>
        </row>
        <row r="154">
          <cell r="C154">
            <v>1</v>
          </cell>
        </row>
        <row r="155">
          <cell r="C155">
            <v>1</v>
          </cell>
        </row>
        <row r="156">
          <cell r="D156">
            <v>1</v>
          </cell>
        </row>
      </sheetData>
      <sheetData sheetId="2">
        <row r="2">
          <cell r="C2">
            <v>1</v>
          </cell>
          <cell r="H2" t="str">
            <v>Chile Digno</v>
          </cell>
          <cell r="I2">
            <v>11</v>
          </cell>
          <cell r="J2">
            <v>0</v>
          </cell>
          <cell r="K2">
            <v>0</v>
          </cell>
          <cell r="L2">
            <v>0</v>
          </cell>
          <cell r="M2">
            <v>11</v>
          </cell>
        </row>
        <row r="3">
          <cell r="C3">
            <v>1</v>
          </cell>
          <cell r="H3" t="str">
            <v>Mov. Sociales Const.</v>
          </cell>
          <cell r="I3">
            <v>5</v>
          </cell>
          <cell r="J3">
            <v>5</v>
          </cell>
          <cell r="K3">
            <v>1</v>
          </cell>
          <cell r="L3">
            <v>1</v>
          </cell>
          <cell r="M3">
            <v>12</v>
          </cell>
        </row>
        <row r="4">
          <cell r="E4">
            <v>1</v>
          </cell>
          <cell r="H4" t="str">
            <v>Pueblo Constituyente</v>
          </cell>
          <cell r="I4">
            <v>9</v>
          </cell>
          <cell r="J4">
            <v>0</v>
          </cell>
          <cell r="K4">
            <v>1</v>
          </cell>
          <cell r="L4">
            <v>0</v>
          </cell>
          <cell r="M4">
            <v>10</v>
          </cell>
        </row>
        <row r="5">
          <cell r="C5">
            <v>1</v>
          </cell>
          <cell r="H5" t="str">
            <v xml:space="preserve">Escaños Reservados </v>
          </cell>
          <cell r="I5">
            <v>8</v>
          </cell>
          <cell r="J5">
            <v>0</v>
          </cell>
          <cell r="K5">
            <v>0</v>
          </cell>
          <cell r="L5">
            <v>1</v>
          </cell>
          <cell r="M5">
            <v>9</v>
          </cell>
        </row>
        <row r="6">
          <cell r="C6">
            <v>1</v>
          </cell>
          <cell r="H6" t="str">
            <v>Coord. Plurinacional</v>
          </cell>
          <cell r="I6">
            <v>16</v>
          </cell>
          <cell r="J6">
            <v>0</v>
          </cell>
          <cell r="K6">
            <v>0</v>
          </cell>
          <cell r="L6">
            <v>0</v>
          </cell>
          <cell r="M6">
            <v>16</v>
          </cell>
        </row>
        <row r="7">
          <cell r="C7">
            <v>1</v>
          </cell>
          <cell r="H7" t="str">
            <v>Ind. Por Nueva Const.</v>
          </cell>
          <cell r="I7">
            <v>6</v>
          </cell>
          <cell r="J7">
            <v>1</v>
          </cell>
          <cell r="K7">
            <v>5</v>
          </cell>
          <cell r="L7">
            <v>0</v>
          </cell>
          <cell r="M7">
            <v>12</v>
          </cell>
        </row>
        <row r="8">
          <cell r="D8">
            <v>1</v>
          </cell>
          <cell r="H8" t="str">
            <v>Colectivo Socialista</v>
          </cell>
          <cell r="I8">
            <v>12</v>
          </cell>
          <cell r="J8">
            <v>3</v>
          </cell>
          <cell r="K8">
            <v>0</v>
          </cell>
          <cell r="L8">
            <v>0</v>
          </cell>
          <cell r="M8">
            <v>15</v>
          </cell>
        </row>
        <row r="9">
          <cell r="C9">
            <v>1</v>
          </cell>
          <cell r="H9" t="str">
            <v>Frente Amplio</v>
          </cell>
          <cell r="I9">
            <v>10</v>
          </cell>
          <cell r="J9">
            <v>1</v>
          </cell>
          <cell r="K9">
            <v>1</v>
          </cell>
          <cell r="L9">
            <v>0</v>
          </cell>
          <cell r="M9">
            <v>12</v>
          </cell>
        </row>
        <row r="10">
          <cell r="C10">
            <v>1</v>
          </cell>
          <cell r="H10" t="str">
            <v>Ind. + UDI</v>
          </cell>
          <cell r="I10">
            <v>0</v>
          </cell>
          <cell r="J10">
            <v>21</v>
          </cell>
          <cell r="K10">
            <v>0</v>
          </cell>
          <cell r="L10">
            <v>0</v>
          </cell>
          <cell r="M10">
            <v>21</v>
          </cell>
        </row>
        <row r="11">
          <cell r="C11">
            <v>1</v>
          </cell>
          <cell r="H11" t="str">
            <v>Ind. RN - Evópoli</v>
          </cell>
          <cell r="I11">
            <v>8</v>
          </cell>
          <cell r="J11">
            <v>0</v>
          </cell>
          <cell r="K11">
            <v>7</v>
          </cell>
          <cell r="L11">
            <v>0</v>
          </cell>
          <cell r="M11">
            <v>15</v>
          </cell>
        </row>
        <row r="12">
          <cell r="C12">
            <v>1</v>
          </cell>
          <cell r="H12" t="str">
            <v>Colectivo del Apruebo</v>
          </cell>
          <cell r="I12">
            <v>0</v>
          </cell>
          <cell r="J12">
            <v>6</v>
          </cell>
          <cell r="K12">
            <v>1</v>
          </cell>
          <cell r="L12">
            <v>0</v>
          </cell>
          <cell r="M12">
            <v>7</v>
          </cell>
        </row>
        <row r="13">
          <cell r="D13">
            <v>1</v>
          </cell>
          <cell r="H13" t="str">
            <v>Otros</v>
          </cell>
          <cell r="I13">
            <v>5</v>
          </cell>
          <cell r="J13">
            <v>0</v>
          </cell>
          <cell r="K13">
            <v>0</v>
          </cell>
          <cell r="L13">
            <v>0</v>
          </cell>
          <cell r="M13">
            <v>5</v>
          </cell>
        </row>
        <row r="14">
          <cell r="C14">
            <v>1</v>
          </cell>
        </row>
        <row r="15">
          <cell r="C15">
            <v>1</v>
          </cell>
        </row>
        <row r="16">
          <cell r="D16">
            <v>1</v>
          </cell>
        </row>
        <row r="17">
          <cell r="D17">
            <v>1</v>
          </cell>
        </row>
        <row r="18">
          <cell r="C18">
            <v>1</v>
          </cell>
        </row>
        <row r="19">
          <cell r="C19">
            <v>1</v>
          </cell>
        </row>
        <row r="20">
          <cell r="C20">
            <v>1</v>
          </cell>
        </row>
        <row r="21">
          <cell r="D21">
            <v>1</v>
          </cell>
        </row>
        <row r="22">
          <cell r="C22">
            <v>1</v>
          </cell>
        </row>
        <row r="23">
          <cell r="E23">
            <v>1</v>
          </cell>
        </row>
        <row r="24">
          <cell r="E24">
            <v>1</v>
          </cell>
        </row>
        <row r="25">
          <cell r="D25">
            <v>1</v>
          </cell>
        </row>
        <row r="26">
          <cell r="C26">
            <v>1</v>
          </cell>
        </row>
        <row r="27">
          <cell r="C27">
            <v>1</v>
          </cell>
        </row>
        <row r="28">
          <cell r="C28">
            <v>1</v>
          </cell>
        </row>
        <row r="29">
          <cell r="C29">
            <v>1</v>
          </cell>
        </row>
        <row r="30">
          <cell r="C30">
            <v>1</v>
          </cell>
        </row>
        <row r="31">
          <cell r="D31">
            <v>1</v>
          </cell>
        </row>
        <row r="32">
          <cell r="D32">
            <v>1</v>
          </cell>
        </row>
        <row r="33">
          <cell r="C33">
            <v>1</v>
          </cell>
        </row>
        <row r="34">
          <cell r="D34">
            <v>1</v>
          </cell>
        </row>
        <row r="35">
          <cell r="D35">
            <v>1</v>
          </cell>
        </row>
        <row r="36">
          <cell r="C36">
            <v>1</v>
          </cell>
        </row>
        <row r="37">
          <cell r="C37">
            <v>1</v>
          </cell>
        </row>
        <row r="38">
          <cell r="E38">
            <v>1</v>
          </cell>
        </row>
        <row r="39">
          <cell r="E39">
            <v>1</v>
          </cell>
        </row>
        <row r="40">
          <cell r="D40">
            <v>1</v>
          </cell>
        </row>
        <row r="41">
          <cell r="C41">
            <v>1</v>
          </cell>
        </row>
        <row r="42">
          <cell r="E42">
            <v>1</v>
          </cell>
        </row>
        <row r="43">
          <cell r="D43">
            <v>1</v>
          </cell>
        </row>
        <row r="44">
          <cell r="C44">
            <v>1</v>
          </cell>
        </row>
        <row r="45">
          <cell r="D45">
            <v>1</v>
          </cell>
        </row>
        <row r="46">
          <cell r="E46">
            <v>1</v>
          </cell>
          <cell r="H46" t="str">
            <v>Chile Digno</v>
          </cell>
          <cell r="I46">
            <v>1</v>
          </cell>
          <cell r="J46">
            <v>0</v>
          </cell>
          <cell r="K46">
            <v>0</v>
          </cell>
          <cell r="L46">
            <v>0</v>
          </cell>
        </row>
        <row r="47">
          <cell r="C47">
            <v>1</v>
          </cell>
          <cell r="H47" t="str">
            <v>Mov. Sociales Const.</v>
          </cell>
          <cell r="I47">
            <v>0.41666666666666669</v>
          </cell>
          <cell r="J47">
            <v>0.41666666666666669</v>
          </cell>
          <cell r="K47">
            <v>8.3333333333333329E-2</v>
          </cell>
          <cell r="L47">
            <v>8.3333333333333329E-2</v>
          </cell>
        </row>
        <row r="48">
          <cell r="C48">
            <v>1</v>
          </cell>
          <cell r="H48" t="str">
            <v>Pueblo Constituyente</v>
          </cell>
          <cell r="I48">
            <v>0.9</v>
          </cell>
          <cell r="J48">
            <v>0</v>
          </cell>
          <cell r="K48">
            <v>0.1</v>
          </cell>
          <cell r="L48">
            <v>0</v>
          </cell>
        </row>
        <row r="49">
          <cell r="D49">
            <v>1</v>
          </cell>
          <cell r="H49" t="str">
            <v xml:space="preserve">Escaños Reservados </v>
          </cell>
          <cell r="I49">
            <v>0.88888888888888884</v>
          </cell>
          <cell r="J49">
            <v>0</v>
          </cell>
          <cell r="K49">
            <v>0</v>
          </cell>
          <cell r="L49">
            <v>0.1111111111111111</v>
          </cell>
        </row>
        <row r="50">
          <cell r="F50">
            <v>1</v>
          </cell>
          <cell r="H50" t="str">
            <v>Coord. Plurinacional</v>
          </cell>
          <cell r="I50">
            <v>1</v>
          </cell>
          <cell r="J50">
            <v>0</v>
          </cell>
          <cell r="K50">
            <v>0</v>
          </cell>
          <cell r="L50">
            <v>0</v>
          </cell>
        </row>
        <row r="51">
          <cell r="C51">
            <v>1</v>
          </cell>
          <cell r="H51" t="str">
            <v>Ind. Por Nueva Const.</v>
          </cell>
          <cell r="I51">
            <v>0.5</v>
          </cell>
          <cell r="J51">
            <v>8.3333333333333329E-2</v>
          </cell>
          <cell r="K51">
            <v>0.41666666666666669</v>
          </cell>
          <cell r="L51">
            <v>0</v>
          </cell>
        </row>
        <row r="52">
          <cell r="E52">
            <v>1</v>
          </cell>
          <cell r="H52" t="str">
            <v>Colectivo Socialista</v>
          </cell>
          <cell r="I52">
            <v>0.8</v>
          </cell>
          <cell r="J52">
            <v>0.2</v>
          </cell>
          <cell r="K52">
            <v>0</v>
          </cell>
          <cell r="L52">
            <v>0</v>
          </cell>
        </row>
        <row r="53">
          <cell r="E53">
            <v>1</v>
          </cell>
          <cell r="H53" t="str">
            <v>Frente Amplio</v>
          </cell>
          <cell r="I53">
            <v>0.83333333333333337</v>
          </cell>
          <cell r="J53">
            <v>8.3333333333333329E-2</v>
          </cell>
          <cell r="K53">
            <v>8.3333333333333329E-2</v>
          </cell>
          <cell r="L53">
            <v>0</v>
          </cell>
        </row>
        <row r="54">
          <cell r="E54">
            <v>1</v>
          </cell>
          <cell r="H54" t="str">
            <v>Ind. + UDI</v>
          </cell>
          <cell r="I54">
            <v>0</v>
          </cell>
          <cell r="J54">
            <v>1</v>
          </cell>
          <cell r="K54">
            <v>0</v>
          </cell>
          <cell r="L54">
            <v>0</v>
          </cell>
        </row>
        <row r="55">
          <cell r="C55">
            <v>1</v>
          </cell>
          <cell r="H55" t="str">
            <v>Ind. RN - Evópoli</v>
          </cell>
          <cell r="I55">
            <v>0.53333333333333333</v>
          </cell>
          <cell r="J55">
            <v>0</v>
          </cell>
          <cell r="K55">
            <v>0.46666666666666667</v>
          </cell>
          <cell r="L55">
            <v>0</v>
          </cell>
        </row>
        <row r="56">
          <cell r="C56">
            <v>1</v>
          </cell>
          <cell r="H56" t="str">
            <v>Colectivo del Apruebo</v>
          </cell>
          <cell r="I56">
            <v>0</v>
          </cell>
          <cell r="J56">
            <v>0.8571428571428571</v>
          </cell>
          <cell r="K56">
            <v>0.14285714285714285</v>
          </cell>
          <cell r="L56">
            <v>0</v>
          </cell>
        </row>
        <row r="57">
          <cell r="C57">
            <v>1</v>
          </cell>
          <cell r="H57" t="str">
            <v>Otros</v>
          </cell>
          <cell r="I57">
            <v>1</v>
          </cell>
          <cell r="J57">
            <v>0</v>
          </cell>
          <cell r="K57">
            <v>0</v>
          </cell>
          <cell r="L57">
            <v>0</v>
          </cell>
        </row>
        <row r="58">
          <cell r="D58">
            <v>1</v>
          </cell>
        </row>
        <row r="59">
          <cell r="C59">
            <v>1</v>
          </cell>
        </row>
        <row r="60">
          <cell r="C60">
            <v>1</v>
          </cell>
        </row>
        <row r="61">
          <cell r="C61">
            <v>1</v>
          </cell>
        </row>
        <row r="62">
          <cell r="E62">
            <v>1</v>
          </cell>
        </row>
        <row r="63">
          <cell r="F63">
            <v>1</v>
          </cell>
        </row>
        <row r="64">
          <cell r="C64">
            <v>1</v>
          </cell>
        </row>
        <row r="65">
          <cell r="C65">
            <v>1</v>
          </cell>
        </row>
        <row r="66">
          <cell r="C66">
            <v>1</v>
          </cell>
        </row>
        <row r="67">
          <cell r="D67">
            <v>1</v>
          </cell>
        </row>
        <row r="68">
          <cell r="C68">
            <v>1</v>
          </cell>
        </row>
        <row r="69">
          <cell r="C69">
            <v>1</v>
          </cell>
        </row>
        <row r="70">
          <cell r="D70">
            <v>1</v>
          </cell>
        </row>
        <row r="71">
          <cell r="D71">
            <v>1</v>
          </cell>
        </row>
        <row r="72">
          <cell r="D72">
            <v>1</v>
          </cell>
        </row>
        <row r="73">
          <cell r="C73">
            <v>1</v>
          </cell>
        </row>
        <row r="74">
          <cell r="E74">
            <v>1</v>
          </cell>
        </row>
        <row r="75">
          <cell r="D75">
            <v>1</v>
          </cell>
        </row>
        <row r="76">
          <cell r="C76">
            <v>1</v>
          </cell>
        </row>
        <row r="77">
          <cell r="C77">
            <v>1</v>
          </cell>
        </row>
        <row r="78">
          <cell r="C78">
            <v>1</v>
          </cell>
        </row>
        <row r="79">
          <cell r="C79">
            <v>1</v>
          </cell>
        </row>
        <row r="80">
          <cell r="C80">
            <v>1</v>
          </cell>
        </row>
        <row r="81">
          <cell r="D81">
            <v>1</v>
          </cell>
        </row>
        <row r="82">
          <cell r="C82">
            <v>1</v>
          </cell>
        </row>
        <row r="83">
          <cell r="C83">
            <v>1</v>
          </cell>
        </row>
        <row r="84">
          <cell r="D84">
            <v>1</v>
          </cell>
        </row>
        <row r="85">
          <cell r="C85">
            <v>1</v>
          </cell>
        </row>
        <row r="86">
          <cell r="C86">
            <v>1</v>
          </cell>
        </row>
        <row r="87">
          <cell r="C87">
            <v>1</v>
          </cell>
        </row>
        <row r="88">
          <cell r="D88">
            <v>1</v>
          </cell>
        </row>
        <row r="89">
          <cell r="C89">
            <v>1</v>
          </cell>
        </row>
        <row r="90">
          <cell r="E90">
            <v>1</v>
          </cell>
        </row>
        <row r="91">
          <cell r="E91">
            <v>1</v>
          </cell>
        </row>
        <row r="92">
          <cell r="C92">
            <v>1</v>
          </cell>
        </row>
        <row r="93">
          <cell r="D93">
            <v>1</v>
          </cell>
        </row>
        <row r="94">
          <cell r="D94">
            <v>1</v>
          </cell>
        </row>
        <row r="95">
          <cell r="C95">
            <v>1</v>
          </cell>
        </row>
        <row r="96">
          <cell r="C96">
            <v>1</v>
          </cell>
        </row>
        <row r="97">
          <cell r="E97">
            <v>1</v>
          </cell>
        </row>
        <row r="98">
          <cell r="D98">
            <v>1</v>
          </cell>
        </row>
        <row r="99">
          <cell r="D99">
            <v>1</v>
          </cell>
        </row>
        <row r="100">
          <cell r="D100">
            <v>1</v>
          </cell>
        </row>
        <row r="101">
          <cell r="C101">
            <v>1</v>
          </cell>
        </row>
        <row r="102">
          <cell r="C102">
            <v>1</v>
          </cell>
        </row>
        <row r="103">
          <cell r="C103">
            <v>1</v>
          </cell>
        </row>
        <row r="104">
          <cell r="D104">
            <v>1</v>
          </cell>
        </row>
        <row r="105">
          <cell r="C105">
            <v>1</v>
          </cell>
        </row>
        <row r="106">
          <cell r="C106">
            <v>1</v>
          </cell>
        </row>
        <row r="107">
          <cell r="C107">
            <v>1</v>
          </cell>
        </row>
        <row r="108">
          <cell r="C108">
            <v>1</v>
          </cell>
        </row>
        <row r="109">
          <cell r="D109">
            <v>1</v>
          </cell>
        </row>
        <row r="110">
          <cell r="C110">
            <v>1</v>
          </cell>
        </row>
        <row r="111">
          <cell r="C111">
            <v>1</v>
          </cell>
        </row>
        <row r="112">
          <cell r="C112">
            <v>1</v>
          </cell>
        </row>
        <row r="113">
          <cell r="C113">
            <v>1</v>
          </cell>
        </row>
        <row r="114">
          <cell r="E114">
            <v>1</v>
          </cell>
        </row>
        <row r="115">
          <cell r="D115">
            <v>1</v>
          </cell>
        </row>
        <row r="116">
          <cell r="C116">
            <v>1</v>
          </cell>
        </row>
        <row r="117">
          <cell r="C117">
            <v>1</v>
          </cell>
        </row>
        <row r="118">
          <cell r="D118">
            <v>1</v>
          </cell>
        </row>
        <row r="119">
          <cell r="C119">
            <v>1</v>
          </cell>
        </row>
        <row r="120">
          <cell r="C120">
            <v>1</v>
          </cell>
        </row>
        <row r="121">
          <cell r="F121">
            <v>1</v>
          </cell>
        </row>
        <row r="122">
          <cell r="D122">
            <v>1</v>
          </cell>
        </row>
        <row r="123">
          <cell r="C123">
            <v>1</v>
          </cell>
        </row>
        <row r="124">
          <cell r="C124">
            <v>1</v>
          </cell>
        </row>
        <row r="125">
          <cell r="C125">
            <v>1</v>
          </cell>
        </row>
        <row r="126">
          <cell r="C126">
            <v>1</v>
          </cell>
        </row>
        <row r="127">
          <cell r="E127">
            <v>1</v>
          </cell>
        </row>
        <row r="128">
          <cell r="C128">
            <v>1</v>
          </cell>
        </row>
        <row r="129">
          <cell r="C129">
            <v>1</v>
          </cell>
        </row>
        <row r="130">
          <cell r="C130">
            <v>1</v>
          </cell>
        </row>
        <row r="131">
          <cell r="E131">
            <v>1</v>
          </cell>
        </row>
        <row r="132">
          <cell r="D132">
            <v>1</v>
          </cell>
        </row>
        <row r="133">
          <cell r="C133">
            <v>1</v>
          </cell>
        </row>
        <row r="134">
          <cell r="C134">
            <v>1</v>
          </cell>
        </row>
        <row r="135">
          <cell r="C135">
            <v>1</v>
          </cell>
        </row>
        <row r="136">
          <cell r="D136">
            <v>1</v>
          </cell>
        </row>
        <row r="137">
          <cell r="D137">
            <v>1</v>
          </cell>
        </row>
        <row r="138">
          <cell r="C138">
            <v>1</v>
          </cell>
        </row>
        <row r="139">
          <cell r="C139">
            <v>1</v>
          </cell>
        </row>
        <row r="140">
          <cell r="D140">
            <v>1</v>
          </cell>
        </row>
        <row r="141">
          <cell r="E141">
            <v>1</v>
          </cell>
        </row>
        <row r="142">
          <cell r="C142">
            <v>1</v>
          </cell>
        </row>
        <row r="143">
          <cell r="C143">
            <v>1</v>
          </cell>
        </row>
        <row r="144">
          <cell r="C144">
            <v>1</v>
          </cell>
        </row>
        <row r="145">
          <cell r="C145">
            <v>1</v>
          </cell>
        </row>
        <row r="146">
          <cell r="C146">
            <v>1</v>
          </cell>
        </row>
        <row r="147">
          <cell r="C147">
            <v>1</v>
          </cell>
        </row>
        <row r="148">
          <cell r="C148">
            <v>1</v>
          </cell>
        </row>
        <row r="149">
          <cell r="C149">
            <v>1</v>
          </cell>
        </row>
        <row r="150">
          <cell r="C150">
            <v>1</v>
          </cell>
        </row>
        <row r="151">
          <cell r="C151">
            <v>1</v>
          </cell>
        </row>
        <row r="152">
          <cell r="C152">
            <v>1</v>
          </cell>
        </row>
        <row r="153">
          <cell r="C153">
            <v>1</v>
          </cell>
        </row>
        <row r="154">
          <cell r="C154">
            <v>1</v>
          </cell>
        </row>
        <row r="155">
          <cell r="C155">
            <v>1</v>
          </cell>
        </row>
        <row r="156">
          <cell r="D156">
            <v>1</v>
          </cell>
        </row>
      </sheetData>
      <sheetData sheetId="3">
        <row r="2">
          <cell r="E2">
            <v>1</v>
          </cell>
          <cell r="H2" t="str">
            <v>Chile Digno</v>
          </cell>
          <cell r="I2">
            <v>10</v>
          </cell>
          <cell r="J2">
            <v>1</v>
          </cell>
          <cell r="K2">
            <v>0</v>
          </cell>
          <cell r="L2">
            <v>0</v>
          </cell>
          <cell r="M2">
            <v>11</v>
          </cell>
        </row>
        <row r="3">
          <cell r="C3">
            <v>1</v>
          </cell>
          <cell r="H3" t="str">
            <v>Mov. Sociales Const.</v>
          </cell>
          <cell r="I3">
            <v>4</v>
          </cell>
          <cell r="J3">
            <v>6</v>
          </cell>
          <cell r="K3">
            <v>1</v>
          </cell>
          <cell r="L3">
            <v>1</v>
          </cell>
          <cell r="M3">
            <v>12</v>
          </cell>
        </row>
        <row r="4">
          <cell r="D4">
            <v>1</v>
          </cell>
          <cell r="H4" t="str">
            <v>Pueblo Constituyente</v>
          </cell>
          <cell r="I4">
            <v>10</v>
          </cell>
          <cell r="J4">
            <v>0</v>
          </cell>
          <cell r="K4">
            <v>0</v>
          </cell>
          <cell r="L4">
            <v>0</v>
          </cell>
          <cell r="M4">
            <v>10</v>
          </cell>
        </row>
        <row r="5">
          <cell r="E5">
            <v>1</v>
          </cell>
          <cell r="H5" t="str">
            <v xml:space="preserve">Escaños Reservados </v>
          </cell>
          <cell r="I5">
            <v>0</v>
          </cell>
          <cell r="J5">
            <v>0</v>
          </cell>
          <cell r="K5">
            <v>8</v>
          </cell>
          <cell r="L5">
            <v>1</v>
          </cell>
          <cell r="M5">
            <v>9</v>
          </cell>
        </row>
        <row r="6">
          <cell r="C6">
            <v>1</v>
          </cell>
          <cell r="H6" t="str">
            <v>Coord. Plurinacional</v>
          </cell>
          <cell r="I6">
            <v>16</v>
          </cell>
          <cell r="J6">
            <v>0</v>
          </cell>
          <cell r="K6">
            <v>0</v>
          </cell>
          <cell r="L6">
            <v>0</v>
          </cell>
          <cell r="M6">
            <v>16</v>
          </cell>
        </row>
        <row r="7">
          <cell r="D7">
            <v>1</v>
          </cell>
          <cell r="H7" t="str">
            <v>Ind. Por Nueva Const.</v>
          </cell>
          <cell r="I7">
            <v>5</v>
          </cell>
          <cell r="J7">
            <v>5</v>
          </cell>
          <cell r="K7">
            <v>2</v>
          </cell>
          <cell r="L7">
            <v>0</v>
          </cell>
          <cell r="M7">
            <v>12</v>
          </cell>
        </row>
        <row r="8">
          <cell r="E8">
            <v>1</v>
          </cell>
          <cell r="H8" t="str">
            <v>Colectivo Socialista</v>
          </cell>
          <cell r="I8">
            <v>2</v>
          </cell>
          <cell r="J8">
            <v>12</v>
          </cell>
          <cell r="K8">
            <v>1</v>
          </cell>
          <cell r="L8">
            <v>0</v>
          </cell>
          <cell r="M8">
            <v>15</v>
          </cell>
        </row>
        <row r="9">
          <cell r="D9">
            <v>1</v>
          </cell>
          <cell r="H9" t="str">
            <v>Frente Amplio</v>
          </cell>
          <cell r="I9">
            <v>1</v>
          </cell>
          <cell r="J9">
            <v>8</v>
          </cell>
          <cell r="K9">
            <v>8</v>
          </cell>
          <cell r="L9">
            <v>1</v>
          </cell>
          <cell r="M9">
            <v>18</v>
          </cell>
        </row>
        <row r="10">
          <cell r="C10">
            <v>1</v>
          </cell>
          <cell r="H10" t="str">
            <v>Ind. + UDI</v>
          </cell>
          <cell r="I10">
            <v>0</v>
          </cell>
          <cell r="J10">
            <v>4</v>
          </cell>
          <cell r="K10">
            <v>17</v>
          </cell>
          <cell r="L10">
            <v>0</v>
          </cell>
          <cell r="M10">
            <v>21</v>
          </cell>
        </row>
        <row r="11">
          <cell r="C11">
            <v>1</v>
          </cell>
          <cell r="H11" t="str">
            <v>Ind. RN - Evópoli</v>
          </cell>
          <cell r="I11">
            <v>5</v>
          </cell>
          <cell r="J11">
            <v>0</v>
          </cell>
          <cell r="K11">
            <v>10</v>
          </cell>
          <cell r="L11">
            <v>0</v>
          </cell>
          <cell r="M11">
            <v>15</v>
          </cell>
        </row>
        <row r="12">
          <cell r="C12">
            <v>1</v>
          </cell>
          <cell r="H12" t="str">
            <v>Colectivo del Apruebo</v>
          </cell>
          <cell r="I12">
            <v>4</v>
          </cell>
          <cell r="J12">
            <v>2</v>
          </cell>
          <cell r="K12">
            <v>0</v>
          </cell>
          <cell r="L12">
            <v>1</v>
          </cell>
          <cell r="M12">
            <v>7</v>
          </cell>
        </row>
        <row r="13">
          <cell r="E13">
            <v>1</v>
          </cell>
          <cell r="H13" t="str">
            <v>Otros</v>
          </cell>
          <cell r="I13">
            <v>5</v>
          </cell>
          <cell r="J13">
            <v>0</v>
          </cell>
          <cell r="K13">
            <v>0</v>
          </cell>
          <cell r="L13">
            <v>0</v>
          </cell>
          <cell r="M13">
            <v>5</v>
          </cell>
        </row>
        <row r="14">
          <cell r="C14">
            <v>1</v>
          </cell>
        </row>
        <row r="15">
          <cell r="C15">
            <v>1</v>
          </cell>
        </row>
        <row r="16">
          <cell r="D16">
            <v>1</v>
          </cell>
        </row>
        <row r="17">
          <cell r="D17">
            <v>1</v>
          </cell>
        </row>
        <row r="18">
          <cell r="C18">
            <v>1</v>
          </cell>
        </row>
        <row r="19">
          <cell r="D19">
            <v>1</v>
          </cell>
        </row>
        <row r="20">
          <cell r="C20">
            <v>1</v>
          </cell>
        </row>
        <row r="21">
          <cell r="C21">
            <v>1</v>
          </cell>
        </row>
        <row r="22">
          <cell r="C22">
            <v>1</v>
          </cell>
        </row>
        <row r="23">
          <cell r="D23">
            <v>1</v>
          </cell>
        </row>
        <row r="24">
          <cell r="F24">
            <v>1</v>
          </cell>
        </row>
        <row r="25">
          <cell r="E25">
            <v>1</v>
          </cell>
        </row>
        <row r="26">
          <cell r="C26">
            <v>1</v>
          </cell>
        </row>
        <row r="27">
          <cell r="C27">
            <v>1</v>
          </cell>
        </row>
        <row r="28">
          <cell r="C28">
            <v>1</v>
          </cell>
        </row>
        <row r="29">
          <cell r="C29">
            <v>1</v>
          </cell>
        </row>
        <row r="30">
          <cell r="D30">
            <v>1</v>
          </cell>
        </row>
        <row r="31">
          <cell r="D31">
            <v>1</v>
          </cell>
        </row>
        <row r="32">
          <cell r="D32">
            <v>1</v>
          </cell>
        </row>
        <row r="33">
          <cell r="D33">
            <v>1</v>
          </cell>
        </row>
        <row r="34">
          <cell r="C34">
            <v>1</v>
          </cell>
        </row>
        <row r="35">
          <cell r="E35">
            <v>1</v>
          </cell>
        </row>
        <row r="36">
          <cell r="E36">
            <v>1</v>
          </cell>
        </row>
        <row r="37">
          <cell r="C37">
            <v>1</v>
          </cell>
        </row>
        <row r="38">
          <cell r="E38">
            <v>1</v>
          </cell>
        </row>
        <row r="39">
          <cell r="D39">
            <v>1</v>
          </cell>
        </row>
        <row r="40">
          <cell r="D40">
            <v>1</v>
          </cell>
        </row>
        <row r="41">
          <cell r="C41">
            <v>1</v>
          </cell>
        </row>
        <row r="42">
          <cell r="E42">
            <v>1</v>
          </cell>
        </row>
        <row r="43">
          <cell r="E43">
            <v>1</v>
          </cell>
        </row>
        <row r="44">
          <cell r="D44">
            <v>1</v>
          </cell>
        </row>
        <row r="45">
          <cell r="E45">
            <v>1</v>
          </cell>
        </row>
        <row r="46">
          <cell r="D46">
            <v>1</v>
          </cell>
          <cell r="H46" t="str">
            <v>Chile Digno</v>
          </cell>
          <cell r="I46">
            <v>0.90909090909090906</v>
          </cell>
          <cell r="J46">
            <v>9.0909090909090912E-2</v>
          </cell>
          <cell r="K46">
            <v>0</v>
          </cell>
          <cell r="L46">
            <v>0</v>
          </cell>
        </row>
        <row r="47">
          <cell r="C47">
            <v>1</v>
          </cell>
          <cell r="H47" t="str">
            <v>Mov. Sociales Const.</v>
          </cell>
          <cell r="I47">
            <v>0.33333333333333331</v>
          </cell>
          <cell r="J47">
            <v>0.5</v>
          </cell>
          <cell r="K47">
            <v>8.3333333333333329E-2</v>
          </cell>
          <cell r="L47">
            <v>8.3333333333333329E-2</v>
          </cell>
        </row>
        <row r="48">
          <cell r="E48">
            <v>1</v>
          </cell>
          <cell r="H48" t="str">
            <v>Pueblo Constituyente</v>
          </cell>
          <cell r="I48">
            <v>1</v>
          </cell>
          <cell r="J48">
            <v>0</v>
          </cell>
          <cell r="K48">
            <v>0</v>
          </cell>
          <cell r="L48">
            <v>0</v>
          </cell>
        </row>
        <row r="49">
          <cell r="E49">
            <v>1</v>
          </cell>
          <cell r="H49" t="str">
            <v xml:space="preserve">Escaños Reservados </v>
          </cell>
          <cell r="I49">
            <v>0</v>
          </cell>
          <cell r="J49">
            <v>0</v>
          </cell>
          <cell r="K49">
            <v>0.88888888888888884</v>
          </cell>
          <cell r="L49">
            <v>0.1111111111111111</v>
          </cell>
        </row>
        <row r="50">
          <cell r="F50">
            <v>1</v>
          </cell>
          <cell r="H50" t="str">
            <v>Coord. Plurinacional</v>
          </cell>
          <cell r="I50">
            <v>1</v>
          </cell>
          <cell r="J50">
            <v>0</v>
          </cell>
          <cell r="K50">
            <v>0</v>
          </cell>
          <cell r="L50">
            <v>0</v>
          </cell>
        </row>
        <row r="51">
          <cell r="D51">
            <v>1</v>
          </cell>
          <cell r="H51" t="str">
            <v>Ind. Por Nueva Const.</v>
          </cell>
          <cell r="I51">
            <v>0.41666666666666669</v>
          </cell>
          <cell r="J51">
            <v>0.41666666666666669</v>
          </cell>
          <cell r="K51">
            <v>0.16666666666666666</v>
          </cell>
          <cell r="L51">
            <v>0</v>
          </cell>
        </row>
        <row r="52">
          <cell r="D52">
            <v>1</v>
          </cell>
          <cell r="H52" t="str">
            <v>Colectivo Socialista</v>
          </cell>
          <cell r="I52">
            <v>0.13333333333333333</v>
          </cell>
          <cell r="J52">
            <v>0.8</v>
          </cell>
          <cell r="K52">
            <v>6.6666666666666666E-2</v>
          </cell>
          <cell r="L52">
            <v>0</v>
          </cell>
        </row>
        <row r="53">
          <cell r="C53">
            <v>1</v>
          </cell>
          <cell r="H53" t="str">
            <v>Frente Amplio</v>
          </cell>
          <cell r="I53">
            <v>5.5555555555555552E-2</v>
          </cell>
          <cell r="J53">
            <v>0.44444444444444442</v>
          </cell>
          <cell r="K53">
            <v>0.44444444444444442</v>
          </cell>
          <cell r="L53">
            <v>5.5555555555555552E-2</v>
          </cell>
        </row>
        <row r="54">
          <cell r="D54">
            <v>1</v>
          </cell>
          <cell r="H54" t="str">
            <v>Ind. + UDI</v>
          </cell>
          <cell r="I54">
            <v>0</v>
          </cell>
          <cell r="J54">
            <v>0.19047619047619047</v>
          </cell>
          <cell r="K54">
            <v>0.80952380952380953</v>
          </cell>
          <cell r="L54">
            <v>0</v>
          </cell>
        </row>
        <row r="55">
          <cell r="C55">
            <v>1</v>
          </cell>
          <cell r="H55" t="str">
            <v>Ind. RN - Evópoli</v>
          </cell>
          <cell r="I55">
            <v>0.33333333333333331</v>
          </cell>
          <cell r="J55">
            <v>0</v>
          </cell>
          <cell r="K55">
            <v>0.66666666666666663</v>
          </cell>
          <cell r="L55">
            <v>0</v>
          </cell>
        </row>
        <row r="56">
          <cell r="E56">
            <v>1</v>
          </cell>
          <cell r="H56" t="str">
            <v>Colectivo del Apruebo</v>
          </cell>
          <cell r="I56">
            <v>0.5714285714285714</v>
          </cell>
          <cell r="J56">
            <v>0.2857142857142857</v>
          </cell>
          <cell r="K56">
            <v>0</v>
          </cell>
          <cell r="L56">
            <v>0.14285714285714285</v>
          </cell>
        </row>
        <row r="57">
          <cell r="C57">
            <v>1</v>
          </cell>
          <cell r="H57" t="str">
            <v>Otros</v>
          </cell>
          <cell r="I57">
            <v>1</v>
          </cell>
          <cell r="J57">
            <v>0</v>
          </cell>
          <cell r="K57">
            <v>0</v>
          </cell>
          <cell r="L57">
            <v>0</v>
          </cell>
        </row>
        <row r="58">
          <cell r="D58">
            <v>1</v>
          </cell>
        </row>
        <row r="59">
          <cell r="C59">
            <v>1</v>
          </cell>
        </row>
        <row r="60">
          <cell r="D60">
            <v>1</v>
          </cell>
        </row>
        <row r="61">
          <cell r="E61">
            <v>1</v>
          </cell>
        </row>
        <row r="62">
          <cell r="C62">
            <v>1</v>
          </cell>
        </row>
        <row r="63">
          <cell r="F63">
            <v>1</v>
          </cell>
        </row>
        <row r="64">
          <cell r="C64">
            <v>1</v>
          </cell>
        </row>
        <row r="65">
          <cell r="C65">
            <v>1</v>
          </cell>
        </row>
        <row r="66">
          <cell r="C66">
            <v>1</v>
          </cell>
        </row>
        <row r="67">
          <cell r="D67">
            <v>1</v>
          </cell>
        </row>
        <row r="68">
          <cell r="C68">
            <v>1</v>
          </cell>
        </row>
        <row r="69">
          <cell r="D69">
            <v>1</v>
          </cell>
        </row>
        <row r="70">
          <cell r="E70">
            <v>1</v>
          </cell>
        </row>
        <row r="71">
          <cell r="D71">
            <v>1</v>
          </cell>
        </row>
        <row r="72">
          <cell r="D72">
            <v>1</v>
          </cell>
        </row>
        <row r="73">
          <cell r="E73">
            <v>1</v>
          </cell>
        </row>
        <row r="74">
          <cell r="E74">
            <v>1</v>
          </cell>
        </row>
        <row r="75">
          <cell r="E75">
            <v>1</v>
          </cell>
        </row>
        <row r="76">
          <cell r="C76">
            <v>1</v>
          </cell>
        </row>
        <row r="77">
          <cell r="C77">
            <v>1</v>
          </cell>
        </row>
        <row r="78">
          <cell r="C78">
            <v>1</v>
          </cell>
        </row>
        <row r="79">
          <cell r="D79">
            <v>1</v>
          </cell>
        </row>
        <row r="80">
          <cell r="E80">
            <v>1</v>
          </cell>
        </row>
        <row r="81">
          <cell r="E81">
            <v>1</v>
          </cell>
        </row>
        <row r="82">
          <cell r="C82">
            <v>1</v>
          </cell>
        </row>
        <row r="83">
          <cell r="C83">
            <v>1</v>
          </cell>
        </row>
        <row r="84">
          <cell r="C84">
            <v>1</v>
          </cell>
        </row>
        <row r="85">
          <cell r="E85">
            <v>1</v>
          </cell>
        </row>
        <row r="86">
          <cell r="C86">
            <v>1</v>
          </cell>
        </row>
        <row r="87">
          <cell r="E87">
            <v>1</v>
          </cell>
        </row>
        <row r="88">
          <cell r="D88">
            <v>1</v>
          </cell>
        </row>
        <row r="89">
          <cell r="C89">
            <v>1</v>
          </cell>
        </row>
        <row r="90">
          <cell r="D90">
            <v>1</v>
          </cell>
        </row>
        <row r="91">
          <cell r="E91">
            <v>1</v>
          </cell>
        </row>
        <row r="92">
          <cell r="E92">
            <v>1</v>
          </cell>
        </row>
        <row r="93">
          <cell r="E93">
            <v>1</v>
          </cell>
        </row>
        <row r="94">
          <cell r="D94">
            <v>1</v>
          </cell>
        </row>
        <row r="95">
          <cell r="E95">
            <v>1</v>
          </cell>
        </row>
        <row r="96">
          <cell r="C96">
            <v>1</v>
          </cell>
        </row>
        <row r="97">
          <cell r="C97">
            <v>1</v>
          </cell>
        </row>
        <row r="98">
          <cell r="E98">
            <v>1</v>
          </cell>
        </row>
        <row r="99">
          <cell r="D99">
            <v>1</v>
          </cell>
        </row>
        <row r="100">
          <cell r="E100">
            <v>1</v>
          </cell>
        </row>
        <row r="101">
          <cell r="D101">
            <v>1</v>
          </cell>
        </row>
        <row r="102">
          <cell r="E102">
            <v>1</v>
          </cell>
        </row>
        <row r="103">
          <cell r="C103">
            <v>1</v>
          </cell>
        </row>
        <row r="104">
          <cell r="E104">
            <v>1</v>
          </cell>
        </row>
        <row r="105">
          <cell r="C105">
            <v>1</v>
          </cell>
        </row>
        <row r="106">
          <cell r="C106">
            <v>1</v>
          </cell>
        </row>
        <row r="107">
          <cell r="D107">
            <v>1</v>
          </cell>
        </row>
        <row r="108">
          <cell r="E108">
            <v>1</v>
          </cell>
        </row>
        <row r="109">
          <cell r="D109">
            <v>1</v>
          </cell>
        </row>
        <row r="110">
          <cell r="C110">
            <v>1</v>
          </cell>
        </row>
        <row r="111">
          <cell r="E111">
            <v>1</v>
          </cell>
        </row>
        <row r="112">
          <cell r="D112">
            <v>1</v>
          </cell>
        </row>
        <row r="113">
          <cell r="C113">
            <v>1</v>
          </cell>
        </row>
        <row r="114">
          <cell r="D114">
            <v>1</v>
          </cell>
        </row>
        <row r="115">
          <cell r="D115">
            <v>1</v>
          </cell>
        </row>
        <row r="116">
          <cell r="E116">
            <v>1</v>
          </cell>
        </row>
        <row r="117">
          <cell r="D117">
            <v>1</v>
          </cell>
        </row>
        <row r="118">
          <cell r="E118">
            <v>1</v>
          </cell>
        </row>
        <row r="119">
          <cell r="C119">
            <v>1</v>
          </cell>
        </row>
        <row r="120">
          <cell r="F120">
            <v>1</v>
          </cell>
        </row>
        <row r="121">
          <cell r="F121">
            <v>1</v>
          </cell>
        </row>
        <row r="122">
          <cell r="C122">
            <v>1</v>
          </cell>
        </row>
        <row r="123">
          <cell r="C123">
            <v>1</v>
          </cell>
        </row>
        <row r="124">
          <cell r="C124">
            <v>1</v>
          </cell>
        </row>
        <row r="125">
          <cell r="C125">
            <v>1</v>
          </cell>
        </row>
        <row r="126">
          <cell r="D126">
            <v>1</v>
          </cell>
        </row>
        <row r="127">
          <cell r="D127">
            <v>1</v>
          </cell>
        </row>
        <row r="128">
          <cell r="D128">
            <v>1</v>
          </cell>
        </row>
        <row r="129">
          <cell r="C129">
            <v>1</v>
          </cell>
        </row>
        <row r="130">
          <cell r="C130">
            <v>1</v>
          </cell>
        </row>
        <row r="131">
          <cell r="E131">
            <v>1</v>
          </cell>
        </row>
        <row r="132">
          <cell r="C132">
            <v>1</v>
          </cell>
        </row>
        <row r="133">
          <cell r="D133">
            <v>1</v>
          </cell>
        </row>
        <row r="134">
          <cell r="E134">
            <v>1</v>
          </cell>
        </row>
        <row r="135">
          <cell r="E135">
            <v>1</v>
          </cell>
        </row>
        <row r="136">
          <cell r="E136">
            <v>1</v>
          </cell>
        </row>
        <row r="137">
          <cell r="E137">
            <v>1</v>
          </cell>
        </row>
        <row r="138">
          <cell r="C138">
            <v>1</v>
          </cell>
        </row>
        <row r="139">
          <cell r="D139">
            <v>1</v>
          </cell>
        </row>
        <row r="140">
          <cell r="D140">
            <v>1</v>
          </cell>
        </row>
        <row r="141">
          <cell r="C141">
            <v>1</v>
          </cell>
        </row>
        <row r="142">
          <cell r="C142">
            <v>1</v>
          </cell>
        </row>
        <row r="143">
          <cell r="C143">
            <v>1</v>
          </cell>
        </row>
        <row r="144">
          <cell r="C144">
            <v>1</v>
          </cell>
        </row>
        <row r="145">
          <cell r="E145">
            <v>1</v>
          </cell>
        </row>
        <row r="146">
          <cell r="C146">
            <v>1</v>
          </cell>
        </row>
        <row r="147">
          <cell r="E147">
            <v>1</v>
          </cell>
        </row>
        <row r="148">
          <cell r="C148">
            <v>1</v>
          </cell>
        </row>
        <row r="149">
          <cell r="C149">
            <v>1</v>
          </cell>
        </row>
        <row r="150">
          <cell r="C150">
            <v>1</v>
          </cell>
        </row>
        <row r="151">
          <cell r="D151">
            <v>1</v>
          </cell>
        </row>
        <row r="152">
          <cell r="E152">
            <v>1</v>
          </cell>
        </row>
        <row r="153">
          <cell r="C153">
            <v>1</v>
          </cell>
        </row>
        <row r="154">
          <cell r="C154">
            <v>1</v>
          </cell>
        </row>
        <row r="155">
          <cell r="C155">
            <v>1</v>
          </cell>
        </row>
        <row r="156">
          <cell r="E156">
            <v>1</v>
          </cell>
        </row>
      </sheetData>
      <sheetData sheetId="4">
        <row r="2">
          <cell r="C2">
            <v>1</v>
          </cell>
          <cell r="H2" t="str">
            <v>Chile Digno</v>
          </cell>
          <cell r="I2">
            <v>11</v>
          </cell>
          <cell r="J2">
            <v>0</v>
          </cell>
          <cell r="K2">
            <v>0</v>
          </cell>
          <cell r="L2">
            <v>0</v>
          </cell>
          <cell r="M2">
            <v>11</v>
          </cell>
        </row>
        <row r="3">
          <cell r="C3">
            <v>1</v>
          </cell>
          <cell r="H3" t="str">
            <v>Mov. Sociales Const.</v>
          </cell>
          <cell r="I3">
            <v>11</v>
          </cell>
          <cell r="J3">
            <v>0</v>
          </cell>
          <cell r="K3">
            <v>0</v>
          </cell>
          <cell r="L3">
            <v>1</v>
          </cell>
          <cell r="M3">
            <v>12</v>
          </cell>
        </row>
        <row r="4">
          <cell r="D4">
            <v>1</v>
          </cell>
          <cell r="H4" t="str">
            <v>Pueblo Constituyente</v>
          </cell>
          <cell r="I4">
            <v>10</v>
          </cell>
          <cell r="J4">
            <v>0</v>
          </cell>
          <cell r="K4">
            <v>0</v>
          </cell>
          <cell r="L4">
            <v>0</v>
          </cell>
          <cell r="M4">
            <v>10</v>
          </cell>
        </row>
        <row r="5">
          <cell r="C5">
            <v>1</v>
          </cell>
          <cell r="H5" t="str">
            <v xml:space="preserve">Escaños Reservados </v>
          </cell>
          <cell r="I5">
            <v>8</v>
          </cell>
          <cell r="J5">
            <v>0</v>
          </cell>
          <cell r="K5">
            <v>0</v>
          </cell>
          <cell r="L5">
            <v>1</v>
          </cell>
          <cell r="M5">
            <v>9</v>
          </cell>
        </row>
        <row r="6">
          <cell r="C6">
            <v>1</v>
          </cell>
          <cell r="H6" t="str">
            <v>Coord. Plurinacional</v>
          </cell>
          <cell r="I6">
            <v>15</v>
          </cell>
          <cell r="J6">
            <v>0</v>
          </cell>
          <cell r="K6">
            <v>0</v>
          </cell>
          <cell r="L6">
            <v>1</v>
          </cell>
          <cell r="M6">
            <v>16</v>
          </cell>
        </row>
        <row r="7">
          <cell r="C7">
            <v>1</v>
          </cell>
          <cell r="H7" t="str">
            <v>Ind. Por Nueva Const.</v>
          </cell>
          <cell r="I7">
            <v>12</v>
          </cell>
          <cell r="J7">
            <v>0</v>
          </cell>
          <cell r="K7">
            <v>0</v>
          </cell>
          <cell r="L7">
            <v>0</v>
          </cell>
          <cell r="M7">
            <v>12</v>
          </cell>
        </row>
        <row r="8">
          <cell r="D8">
            <v>1</v>
          </cell>
          <cell r="H8" t="str">
            <v>Colectivo Socialista</v>
          </cell>
          <cell r="I8">
            <v>13</v>
          </cell>
          <cell r="J8">
            <v>1</v>
          </cell>
          <cell r="K8">
            <v>1</v>
          </cell>
          <cell r="L8">
            <v>0</v>
          </cell>
          <cell r="M8">
            <v>15</v>
          </cell>
        </row>
        <row r="9">
          <cell r="C9">
            <v>1</v>
          </cell>
          <cell r="H9" t="str">
            <v>Frente Amplio</v>
          </cell>
          <cell r="I9">
            <v>5</v>
          </cell>
          <cell r="J9">
            <v>7</v>
          </cell>
          <cell r="K9">
            <v>7</v>
          </cell>
          <cell r="L9">
            <v>0</v>
          </cell>
          <cell r="M9">
            <v>19</v>
          </cell>
        </row>
        <row r="10">
          <cell r="C10">
            <v>1</v>
          </cell>
          <cell r="H10" t="str">
            <v>Ind. + UDI</v>
          </cell>
          <cell r="I10">
            <v>0</v>
          </cell>
          <cell r="J10">
            <v>21</v>
          </cell>
          <cell r="K10">
            <v>0</v>
          </cell>
          <cell r="L10">
            <v>0</v>
          </cell>
          <cell r="M10">
            <v>21</v>
          </cell>
        </row>
        <row r="11">
          <cell r="C11">
            <v>1</v>
          </cell>
          <cell r="H11" t="str">
            <v>Ind. RN - Evópoli</v>
          </cell>
          <cell r="I11">
            <v>0</v>
          </cell>
          <cell r="J11">
            <v>15</v>
          </cell>
          <cell r="K11">
            <v>0</v>
          </cell>
          <cell r="L11">
            <v>0</v>
          </cell>
          <cell r="M11">
            <v>15</v>
          </cell>
        </row>
        <row r="12">
          <cell r="C12">
            <v>1</v>
          </cell>
          <cell r="H12" t="str">
            <v>Colectivo del Apruebo</v>
          </cell>
          <cell r="I12">
            <v>1</v>
          </cell>
          <cell r="J12">
            <v>3</v>
          </cell>
          <cell r="K12">
            <v>2</v>
          </cell>
          <cell r="L12">
            <v>1</v>
          </cell>
          <cell r="M12">
            <v>7</v>
          </cell>
        </row>
        <row r="13">
          <cell r="D13">
            <v>1</v>
          </cell>
          <cell r="H13" t="str">
            <v>Otros</v>
          </cell>
          <cell r="I13">
            <v>5</v>
          </cell>
          <cell r="J13">
            <v>0</v>
          </cell>
          <cell r="K13">
            <v>0</v>
          </cell>
          <cell r="L13">
            <v>0</v>
          </cell>
          <cell r="M13">
            <v>5</v>
          </cell>
        </row>
        <row r="14">
          <cell r="C14">
            <v>1</v>
          </cell>
        </row>
        <row r="15">
          <cell r="C15">
            <v>1</v>
          </cell>
        </row>
        <row r="16">
          <cell r="D16">
            <v>1</v>
          </cell>
        </row>
        <row r="17">
          <cell r="D17">
            <v>1</v>
          </cell>
        </row>
        <row r="18">
          <cell r="C18">
            <v>1</v>
          </cell>
        </row>
        <row r="19">
          <cell r="D19">
            <v>1</v>
          </cell>
        </row>
        <row r="20">
          <cell r="C20">
            <v>1</v>
          </cell>
        </row>
        <row r="21">
          <cell r="D21">
            <v>1</v>
          </cell>
        </row>
        <row r="22">
          <cell r="C22">
            <v>1</v>
          </cell>
        </row>
        <row r="23">
          <cell r="E23">
            <v>1</v>
          </cell>
        </row>
        <row r="24">
          <cell r="F24">
            <v>1</v>
          </cell>
        </row>
        <row r="25">
          <cell r="D25">
            <v>1</v>
          </cell>
        </row>
        <row r="26">
          <cell r="C26">
            <v>1</v>
          </cell>
        </row>
        <row r="27">
          <cell r="C27">
            <v>1</v>
          </cell>
        </row>
        <row r="28">
          <cell r="C28">
            <v>1</v>
          </cell>
        </row>
        <row r="29">
          <cell r="C29">
            <v>1</v>
          </cell>
        </row>
        <row r="30">
          <cell r="C30">
            <v>1</v>
          </cell>
        </row>
        <row r="31">
          <cell r="D31">
            <v>1</v>
          </cell>
        </row>
        <row r="32">
          <cell r="C32">
            <v>1</v>
          </cell>
        </row>
        <row r="33">
          <cell r="C33">
            <v>1</v>
          </cell>
        </row>
        <row r="34">
          <cell r="D34">
            <v>1</v>
          </cell>
        </row>
        <row r="35">
          <cell r="D35">
            <v>1</v>
          </cell>
        </row>
        <row r="36">
          <cell r="C36">
            <v>1</v>
          </cell>
        </row>
        <row r="37">
          <cell r="C37">
            <v>1</v>
          </cell>
        </row>
        <row r="38">
          <cell r="D38">
            <v>1</v>
          </cell>
        </row>
        <row r="39">
          <cell r="C39">
            <v>1</v>
          </cell>
        </row>
        <row r="40">
          <cell r="E40">
            <v>1</v>
          </cell>
        </row>
        <row r="41">
          <cell r="C41">
            <v>1</v>
          </cell>
        </row>
        <row r="42">
          <cell r="D42">
            <v>1</v>
          </cell>
        </row>
        <row r="43">
          <cell r="D43">
            <v>1</v>
          </cell>
        </row>
        <row r="44">
          <cell r="D44">
            <v>1</v>
          </cell>
        </row>
        <row r="45">
          <cell r="D45">
            <v>1</v>
          </cell>
        </row>
        <row r="46">
          <cell r="C46">
            <v>1</v>
          </cell>
          <cell r="H46" t="str">
            <v>Chile Digno</v>
          </cell>
          <cell r="I46">
            <v>1</v>
          </cell>
          <cell r="J46">
            <v>0</v>
          </cell>
          <cell r="K46">
            <v>0</v>
          </cell>
          <cell r="L46">
            <v>0</v>
          </cell>
        </row>
        <row r="47">
          <cell r="D47">
            <v>1</v>
          </cell>
          <cell r="H47" t="str">
            <v>Mov. Sociales Const.</v>
          </cell>
          <cell r="I47">
            <v>0.91666666666666663</v>
          </cell>
          <cell r="J47">
            <v>0</v>
          </cell>
          <cell r="K47">
            <v>0</v>
          </cell>
          <cell r="L47">
            <v>8.3333333333333329E-2</v>
          </cell>
        </row>
        <row r="48">
          <cell r="C48">
            <v>1</v>
          </cell>
          <cell r="H48" t="str">
            <v>Pueblo Constituyente</v>
          </cell>
          <cell r="I48">
            <v>1</v>
          </cell>
          <cell r="J48">
            <v>0</v>
          </cell>
          <cell r="K48">
            <v>0</v>
          </cell>
          <cell r="L48">
            <v>0</v>
          </cell>
        </row>
        <row r="49">
          <cell r="C49">
            <v>1</v>
          </cell>
          <cell r="H49" t="str">
            <v xml:space="preserve">Escaños Reservados </v>
          </cell>
          <cell r="I49">
            <v>0.88888888888888884</v>
          </cell>
          <cell r="J49">
            <v>0</v>
          </cell>
          <cell r="K49">
            <v>0</v>
          </cell>
          <cell r="L49">
            <v>0.1111111111111111</v>
          </cell>
        </row>
        <row r="50">
          <cell r="F50">
            <v>1</v>
          </cell>
          <cell r="H50" t="str">
            <v>Coord. Plurinacional</v>
          </cell>
          <cell r="I50">
            <v>0.9375</v>
          </cell>
          <cell r="J50">
            <v>0</v>
          </cell>
          <cell r="K50">
            <v>0</v>
          </cell>
          <cell r="L50">
            <v>6.25E-2</v>
          </cell>
        </row>
        <row r="51">
          <cell r="E51">
            <v>1</v>
          </cell>
          <cell r="H51" t="str">
            <v>Ind. Por Nueva Const.</v>
          </cell>
          <cell r="I51">
            <v>1</v>
          </cell>
          <cell r="J51">
            <v>0</v>
          </cell>
          <cell r="K51">
            <v>0</v>
          </cell>
          <cell r="L51">
            <v>0</v>
          </cell>
        </row>
        <row r="52">
          <cell r="C52">
            <v>1</v>
          </cell>
          <cell r="H52" t="str">
            <v>Colectivo Socialista</v>
          </cell>
          <cell r="I52">
            <v>0.8666666666666667</v>
          </cell>
          <cell r="J52">
            <v>6.6666666666666666E-2</v>
          </cell>
          <cell r="K52">
            <v>6.6666666666666666E-2</v>
          </cell>
          <cell r="L52">
            <v>0</v>
          </cell>
        </row>
        <row r="53">
          <cell r="D53">
            <v>1</v>
          </cell>
          <cell r="H53" t="str">
            <v>Frente Amplio</v>
          </cell>
          <cell r="I53">
            <v>0.26315789473684209</v>
          </cell>
          <cell r="J53">
            <v>0.36842105263157893</v>
          </cell>
          <cell r="K53">
            <v>0.36842105263157893</v>
          </cell>
          <cell r="L53">
            <v>0</v>
          </cell>
        </row>
        <row r="54">
          <cell r="C54">
            <v>1</v>
          </cell>
          <cell r="H54" t="str">
            <v>Ind. + UDI</v>
          </cell>
          <cell r="I54">
            <v>0</v>
          </cell>
          <cell r="J54">
            <v>1</v>
          </cell>
          <cell r="K54">
            <v>0</v>
          </cell>
          <cell r="L54">
            <v>0</v>
          </cell>
        </row>
        <row r="55">
          <cell r="C55">
            <v>1</v>
          </cell>
          <cell r="H55" t="str">
            <v>Ind. RN - Evópoli</v>
          </cell>
          <cell r="I55">
            <v>0</v>
          </cell>
          <cell r="J55">
            <v>1</v>
          </cell>
          <cell r="K55">
            <v>0</v>
          </cell>
          <cell r="L55">
            <v>0</v>
          </cell>
        </row>
        <row r="56">
          <cell r="C56">
            <v>1</v>
          </cell>
          <cell r="H56" t="str">
            <v>Colectivo del Apruebo</v>
          </cell>
          <cell r="I56">
            <v>0.14285714285714285</v>
          </cell>
          <cell r="J56">
            <v>0.42857142857142855</v>
          </cell>
          <cell r="K56">
            <v>0.2857142857142857</v>
          </cell>
          <cell r="L56">
            <v>0.14285714285714285</v>
          </cell>
        </row>
        <row r="57">
          <cell r="C57">
            <v>1</v>
          </cell>
          <cell r="H57" t="str">
            <v>Otros</v>
          </cell>
          <cell r="I57">
            <v>1</v>
          </cell>
          <cell r="J57">
            <v>0</v>
          </cell>
          <cell r="K57">
            <v>0</v>
          </cell>
          <cell r="L57">
            <v>0</v>
          </cell>
        </row>
        <row r="58">
          <cell r="C58">
            <v>1</v>
          </cell>
        </row>
        <row r="59">
          <cell r="C59">
            <v>1</v>
          </cell>
        </row>
        <row r="60">
          <cell r="C60">
            <v>1</v>
          </cell>
        </row>
        <row r="61">
          <cell r="C61">
            <v>1</v>
          </cell>
        </row>
        <row r="62">
          <cell r="C62">
            <v>1</v>
          </cell>
        </row>
        <row r="63">
          <cell r="F63">
            <v>1</v>
          </cell>
        </row>
        <row r="64">
          <cell r="C64">
            <v>1</v>
          </cell>
        </row>
        <row r="65">
          <cell r="C65">
            <v>1</v>
          </cell>
        </row>
        <row r="66">
          <cell r="C66">
            <v>1</v>
          </cell>
        </row>
        <row r="67">
          <cell r="C67">
            <v>1</v>
          </cell>
        </row>
        <row r="68">
          <cell r="C68">
            <v>1</v>
          </cell>
        </row>
        <row r="69">
          <cell r="C69">
            <v>1</v>
          </cell>
        </row>
        <row r="70">
          <cell r="D70">
            <v>1</v>
          </cell>
        </row>
        <row r="71">
          <cell r="D71">
            <v>1</v>
          </cell>
        </row>
        <row r="72">
          <cell r="C72">
            <v>1</v>
          </cell>
        </row>
        <row r="73">
          <cell r="C73">
            <v>1</v>
          </cell>
        </row>
        <row r="74">
          <cell r="D74">
            <v>1</v>
          </cell>
        </row>
        <row r="75">
          <cell r="D75">
            <v>1</v>
          </cell>
        </row>
        <row r="76">
          <cell r="C76">
            <v>1</v>
          </cell>
        </row>
        <row r="77">
          <cell r="D77">
            <v>1</v>
          </cell>
        </row>
        <row r="78">
          <cell r="C78">
            <v>1</v>
          </cell>
        </row>
        <row r="79">
          <cell r="C79">
            <v>1</v>
          </cell>
        </row>
        <row r="80">
          <cell r="D80">
            <v>1</v>
          </cell>
        </row>
        <row r="81">
          <cell r="D81">
            <v>1</v>
          </cell>
        </row>
        <row r="82">
          <cell r="C82">
            <v>1</v>
          </cell>
        </row>
        <row r="83">
          <cell r="C83">
            <v>1</v>
          </cell>
        </row>
        <row r="84">
          <cell r="E84">
            <v>1</v>
          </cell>
        </row>
        <row r="85">
          <cell r="C85">
            <v>1</v>
          </cell>
        </row>
        <row r="86">
          <cell r="C86">
            <v>1</v>
          </cell>
        </row>
        <row r="87">
          <cell r="C87">
            <v>1</v>
          </cell>
        </row>
        <row r="88">
          <cell r="D88">
            <v>1</v>
          </cell>
        </row>
        <row r="89">
          <cell r="C89">
            <v>1</v>
          </cell>
        </row>
        <row r="90">
          <cell r="C90">
            <v>1</v>
          </cell>
        </row>
        <row r="91">
          <cell r="D91">
            <v>1</v>
          </cell>
        </row>
        <row r="92">
          <cell r="C92">
            <v>1</v>
          </cell>
        </row>
        <row r="93">
          <cell r="D93">
            <v>1</v>
          </cell>
        </row>
        <row r="94">
          <cell r="C94">
            <v>1</v>
          </cell>
        </row>
        <row r="95">
          <cell r="C95">
            <v>1</v>
          </cell>
        </row>
        <row r="96">
          <cell r="C96">
            <v>1</v>
          </cell>
        </row>
        <row r="97">
          <cell r="D97">
            <v>1</v>
          </cell>
        </row>
        <row r="98">
          <cell r="D98">
            <v>1</v>
          </cell>
        </row>
        <row r="99">
          <cell r="C99">
            <v>1</v>
          </cell>
        </row>
        <row r="100">
          <cell r="D100">
            <v>1</v>
          </cell>
        </row>
        <row r="101">
          <cell r="C101">
            <v>1</v>
          </cell>
        </row>
        <row r="102">
          <cell r="C102">
            <v>1</v>
          </cell>
        </row>
        <row r="103">
          <cell r="D103">
            <v>1</v>
          </cell>
        </row>
        <row r="104">
          <cell r="D104">
            <v>1</v>
          </cell>
        </row>
        <row r="105">
          <cell r="C105">
            <v>1</v>
          </cell>
        </row>
        <row r="106">
          <cell r="C106">
            <v>1</v>
          </cell>
        </row>
        <row r="107">
          <cell r="C107">
            <v>1</v>
          </cell>
        </row>
        <row r="108">
          <cell r="D108">
            <v>1</v>
          </cell>
        </row>
        <row r="109">
          <cell r="D109">
            <v>1</v>
          </cell>
        </row>
        <row r="110">
          <cell r="C110">
            <v>1</v>
          </cell>
        </row>
        <row r="111">
          <cell r="C111">
            <v>1</v>
          </cell>
        </row>
        <row r="112">
          <cell r="C112">
            <v>1</v>
          </cell>
        </row>
        <row r="113">
          <cell r="C113">
            <v>1</v>
          </cell>
        </row>
        <row r="114">
          <cell r="C114">
            <v>1</v>
          </cell>
        </row>
        <row r="115">
          <cell r="C115">
            <v>1</v>
          </cell>
        </row>
        <row r="116">
          <cell r="D116">
            <v>1</v>
          </cell>
        </row>
        <row r="117">
          <cell r="C117">
            <v>1</v>
          </cell>
        </row>
        <row r="118">
          <cell r="D118">
            <v>1</v>
          </cell>
        </row>
        <row r="119">
          <cell r="F119">
            <v>1</v>
          </cell>
        </row>
        <row r="120">
          <cell r="D120">
            <v>1</v>
          </cell>
        </row>
        <row r="121">
          <cell r="F121">
            <v>1</v>
          </cell>
        </row>
        <row r="122">
          <cell r="C122">
            <v>1</v>
          </cell>
        </row>
        <row r="123">
          <cell r="C123">
            <v>1</v>
          </cell>
        </row>
        <row r="124">
          <cell r="C124">
            <v>1</v>
          </cell>
        </row>
        <row r="125">
          <cell r="C125">
            <v>1</v>
          </cell>
        </row>
        <row r="126">
          <cell r="D126">
            <v>1</v>
          </cell>
        </row>
        <row r="127">
          <cell r="D127">
            <v>1</v>
          </cell>
        </row>
        <row r="128">
          <cell r="C128">
            <v>1</v>
          </cell>
        </row>
        <row r="129">
          <cell r="C129">
            <v>1</v>
          </cell>
        </row>
        <row r="130">
          <cell r="C130">
            <v>1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E133">
            <v>1</v>
          </cell>
        </row>
        <row r="134">
          <cell r="D134">
            <v>1</v>
          </cell>
        </row>
        <row r="135">
          <cell r="C135">
            <v>1</v>
          </cell>
        </row>
        <row r="136">
          <cell r="D136">
            <v>1</v>
          </cell>
        </row>
        <row r="137">
          <cell r="D137">
            <v>1</v>
          </cell>
        </row>
        <row r="138">
          <cell r="C138">
            <v>1</v>
          </cell>
        </row>
        <row r="139">
          <cell r="D139">
            <v>1</v>
          </cell>
        </row>
        <row r="140">
          <cell r="C140">
            <v>1</v>
          </cell>
        </row>
        <row r="141">
          <cell r="C141">
            <v>1</v>
          </cell>
        </row>
        <row r="142">
          <cell r="C142">
            <v>1</v>
          </cell>
        </row>
        <row r="143">
          <cell r="C143">
            <v>1</v>
          </cell>
        </row>
        <row r="144">
          <cell r="C144">
            <v>1</v>
          </cell>
        </row>
        <row r="145">
          <cell r="D145">
            <v>1</v>
          </cell>
        </row>
        <row r="146">
          <cell r="C146">
            <v>1</v>
          </cell>
        </row>
        <row r="147">
          <cell r="D147">
            <v>1</v>
          </cell>
        </row>
        <row r="148">
          <cell r="C148">
            <v>1</v>
          </cell>
        </row>
        <row r="149">
          <cell r="C149">
            <v>1</v>
          </cell>
        </row>
        <row r="150">
          <cell r="C150">
            <v>1</v>
          </cell>
        </row>
        <row r="151">
          <cell r="D151">
            <v>1</v>
          </cell>
        </row>
        <row r="152">
          <cell r="C152">
            <v>1</v>
          </cell>
        </row>
        <row r="153">
          <cell r="C153">
            <v>1</v>
          </cell>
        </row>
        <row r="154">
          <cell r="C154">
            <v>1</v>
          </cell>
        </row>
        <row r="155">
          <cell r="C155">
            <v>1</v>
          </cell>
        </row>
        <row r="156">
          <cell r="D156">
            <v>1</v>
          </cell>
        </row>
      </sheetData>
      <sheetData sheetId="5">
        <row r="2">
          <cell r="C2">
            <v>1</v>
          </cell>
          <cell r="H2" t="str">
            <v>Chile Digno</v>
          </cell>
          <cell r="I2">
            <v>11</v>
          </cell>
          <cell r="J2">
            <v>0</v>
          </cell>
          <cell r="K2">
            <v>0</v>
          </cell>
          <cell r="L2">
            <v>0</v>
          </cell>
          <cell r="M2">
            <v>11</v>
          </cell>
        </row>
        <row r="3">
          <cell r="C3">
            <v>1</v>
          </cell>
          <cell r="H3" t="str">
            <v>Mov. Sociales Const.</v>
          </cell>
          <cell r="I3">
            <v>12</v>
          </cell>
          <cell r="J3">
            <v>0</v>
          </cell>
          <cell r="K3">
            <v>0</v>
          </cell>
          <cell r="L3">
            <v>0</v>
          </cell>
          <cell r="M3">
            <v>12</v>
          </cell>
        </row>
        <row r="4">
          <cell r="C4">
            <v>1</v>
          </cell>
          <cell r="H4" t="str">
            <v>Pueblo Constituyente</v>
          </cell>
          <cell r="I4">
            <v>10</v>
          </cell>
          <cell r="J4">
            <v>0</v>
          </cell>
          <cell r="K4">
            <v>0</v>
          </cell>
          <cell r="L4">
            <v>0</v>
          </cell>
          <cell r="M4">
            <v>10</v>
          </cell>
        </row>
        <row r="5">
          <cell r="C5">
            <v>1</v>
          </cell>
          <cell r="H5" t="str">
            <v xml:space="preserve">Escaños Reservados </v>
          </cell>
          <cell r="I5">
            <v>8</v>
          </cell>
          <cell r="J5">
            <v>0</v>
          </cell>
          <cell r="K5">
            <v>0</v>
          </cell>
          <cell r="L5">
            <v>1</v>
          </cell>
          <cell r="M5">
            <v>9</v>
          </cell>
        </row>
        <row r="6">
          <cell r="C6">
            <v>1</v>
          </cell>
          <cell r="H6" t="str">
            <v>Coord. Plurinacional</v>
          </cell>
          <cell r="I6">
            <v>15</v>
          </cell>
          <cell r="J6">
            <v>0</v>
          </cell>
          <cell r="K6">
            <v>0</v>
          </cell>
          <cell r="L6">
            <v>1</v>
          </cell>
          <cell r="M6">
            <v>16</v>
          </cell>
        </row>
        <row r="7">
          <cell r="C7">
            <v>1</v>
          </cell>
          <cell r="H7" t="str">
            <v>Ind. Por Nueva Const.</v>
          </cell>
          <cell r="I7">
            <v>12</v>
          </cell>
          <cell r="J7">
            <v>0</v>
          </cell>
          <cell r="K7">
            <v>0</v>
          </cell>
          <cell r="L7">
            <v>0</v>
          </cell>
          <cell r="M7">
            <v>12</v>
          </cell>
        </row>
        <row r="8">
          <cell r="D8">
            <v>1</v>
          </cell>
          <cell r="H8" t="str">
            <v>Colectivo Socialista</v>
          </cell>
          <cell r="I8">
            <v>15</v>
          </cell>
          <cell r="J8">
            <v>0</v>
          </cell>
          <cell r="K8">
            <v>0</v>
          </cell>
          <cell r="L8">
            <v>0</v>
          </cell>
          <cell r="M8">
            <v>15</v>
          </cell>
        </row>
        <row r="9">
          <cell r="C9">
            <v>1</v>
          </cell>
          <cell r="H9" t="str">
            <v>Frente Amplio</v>
          </cell>
          <cell r="I9">
            <v>12</v>
          </cell>
          <cell r="J9">
            <v>1</v>
          </cell>
          <cell r="K9">
            <v>1</v>
          </cell>
          <cell r="L9">
            <v>0</v>
          </cell>
          <cell r="M9">
            <v>14</v>
          </cell>
        </row>
        <row r="10">
          <cell r="C10">
            <v>1</v>
          </cell>
          <cell r="H10" t="str">
            <v>Ind. + UDI</v>
          </cell>
          <cell r="I10">
            <v>0</v>
          </cell>
          <cell r="J10">
            <v>20</v>
          </cell>
          <cell r="K10">
            <v>0</v>
          </cell>
          <cell r="L10">
            <v>1</v>
          </cell>
          <cell r="M10">
            <v>21</v>
          </cell>
        </row>
        <row r="11">
          <cell r="C11">
            <v>1</v>
          </cell>
          <cell r="H11" t="str">
            <v>Ind. RN - Evópoli</v>
          </cell>
          <cell r="I11">
            <v>0</v>
          </cell>
          <cell r="J11">
            <v>15</v>
          </cell>
          <cell r="K11">
            <v>0</v>
          </cell>
          <cell r="L11">
            <v>0</v>
          </cell>
          <cell r="M11">
            <v>15</v>
          </cell>
        </row>
        <row r="12">
          <cell r="F12">
            <v>1</v>
          </cell>
          <cell r="H12" t="str">
            <v>Colectivo del Apruebo</v>
          </cell>
          <cell r="I12">
            <v>1</v>
          </cell>
          <cell r="J12">
            <v>6</v>
          </cell>
          <cell r="K12">
            <v>0</v>
          </cell>
          <cell r="L12">
            <v>0</v>
          </cell>
          <cell r="M12">
            <v>7</v>
          </cell>
        </row>
        <row r="13">
          <cell r="D13">
            <v>1</v>
          </cell>
          <cell r="H13" t="str">
            <v>Otros</v>
          </cell>
          <cell r="I13">
            <v>5</v>
          </cell>
          <cell r="J13">
            <v>0</v>
          </cell>
          <cell r="K13">
            <v>0</v>
          </cell>
          <cell r="L13">
            <v>0</v>
          </cell>
          <cell r="M13">
            <v>5</v>
          </cell>
        </row>
        <row r="14">
          <cell r="C14">
            <v>1</v>
          </cell>
        </row>
        <row r="15">
          <cell r="C15">
            <v>1</v>
          </cell>
        </row>
        <row r="16">
          <cell r="D16">
            <v>1</v>
          </cell>
        </row>
        <row r="17">
          <cell r="D17">
            <v>1</v>
          </cell>
        </row>
        <row r="18">
          <cell r="C18">
            <v>1</v>
          </cell>
        </row>
        <row r="19">
          <cell r="C19">
            <v>1</v>
          </cell>
        </row>
        <row r="20">
          <cell r="C20">
            <v>1</v>
          </cell>
        </row>
        <row r="21">
          <cell r="D21">
            <v>1</v>
          </cell>
        </row>
        <row r="22">
          <cell r="C22">
            <v>1</v>
          </cell>
        </row>
        <row r="23">
          <cell r="C23">
            <v>1</v>
          </cell>
        </row>
        <row r="24">
          <cell r="D24">
            <v>1</v>
          </cell>
        </row>
        <row r="25">
          <cell r="D25">
            <v>1</v>
          </cell>
        </row>
        <row r="26">
          <cell r="C26">
            <v>1</v>
          </cell>
        </row>
        <row r="27">
          <cell r="C27">
            <v>1</v>
          </cell>
        </row>
        <row r="28">
          <cell r="C28">
            <v>1</v>
          </cell>
        </row>
        <row r="29">
          <cell r="C29">
            <v>1</v>
          </cell>
        </row>
        <row r="30">
          <cell r="C30">
            <v>1</v>
          </cell>
        </row>
        <row r="31">
          <cell r="D31">
            <v>1</v>
          </cell>
        </row>
        <row r="32">
          <cell r="C32">
            <v>1</v>
          </cell>
        </row>
        <row r="33">
          <cell r="C33">
            <v>1</v>
          </cell>
        </row>
        <row r="34">
          <cell r="D34">
            <v>1</v>
          </cell>
        </row>
        <row r="35">
          <cell r="D35">
            <v>1</v>
          </cell>
        </row>
        <row r="36">
          <cell r="C36">
            <v>1</v>
          </cell>
        </row>
        <row r="37">
          <cell r="C37">
            <v>1</v>
          </cell>
        </row>
        <row r="38">
          <cell r="D38">
            <v>1</v>
          </cell>
        </row>
        <row r="39">
          <cell r="C39">
            <v>1</v>
          </cell>
        </row>
        <row r="40">
          <cell r="D40">
            <v>1</v>
          </cell>
        </row>
        <row r="41">
          <cell r="C41">
            <v>1</v>
          </cell>
        </row>
        <row r="42">
          <cell r="D42">
            <v>1</v>
          </cell>
        </row>
        <row r="43">
          <cell r="D43">
            <v>1</v>
          </cell>
        </row>
        <row r="44">
          <cell r="C44">
            <v>1</v>
          </cell>
        </row>
        <row r="45">
          <cell r="D45">
            <v>1</v>
          </cell>
        </row>
        <row r="46">
          <cell r="C46">
            <v>1</v>
          </cell>
          <cell r="H46" t="str">
            <v>Chile Digno</v>
          </cell>
          <cell r="I46">
            <v>1</v>
          </cell>
          <cell r="J46">
            <v>0</v>
          </cell>
          <cell r="K46">
            <v>0</v>
          </cell>
          <cell r="L46">
            <v>0</v>
          </cell>
        </row>
        <row r="47">
          <cell r="D47">
            <v>1</v>
          </cell>
          <cell r="H47" t="str">
            <v>Mov. Sociales Const.</v>
          </cell>
          <cell r="I47">
            <v>1</v>
          </cell>
          <cell r="J47">
            <v>0</v>
          </cell>
          <cell r="K47">
            <v>0</v>
          </cell>
          <cell r="L47">
            <v>0</v>
          </cell>
        </row>
        <row r="48">
          <cell r="C48">
            <v>1</v>
          </cell>
          <cell r="H48" t="str">
            <v>Pueblo Constituyente</v>
          </cell>
          <cell r="I48">
            <v>1</v>
          </cell>
          <cell r="J48">
            <v>0</v>
          </cell>
          <cell r="K48">
            <v>0</v>
          </cell>
          <cell r="L48">
            <v>0</v>
          </cell>
        </row>
        <row r="49">
          <cell r="C49">
            <v>1</v>
          </cell>
          <cell r="H49" t="str">
            <v xml:space="preserve">Escaños Reservados </v>
          </cell>
          <cell r="I49">
            <v>0.88888888888888884</v>
          </cell>
          <cell r="J49">
            <v>0</v>
          </cell>
          <cell r="K49">
            <v>0</v>
          </cell>
          <cell r="L49">
            <v>0.1111111111111111</v>
          </cell>
        </row>
        <row r="50">
          <cell r="C50">
            <v>1</v>
          </cell>
          <cell r="H50" t="str">
            <v>Coord. Plurinacional</v>
          </cell>
          <cell r="I50">
            <v>0.9375</v>
          </cell>
          <cell r="J50">
            <v>0</v>
          </cell>
          <cell r="K50">
            <v>0</v>
          </cell>
          <cell r="L50">
            <v>6.25E-2</v>
          </cell>
        </row>
        <row r="51">
          <cell r="C51">
            <v>1</v>
          </cell>
          <cell r="H51" t="str">
            <v>Ind. Por Nueva Const.</v>
          </cell>
          <cell r="I51">
            <v>1</v>
          </cell>
          <cell r="J51">
            <v>0</v>
          </cell>
          <cell r="K51">
            <v>0</v>
          </cell>
          <cell r="L51">
            <v>0</v>
          </cell>
        </row>
        <row r="52">
          <cell r="C52">
            <v>1</v>
          </cell>
          <cell r="H52" t="str">
            <v>Colectivo Socialista</v>
          </cell>
          <cell r="I52">
            <v>1</v>
          </cell>
          <cell r="J52">
            <v>0</v>
          </cell>
          <cell r="K52">
            <v>0</v>
          </cell>
          <cell r="L52">
            <v>0</v>
          </cell>
        </row>
        <row r="53">
          <cell r="D53">
            <v>1</v>
          </cell>
          <cell r="H53" t="str">
            <v>Frente Amplio</v>
          </cell>
          <cell r="I53">
            <v>0.8571428571428571</v>
          </cell>
          <cell r="J53">
            <v>7.1428571428571425E-2</v>
          </cell>
          <cell r="K53">
            <v>7.1428571428571425E-2</v>
          </cell>
          <cell r="L53">
            <v>0</v>
          </cell>
        </row>
        <row r="54">
          <cell r="C54">
            <v>1</v>
          </cell>
          <cell r="H54" t="str">
            <v>Ind. + UDI</v>
          </cell>
          <cell r="I54">
            <v>0</v>
          </cell>
          <cell r="J54">
            <v>0.95238095238095233</v>
          </cell>
          <cell r="K54">
            <v>0</v>
          </cell>
          <cell r="L54">
            <v>4.7619047619047616E-2</v>
          </cell>
        </row>
        <row r="55">
          <cell r="C55">
            <v>1</v>
          </cell>
          <cell r="H55" t="str">
            <v>Ind. RN - Evópoli</v>
          </cell>
          <cell r="I55">
            <v>0</v>
          </cell>
          <cell r="J55">
            <v>1</v>
          </cell>
          <cell r="K55">
            <v>0</v>
          </cell>
          <cell r="L55">
            <v>0</v>
          </cell>
        </row>
        <row r="56">
          <cell r="C56">
            <v>1</v>
          </cell>
          <cell r="H56" t="str">
            <v>Colectivo del Apruebo</v>
          </cell>
          <cell r="I56">
            <v>0.14285714285714285</v>
          </cell>
          <cell r="J56">
            <v>0.8571428571428571</v>
          </cell>
          <cell r="K56">
            <v>0</v>
          </cell>
          <cell r="L56">
            <v>0</v>
          </cell>
        </row>
        <row r="57">
          <cell r="C57">
            <v>1</v>
          </cell>
          <cell r="H57" t="str">
            <v>Otros</v>
          </cell>
          <cell r="I57">
            <v>1</v>
          </cell>
          <cell r="J57">
            <v>0</v>
          </cell>
          <cell r="K57">
            <v>0</v>
          </cell>
          <cell r="L57">
            <v>0</v>
          </cell>
        </row>
        <row r="58">
          <cell r="C58">
            <v>1</v>
          </cell>
        </row>
        <row r="59">
          <cell r="C59">
            <v>1</v>
          </cell>
        </row>
        <row r="60">
          <cell r="C60">
            <v>1</v>
          </cell>
        </row>
        <row r="61">
          <cell r="C61">
            <v>1</v>
          </cell>
        </row>
        <row r="62">
          <cell r="C62">
            <v>1</v>
          </cell>
        </row>
        <row r="63">
          <cell r="F63">
            <v>1</v>
          </cell>
        </row>
        <row r="64">
          <cell r="C64">
            <v>1</v>
          </cell>
        </row>
        <row r="65">
          <cell r="C65">
            <v>1</v>
          </cell>
        </row>
        <row r="66">
          <cell r="C66">
            <v>1</v>
          </cell>
        </row>
        <row r="67">
          <cell r="C67">
            <v>1</v>
          </cell>
        </row>
        <row r="68">
          <cell r="C68">
            <v>1</v>
          </cell>
        </row>
        <row r="69">
          <cell r="C69">
            <v>1</v>
          </cell>
        </row>
        <row r="70">
          <cell r="D70">
            <v>1</v>
          </cell>
        </row>
        <row r="71">
          <cell r="D71">
            <v>1</v>
          </cell>
        </row>
        <row r="72">
          <cell r="C72">
            <v>1</v>
          </cell>
        </row>
        <row r="73">
          <cell r="C73">
            <v>1</v>
          </cell>
        </row>
        <row r="74">
          <cell r="D74">
            <v>1</v>
          </cell>
        </row>
        <row r="75">
          <cell r="D75">
            <v>1</v>
          </cell>
        </row>
        <row r="76">
          <cell r="C76">
            <v>1</v>
          </cell>
        </row>
        <row r="77">
          <cell r="D77">
            <v>1</v>
          </cell>
        </row>
        <row r="78">
          <cell r="C78">
            <v>1</v>
          </cell>
        </row>
        <row r="79">
          <cell r="C79">
            <v>1</v>
          </cell>
        </row>
        <row r="80">
          <cell r="D80">
            <v>1</v>
          </cell>
        </row>
        <row r="81">
          <cell r="D81">
            <v>1</v>
          </cell>
        </row>
        <row r="82">
          <cell r="C82">
            <v>1</v>
          </cell>
        </row>
        <row r="83">
          <cell r="C83">
            <v>1</v>
          </cell>
        </row>
        <row r="84">
          <cell r="D84">
            <v>1</v>
          </cell>
        </row>
        <row r="85">
          <cell r="C85">
            <v>1</v>
          </cell>
        </row>
        <row r="86">
          <cell r="C86">
            <v>1</v>
          </cell>
        </row>
        <row r="87">
          <cell r="C87">
            <v>1</v>
          </cell>
        </row>
        <row r="88">
          <cell r="F88">
            <v>1</v>
          </cell>
        </row>
        <row r="89">
          <cell r="C89">
            <v>1</v>
          </cell>
        </row>
        <row r="90">
          <cell r="C90">
            <v>1</v>
          </cell>
        </row>
        <row r="91">
          <cell r="D91">
            <v>1</v>
          </cell>
        </row>
        <row r="92">
          <cell r="C92">
            <v>1</v>
          </cell>
        </row>
        <row r="93">
          <cell r="D93">
            <v>1</v>
          </cell>
        </row>
        <row r="94">
          <cell r="C94">
            <v>1</v>
          </cell>
        </row>
        <row r="95">
          <cell r="C95">
            <v>1</v>
          </cell>
        </row>
        <row r="96">
          <cell r="C96">
            <v>1</v>
          </cell>
        </row>
        <row r="97">
          <cell r="D97">
            <v>1</v>
          </cell>
        </row>
        <row r="98">
          <cell r="D98">
            <v>1</v>
          </cell>
        </row>
        <row r="99">
          <cell r="C99">
            <v>1</v>
          </cell>
        </row>
        <row r="100">
          <cell r="D100">
            <v>1</v>
          </cell>
        </row>
        <row r="101">
          <cell r="C101">
            <v>1</v>
          </cell>
        </row>
        <row r="102">
          <cell r="C102">
            <v>1</v>
          </cell>
        </row>
        <row r="103">
          <cell r="D103">
            <v>1</v>
          </cell>
        </row>
        <row r="104">
          <cell r="D104">
            <v>1</v>
          </cell>
        </row>
        <row r="105">
          <cell r="C105">
            <v>1</v>
          </cell>
        </row>
        <row r="106">
          <cell r="C106">
            <v>1</v>
          </cell>
        </row>
        <row r="107">
          <cell r="C107">
            <v>1</v>
          </cell>
        </row>
        <row r="108">
          <cell r="D108">
            <v>1</v>
          </cell>
        </row>
        <row r="109">
          <cell r="C109">
            <v>1</v>
          </cell>
        </row>
        <row r="110">
          <cell r="C110">
            <v>1</v>
          </cell>
        </row>
        <row r="111">
          <cell r="C111">
            <v>1</v>
          </cell>
        </row>
        <row r="112">
          <cell r="C112">
            <v>1</v>
          </cell>
        </row>
        <row r="113">
          <cell r="C113">
            <v>1</v>
          </cell>
        </row>
        <row r="114">
          <cell r="C114">
            <v>1</v>
          </cell>
        </row>
        <row r="115">
          <cell r="C115">
            <v>1</v>
          </cell>
        </row>
        <row r="116">
          <cell r="D116">
            <v>1</v>
          </cell>
        </row>
        <row r="117">
          <cell r="C117">
            <v>1</v>
          </cell>
        </row>
        <row r="118">
          <cell r="D118">
            <v>1</v>
          </cell>
        </row>
        <row r="119">
          <cell r="C119">
            <v>1</v>
          </cell>
        </row>
        <row r="120">
          <cell r="C120">
            <v>1</v>
          </cell>
        </row>
        <row r="121">
          <cell r="F121">
            <v>1</v>
          </cell>
        </row>
        <row r="122">
          <cell r="C122">
            <v>1</v>
          </cell>
        </row>
        <row r="123">
          <cell r="C123">
            <v>1</v>
          </cell>
        </row>
        <row r="124">
          <cell r="C124">
            <v>1</v>
          </cell>
        </row>
        <row r="125">
          <cell r="C125">
            <v>1</v>
          </cell>
        </row>
        <row r="126">
          <cell r="C126">
            <v>1</v>
          </cell>
        </row>
        <row r="127">
          <cell r="C127">
            <v>1</v>
          </cell>
        </row>
        <row r="128">
          <cell r="C128">
            <v>1</v>
          </cell>
        </row>
        <row r="129">
          <cell r="C129">
            <v>1</v>
          </cell>
        </row>
        <row r="130">
          <cell r="C130">
            <v>1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C133">
            <v>1</v>
          </cell>
        </row>
        <row r="134">
          <cell r="D134">
            <v>1</v>
          </cell>
        </row>
        <row r="135">
          <cell r="C135">
            <v>1</v>
          </cell>
        </row>
        <row r="136">
          <cell r="D136">
            <v>1</v>
          </cell>
        </row>
        <row r="137">
          <cell r="D137">
            <v>1</v>
          </cell>
        </row>
        <row r="138">
          <cell r="C138">
            <v>1</v>
          </cell>
        </row>
        <row r="139">
          <cell r="C139">
            <v>1</v>
          </cell>
        </row>
        <row r="140">
          <cell r="C140">
            <v>1</v>
          </cell>
        </row>
        <row r="141">
          <cell r="C141">
            <v>1</v>
          </cell>
        </row>
        <row r="142">
          <cell r="C142">
            <v>1</v>
          </cell>
        </row>
        <row r="143">
          <cell r="C143">
            <v>1</v>
          </cell>
        </row>
        <row r="144">
          <cell r="C144">
            <v>1</v>
          </cell>
        </row>
        <row r="145">
          <cell r="D145">
            <v>1</v>
          </cell>
        </row>
        <row r="146">
          <cell r="C146">
            <v>1</v>
          </cell>
        </row>
        <row r="147">
          <cell r="D147">
            <v>1</v>
          </cell>
        </row>
        <row r="148">
          <cell r="C148">
            <v>1</v>
          </cell>
        </row>
        <row r="149">
          <cell r="C149">
            <v>1</v>
          </cell>
        </row>
        <row r="150">
          <cell r="C150">
            <v>1</v>
          </cell>
        </row>
        <row r="151">
          <cell r="C151">
            <v>1</v>
          </cell>
        </row>
        <row r="152">
          <cell r="C152">
            <v>1</v>
          </cell>
        </row>
        <row r="153">
          <cell r="C153">
            <v>1</v>
          </cell>
        </row>
        <row r="154">
          <cell r="C154">
            <v>1</v>
          </cell>
        </row>
        <row r="155">
          <cell r="C155">
            <v>1</v>
          </cell>
        </row>
        <row r="156">
          <cell r="D156">
            <v>1</v>
          </cell>
        </row>
      </sheetData>
      <sheetData sheetId="6">
        <row r="2">
          <cell r="E2">
            <v>1</v>
          </cell>
          <cell r="H2" t="str">
            <v>Chile Digno</v>
          </cell>
          <cell r="I2">
            <v>11</v>
          </cell>
          <cell r="J2">
            <v>0</v>
          </cell>
          <cell r="K2">
            <v>0</v>
          </cell>
          <cell r="L2">
            <v>0</v>
          </cell>
          <cell r="M2">
            <v>11</v>
          </cell>
        </row>
        <row r="3">
          <cell r="C3">
            <v>1</v>
          </cell>
          <cell r="H3" t="str">
            <v>Mov. Sociales Const.</v>
          </cell>
          <cell r="I3">
            <v>6</v>
          </cell>
          <cell r="J3">
            <v>5</v>
          </cell>
          <cell r="K3">
            <v>0</v>
          </cell>
          <cell r="L3">
            <v>1</v>
          </cell>
          <cell r="M3">
            <v>12</v>
          </cell>
        </row>
        <row r="4">
          <cell r="D4">
            <v>1</v>
          </cell>
          <cell r="H4" t="str">
            <v>Pueblo Constituyente</v>
          </cell>
          <cell r="I4">
            <v>8</v>
          </cell>
          <cell r="J4">
            <v>2</v>
          </cell>
          <cell r="K4">
            <v>0</v>
          </cell>
          <cell r="L4">
            <v>0</v>
          </cell>
          <cell r="M4">
            <v>10</v>
          </cell>
        </row>
        <row r="5">
          <cell r="D5">
            <v>1</v>
          </cell>
          <cell r="H5" t="str">
            <v xml:space="preserve">Escaños Reservados </v>
          </cell>
          <cell r="I5">
            <v>0</v>
          </cell>
          <cell r="J5">
            <v>8</v>
          </cell>
          <cell r="K5">
            <v>0</v>
          </cell>
          <cell r="L5">
            <v>1</v>
          </cell>
          <cell r="M5">
            <v>9</v>
          </cell>
        </row>
        <row r="6">
          <cell r="C6">
            <v>1</v>
          </cell>
          <cell r="H6" t="str">
            <v>Coord. Plurinacional</v>
          </cell>
          <cell r="I6">
            <v>16</v>
          </cell>
          <cell r="J6">
            <v>0</v>
          </cell>
          <cell r="K6">
            <v>0</v>
          </cell>
          <cell r="L6">
            <v>0</v>
          </cell>
          <cell r="M6">
            <v>16</v>
          </cell>
        </row>
        <row r="7">
          <cell r="D7">
            <v>1</v>
          </cell>
          <cell r="H7" t="str">
            <v>Ind. Por Nueva Const.</v>
          </cell>
          <cell r="I7">
            <v>4</v>
          </cell>
          <cell r="J7">
            <v>1</v>
          </cell>
          <cell r="K7">
            <v>7</v>
          </cell>
          <cell r="L7">
            <v>0</v>
          </cell>
          <cell r="M7">
            <v>12</v>
          </cell>
        </row>
        <row r="8">
          <cell r="D8">
            <v>1</v>
          </cell>
          <cell r="H8" t="str">
            <v>Colectivo Socialista</v>
          </cell>
          <cell r="I8">
            <v>1</v>
          </cell>
          <cell r="J8">
            <v>13</v>
          </cell>
          <cell r="K8">
            <v>1</v>
          </cell>
          <cell r="L8">
            <v>0</v>
          </cell>
          <cell r="M8">
            <v>15</v>
          </cell>
        </row>
        <row r="9">
          <cell r="C9">
            <v>1</v>
          </cell>
          <cell r="H9" t="str">
            <v>Frente Amplio</v>
          </cell>
          <cell r="I9">
            <v>2</v>
          </cell>
          <cell r="J9">
            <v>8</v>
          </cell>
          <cell r="K9">
            <v>8</v>
          </cell>
          <cell r="L9">
            <v>0</v>
          </cell>
          <cell r="M9">
            <v>18</v>
          </cell>
        </row>
        <row r="10">
          <cell r="C10">
            <v>1</v>
          </cell>
          <cell r="H10" t="str">
            <v>Ind. + UDI</v>
          </cell>
          <cell r="I10">
            <v>0</v>
          </cell>
          <cell r="J10">
            <v>21</v>
          </cell>
          <cell r="K10">
            <v>0</v>
          </cell>
          <cell r="L10">
            <v>0</v>
          </cell>
          <cell r="M10">
            <v>21</v>
          </cell>
        </row>
        <row r="11">
          <cell r="C11">
            <v>1</v>
          </cell>
          <cell r="H11" t="str">
            <v>Ind. RN - Evópoli</v>
          </cell>
          <cell r="I11">
            <v>0</v>
          </cell>
          <cell r="J11">
            <v>15</v>
          </cell>
          <cell r="K11">
            <v>0</v>
          </cell>
          <cell r="L11">
            <v>0</v>
          </cell>
          <cell r="M11">
            <v>15</v>
          </cell>
        </row>
        <row r="12">
          <cell r="C12">
            <v>1</v>
          </cell>
          <cell r="H12" t="str">
            <v>Colectivo del Apruebo</v>
          </cell>
          <cell r="I12">
            <v>1</v>
          </cell>
          <cell r="J12">
            <v>6</v>
          </cell>
          <cell r="K12">
            <v>0</v>
          </cell>
          <cell r="L12">
            <v>0</v>
          </cell>
          <cell r="M12">
            <v>7</v>
          </cell>
        </row>
        <row r="13">
          <cell r="D13">
            <v>1</v>
          </cell>
          <cell r="H13" t="str">
            <v>Otros</v>
          </cell>
          <cell r="I13">
            <v>4</v>
          </cell>
          <cell r="J13">
            <v>1</v>
          </cell>
          <cell r="K13">
            <v>0</v>
          </cell>
          <cell r="L13">
            <v>0</v>
          </cell>
          <cell r="M13">
            <v>5</v>
          </cell>
        </row>
        <row r="14">
          <cell r="C14">
            <v>1</v>
          </cell>
        </row>
        <row r="15">
          <cell r="C15">
            <v>1</v>
          </cell>
        </row>
        <row r="16">
          <cell r="D16">
            <v>1</v>
          </cell>
        </row>
        <row r="17">
          <cell r="D17">
            <v>1</v>
          </cell>
        </row>
        <row r="18">
          <cell r="C18">
            <v>1</v>
          </cell>
        </row>
        <row r="19">
          <cell r="D19">
            <v>1</v>
          </cell>
        </row>
        <row r="20">
          <cell r="C20">
            <v>1</v>
          </cell>
        </row>
        <row r="21">
          <cell r="C21">
            <v>1</v>
          </cell>
        </row>
        <row r="22">
          <cell r="C22">
            <v>1</v>
          </cell>
        </row>
        <row r="23">
          <cell r="E23">
            <v>1</v>
          </cell>
        </row>
        <row r="24">
          <cell r="D24">
            <v>1</v>
          </cell>
        </row>
        <row r="25">
          <cell r="D25">
            <v>1</v>
          </cell>
        </row>
        <row r="26">
          <cell r="D26">
            <v>1</v>
          </cell>
        </row>
        <row r="27">
          <cell r="C27">
            <v>1</v>
          </cell>
        </row>
        <row r="28">
          <cell r="C28">
            <v>1</v>
          </cell>
        </row>
        <row r="29">
          <cell r="C29">
            <v>1</v>
          </cell>
        </row>
        <row r="30">
          <cell r="D30">
            <v>1</v>
          </cell>
        </row>
        <row r="31">
          <cell r="D31">
            <v>1</v>
          </cell>
        </row>
        <row r="32">
          <cell r="D32">
            <v>1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1</v>
          </cell>
        </row>
        <row r="36">
          <cell r="D36">
            <v>1</v>
          </cell>
        </row>
        <row r="37">
          <cell r="C37">
            <v>1</v>
          </cell>
        </row>
        <row r="38">
          <cell r="D38">
            <v>1</v>
          </cell>
        </row>
        <row r="39">
          <cell r="E39">
            <v>1</v>
          </cell>
        </row>
        <row r="40">
          <cell r="D40">
            <v>1</v>
          </cell>
        </row>
        <row r="41">
          <cell r="C41">
            <v>1</v>
          </cell>
        </row>
        <row r="42">
          <cell r="D42">
            <v>1</v>
          </cell>
        </row>
        <row r="43">
          <cell r="D43">
            <v>1</v>
          </cell>
        </row>
        <row r="44">
          <cell r="D44">
            <v>1</v>
          </cell>
        </row>
        <row r="45">
          <cell r="D45">
            <v>1</v>
          </cell>
        </row>
        <row r="46">
          <cell r="E46">
            <v>1</v>
          </cell>
          <cell r="H46" t="str">
            <v>Chile Digno</v>
          </cell>
          <cell r="I46">
            <v>1</v>
          </cell>
          <cell r="J46">
            <v>0</v>
          </cell>
          <cell r="K46">
            <v>0</v>
          </cell>
          <cell r="L46">
            <v>0</v>
          </cell>
        </row>
        <row r="47">
          <cell r="D47">
            <v>1</v>
          </cell>
          <cell r="H47" t="str">
            <v>Mov. Sociales Const.</v>
          </cell>
          <cell r="I47">
            <v>0.5</v>
          </cell>
          <cell r="J47">
            <v>0.41666666666666669</v>
          </cell>
          <cell r="K47">
            <v>0</v>
          </cell>
          <cell r="L47">
            <v>8.3333333333333329E-2</v>
          </cell>
        </row>
        <row r="48">
          <cell r="E48">
            <v>1</v>
          </cell>
          <cell r="H48" t="str">
            <v>Pueblo Constituyente</v>
          </cell>
          <cell r="I48">
            <v>0.8</v>
          </cell>
          <cell r="J48">
            <v>0.2</v>
          </cell>
          <cell r="K48">
            <v>0</v>
          </cell>
          <cell r="L48">
            <v>0</v>
          </cell>
        </row>
        <row r="49">
          <cell r="E49">
            <v>1</v>
          </cell>
          <cell r="H49" t="str">
            <v xml:space="preserve">Escaños Reservados </v>
          </cell>
          <cell r="I49">
            <v>0</v>
          </cell>
          <cell r="J49">
            <v>0.88888888888888884</v>
          </cell>
          <cell r="K49">
            <v>0</v>
          </cell>
          <cell r="L49">
            <v>0.1111111111111111</v>
          </cell>
        </row>
        <row r="50">
          <cell r="D50">
            <v>1</v>
          </cell>
          <cell r="H50" t="str">
            <v>Coord. Plurinacional</v>
          </cell>
          <cell r="I50">
            <v>1</v>
          </cell>
          <cell r="J50">
            <v>0</v>
          </cell>
          <cell r="K50">
            <v>0</v>
          </cell>
          <cell r="L50">
            <v>0</v>
          </cell>
        </row>
        <row r="51">
          <cell r="D51">
            <v>1</v>
          </cell>
          <cell r="H51" t="str">
            <v>Ind. Por Nueva Const.</v>
          </cell>
          <cell r="I51">
            <v>0.33333333333333331</v>
          </cell>
          <cell r="J51">
            <v>8.3333333333333329E-2</v>
          </cell>
          <cell r="K51">
            <v>0.58333333333333337</v>
          </cell>
          <cell r="L51">
            <v>0</v>
          </cell>
        </row>
        <row r="52">
          <cell r="F52">
            <v>1</v>
          </cell>
          <cell r="H52" t="str">
            <v>Colectivo Socialista</v>
          </cell>
          <cell r="I52">
            <v>6.6666666666666666E-2</v>
          </cell>
          <cell r="J52">
            <v>0.8666666666666667</v>
          </cell>
          <cell r="K52">
            <v>6.6666666666666666E-2</v>
          </cell>
          <cell r="L52">
            <v>0</v>
          </cell>
        </row>
        <row r="53">
          <cell r="D53">
            <v>1</v>
          </cell>
          <cell r="H53" t="str">
            <v>Frente Amplio</v>
          </cell>
          <cell r="I53">
            <v>0.1111111111111111</v>
          </cell>
          <cell r="J53">
            <v>0.44444444444444442</v>
          </cell>
          <cell r="K53">
            <v>0.44444444444444442</v>
          </cell>
          <cell r="L53">
            <v>0</v>
          </cell>
        </row>
        <row r="54">
          <cell r="E54">
            <v>1</v>
          </cell>
          <cell r="H54" t="str">
            <v>Ind. + UDI</v>
          </cell>
          <cell r="I54">
            <v>0</v>
          </cell>
          <cell r="J54">
            <v>1</v>
          </cell>
          <cell r="K54">
            <v>0</v>
          </cell>
          <cell r="L54">
            <v>0</v>
          </cell>
        </row>
        <row r="55">
          <cell r="C55">
            <v>1</v>
          </cell>
          <cell r="H55" t="str">
            <v>Ind. RN - Evópoli</v>
          </cell>
          <cell r="I55">
            <v>0</v>
          </cell>
          <cell r="J55">
            <v>1</v>
          </cell>
          <cell r="K55">
            <v>0</v>
          </cell>
          <cell r="L55">
            <v>0</v>
          </cell>
        </row>
        <row r="56">
          <cell r="D56">
            <v>1</v>
          </cell>
          <cell r="H56" t="str">
            <v>Colectivo del Apruebo</v>
          </cell>
          <cell r="I56">
            <v>0.14285714285714285</v>
          </cell>
          <cell r="J56">
            <v>0.8571428571428571</v>
          </cell>
          <cell r="K56">
            <v>0</v>
          </cell>
          <cell r="L56">
            <v>0</v>
          </cell>
        </row>
        <row r="57">
          <cell r="C57">
            <v>1</v>
          </cell>
          <cell r="H57" t="str">
            <v>Otros</v>
          </cell>
          <cell r="I57">
            <v>0.8</v>
          </cell>
          <cell r="J57">
            <v>0.2</v>
          </cell>
          <cell r="K57">
            <v>0</v>
          </cell>
          <cell r="L57">
            <v>0</v>
          </cell>
        </row>
        <row r="58">
          <cell r="D58">
            <v>1</v>
          </cell>
        </row>
        <row r="59">
          <cell r="C59">
            <v>1</v>
          </cell>
        </row>
        <row r="60">
          <cell r="D60">
            <v>1</v>
          </cell>
        </row>
        <row r="61">
          <cell r="E61">
            <v>1</v>
          </cell>
        </row>
        <row r="62">
          <cell r="C62">
            <v>1</v>
          </cell>
        </row>
        <row r="63">
          <cell r="F63">
            <v>1</v>
          </cell>
        </row>
        <row r="64">
          <cell r="C64">
            <v>1</v>
          </cell>
        </row>
        <row r="65">
          <cell r="C65">
            <v>1</v>
          </cell>
        </row>
        <row r="66">
          <cell r="C66">
            <v>1</v>
          </cell>
        </row>
        <row r="67">
          <cell r="D67">
            <v>1</v>
          </cell>
        </row>
        <row r="68">
          <cell r="C68">
            <v>1</v>
          </cell>
        </row>
        <row r="69">
          <cell r="C69">
            <v>1</v>
          </cell>
        </row>
        <row r="70">
          <cell r="D70">
            <v>1</v>
          </cell>
        </row>
        <row r="71">
          <cell r="D71">
            <v>1</v>
          </cell>
        </row>
        <row r="72">
          <cell r="D72">
            <v>1</v>
          </cell>
        </row>
        <row r="73">
          <cell r="D73">
            <v>1</v>
          </cell>
        </row>
        <row r="74">
          <cell r="D74">
            <v>1</v>
          </cell>
        </row>
        <row r="75">
          <cell r="D75">
            <v>1</v>
          </cell>
        </row>
        <row r="76">
          <cell r="C76">
            <v>1</v>
          </cell>
        </row>
        <row r="77">
          <cell r="D77">
            <v>1</v>
          </cell>
        </row>
        <row r="78">
          <cell r="C78">
            <v>1</v>
          </cell>
        </row>
        <row r="79">
          <cell r="D79">
            <v>1</v>
          </cell>
        </row>
        <row r="80">
          <cell r="D80">
            <v>1</v>
          </cell>
        </row>
        <row r="81">
          <cell r="D81">
            <v>1</v>
          </cell>
        </row>
        <row r="82">
          <cell r="C82">
            <v>1</v>
          </cell>
        </row>
        <row r="83">
          <cell r="C83">
            <v>1</v>
          </cell>
        </row>
        <row r="84">
          <cell r="D84">
            <v>1</v>
          </cell>
        </row>
        <row r="85">
          <cell r="D85">
            <v>1</v>
          </cell>
        </row>
        <row r="86">
          <cell r="C86">
            <v>1</v>
          </cell>
        </row>
        <row r="87">
          <cell r="D87">
            <v>1</v>
          </cell>
        </row>
        <row r="88">
          <cell r="D88">
            <v>1</v>
          </cell>
        </row>
        <row r="89">
          <cell r="C89">
            <v>1</v>
          </cell>
        </row>
        <row r="90">
          <cell r="D90">
            <v>1</v>
          </cell>
        </row>
        <row r="91">
          <cell r="D91">
            <v>1</v>
          </cell>
        </row>
        <row r="92">
          <cell r="E92">
            <v>1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1</v>
          </cell>
        </row>
        <row r="96">
          <cell r="C96">
            <v>1</v>
          </cell>
        </row>
        <row r="97">
          <cell r="D97">
            <v>1</v>
          </cell>
        </row>
        <row r="98">
          <cell r="D98">
            <v>1</v>
          </cell>
        </row>
        <row r="99">
          <cell r="D99">
            <v>1</v>
          </cell>
        </row>
        <row r="100">
          <cell r="D100">
            <v>1</v>
          </cell>
        </row>
        <row r="101">
          <cell r="D101">
            <v>1</v>
          </cell>
        </row>
        <row r="102">
          <cell r="C102">
            <v>1</v>
          </cell>
        </row>
        <row r="103">
          <cell r="D103">
            <v>1</v>
          </cell>
        </row>
        <row r="104">
          <cell r="D104">
            <v>1</v>
          </cell>
        </row>
        <row r="105">
          <cell r="C105">
            <v>1</v>
          </cell>
        </row>
        <row r="106">
          <cell r="C106">
            <v>1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</v>
          </cell>
        </row>
        <row r="110">
          <cell r="C110">
            <v>1</v>
          </cell>
        </row>
        <row r="111">
          <cell r="E111">
            <v>1</v>
          </cell>
        </row>
        <row r="112">
          <cell r="E112">
            <v>1</v>
          </cell>
        </row>
        <row r="113">
          <cell r="C113">
            <v>1</v>
          </cell>
        </row>
        <row r="114">
          <cell r="E114">
            <v>1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1</v>
          </cell>
        </row>
        <row r="118">
          <cell r="D118">
            <v>1</v>
          </cell>
        </row>
        <row r="119">
          <cell r="C119">
            <v>1</v>
          </cell>
        </row>
        <row r="120">
          <cell r="D120">
            <v>1</v>
          </cell>
        </row>
        <row r="121">
          <cell r="F121">
            <v>1</v>
          </cell>
        </row>
        <row r="122">
          <cell r="C122">
            <v>1</v>
          </cell>
        </row>
        <row r="123">
          <cell r="C123">
            <v>1</v>
          </cell>
        </row>
        <row r="124">
          <cell r="C124">
            <v>1</v>
          </cell>
        </row>
        <row r="125">
          <cell r="C125">
            <v>1</v>
          </cell>
        </row>
        <row r="126">
          <cell r="D126">
            <v>1</v>
          </cell>
        </row>
        <row r="127">
          <cell r="D127">
            <v>1</v>
          </cell>
        </row>
        <row r="128">
          <cell r="C128">
            <v>1</v>
          </cell>
        </row>
        <row r="129">
          <cell r="E129">
            <v>1</v>
          </cell>
        </row>
        <row r="130">
          <cell r="C130">
            <v>1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1</v>
          </cell>
        </row>
        <row r="134">
          <cell r="D134">
            <v>1</v>
          </cell>
        </row>
        <row r="135">
          <cell r="D135">
            <v>1</v>
          </cell>
        </row>
        <row r="136">
          <cell r="D136">
            <v>1</v>
          </cell>
        </row>
        <row r="137">
          <cell r="D137">
            <v>1</v>
          </cell>
        </row>
        <row r="138">
          <cell r="C138">
            <v>1</v>
          </cell>
        </row>
        <row r="139">
          <cell r="D139">
            <v>1</v>
          </cell>
        </row>
        <row r="140">
          <cell r="D140">
            <v>1</v>
          </cell>
        </row>
        <row r="141">
          <cell r="E141">
            <v>1</v>
          </cell>
        </row>
        <row r="142">
          <cell r="C142">
            <v>1</v>
          </cell>
        </row>
        <row r="143">
          <cell r="C143">
            <v>1</v>
          </cell>
        </row>
        <row r="144">
          <cell r="D144">
            <v>1</v>
          </cell>
        </row>
        <row r="145">
          <cell r="D145">
            <v>1</v>
          </cell>
        </row>
        <row r="146">
          <cell r="C146">
            <v>1</v>
          </cell>
        </row>
        <row r="147">
          <cell r="D147">
            <v>1</v>
          </cell>
        </row>
        <row r="148">
          <cell r="C148">
            <v>1</v>
          </cell>
        </row>
        <row r="149">
          <cell r="D149">
            <v>1</v>
          </cell>
        </row>
        <row r="150">
          <cell r="C150">
            <v>1</v>
          </cell>
        </row>
        <row r="151">
          <cell r="D151">
            <v>1</v>
          </cell>
        </row>
        <row r="152">
          <cell r="C152">
            <v>1</v>
          </cell>
        </row>
        <row r="153">
          <cell r="D153">
            <v>1</v>
          </cell>
        </row>
        <row r="154">
          <cell r="C154">
            <v>1</v>
          </cell>
        </row>
        <row r="155">
          <cell r="C155">
            <v>1</v>
          </cell>
        </row>
        <row r="156">
          <cell r="D156">
            <v>1</v>
          </cell>
        </row>
      </sheetData>
      <sheetData sheetId="7">
        <row r="2">
          <cell r="E2">
            <v>1</v>
          </cell>
          <cell r="H2" t="str">
            <v>Chile Digno</v>
          </cell>
          <cell r="I2">
            <v>11</v>
          </cell>
          <cell r="J2">
            <v>0</v>
          </cell>
          <cell r="K2">
            <v>0</v>
          </cell>
          <cell r="L2">
            <v>0</v>
          </cell>
          <cell r="M2">
            <v>11</v>
          </cell>
        </row>
        <row r="3">
          <cell r="C3">
            <v>1</v>
          </cell>
          <cell r="H3" t="str">
            <v>Mov. Sociales Const.</v>
          </cell>
          <cell r="I3">
            <v>5</v>
          </cell>
          <cell r="J3">
            <v>7</v>
          </cell>
          <cell r="K3">
            <v>0</v>
          </cell>
          <cell r="L3">
            <v>0</v>
          </cell>
          <cell r="M3">
            <v>12</v>
          </cell>
        </row>
        <row r="4">
          <cell r="D4">
            <v>1</v>
          </cell>
          <cell r="H4" t="str">
            <v>Pueblo Constituyente</v>
          </cell>
          <cell r="I4">
            <v>10</v>
          </cell>
          <cell r="J4">
            <v>0</v>
          </cell>
          <cell r="K4">
            <v>0</v>
          </cell>
          <cell r="L4">
            <v>0</v>
          </cell>
          <cell r="M4">
            <v>10</v>
          </cell>
        </row>
        <row r="5">
          <cell r="C5">
            <v>1</v>
          </cell>
          <cell r="H5" t="str">
            <v xml:space="preserve">Escaños Reservados </v>
          </cell>
          <cell r="I5">
            <v>8</v>
          </cell>
          <cell r="J5">
            <v>0</v>
          </cell>
          <cell r="K5">
            <v>0</v>
          </cell>
          <cell r="L5">
            <v>1</v>
          </cell>
          <cell r="M5">
            <v>9</v>
          </cell>
        </row>
        <row r="6">
          <cell r="C6">
            <v>1</v>
          </cell>
          <cell r="H6" t="str">
            <v>Coord. Plurinacional</v>
          </cell>
          <cell r="I6">
            <v>16</v>
          </cell>
          <cell r="J6">
            <v>0</v>
          </cell>
          <cell r="K6">
            <v>0</v>
          </cell>
          <cell r="L6">
            <v>0</v>
          </cell>
          <cell r="M6">
            <v>16</v>
          </cell>
        </row>
        <row r="7">
          <cell r="D7">
            <v>1</v>
          </cell>
          <cell r="H7" t="str">
            <v>Ind. Por Nueva Const.</v>
          </cell>
          <cell r="I7">
            <v>5</v>
          </cell>
          <cell r="J7">
            <v>3</v>
          </cell>
          <cell r="K7">
            <v>4</v>
          </cell>
          <cell r="L7">
            <v>0</v>
          </cell>
          <cell r="M7">
            <v>12</v>
          </cell>
        </row>
        <row r="8">
          <cell r="D8">
            <v>1</v>
          </cell>
          <cell r="H8" t="str">
            <v>Colectivo Socialista</v>
          </cell>
          <cell r="I8">
            <v>0</v>
          </cell>
          <cell r="J8">
            <v>14</v>
          </cell>
          <cell r="K8">
            <v>1</v>
          </cell>
          <cell r="L8">
            <v>0</v>
          </cell>
          <cell r="M8">
            <v>15</v>
          </cell>
        </row>
        <row r="9">
          <cell r="D9">
            <v>1</v>
          </cell>
          <cell r="H9" t="str">
            <v>Frente Amplio</v>
          </cell>
          <cell r="I9">
            <v>0</v>
          </cell>
          <cell r="J9">
            <v>10</v>
          </cell>
          <cell r="K9">
            <v>10</v>
          </cell>
          <cell r="L9">
            <v>0</v>
          </cell>
          <cell r="M9">
            <v>20</v>
          </cell>
        </row>
        <row r="10">
          <cell r="C10">
            <v>1</v>
          </cell>
          <cell r="H10" t="str">
            <v>Ind. + UDI</v>
          </cell>
          <cell r="I10">
            <v>0</v>
          </cell>
          <cell r="J10">
            <v>21</v>
          </cell>
          <cell r="K10">
            <v>0</v>
          </cell>
          <cell r="L10">
            <v>0</v>
          </cell>
          <cell r="M10">
            <v>21</v>
          </cell>
        </row>
        <row r="11">
          <cell r="C11">
            <v>1</v>
          </cell>
          <cell r="H11" t="str">
            <v>Ind. RN - Evópoli</v>
          </cell>
          <cell r="I11">
            <v>0</v>
          </cell>
          <cell r="J11">
            <v>15</v>
          </cell>
          <cell r="K11">
            <v>0</v>
          </cell>
          <cell r="L11">
            <v>0</v>
          </cell>
          <cell r="M11">
            <v>15</v>
          </cell>
        </row>
        <row r="12">
          <cell r="C12">
            <v>1</v>
          </cell>
          <cell r="H12" t="str">
            <v>Colectivo del Apruebo</v>
          </cell>
          <cell r="I12">
            <v>0</v>
          </cell>
          <cell r="J12">
            <v>7</v>
          </cell>
          <cell r="K12">
            <v>0</v>
          </cell>
          <cell r="L12">
            <v>0</v>
          </cell>
          <cell r="M12">
            <v>7</v>
          </cell>
        </row>
        <row r="13">
          <cell r="D13">
            <v>1</v>
          </cell>
          <cell r="H13" t="str">
            <v>Otros</v>
          </cell>
          <cell r="I13">
            <v>5</v>
          </cell>
          <cell r="J13">
            <v>0</v>
          </cell>
          <cell r="K13">
            <v>0</v>
          </cell>
          <cell r="L13">
            <v>0</v>
          </cell>
          <cell r="M13">
            <v>5</v>
          </cell>
        </row>
        <row r="14">
          <cell r="C14">
            <v>1</v>
          </cell>
        </row>
        <row r="15">
          <cell r="C15">
            <v>1</v>
          </cell>
        </row>
        <row r="16">
          <cell r="D16">
            <v>1</v>
          </cell>
        </row>
        <row r="17">
          <cell r="D17">
            <v>1</v>
          </cell>
        </row>
        <row r="18">
          <cell r="C18">
            <v>1</v>
          </cell>
        </row>
        <row r="19">
          <cell r="D19">
            <v>1</v>
          </cell>
        </row>
        <row r="20">
          <cell r="C20">
            <v>1</v>
          </cell>
        </row>
        <row r="21">
          <cell r="D21">
            <v>1</v>
          </cell>
        </row>
        <row r="22">
          <cell r="C22">
            <v>1</v>
          </cell>
        </row>
        <row r="23">
          <cell r="D23">
            <v>1</v>
          </cell>
        </row>
        <row r="24">
          <cell r="D24">
            <v>1</v>
          </cell>
        </row>
        <row r="25">
          <cell r="D25">
            <v>1</v>
          </cell>
        </row>
        <row r="26">
          <cell r="C26">
            <v>1</v>
          </cell>
        </row>
        <row r="27">
          <cell r="C27">
            <v>1</v>
          </cell>
        </row>
        <row r="28">
          <cell r="C28">
            <v>1</v>
          </cell>
        </row>
        <row r="29">
          <cell r="D29">
            <v>1</v>
          </cell>
        </row>
        <row r="30">
          <cell r="D30">
            <v>1</v>
          </cell>
        </row>
        <row r="31">
          <cell r="D31">
            <v>1</v>
          </cell>
        </row>
        <row r="32">
          <cell r="D32">
            <v>1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1</v>
          </cell>
        </row>
        <row r="36">
          <cell r="C36">
            <v>1</v>
          </cell>
        </row>
        <row r="37">
          <cell r="C37">
            <v>1</v>
          </cell>
        </row>
        <row r="38">
          <cell r="D38">
            <v>1</v>
          </cell>
        </row>
        <row r="39">
          <cell r="D39">
            <v>1</v>
          </cell>
        </row>
        <row r="40">
          <cell r="D40">
            <v>1</v>
          </cell>
        </row>
        <row r="41">
          <cell r="C41">
            <v>1</v>
          </cell>
        </row>
        <row r="42">
          <cell r="D42">
            <v>1</v>
          </cell>
        </row>
        <row r="43">
          <cell r="D43">
            <v>1</v>
          </cell>
        </row>
        <row r="44">
          <cell r="D44">
            <v>1</v>
          </cell>
        </row>
        <row r="45">
          <cell r="D45">
            <v>1</v>
          </cell>
        </row>
        <row r="46">
          <cell r="E46">
            <v>1</v>
          </cell>
          <cell r="H46" t="str">
            <v>Chile Digno</v>
          </cell>
          <cell r="I46">
            <v>1</v>
          </cell>
          <cell r="J46">
            <v>0</v>
          </cell>
          <cell r="K46">
            <v>0</v>
          </cell>
          <cell r="L46">
            <v>0</v>
          </cell>
        </row>
        <row r="47">
          <cell r="D47">
            <v>1</v>
          </cell>
          <cell r="H47" t="str">
            <v>Mov. Sociales Const.</v>
          </cell>
          <cell r="I47">
            <v>0.41666666666666669</v>
          </cell>
          <cell r="J47">
            <v>0.58333333333333337</v>
          </cell>
          <cell r="K47">
            <v>0</v>
          </cell>
          <cell r="L47">
            <v>0</v>
          </cell>
        </row>
        <row r="48">
          <cell r="E48">
            <v>1</v>
          </cell>
          <cell r="H48" t="str">
            <v>Pueblo Constituyente</v>
          </cell>
          <cell r="I48">
            <v>1</v>
          </cell>
          <cell r="J48">
            <v>0</v>
          </cell>
          <cell r="K48">
            <v>0</v>
          </cell>
          <cell r="L48">
            <v>0</v>
          </cell>
        </row>
        <row r="49">
          <cell r="D49">
            <v>1</v>
          </cell>
          <cell r="H49" t="str">
            <v xml:space="preserve">Escaños Reservados </v>
          </cell>
          <cell r="I49">
            <v>0.88888888888888884</v>
          </cell>
          <cell r="J49">
            <v>0</v>
          </cell>
          <cell r="K49">
            <v>0</v>
          </cell>
          <cell r="L49">
            <v>0.1111111111111111</v>
          </cell>
        </row>
        <row r="50">
          <cell r="D50">
            <v>1</v>
          </cell>
          <cell r="H50" t="str">
            <v>Coord. Plurinacional</v>
          </cell>
          <cell r="I50">
            <v>1</v>
          </cell>
          <cell r="J50">
            <v>0</v>
          </cell>
          <cell r="K50">
            <v>0</v>
          </cell>
          <cell r="L50">
            <v>0</v>
          </cell>
        </row>
        <row r="51">
          <cell r="D51">
            <v>1</v>
          </cell>
          <cell r="H51" t="str">
            <v>Ind. Por Nueva Const.</v>
          </cell>
          <cell r="I51">
            <v>0.41666666666666669</v>
          </cell>
          <cell r="J51">
            <v>0.25</v>
          </cell>
          <cell r="K51">
            <v>0.33333333333333331</v>
          </cell>
          <cell r="L51">
            <v>0</v>
          </cell>
        </row>
        <row r="52">
          <cell r="C52">
            <v>1</v>
          </cell>
          <cell r="H52" t="str">
            <v>Colectivo Socialista</v>
          </cell>
          <cell r="I52">
            <v>0</v>
          </cell>
          <cell r="J52">
            <v>0.93333333333333335</v>
          </cell>
          <cell r="K52">
            <v>6.6666666666666666E-2</v>
          </cell>
          <cell r="L52">
            <v>0</v>
          </cell>
        </row>
        <row r="53">
          <cell r="D53">
            <v>1</v>
          </cell>
          <cell r="H53" t="str">
            <v>Frente Amplio</v>
          </cell>
          <cell r="I53">
            <v>0</v>
          </cell>
          <cell r="J53">
            <v>0.5</v>
          </cell>
          <cell r="K53">
            <v>0.5</v>
          </cell>
          <cell r="L53">
            <v>0</v>
          </cell>
        </row>
        <row r="54">
          <cell r="E54">
            <v>1</v>
          </cell>
          <cell r="H54" t="str">
            <v>Ind. + UDI</v>
          </cell>
          <cell r="I54">
            <v>0</v>
          </cell>
          <cell r="J54">
            <v>1</v>
          </cell>
          <cell r="K54">
            <v>0</v>
          </cell>
          <cell r="L54">
            <v>0</v>
          </cell>
        </row>
        <row r="55">
          <cell r="C55">
            <v>1</v>
          </cell>
          <cell r="H55" t="str">
            <v>Ind. RN - Evópoli</v>
          </cell>
          <cell r="I55">
            <v>0</v>
          </cell>
          <cell r="J55">
            <v>1</v>
          </cell>
          <cell r="K55">
            <v>0</v>
          </cell>
          <cell r="L55">
            <v>0</v>
          </cell>
        </row>
        <row r="56">
          <cell r="C56">
            <v>1</v>
          </cell>
          <cell r="H56" t="str">
            <v>Colectivo del Apruebo</v>
          </cell>
          <cell r="I56">
            <v>0</v>
          </cell>
          <cell r="J56">
            <v>1</v>
          </cell>
          <cell r="K56">
            <v>0</v>
          </cell>
          <cell r="L56">
            <v>0</v>
          </cell>
        </row>
        <row r="57">
          <cell r="C57">
            <v>1</v>
          </cell>
          <cell r="H57" t="str">
            <v>Otros</v>
          </cell>
          <cell r="I57">
            <v>1</v>
          </cell>
          <cell r="J57">
            <v>0</v>
          </cell>
          <cell r="K57">
            <v>0</v>
          </cell>
          <cell r="L57">
            <v>0</v>
          </cell>
        </row>
        <row r="58">
          <cell r="D58">
            <v>1</v>
          </cell>
        </row>
        <row r="59">
          <cell r="C59">
            <v>1</v>
          </cell>
        </row>
        <row r="60">
          <cell r="D60">
            <v>1</v>
          </cell>
        </row>
        <row r="61">
          <cell r="E61">
            <v>1</v>
          </cell>
        </row>
        <row r="62">
          <cell r="C62">
            <v>1</v>
          </cell>
        </row>
        <row r="63">
          <cell r="F63">
            <v>1</v>
          </cell>
        </row>
        <row r="64">
          <cell r="C64">
            <v>1</v>
          </cell>
        </row>
        <row r="65">
          <cell r="C65">
            <v>1</v>
          </cell>
        </row>
        <row r="66">
          <cell r="C66">
            <v>1</v>
          </cell>
        </row>
        <row r="67">
          <cell r="D67">
            <v>1</v>
          </cell>
        </row>
        <row r="68">
          <cell r="C68">
            <v>1</v>
          </cell>
        </row>
        <row r="69">
          <cell r="D69">
            <v>1</v>
          </cell>
        </row>
        <row r="70">
          <cell r="D70">
            <v>1</v>
          </cell>
        </row>
        <row r="71">
          <cell r="D71">
            <v>1</v>
          </cell>
        </row>
        <row r="72">
          <cell r="D72">
            <v>1</v>
          </cell>
        </row>
        <row r="73">
          <cell r="C73">
            <v>1</v>
          </cell>
        </row>
        <row r="74">
          <cell r="D74">
            <v>1</v>
          </cell>
        </row>
        <row r="75">
          <cell r="D75">
            <v>1</v>
          </cell>
        </row>
        <row r="76">
          <cell r="C76">
            <v>1</v>
          </cell>
        </row>
        <row r="77">
          <cell r="D77">
            <v>1</v>
          </cell>
        </row>
        <row r="78">
          <cell r="C78">
            <v>1</v>
          </cell>
        </row>
        <row r="79">
          <cell r="D79">
            <v>1</v>
          </cell>
        </row>
        <row r="80">
          <cell r="D80">
            <v>1</v>
          </cell>
        </row>
        <row r="81">
          <cell r="D81">
            <v>1</v>
          </cell>
        </row>
        <row r="82">
          <cell r="C82">
            <v>1</v>
          </cell>
        </row>
        <row r="83">
          <cell r="C83">
            <v>1</v>
          </cell>
        </row>
        <row r="84">
          <cell r="D84">
            <v>1</v>
          </cell>
        </row>
        <row r="85">
          <cell r="C85">
            <v>1</v>
          </cell>
        </row>
        <row r="86">
          <cell r="C86">
            <v>1</v>
          </cell>
        </row>
        <row r="87">
          <cell r="C87">
            <v>1</v>
          </cell>
        </row>
        <row r="88">
          <cell r="D88">
            <v>1</v>
          </cell>
        </row>
        <row r="89">
          <cell r="C89">
            <v>1</v>
          </cell>
        </row>
        <row r="90">
          <cell r="C90">
            <v>1</v>
          </cell>
        </row>
        <row r="91">
          <cell r="D91">
            <v>1</v>
          </cell>
        </row>
        <row r="92">
          <cell r="E92">
            <v>1</v>
          </cell>
        </row>
        <row r="93">
          <cell r="D93">
            <v>1</v>
          </cell>
        </row>
        <row r="94">
          <cell r="D94">
            <v>1</v>
          </cell>
        </row>
        <row r="95">
          <cell r="C95">
            <v>1</v>
          </cell>
        </row>
        <row r="96">
          <cell r="C96">
            <v>1</v>
          </cell>
        </row>
        <row r="97">
          <cell r="D97">
            <v>1</v>
          </cell>
        </row>
        <row r="98">
          <cell r="D98">
            <v>1</v>
          </cell>
        </row>
        <row r="99">
          <cell r="D99">
            <v>1</v>
          </cell>
        </row>
        <row r="100">
          <cell r="D100">
            <v>1</v>
          </cell>
        </row>
        <row r="101">
          <cell r="D101">
            <v>1</v>
          </cell>
        </row>
        <row r="102">
          <cell r="E102">
            <v>1</v>
          </cell>
        </row>
        <row r="103">
          <cell r="D103">
            <v>1</v>
          </cell>
        </row>
        <row r="104">
          <cell r="D104">
            <v>1</v>
          </cell>
        </row>
        <row r="105">
          <cell r="C105">
            <v>1</v>
          </cell>
        </row>
        <row r="106">
          <cell r="C106">
            <v>1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</v>
          </cell>
        </row>
        <row r="110">
          <cell r="C110">
            <v>1</v>
          </cell>
        </row>
        <row r="111">
          <cell r="E111">
            <v>1</v>
          </cell>
        </row>
        <row r="112">
          <cell r="D112">
            <v>1</v>
          </cell>
        </row>
        <row r="113">
          <cell r="C113">
            <v>1</v>
          </cell>
        </row>
        <row r="114">
          <cell r="D114">
            <v>1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1</v>
          </cell>
        </row>
        <row r="118">
          <cell r="D118">
            <v>1</v>
          </cell>
        </row>
        <row r="119">
          <cell r="C119">
            <v>1</v>
          </cell>
        </row>
        <row r="120">
          <cell r="D120">
            <v>1</v>
          </cell>
        </row>
        <row r="121">
          <cell r="F121">
            <v>1</v>
          </cell>
        </row>
        <row r="122">
          <cell r="C122">
            <v>1</v>
          </cell>
        </row>
        <row r="123">
          <cell r="D123">
            <v>1</v>
          </cell>
        </row>
        <row r="124">
          <cell r="C124">
            <v>1</v>
          </cell>
        </row>
        <row r="125">
          <cell r="C125">
            <v>1</v>
          </cell>
        </row>
        <row r="126">
          <cell r="D126">
            <v>1</v>
          </cell>
        </row>
        <row r="127">
          <cell r="D127">
            <v>1</v>
          </cell>
        </row>
        <row r="128">
          <cell r="C128">
            <v>1</v>
          </cell>
        </row>
        <row r="129">
          <cell r="C129">
            <v>1</v>
          </cell>
        </row>
        <row r="130">
          <cell r="D130">
            <v>1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1</v>
          </cell>
        </row>
        <row r="134">
          <cell r="D134">
            <v>1</v>
          </cell>
        </row>
        <row r="135">
          <cell r="C135">
            <v>1</v>
          </cell>
        </row>
        <row r="136">
          <cell r="D136">
            <v>1</v>
          </cell>
        </row>
        <row r="137">
          <cell r="D137">
            <v>1</v>
          </cell>
        </row>
        <row r="138">
          <cell r="C138">
            <v>1</v>
          </cell>
        </row>
        <row r="139">
          <cell r="D139">
            <v>1</v>
          </cell>
        </row>
        <row r="140">
          <cell r="D140">
            <v>1</v>
          </cell>
        </row>
        <row r="141">
          <cell r="E141">
            <v>1</v>
          </cell>
        </row>
        <row r="142">
          <cell r="C142">
            <v>1</v>
          </cell>
        </row>
        <row r="143">
          <cell r="C143">
            <v>1</v>
          </cell>
        </row>
        <row r="144">
          <cell r="D144">
            <v>1</v>
          </cell>
        </row>
        <row r="145">
          <cell r="D145">
            <v>1</v>
          </cell>
        </row>
        <row r="146">
          <cell r="C146">
            <v>1</v>
          </cell>
        </row>
        <row r="147">
          <cell r="D147">
            <v>1</v>
          </cell>
        </row>
        <row r="148">
          <cell r="C148">
            <v>1</v>
          </cell>
        </row>
        <row r="149">
          <cell r="C149">
            <v>1</v>
          </cell>
        </row>
        <row r="150">
          <cell r="C150">
            <v>1</v>
          </cell>
        </row>
        <row r="151">
          <cell r="D151">
            <v>1</v>
          </cell>
        </row>
        <row r="152">
          <cell r="C152">
            <v>1</v>
          </cell>
        </row>
        <row r="153">
          <cell r="C153">
            <v>1</v>
          </cell>
        </row>
        <row r="154">
          <cell r="C154">
            <v>1</v>
          </cell>
        </row>
        <row r="155">
          <cell r="C155">
            <v>1</v>
          </cell>
        </row>
        <row r="156">
          <cell r="D156">
            <v>1</v>
          </cell>
        </row>
      </sheetData>
      <sheetData sheetId="8">
        <row r="2">
          <cell r="D2">
            <v>1</v>
          </cell>
          <cell r="H2" t="str">
            <v>Chile Digno</v>
          </cell>
          <cell r="I2">
            <v>10</v>
          </cell>
          <cell r="J2">
            <v>1</v>
          </cell>
          <cell r="K2">
            <v>0</v>
          </cell>
          <cell r="L2">
            <v>0</v>
          </cell>
          <cell r="M2">
            <v>11</v>
          </cell>
        </row>
        <row r="3">
          <cell r="C3">
            <v>1</v>
          </cell>
          <cell r="H3" t="str">
            <v>Mov. Sociales Const.</v>
          </cell>
          <cell r="I3">
            <v>1</v>
          </cell>
          <cell r="J3">
            <v>11</v>
          </cell>
          <cell r="K3">
            <v>0</v>
          </cell>
          <cell r="L3">
            <v>0</v>
          </cell>
          <cell r="M3">
            <v>12</v>
          </cell>
        </row>
        <row r="4">
          <cell r="D4">
            <v>1</v>
          </cell>
          <cell r="H4" t="str">
            <v>Pueblo Constituyente</v>
          </cell>
          <cell r="I4">
            <v>10</v>
          </cell>
          <cell r="J4">
            <v>0</v>
          </cell>
          <cell r="K4">
            <v>0</v>
          </cell>
          <cell r="L4">
            <v>0</v>
          </cell>
          <cell r="M4">
            <v>10</v>
          </cell>
        </row>
        <row r="5">
          <cell r="E5">
            <v>1</v>
          </cell>
          <cell r="H5" t="str">
            <v xml:space="preserve">Escaños Reservados </v>
          </cell>
          <cell r="I5">
            <v>0</v>
          </cell>
          <cell r="J5">
            <v>0</v>
          </cell>
          <cell r="K5">
            <v>7</v>
          </cell>
          <cell r="L5">
            <v>2</v>
          </cell>
          <cell r="M5">
            <v>9</v>
          </cell>
        </row>
        <row r="6">
          <cell r="C6">
            <v>1</v>
          </cell>
          <cell r="H6" t="str">
            <v>Coord. Plurinacional</v>
          </cell>
          <cell r="I6">
            <v>16</v>
          </cell>
          <cell r="J6">
            <v>0</v>
          </cell>
          <cell r="K6">
            <v>0</v>
          </cell>
          <cell r="L6">
            <v>0</v>
          </cell>
          <cell r="M6">
            <v>16</v>
          </cell>
        </row>
        <row r="7">
          <cell r="D7">
            <v>1</v>
          </cell>
          <cell r="H7" t="str">
            <v>Ind. Por Nueva Const.</v>
          </cell>
          <cell r="I7">
            <v>5</v>
          </cell>
          <cell r="J7">
            <v>5</v>
          </cell>
          <cell r="K7">
            <v>2</v>
          </cell>
          <cell r="L7">
            <v>0</v>
          </cell>
          <cell r="M7">
            <v>12</v>
          </cell>
        </row>
        <row r="8">
          <cell r="D8">
            <v>1</v>
          </cell>
          <cell r="H8" t="str">
            <v>Colectivo Socialista</v>
          </cell>
          <cell r="I8">
            <v>1</v>
          </cell>
          <cell r="J8">
            <v>13</v>
          </cell>
          <cell r="K8">
            <v>1</v>
          </cell>
          <cell r="L8">
            <v>0</v>
          </cell>
          <cell r="M8">
            <v>15</v>
          </cell>
        </row>
        <row r="9">
          <cell r="D9">
            <v>1</v>
          </cell>
          <cell r="H9" t="str">
            <v>Frente Amplio</v>
          </cell>
          <cell r="I9">
            <v>0</v>
          </cell>
          <cell r="J9">
            <v>11</v>
          </cell>
          <cell r="K9">
            <v>11</v>
          </cell>
          <cell r="L9">
            <v>0</v>
          </cell>
          <cell r="M9">
            <v>22</v>
          </cell>
        </row>
        <row r="10">
          <cell r="C10">
            <v>1</v>
          </cell>
          <cell r="H10" t="str">
            <v>Ind. + UDI</v>
          </cell>
          <cell r="I10">
            <v>0</v>
          </cell>
          <cell r="J10">
            <v>21</v>
          </cell>
          <cell r="K10">
            <v>0</v>
          </cell>
          <cell r="L10">
            <v>0</v>
          </cell>
          <cell r="M10">
            <v>21</v>
          </cell>
        </row>
        <row r="11">
          <cell r="C11">
            <v>1</v>
          </cell>
          <cell r="H11" t="str">
            <v>Ind. RN - Evópoli</v>
          </cell>
          <cell r="I11">
            <v>1</v>
          </cell>
          <cell r="J11">
            <v>8</v>
          </cell>
          <cell r="K11">
            <v>6</v>
          </cell>
          <cell r="L11">
            <v>0</v>
          </cell>
          <cell r="M11">
            <v>15</v>
          </cell>
        </row>
        <row r="12">
          <cell r="C12">
            <v>1</v>
          </cell>
          <cell r="H12" t="str">
            <v>Colectivo del Apruebo</v>
          </cell>
          <cell r="I12">
            <v>3</v>
          </cell>
          <cell r="J12">
            <v>4</v>
          </cell>
          <cell r="K12">
            <v>0</v>
          </cell>
          <cell r="L12">
            <v>0</v>
          </cell>
          <cell r="M12">
            <v>7</v>
          </cell>
        </row>
        <row r="13">
          <cell r="D13">
            <v>1</v>
          </cell>
          <cell r="H13" t="str">
            <v>Otros</v>
          </cell>
          <cell r="I13">
            <v>4</v>
          </cell>
          <cell r="J13">
            <v>0</v>
          </cell>
          <cell r="K13">
            <v>1</v>
          </cell>
          <cell r="L13">
            <v>0</v>
          </cell>
          <cell r="M13">
            <v>5</v>
          </cell>
        </row>
        <row r="14">
          <cell r="C14">
            <v>1</v>
          </cell>
        </row>
        <row r="15">
          <cell r="C15">
            <v>1</v>
          </cell>
        </row>
        <row r="16">
          <cell r="D16">
            <v>1</v>
          </cell>
        </row>
        <row r="17">
          <cell r="D17">
            <v>1</v>
          </cell>
        </row>
        <row r="18">
          <cell r="C18">
            <v>1</v>
          </cell>
        </row>
        <row r="19">
          <cell r="D19">
            <v>1</v>
          </cell>
        </row>
        <row r="20">
          <cell r="D20">
            <v>1</v>
          </cell>
        </row>
        <row r="21">
          <cell r="D21">
            <v>1</v>
          </cell>
        </row>
        <row r="22">
          <cell r="C22">
            <v>1</v>
          </cell>
        </row>
        <row r="23">
          <cell r="D23">
            <v>1</v>
          </cell>
        </row>
        <row r="24">
          <cell r="C24">
            <v>1</v>
          </cell>
        </row>
        <row r="25">
          <cell r="D25">
            <v>1</v>
          </cell>
        </row>
        <row r="26">
          <cell r="C26">
            <v>1</v>
          </cell>
        </row>
        <row r="27">
          <cell r="C27">
            <v>1</v>
          </cell>
        </row>
        <row r="28">
          <cell r="C28">
            <v>1</v>
          </cell>
        </row>
        <row r="29">
          <cell r="D29">
            <v>1</v>
          </cell>
        </row>
        <row r="30">
          <cell r="D30">
            <v>1</v>
          </cell>
        </row>
        <row r="31">
          <cell r="D31">
            <v>1</v>
          </cell>
        </row>
        <row r="32">
          <cell r="D32">
            <v>1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1</v>
          </cell>
        </row>
        <row r="36">
          <cell r="E36">
            <v>1</v>
          </cell>
        </row>
        <row r="37">
          <cell r="C37">
            <v>1</v>
          </cell>
        </row>
        <row r="38">
          <cell r="D38">
            <v>1</v>
          </cell>
        </row>
        <row r="39">
          <cell r="E39">
            <v>1</v>
          </cell>
        </row>
        <row r="40">
          <cell r="C40">
            <v>1</v>
          </cell>
        </row>
        <row r="41">
          <cell r="C41">
            <v>1</v>
          </cell>
        </row>
        <row r="42">
          <cell r="D42">
            <v>1</v>
          </cell>
        </row>
        <row r="43">
          <cell r="D43">
            <v>1</v>
          </cell>
        </row>
        <row r="44">
          <cell r="D44">
            <v>1</v>
          </cell>
        </row>
        <row r="45">
          <cell r="D45">
            <v>1</v>
          </cell>
        </row>
        <row r="46">
          <cell r="E46">
            <v>1</v>
          </cell>
          <cell r="H46" t="str">
            <v>Chile Digno</v>
          </cell>
          <cell r="I46">
            <v>0.90909090909090906</v>
          </cell>
          <cell r="J46">
            <v>9.0909090909090912E-2</v>
          </cell>
          <cell r="K46">
            <v>0</v>
          </cell>
          <cell r="L46">
            <v>0</v>
          </cell>
        </row>
        <row r="47">
          <cell r="C47">
            <v>1</v>
          </cell>
          <cell r="H47" t="str">
            <v>Mov. Sociales Const.</v>
          </cell>
          <cell r="I47">
            <v>8.3333333333333329E-2</v>
          </cell>
          <cell r="J47">
            <v>0.91666666666666663</v>
          </cell>
          <cell r="K47">
            <v>0</v>
          </cell>
          <cell r="L47">
            <v>0</v>
          </cell>
        </row>
        <row r="48">
          <cell r="E48">
            <v>1</v>
          </cell>
          <cell r="H48" t="str">
            <v>Pueblo Constituyente</v>
          </cell>
          <cell r="I48">
            <v>1</v>
          </cell>
          <cell r="J48">
            <v>0</v>
          </cell>
          <cell r="K48">
            <v>0</v>
          </cell>
          <cell r="L48">
            <v>0</v>
          </cell>
        </row>
        <row r="49">
          <cell r="E49">
            <v>1</v>
          </cell>
          <cell r="H49" t="str">
            <v xml:space="preserve">Escaños Reservados </v>
          </cell>
          <cell r="I49">
            <v>0</v>
          </cell>
          <cell r="J49">
            <v>0</v>
          </cell>
          <cell r="K49">
            <v>0.77777777777777779</v>
          </cell>
          <cell r="L49">
            <v>0.22222222222222221</v>
          </cell>
        </row>
        <row r="50">
          <cell r="D50">
            <v>1</v>
          </cell>
          <cell r="H50" t="str">
            <v>Coord. Plurinacional</v>
          </cell>
          <cell r="I50">
            <v>1</v>
          </cell>
          <cell r="J50">
            <v>0</v>
          </cell>
          <cell r="K50">
            <v>0</v>
          </cell>
          <cell r="L50">
            <v>0</v>
          </cell>
        </row>
        <row r="51">
          <cell r="D51">
            <v>1</v>
          </cell>
          <cell r="H51" t="str">
            <v>Ind. Por Nueva Const.</v>
          </cell>
          <cell r="I51">
            <v>0.41666666666666669</v>
          </cell>
          <cell r="J51">
            <v>0.41666666666666669</v>
          </cell>
          <cell r="K51">
            <v>0.16666666666666666</v>
          </cell>
          <cell r="L51">
            <v>0</v>
          </cell>
        </row>
        <row r="52">
          <cell r="D52">
            <v>1</v>
          </cell>
          <cell r="H52" t="str">
            <v>Colectivo Socialista</v>
          </cell>
          <cell r="I52">
            <v>6.6666666666666666E-2</v>
          </cell>
          <cell r="J52">
            <v>0.8666666666666667</v>
          </cell>
          <cell r="K52">
            <v>6.6666666666666666E-2</v>
          </cell>
          <cell r="L52">
            <v>0</v>
          </cell>
        </row>
        <row r="53">
          <cell r="D53">
            <v>1</v>
          </cell>
          <cell r="H53" t="str">
            <v>Frente Amplio</v>
          </cell>
          <cell r="I53">
            <v>0</v>
          </cell>
          <cell r="J53">
            <v>0.5</v>
          </cell>
          <cell r="K53">
            <v>0.5</v>
          </cell>
          <cell r="L53">
            <v>0</v>
          </cell>
        </row>
        <row r="54">
          <cell r="D54">
            <v>1</v>
          </cell>
          <cell r="H54" t="str">
            <v>Ind. + UDI</v>
          </cell>
          <cell r="I54">
            <v>0</v>
          </cell>
          <cell r="J54">
            <v>1</v>
          </cell>
          <cell r="K54">
            <v>0</v>
          </cell>
          <cell r="L54">
            <v>0</v>
          </cell>
        </row>
        <row r="55">
          <cell r="C55">
            <v>1</v>
          </cell>
          <cell r="H55" t="str">
            <v>Ind. RN - Evópoli</v>
          </cell>
          <cell r="I55">
            <v>6.6666666666666666E-2</v>
          </cell>
          <cell r="J55">
            <v>0.53333333333333333</v>
          </cell>
          <cell r="K55">
            <v>0.4</v>
          </cell>
          <cell r="L55">
            <v>0</v>
          </cell>
        </row>
        <row r="56">
          <cell r="E56">
            <v>1</v>
          </cell>
          <cell r="H56" t="str">
            <v>Colectivo del Apruebo</v>
          </cell>
          <cell r="I56">
            <v>0.42857142857142855</v>
          </cell>
          <cell r="J56">
            <v>0.5714285714285714</v>
          </cell>
          <cell r="K56">
            <v>0</v>
          </cell>
          <cell r="L56">
            <v>0</v>
          </cell>
        </row>
        <row r="57">
          <cell r="C57">
            <v>1</v>
          </cell>
          <cell r="H57" t="str">
            <v>Otros</v>
          </cell>
          <cell r="I57">
            <v>0.8</v>
          </cell>
          <cell r="J57">
            <v>0</v>
          </cell>
          <cell r="K57">
            <v>0.2</v>
          </cell>
          <cell r="L57">
            <v>0</v>
          </cell>
        </row>
        <row r="58">
          <cell r="D58">
            <v>1</v>
          </cell>
        </row>
        <row r="59">
          <cell r="C59">
            <v>1</v>
          </cell>
        </row>
        <row r="60">
          <cell r="C60">
            <v>1</v>
          </cell>
        </row>
        <row r="61">
          <cell r="E61">
            <v>1</v>
          </cell>
        </row>
        <row r="62">
          <cell r="C62">
            <v>1</v>
          </cell>
        </row>
        <row r="63">
          <cell r="F63">
            <v>1</v>
          </cell>
        </row>
        <row r="64">
          <cell r="C64">
            <v>1</v>
          </cell>
        </row>
        <row r="65">
          <cell r="C65">
            <v>1</v>
          </cell>
        </row>
        <row r="66">
          <cell r="C66">
            <v>1</v>
          </cell>
        </row>
        <row r="67">
          <cell r="C67">
            <v>1</v>
          </cell>
        </row>
        <row r="68">
          <cell r="C68">
            <v>1</v>
          </cell>
        </row>
        <row r="69">
          <cell r="D69">
            <v>1</v>
          </cell>
        </row>
        <row r="70">
          <cell r="D70">
            <v>1</v>
          </cell>
        </row>
        <row r="71">
          <cell r="D71">
            <v>1</v>
          </cell>
        </row>
        <row r="72">
          <cell r="D72">
            <v>1</v>
          </cell>
        </row>
        <row r="73">
          <cell r="F73">
            <v>1</v>
          </cell>
        </row>
        <row r="74">
          <cell r="D74">
            <v>1</v>
          </cell>
        </row>
        <row r="75">
          <cell r="D75">
            <v>1</v>
          </cell>
        </row>
        <row r="76">
          <cell r="D76">
            <v>1</v>
          </cell>
        </row>
        <row r="77">
          <cell r="D77">
            <v>1</v>
          </cell>
        </row>
        <row r="78">
          <cell r="C78">
            <v>1</v>
          </cell>
        </row>
        <row r="79">
          <cell r="D79">
            <v>1</v>
          </cell>
        </row>
        <row r="80">
          <cell r="D80">
            <v>1</v>
          </cell>
        </row>
        <row r="81">
          <cell r="D81">
            <v>1</v>
          </cell>
        </row>
        <row r="82">
          <cell r="C82">
            <v>1</v>
          </cell>
        </row>
        <row r="83">
          <cell r="C83">
            <v>1</v>
          </cell>
        </row>
        <row r="84">
          <cell r="D84">
            <v>1</v>
          </cell>
        </row>
        <row r="85">
          <cell r="E85">
            <v>1</v>
          </cell>
        </row>
        <row r="86">
          <cell r="C86">
            <v>1</v>
          </cell>
        </row>
        <row r="87">
          <cell r="E87">
            <v>1</v>
          </cell>
        </row>
        <row r="88">
          <cell r="D88">
            <v>1</v>
          </cell>
        </row>
        <row r="89">
          <cell r="C89">
            <v>1</v>
          </cell>
        </row>
        <row r="90">
          <cell r="D90">
            <v>1</v>
          </cell>
        </row>
        <row r="91">
          <cell r="E91">
            <v>1</v>
          </cell>
        </row>
        <row r="92">
          <cell r="E92">
            <v>1</v>
          </cell>
        </row>
        <row r="93">
          <cell r="D93">
            <v>1</v>
          </cell>
        </row>
        <row r="94">
          <cell r="D94">
            <v>1</v>
          </cell>
        </row>
        <row r="95">
          <cell r="E95">
            <v>1</v>
          </cell>
        </row>
        <row r="96">
          <cell r="C96">
            <v>1</v>
          </cell>
        </row>
        <row r="97">
          <cell r="E97">
            <v>1</v>
          </cell>
        </row>
        <row r="98">
          <cell r="D98">
            <v>1</v>
          </cell>
        </row>
        <row r="99">
          <cell r="D99">
            <v>1</v>
          </cell>
        </row>
        <row r="100">
          <cell r="D100">
            <v>1</v>
          </cell>
        </row>
        <row r="101">
          <cell r="D101">
            <v>1</v>
          </cell>
        </row>
        <row r="102">
          <cell r="C102">
            <v>1</v>
          </cell>
        </row>
        <row r="103">
          <cell r="E103">
            <v>1</v>
          </cell>
        </row>
        <row r="104">
          <cell r="D104">
            <v>1</v>
          </cell>
        </row>
        <row r="105">
          <cell r="C105">
            <v>1</v>
          </cell>
        </row>
        <row r="106">
          <cell r="C106">
            <v>1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</v>
          </cell>
        </row>
        <row r="110">
          <cell r="C110">
            <v>1</v>
          </cell>
        </row>
        <row r="111">
          <cell r="E111">
            <v>1</v>
          </cell>
        </row>
        <row r="112">
          <cell r="D112">
            <v>1</v>
          </cell>
        </row>
        <row r="113">
          <cell r="C113">
            <v>1</v>
          </cell>
        </row>
        <row r="114">
          <cell r="D114">
            <v>1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1</v>
          </cell>
        </row>
        <row r="118">
          <cell r="D118">
            <v>1</v>
          </cell>
        </row>
        <row r="119">
          <cell r="C119">
            <v>1</v>
          </cell>
        </row>
        <row r="120">
          <cell r="D120">
            <v>1</v>
          </cell>
        </row>
        <row r="121">
          <cell r="F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C124">
            <v>1</v>
          </cell>
        </row>
        <row r="125">
          <cell r="C125">
            <v>1</v>
          </cell>
        </row>
        <row r="126">
          <cell r="D126">
            <v>1</v>
          </cell>
        </row>
        <row r="127">
          <cell r="D127">
            <v>1</v>
          </cell>
        </row>
        <row r="128">
          <cell r="D128">
            <v>1</v>
          </cell>
        </row>
        <row r="129">
          <cell r="C129">
            <v>1</v>
          </cell>
        </row>
        <row r="130">
          <cell r="D130">
            <v>1</v>
          </cell>
        </row>
        <row r="131">
          <cell r="E131">
            <v>1</v>
          </cell>
        </row>
        <row r="132">
          <cell r="D132">
            <v>1</v>
          </cell>
        </row>
        <row r="133">
          <cell r="D133">
            <v>1</v>
          </cell>
        </row>
        <row r="134">
          <cell r="D134">
            <v>1</v>
          </cell>
        </row>
        <row r="135">
          <cell r="E135">
            <v>1</v>
          </cell>
        </row>
        <row r="136">
          <cell r="D136">
            <v>1</v>
          </cell>
        </row>
        <row r="137">
          <cell r="D137">
            <v>1</v>
          </cell>
        </row>
        <row r="138">
          <cell r="C138">
            <v>1</v>
          </cell>
        </row>
        <row r="139">
          <cell r="D139">
            <v>1</v>
          </cell>
        </row>
        <row r="140">
          <cell r="D140">
            <v>1</v>
          </cell>
        </row>
        <row r="141">
          <cell r="C141">
            <v>1</v>
          </cell>
        </row>
        <row r="142">
          <cell r="C142">
            <v>1</v>
          </cell>
        </row>
        <row r="143">
          <cell r="C143">
            <v>1</v>
          </cell>
        </row>
        <row r="144">
          <cell r="D144">
            <v>1</v>
          </cell>
        </row>
        <row r="145">
          <cell r="E145">
            <v>1</v>
          </cell>
        </row>
        <row r="146">
          <cell r="C146">
            <v>1</v>
          </cell>
        </row>
        <row r="147">
          <cell r="E147">
            <v>1</v>
          </cell>
        </row>
        <row r="148">
          <cell r="C148">
            <v>1</v>
          </cell>
        </row>
        <row r="149">
          <cell r="E149">
            <v>1</v>
          </cell>
        </row>
        <row r="150">
          <cell r="C150">
            <v>1</v>
          </cell>
        </row>
        <row r="151">
          <cell r="D151">
            <v>1</v>
          </cell>
        </row>
        <row r="152">
          <cell r="D152">
            <v>1</v>
          </cell>
        </row>
        <row r="153">
          <cell r="C153">
            <v>1</v>
          </cell>
        </row>
        <row r="154">
          <cell r="C154">
            <v>1</v>
          </cell>
        </row>
        <row r="155">
          <cell r="C155">
            <v>1</v>
          </cell>
        </row>
        <row r="156">
          <cell r="D156">
            <v>1</v>
          </cell>
        </row>
      </sheetData>
      <sheetData sheetId="9">
        <row r="2">
          <cell r="C2">
            <v>1</v>
          </cell>
          <cell r="H2" t="str">
            <v>Chile Digno</v>
          </cell>
          <cell r="I2">
            <v>10</v>
          </cell>
          <cell r="J2">
            <v>0</v>
          </cell>
          <cell r="K2">
            <v>1</v>
          </cell>
          <cell r="L2">
            <v>0</v>
          </cell>
          <cell r="M2">
            <v>11</v>
          </cell>
        </row>
        <row r="3">
          <cell r="C3">
            <v>1</v>
          </cell>
          <cell r="H3" t="str">
            <v>Mov. Sociales Const.</v>
          </cell>
          <cell r="I3">
            <v>2</v>
          </cell>
          <cell r="J3">
            <v>9</v>
          </cell>
          <cell r="K3">
            <v>1</v>
          </cell>
          <cell r="L3">
            <v>0</v>
          </cell>
          <cell r="M3">
            <v>12</v>
          </cell>
        </row>
        <row r="4">
          <cell r="C4">
            <v>1</v>
          </cell>
          <cell r="H4" t="str">
            <v>Pueblo Constituyente</v>
          </cell>
          <cell r="I4">
            <v>10</v>
          </cell>
          <cell r="J4">
            <v>0</v>
          </cell>
          <cell r="K4">
            <v>0</v>
          </cell>
          <cell r="L4">
            <v>0</v>
          </cell>
          <cell r="M4">
            <v>10</v>
          </cell>
        </row>
        <row r="5">
          <cell r="C5">
            <v>1</v>
          </cell>
          <cell r="H5" t="str">
            <v xml:space="preserve">Escaños Reservados </v>
          </cell>
          <cell r="I5">
            <v>7</v>
          </cell>
          <cell r="J5">
            <v>0</v>
          </cell>
          <cell r="K5">
            <v>1</v>
          </cell>
          <cell r="L5">
            <v>1</v>
          </cell>
          <cell r="M5">
            <v>9</v>
          </cell>
        </row>
        <row r="6">
          <cell r="D6">
            <v>1</v>
          </cell>
          <cell r="H6" t="str">
            <v>Coord. Plurinacional</v>
          </cell>
          <cell r="I6">
            <v>16</v>
          </cell>
          <cell r="J6">
            <v>0</v>
          </cell>
          <cell r="K6">
            <v>0</v>
          </cell>
          <cell r="L6">
            <v>0</v>
          </cell>
          <cell r="M6">
            <v>16</v>
          </cell>
        </row>
        <row r="7">
          <cell r="E7">
            <v>1</v>
          </cell>
          <cell r="H7" t="str">
            <v>Ind. Por Nueva Const.</v>
          </cell>
          <cell r="I7">
            <v>12</v>
          </cell>
          <cell r="J7">
            <v>0</v>
          </cell>
          <cell r="K7">
            <v>0</v>
          </cell>
          <cell r="L7">
            <v>0</v>
          </cell>
          <cell r="M7">
            <v>12</v>
          </cell>
        </row>
        <row r="8">
          <cell r="C8">
            <v>1</v>
          </cell>
          <cell r="H8" t="str">
            <v>Colectivo Socialista</v>
          </cell>
          <cell r="I8">
            <v>4</v>
          </cell>
          <cell r="J8">
            <v>9</v>
          </cell>
          <cell r="K8">
            <v>2</v>
          </cell>
          <cell r="L8">
            <v>0</v>
          </cell>
          <cell r="M8">
            <v>15</v>
          </cell>
        </row>
        <row r="9">
          <cell r="C9">
            <v>1</v>
          </cell>
          <cell r="H9" t="str">
            <v>Frente Amplio</v>
          </cell>
          <cell r="I9">
            <v>7</v>
          </cell>
          <cell r="J9">
            <v>5</v>
          </cell>
          <cell r="K9">
            <v>5</v>
          </cell>
          <cell r="L9">
            <v>0</v>
          </cell>
          <cell r="M9">
            <v>17</v>
          </cell>
        </row>
        <row r="10">
          <cell r="C10">
            <v>1</v>
          </cell>
          <cell r="H10" t="str">
            <v>Ind. + UDI</v>
          </cell>
          <cell r="I10">
            <v>1</v>
          </cell>
          <cell r="J10">
            <v>4</v>
          </cell>
          <cell r="K10">
            <v>16</v>
          </cell>
          <cell r="L10">
            <v>0</v>
          </cell>
          <cell r="M10">
            <v>21</v>
          </cell>
        </row>
        <row r="11">
          <cell r="C11">
            <v>1</v>
          </cell>
          <cell r="H11" t="str">
            <v>Ind. RN - Evópoli</v>
          </cell>
          <cell r="I11">
            <v>0</v>
          </cell>
          <cell r="J11">
            <v>7</v>
          </cell>
          <cell r="K11">
            <v>8</v>
          </cell>
          <cell r="L11">
            <v>0</v>
          </cell>
          <cell r="M11">
            <v>15</v>
          </cell>
        </row>
        <row r="12">
          <cell r="C12">
            <v>1</v>
          </cell>
          <cell r="H12" t="str">
            <v>Colectivo del Apruebo</v>
          </cell>
          <cell r="I12">
            <v>4</v>
          </cell>
          <cell r="J12">
            <v>2</v>
          </cell>
          <cell r="K12">
            <v>1</v>
          </cell>
          <cell r="L12">
            <v>0</v>
          </cell>
          <cell r="M12">
            <v>7</v>
          </cell>
        </row>
        <row r="13">
          <cell r="E13">
            <v>1</v>
          </cell>
          <cell r="H13" t="str">
            <v>Otros</v>
          </cell>
          <cell r="I13">
            <v>5</v>
          </cell>
          <cell r="J13">
            <v>0</v>
          </cell>
          <cell r="K13">
            <v>0</v>
          </cell>
          <cell r="L13">
            <v>0</v>
          </cell>
          <cell r="M13">
            <v>5</v>
          </cell>
        </row>
        <row r="14">
          <cell r="C14">
            <v>1</v>
          </cell>
        </row>
        <row r="15">
          <cell r="C15">
            <v>1</v>
          </cell>
        </row>
        <row r="16">
          <cell r="D16">
            <v>1</v>
          </cell>
        </row>
        <row r="17">
          <cell r="C17">
            <v>1</v>
          </cell>
        </row>
        <row r="18">
          <cell r="C18">
            <v>1</v>
          </cell>
        </row>
        <row r="19">
          <cell r="D19">
            <v>1</v>
          </cell>
        </row>
        <row r="20">
          <cell r="C20">
            <v>1</v>
          </cell>
        </row>
        <row r="21">
          <cell r="C21">
            <v>1</v>
          </cell>
        </row>
        <row r="22">
          <cell r="C22">
            <v>1</v>
          </cell>
        </row>
        <row r="23">
          <cell r="D23">
            <v>1</v>
          </cell>
        </row>
        <row r="24">
          <cell r="C24">
            <v>1</v>
          </cell>
        </row>
        <row r="25">
          <cell r="E25">
            <v>1</v>
          </cell>
        </row>
        <row r="26">
          <cell r="C26">
            <v>1</v>
          </cell>
        </row>
        <row r="27">
          <cell r="C27">
            <v>1</v>
          </cell>
        </row>
        <row r="28">
          <cell r="C28">
            <v>1</v>
          </cell>
        </row>
        <row r="29">
          <cell r="C29">
            <v>1</v>
          </cell>
        </row>
        <row r="30">
          <cell r="D30">
            <v>1</v>
          </cell>
        </row>
        <row r="31">
          <cell r="D31">
            <v>1</v>
          </cell>
        </row>
        <row r="32">
          <cell r="D32">
            <v>1</v>
          </cell>
        </row>
        <row r="33">
          <cell r="D33">
            <v>1</v>
          </cell>
        </row>
        <row r="34">
          <cell r="C34">
            <v>1</v>
          </cell>
        </row>
        <row r="35">
          <cell r="E35">
            <v>1</v>
          </cell>
        </row>
        <row r="36">
          <cell r="C36">
            <v>1</v>
          </cell>
        </row>
        <row r="37">
          <cell r="C37">
            <v>1</v>
          </cell>
        </row>
        <row r="38">
          <cell r="D38">
            <v>1</v>
          </cell>
        </row>
        <row r="39">
          <cell r="C39">
            <v>1</v>
          </cell>
        </row>
        <row r="40">
          <cell r="E40">
            <v>1</v>
          </cell>
        </row>
        <row r="41">
          <cell r="C41">
            <v>1</v>
          </cell>
        </row>
        <row r="42">
          <cell r="E42">
            <v>1</v>
          </cell>
        </row>
        <row r="43">
          <cell r="E43">
            <v>1</v>
          </cell>
        </row>
        <row r="44">
          <cell r="D44">
            <v>1</v>
          </cell>
        </row>
        <row r="45">
          <cell r="E45">
            <v>1</v>
          </cell>
        </row>
        <row r="46">
          <cell r="C46">
            <v>1</v>
          </cell>
          <cell r="H46" t="str">
            <v>Chile Digno</v>
          </cell>
          <cell r="I46">
            <v>0.90909090909090906</v>
          </cell>
          <cell r="J46">
            <v>0</v>
          </cell>
          <cell r="K46">
            <v>9.0909090909090912E-2</v>
          </cell>
          <cell r="L46">
            <v>0</v>
          </cell>
        </row>
        <row r="47">
          <cell r="E47">
            <v>1</v>
          </cell>
          <cell r="H47" t="str">
            <v>Mov. Sociales Const.</v>
          </cell>
          <cell r="I47">
            <v>0.16666666666666666</v>
          </cell>
          <cell r="J47">
            <v>0.75</v>
          </cell>
          <cell r="K47">
            <v>8.3333333333333329E-2</v>
          </cell>
          <cell r="L47">
            <v>0</v>
          </cell>
        </row>
        <row r="48">
          <cell r="E48">
            <v>1</v>
          </cell>
          <cell r="H48" t="str">
            <v>Pueblo Constituyente</v>
          </cell>
          <cell r="I48">
            <v>1</v>
          </cell>
          <cell r="J48">
            <v>0</v>
          </cell>
          <cell r="K48">
            <v>0</v>
          </cell>
          <cell r="L48">
            <v>0</v>
          </cell>
        </row>
        <row r="49">
          <cell r="C49">
            <v>1</v>
          </cell>
          <cell r="H49" t="str">
            <v xml:space="preserve">Escaños Reservados </v>
          </cell>
          <cell r="I49">
            <v>0.77777777777777779</v>
          </cell>
          <cell r="J49">
            <v>0</v>
          </cell>
          <cell r="K49">
            <v>0.1111111111111111</v>
          </cell>
          <cell r="L49">
            <v>0.1111111111111111</v>
          </cell>
        </row>
        <row r="50">
          <cell r="D50">
            <v>1</v>
          </cell>
          <cell r="H50" t="str">
            <v>Coord. Plurinacional</v>
          </cell>
          <cell r="I50">
            <v>1</v>
          </cell>
          <cell r="J50">
            <v>0</v>
          </cell>
          <cell r="K50">
            <v>0</v>
          </cell>
          <cell r="L50">
            <v>0</v>
          </cell>
        </row>
        <row r="51">
          <cell r="D51">
            <v>1</v>
          </cell>
          <cell r="H51" t="str">
            <v>Ind. Por Nueva Const.</v>
          </cell>
          <cell r="I51">
            <v>1</v>
          </cell>
          <cell r="J51">
            <v>0</v>
          </cell>
          <cell r="K51">
            <v>0</v>
          </cell>
          <cell r="L51">
            <v>0</v>
          </cell>
        </row>
        <row r="52">
          <cell r="C52">
            <v>1</v>
          </cell>
          <cell r="H52" t="str">
            <v>Colectivo Socialista</v>
          </cell>
          <cell r="I52">
            <v>0.26666666666666666</v>
          </cell>
          <cell r="J52">
            <v>0.6</v>
          </cell>
          <cell r="K52">
            <v>0.13333333333333333</v>
          </cell>
          <cell r="L52">
            <v>0</v>
          </cell>
        </row>
        <row r="53">
          <cell r="D53">
            <v>1</v>
          </cell>
          <cell r="H53" t="str">
            <v>Frente Amplio</v>
          </cell>
          <cell r="I53">
            <v>0.41176470588235292</v>
          </cell>
          <cell r="J53">
            <v>0.29411764705882354</v>
          </cell>
          <cell r="K53">
            <v>0.29411764705882354</v>
          </cell>
          <cell r="L53">
            <v>0</v>
          </cell>
        </row>
        <row r="54">
          <cell r="C54">
            <v>1</v>
          </cell>
          <cell r="H54" t="str">
            <v>Ind. + UDI</v>
          </cell>
          <cell r="I54">
            <v>4.7619047619047616E-2</v>
          </cell>
          <cell r="J54">
            <v>0.19047619047619047</v>
          </cell>
          <cell r="K54">
            <v>0.76190476190476186</v>
          </cell>
          <cell r="L54">
            <v>0</v>
          </cell>
        </row>
        <row r="55">
          <cell r="C55">
            <v>1</v>
          </cell>
          <cell r="H55" t="str">
            <v>Ind. RN - Evópoli</v>
          </cell>
          <cell r="I55">
            <v>0</v>
          </cell>
          <cell r="J55">
            <v>0.46666666666666667</v>
          </cell>
          <cell r="K55">
            <v>0.53333333333333333</v>
          </cell>
          <cell r="L55">
            <v>0</v>
          </cell>
        </row>
        <row r="56">
          <cell r="C56">
            <v>1</v>
          </cell>
          <cell r="H56" t="str">
            <v>Colectivo del Apruebo</v>
          </cell>
          <cell r="I56">
            <v>0.5714285714285714</v>
          </cell>
          <cell r="J56">
            <v>0.2857142857142857</v>
          </cell>
          <cell r="K56">
            <v>0.14285714285714285</v>
          </cell>
          <cell r="L56">
            <v>0</v>
          </cell>
        </row>
        <row r="57">
          <cell r="C57">
            <v>1</v>
          </cell>
          <cell r="H57" t="str">
            <v>Otros</v>
          </cell>
          <cell r="I57">
            <v>1</v>
          </cell>
          <cell r="J57">
            <v>0</v>
          </cell>
          <cell r="K57">
            <v>0</v>
          </cell>
          <cell r="L57">
            <v>0</v>
          </cell>
        </row>
        <row r="58">
          <cell r="D58">
            <v>1</v>
          </cell>
        </row>
        <row r="59">
          <cell r="C59">
            <v>1</v>
          </cell>
        </row>
        <row r="60">
          <cell r="C60">
            <v>1</v>
          </cell>
        </row>
        <row r="61">
          <cell r="C61">
            <v>1</v>
          </cell>
        </row>
        <row r="62">
          <cell r="C62">
            <v>1</v>
          </cell>
        </row>
        <row r="63">
          <cell r="E63">
            <v>1</v>
          </cell>
        </row>
        <row r="64">
          <cell r="C64">
            <v>1</v>
          </cell>
        </row>
        <row r="65">
          <cell r="E65">
            <v>1</v>
          </cell>
        </row>
        <row r="66">
          <cell r="C66">
            <v>1</v>
          </cell>
        </row>
        <row r="67">
          <cell r="D67">
            <v>1</v>
          </cell>
        </row>
        <row r="68">
          <cell r="C68">
            <v>1</v>
          </cell>
        </row>
        <row r="69">
          <cell r="D69">
            <v>1</v>
          </cell>
        </row>
        <row r="70">
          <cell r="E70">
            <v>1</v>
          </cell>
        </row>
        <row r="71">
          <cell r="D71">
            <v>1</v>
          </cell>
        </row>
        <row r="72">
          <cell r="D72">
            <v>1</v>
          </cell>
        </row>
        <row r="73">
          <cell r="F73">
            <v>1</v>
          </cell>
        </row>
        <row r="74">
          <cell r="D74">
            <v>1</v>
          </cell>
        </row>
        <row r="75">
          <cell r="E75">
            <v>1</v>
          </cell>
        </row>
        <row r="76">
          <cell r="D76">
            <v>1</v>
          </cell>
        </row>
        <row r="77">
          <cell r="E77">
            <v>1</v>
          </cell>
        </row>
        <row r="78">
          <cell r="C78">
            <v>1</v>
          </cell>
        </row>
        <row r="79">
          <cell r="D79">
            <v>1</v>
          </cell>
        </row>
        <row r="80">
          <cell r="D80">
            <v>1</v>
          </cell>
        </row>
        <row r="81">
          <cell r="E81">
            <v>1</v>
          </cell>
        </row>
        <row r="82">
          <cell r="C82">
            <v>1</v>
          </cell>
        </row>
        <row r="83">
          <cell r="C83">
            <v>1</v>
          </cell>
        </row>
        <row r="84">
          <cell r="C84">
            <v>1</v>
          </cell>
        </row>
        <row r="85">
          <cell r="C85">
            <v>1</v>
          </cell>
        </row>
        <row r="86">
          <cell r="C86">
            <v>1</v>
          </cell>
        </row>
        <row r="87">
          <cell r="C87">
            <v>1</v>
          </cell>
        </row>
        <row r="88">
          <cell r="D88">
            <v>1</v>
          </cell>
        </row>
        <row r="89">
          <cell r="C89">
            <v>1</v>
          </cell>
        </row>
        <row r="90">
          <cell r="C90">
            <v>1</v>
          </cell>
        </row>
        <row r="91">
          <cell r="D91">
            <v>1</v>
          </cell>
        </row>
        <row r="92">
          <cell r="C92">
            <v>1</v>
          </cell>
        </row>
        <row r="93">
          <cell r="E93">
            <v>1</v>
          </cell>
        </row>
        <row r="94">
          <cell r="D94">
            <v>1</v>
          </cell>
        </row>
        <row r="95">
          <cell r="C95">
            <v>1</v>
          </cell>
        </row>
        <row r="96">
          <cell r="C96">
            <v>1</v>
          </cell>
        </row>
        <row r="97">
          <cell r="E97">
            <v>1</v>
          </cell>
        </row>
        <row r="98">
          <cell r="E98">
            <v>1</v>
          </cell>
        </row>
        <row r="99">
          <cell r="D99">
            <v>1</v>
          </cell>
        </row>
        <row r="100">
          <cell r="E100">
            <v>1</v>
          </cell>
        </row>
        <row r="101">
          <cell r="C101">
            <v>1</v>
          </cell>
        </row>
        <row r="102">
          <cell r="C102">
            <v>1</v>
          </cell>
        </row>
        <row r="103">
          <cell r="E103">
            <v>1</v>
          </cell>
        </row>
        <row r="104">
          <cell r="E104">
            <v>1</v>
          </cell>
        </row>
        <row r="105">
          <cell r="C105">
            <v>1</v>
          </cell>
        </row>
        <row r="106">
          <cell r="C106">
            <v>1</v>
          </cell>
        </row>
        <row r="107">
          <cell r="D107">
            <v>1</v>
          </cell>
        </row>
        <row r="108">
          <cell r="E108">
            <v>1</v>
          </cell>
        </row>
        <row r="109">
          <cell r="D109">
            <v>1</v>
          </cell>
        </row>
        <row r="110">
          <cell r="C110">
            <v>1</v>
          </cell>
        </row>
        <row r="111">
          <cell r="E111">
            <v>1</v>
          </cell>
        </row>
        <row r="112">
          <cell r="C112">
            <v>1</v>
          </cell>
        </row>
        <row r="113">
          <cell r="C113">
            <v>1</v>
          </cell>
        </row>
        <row r="114">
          <cell r="C114">
            <v>1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1</v>
          </cell>
        </row>
        <row r="118">
          <cell r="E118">
            <v>1</v>
          </cell>
        </row>
        <row r="119">
          <cell r="C119">
            <v>1</v>
          </cell>
        </row>
        <row r="120">
          <cell r="C120">
            <v>1</v>
          </cell>
        </row>
        <row r="121">
          <cell r="F121">
            <v>1</v>
          </cell>
        </row>
        <row r="122">
          <cell r="C122">
            <v>1</v>
          </cell>
        </row>
        <row r="123">
          <cell r="D123">
            <v>1</v>
          </cell>
        </row>
        <row r="124">
          <cell r="C124">
            <v>1</v>
          </cell>
        </row>
        <row r="125">
          <cell r="C125">
            <v>1</v>
          </cell>
        </row>
        <row r="126">
          <cell r="D126">
            <v>1</v>
          </cell>
        </row>
        <row r="127">
          <cell r="C127">
            <v>1</v>
          </cell>
        </row>
        <row r="128">
          <cell r="C128">
            <v>1</v>
          </cell>
        </row>
        <row r="129">
          <cell r="C129">
            <v>1</v>
          </cell>
        </row>
        <row r="130">
          <cell r="D130">
            <v>1</v>
          </cell>
        </row>
        <row r="131">
          <cell r="E131">
            <v>1</v>
          </cell>
        </row>
        <row r="132">
          <cell r="D132">
            <v>1</v>
          </cell>
        </row>
        <row r="133">
          <cell r="D133">
            <v>1</v>
          </cell>
        </row>
        <row r="134">
          <cell r="D134">
            <v>1</v>
          </cell>
        </row>
        <row r="135">
          <cell r="C135">
            <v>1</v>
          </cell>
        </row>
        <row r="136">
          <cell r="E136">
            <v>1</v>
          </cell>
        </row>
        <row r="137">
          <cell r="E137">
            <v>1</v>
          </cell>
        </row>
        <row r="138">
          <cell r="C138">
            <v>1</v>
          </cell>
        </row>
        <row r="139">
          <cell r="D139">
            <v>1</v>
          </cell>
        </row>
        <row r="140">
          <cell r="C140">
            <v>1</v>
          </cell>
        </row>
        <row r="141">
          <cell r="C141">
            <v>1</v>
          </cell>
        </row>
        <row r="142">
          <cell r="C142">
            <v>1</v>
          </cell>
        </row>
        <row r="143">
          <cell r="C143">
            <v>1</v>
          </cell>
        </row>
        <row r="144">
          <cell r="D144">
            <v>1</v>
          </cell>
        </row>
        <row r="145">
          <cell r="D145">
            <v>1</v>
          </cell>
        </row>
        <row r="146">
          <cell r="C146">
            <v>1</v>
          </cell>
        </row>
        <row r="147">
          <cell r="E147">
            <v>1</v>
          </cell>
        </row>
        <row r="148">
          <cell r="C148">
            <v>1</v>
          </cell>
        </row>
        <row r="149">
          <cell r="C149">
            <v>1</v>
          </cell>
        </row>
        <row r="150">
          <cell r="C150">
            <v>1</v>
          </cell>
        </row>
        <row r="151">
          <cell r="D151">
            <v>1</v>
          </cell>
        </row>
        <row r="152">
          <cell r="E152">
            <v>1</v>
          </cell>
        </row>
        <row r="153">
          <cell r="C153">
            <v>1</v>
          </cell>
        </row>
        <row r="154">
          <cell r="C154">
            <v>1</v>
          </cell>
        </row>
        <row r="155">
          <cell r="C155">
            <v>1</v>
          </cell>
        </row>
        <row r="156">
          <cell r="E156">
            <v>1</v>
          </cell>
        </row>
      </sheetData>
      <sheetData sheetId="10">
        <row r="2">
          <cell r="D2">
            <v>1</v>
          </cell>
          <cell r="H2" t="str">
            <v>Chile Digno</v>
          </cell>
          <cell r="I2">
            <v>7</v>
          </cell>
          <cell r="J2">
            <v>1</v>
          </cell>
          <cell r="K2">
            <v>3</v>
          </cell>
          <cell r="L2">
            <v>0</v>
          </cell>
          <cell r="M2">
            <v>11</v>
          </cell>
        </row>
        <row r="3">
          <cell r="C3">
            <v>1</v>
          </cell>
          <cell r="H3" t="str">
            <v>Mov. Sociales Const.</v>
          </cell>
          <cell r="I3">
            <v>2</v>
          </cell>
          <cell r="J3">
            <v>10</v>
          </cell>
          <cell r="K3">
            <v>0</v>
          </cell>
          <cell r="L3">
            <v>0</v>
          </cell>
          <cell r="M3">
            <v>12</v>
          </cell>
        </row>
        <row r="4">
          <cell r="D4">
            <v>1</v>
          </cell>
          <cell r="H4" t="str">
            <v>Pueblo Constituyente</v>
          </cell>
          <cell r="I4">
            <v>10</v>
          </cell>
          <cell r="J4">
            <v>0</v>
          </cell>
          <cell r="K4">
            <v>0</v>
          </cell>
          <cell r="L4">
            <v>0</v>
          </cell>
          <cell r="M4">
            <v>10</v>
          </cell>
        </row>
        <row r="5">
          <cell r="D5">
            <v>1</v>
          </cell>
          <cell r="H5" t="str">
            <v xml:space="preserve">Escaños Reservados </v>
          </cell>
          <cell r="I5">
            <v>0</v>
          </cell>
          <cell r="J5">
            <v>8</v>
          </cell>
          <cell r="K5">
            <v>0</v>
          </cell>
          <cell r="L5">
            <v>1</v>
          </cell>
          <cell r="M5">
            <v>9</v>
          </cell>
        </row>
        <row r="6">
          <cell r="C6">
            <v>1</v>
          </cell>
          <cell r="H6" t="str">
            <v>Coord. Plurinacional</v>
          </cell>
          <cell r="I6">
            <v>15</v>
          </cell>
          <cell r="J6">
            <v>0</v>
          </cell>
          <cell r="K6">
            <v>1</v>
          </cell>
          <cell r="L6">
            <v>0</v>
          </cell>
          <cell r="M6">
            <v>16</v>
          </cell>
        </row>
        <row r="7">
          <cell r="D7">
            <v>1</v>
          </cell>
          <cell r="H7" t="str">
            <v>Ind. Por Nueva Const.</v>
          </cell>
          <cell r="I7">
            <v>5</v>
          </cell>
          <cell r="J7">
            <v>4</v>
          </cell>
          <cell r="K7">
            <v>2</v>
          </cell>
          <cell r="L7">
            <v>1</v>
          </cell>
          <cell r="M7">
            <v>12</v>
          </cell>
        </row>
        <row r="8">
          <cell r="D8">
            <v>1</v>
          </cell>
          <cell r="H8" t="str">
            <v>Colectivo Socialista</v>
          </cell>
          <cell r="I8">
            <v>0</v>
          </cell>
          <cell r="J8">
            <v>13</v>
          </cell>
          <cell r="K8">
            <v>1</v>
          </cell>
          <cell r="L8">
            <v>1</v>
          </cell>
          <cell r="M8">
            <v>15</v>
          </cell>
        </row>
        <row r="9">
          <cell r="D9">
            <v>1</v>
          </cell>
          <cell r="H9" t="str">
            <v>Frente Amplio</v>
          </cell>
          <cell r="I9">
            <v>0</v>
          </cell>
          <cell r="J9">
            <v>12</v>
          </cell>
          <cell r="K9">
            <v>12</v>
          </cell>
          <cell r="L9">
            <v>0</v>
          </cell>
          <cell r="M9">
            <v>24</v>
          </cell>
        </row>
        <row r="10">
          <cell r="C10">
            <v>1</v>
          </cell>
          <cell r="H10" t="str">
            <v>Ind. + UDI</v>
          </cell>
          <cell r="I10">
            <v>0</v>
          </cell>
          <cell r="J10">
            <v>20</v>
          </cell>
          <cell r="K10">
            <v>1</v>
          </cell>
          <cell r="L10">
            <v>0</v>
          </cell>
          <cell r="M10">
            <v>21</v>
          </cell>
        </row>
        <row r="11">
          <cell r="C11">
            <v>1</v>
          </cell>
          <cell r="H11" t="str">
            <v>Ind. RN - Evópoli</v>
          </cell>
          <cell r="I11">
            <v>0</v>
          </cell>
          <cell r="J11">
            <v>11</v>
          </cell>
          <cell r="K11">
            <v>3</v>
          </cell>
          <cell r="L11">
            <v>1</v>
          </cell>
          <cell r="M11">
            <v>15</v>
          </cell>
        </row>
        <row r="12">
          <cell r="C12">
            <v>1</v>
          </cell>
          <cell r="H12" t="str">
            <v>Colectivo del Apruebo</v>
          </cell>
          <cell r="I12">
            <v>0</v>
          </cell>
          <cell r="J12">
            <v>6</v>
          </cell>
          <cell r="K12">
            <v>1</v>
          </cell>
          <cell r="L12">
            <v>0</v>
          </cell>
          <cell r="M12">
            <v>7</v>
          </cell>
        </row>
        <row r="13">
          <cell r="D13">
            <v>1</v>
          </cell>
          <cell r="H13" t="str">
            <v>Otros</v>
          </cell>
          <cell r="I13">
            <v>3</v>
          </cell>
          <cell r="J13">
            <v>2</v>
          </cell>
          <cell r="K13">
            <v>0</v>
          </cell>
          <cell r="L13">
            <v>0</v>
          </cell>
          <cell r="M13">
            <v>5</v>
          </cell>
        </row>
        <row r="14">
          <cell r="C14">
            <v>1</v>
          </cell>
        </row>
        <row r="15">
          <cell r="C15">
            <v>1</v>
          </cell>
        </row>
        <row r="16">
          <cell r="D16">
            <v>1</v>
          </cell>
        </row>
        <row r="17">
          <cell r="D17">
            <v>1</v>
          </cell>
        </row>
        <row r="18">
          <cell r="E18">
            <v>1</v>
          </cell>
        </row>
        <row r="19">
          <cell r="D19">
            <v>1</v>
          </cell>
        </row>
        <row r="20">
          <cell r="F20">
            <v>1</v>
          </cell>
        </row>
        <row r="21">
          <cell r="D21">
            <v>1</v>
          </cell>
        </row>
        <row r="22">
          <cell r="C22">
            <v>1</v>
          </cell>
        </row>
        <row r="23">
          <cell r="D23">
            <v>1</v>
          </cell>
        </row>
        <row r="24">
          <cell r="D24">
            <v>1</v>
          </cell>
        </row>
        <row r="25">
          <cell r="D25">
            <v>1</v>
          </cell>
        </row>
        <row r="26">
          <cell r="C26">
            <v>1</v>
          </cell>
        </row>
        <row r="27">
          <cell r="C27">
            <v>1</v>
          </cell>
        </row>
        <row r="28">
          <cell r="C28">
            <v>1</v>
          </cell>
        </row>
        <row r="29">
          <cell r="D29">
            <v>1</v>
          </cell>
        </row>
        <row r="30">
          <cell r="D30">
            <v>1</v>
          </cell>
        </row>
        <row r="31">
          <cell r="D31">
            <v>1</v>
          </cell>
        </row>
        <row r="32">
          <cell r="D32">
            <v>1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1</v>
          </cell>
        </row>
        <row r="36">
          <cell r="D36">
            <v>1</v>
          </cell>
        </row>
        <row r="37">
          <cell r="C37">
            <v>1</v>
          </cell>
        </row>
        <row r="38">
          <cell r="D38">
            <v>1</v>
          </cell>
        </row>
        <row r="39">
          <cell r="C39">
            <v>1</v>
          </cell>
        </row>
        <row r="40">
          <cell r="D40">
            <v>1</v>
          </cell>
        </row>
        <row r="41">
          <cell r="C41">
            <v>1</v>
          </cell>
        </row>
        <row r="42">
          <cell r="D42">
            <v>1</v>
          </cell>
        </row>
        <row r="43">
          <cell r="D43">
            <v>1</v>
          </cell>
        </row>
        <row r="44">
          <cell r="D44">
            <v>1</v>
          </cell>
        </row>
        <row r="45">
          <cell r="D45">
            <v>1</v>
          </cell>
        </row>
        <row r="46">
          <cell r="E46">
            <v>1</v>
          </cell>
          <cell r="H46" t="str">
            <v>Chile Digno</v>
          </cell>
          <cell r="I46">
            <v>0.63636363636363635</v>
          </cell>
          <cell r="J46">
            <v>9.0909090909090912E-2</v>
          </cell>
          <cell r="K46">
            <v>0.27272727272727271</v>
          </cell>
          <cell r="L46">
            <v>0</v>
          </cell>
        </row>
        <row r="47">
          <cell r="F47">
            <v>1</v>
          </cell>
          <cell r="H47" t="str">
            <v>Mov. Sociales Const.</v>
          </cell>
          <cell r="I47">
            <v>0.16666666666666666</v>
          </cell>
          <cell r="J47">
            <v>0.83333333333333337</v>
          </cell>
          <cell r="K47">
            <v>0</v>
          </cell>
          <cell r="L47">
            <v>0</v>
          </cell>
        </row>
        <row r="48">
          <cell r="D48">
            <v>1</v>
          </cell>
          <cell r="H48" t="str">
            <v>Pueblo Constituyente</v>
          </cell>
          <cell r="I48">
            <v>1</v>
          </cell>
          <cell r="J48">
            <v>0</v>
          </cell>
          <cell r="K48">
            <v>0</v>
          </cell>
          <cell r="L48">
            <v>0</v>
          </cell>
        </row>
        <row r="49">
          <cell r="E49">
            <v>1</v>
          </cell>
          <cell r="H49" t="str">
            <v xml:space="preserve">Escaños Reservados </v>
          </cell>
          <cell r="I49">
            <v>0</v>
          </cell>
          <cell r="J49">
            <v>0.88888888888888884</v>
          </cell>
          <cell r="K49">
            <v>0</v>
          </cell>
          <cell r="L49">
            <v>0.1111111111111111</v>
          </cell>
        </row>
        <row r="50">
          <cell r="D50">
            <v>1</v>
          </cell>
          <cell r="H50" t="str">
            <v>Coord. Plurinacional</v>
          </cell>
          <cell r="I50">
            <v>0.9375</v>
          </cell>
          <cell r="J50">
            <v>0</v>
          </cell>
          <cell r="K50">
            <v>6.25E-2</v>
          </cell>
          <cell r="L50">
            <v>0</v>
          </cell>
        </row>
        <row r="51">
          <cell r="D51">
            <v>1</v>
          </cell>
          <cell r="H51" t="str">
            <v>Ind. Por Nueva Const.</v>
          </cell>
          <cell r="I51">
            <v>0.41666666666666669</v>
          </cell>
          <cell r="J51">
            <v>0.33333333333333331</v>
          </cell>
          <cell r="K51">
            <v>0.16666666666666666</v>
          </cell>
          <cell r="L51">
            <v>8.3333333333333329E-2</v>
          </cell>
        </row>
        <row r="52">
          <cell r="D52">
            <v>1</v>
          </cell>
          <cell r="H52" t="str">
            <v>Colectivo Socialista</v>
          </cell>
          <cell r="I52">
            <v>0</v>
          </cell>
          <cell r="J52">
            <v>0.8666666666666667</v>
          </cell>
          <cell r="K52">
            <v>6.6666666666666666E-2</v>
          </cell>
          <cell r="L52">
            <v>6.6666666666666666E-2</v>
          </cell>
        </row>
        <row r="53">
          <cell r="D53">
            <v>1</v>
          </cell>
          <cell r="H53" t="str">
            <v>Frente Amplio</v>
          </cell>
          <cell r="I53">
            <v>0</v>
          </cell>
          <cell r="J53">
            <v>0.5</v>
          </cell>
          <cell r="K53">
            <v>0.5</v>
          </cell>
          <cell r="L53">
            <v>0</v>
          </cell>
        </row>
        <row r="54">
          <cell r="D54">
            <v>1</v>
          </cell>
          <cell r="H54" t="str">
            <v>Ind. + UDI</v>
          </cell>
          <cell r="I54">
            <v>0</v>
          </cell>
          <cell r="J54">
            <v>0.95238095238095233</v>
          </cell>
          <cell r="K54">
            <v>4.7619047619047616E-2</v>
          </cell>
          <cell r="L54">
            <v>0</v>
          </cell>
        </row>
        <row r="55">
          <cell r="C55">
            <v>1</v>
          </cell>
          <cell r="H55" t="str">
            <v>Ind. RN - Evópoli</v>
          </cell>
          <cell r="I55">
            <v>0</v>
          </cell>
          <cell r="J55">
            <v>0.73333333333333328</v>
          </cell>
          <cell r="K55">
            <v>0.2</v>
          </cell>
          <cell r="L55">
            <v>6.6666666666666666E-2</v>
          </cell>
        </row>
        <row r="56">
          <cell r="D56">
            <v>1</v>
          </cell>
          <cell r="H56" t="str">
            <v>Colectivo del Apruebo</v>
          </cell>
          <cell r="I56">
            <v>0</v>
          </cell>
          <cell r="J56">
            <v>0.8571428571428571</v>
          </cell>
          <cell r="K56">
            <v>0.14285714285714285</v>
          </cell>
          <cell r="L56">
            <v>0</v>
          </cell>
        </row>
        <row r="57">
          <cell r="D57">
            <v>1</v>
          </cell>
          <cell r="H57" t="str">
            <v>Otros</v>
          </cell>
          <cell r="I57">
            <v>0.6</v>
          </cell>
          <cell r="J57">
            <v>0.4</v>
          </cell>
          <cell r="K57">
            <v>0</v>
          </cell>
          <cell r="L57">
            <v>0</v>
          </cell>
        </row>
        <row r="58">
          <cell r="D58">
            <v>1</v>
          </cell>
        </row>
        <row r="59">
          <cell r="C59">
            <v>1</v>
          </cell>
        </row>
        <row r="60">
          <cell r="D60">
            <v>1</v>
          </cell>
        </row>
        <row r="61">
          <cell r="E61">
            <v>1</v>
          </cell>
        </row>
        <row r="62">
          <cell r="C62">
            <v>1</v>
          </cell>
        </row>
        <row r="63">
          <cell r="F63">
            <v>1</v>
          </cell>
        </row>
        <row r="64">
          <cell r="C64">
            <v>1</v>
          </cell>
        </row>
        <row r="65">
          <cell r="C65">
            <v>1</v>
          </cell>
        </row>
        <row r="66">
          <cell r="E66">
            <v>1</v>
          </cell>
        </row>
        <row r="67">
          <cell r="D67">
            <v>1</v>
          </cell>
        </row>
        <row r="68">
          <cell r="C68">
            <v>1</v>
          </cell>
        </row>
        <row r="69">
          <cell r="D69">
            <v>1</v>
          </cell>
        </row>
        <row r="70">
          <cell r="D70">
            <v>1</v>
          </cell>
        </row>
        <row r="71">
          <cell r="D71">
            <v>1</v>
          </cell>
        </row>
        <row r="72">
          <cell r="D72">
            <v>1</v>
          </cell>
        </row>
        <row r="73">
          <cell r="D73">
            <v>1</v>
          </cell>
        </row>
        <row r="74">
          <cell r="D74">
            <v>1</v>
          </cell>
        </row>
        <row r="75">
          <cell r="D75">
            <v>1</v>
          </cell>
        </row>
        <row r="76">
          <cell r="C76">
            <v>1</v>
          </cell>
        </row>
        <row r="77">
          <cell r="E77">
            <v>1</v>
          </cell>
        </row>
        <row r="78">
          <cell r="C78">
            <v>1</v>
          </cell>
        </row>
        <row r="79">
          <cell r="D79">
            <v>1</v>
          </cell>
        </row>
        <row r="80">
          <cell r="D80">
            <v>1</v>
          </cell>
        </row>
        <row r="81">
          <cell r="D81">
            <v>1</v>
          </cell>
        </row>
        <row r="82">
          <cell r="C82">
            <v>1</v>
          </cell>
        </row>
        <row r="83">
          <cell r="C83">
            <v>1</v>
          </cell>
        </row>
        <row r="84">
          <cell r="D84">
            <v>1</v>
          </cell>
        </row>
        <row r="85">
          <cell r="D85">
            <v>1</v>
          </cell>
        </row>
        <row r="86">
          <cell r="C86">
            <v>1</v>
          </cell>
        </row>
        <row r="87">
          <cell r="D87">
            <v>1</v>
          </cell>
        </row>
        <row r="88">
          <cell r="D88">
            <v>1</v>
          </cell>
        </row>
        <row r="89">
          <cell r="C89">
            <v>1</v>
          </cell>
        </row>
        <row r="90">
          <cell r="D90">
            <v>1</v>
          </cell>
        </row>
        <row r="91">
          <cell r="D91">
            <v>1</v>
          </cell>
        </row>
        <row r="92">
          <cell r="E92">
            <v>1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1</v>
          </cell>
        </row>
        <row r="96">
          <cell r="C96">
            <v>1</v>
          </cell>
        </row>
        <row r="97">
          <cell r="D97">
            <v>1</v>
          </cell>
        </row>
        <row r="98">
          <cell r="D98">
            <v>1</v>
          </cell>
        </row>
        <row r="99">
          <cell r="D99">
            <v>1</v>
          </cell>
        </row>
        <row r="100">
          <cell r="D100">
            <v>1</v>
          </cell>
        </row>
        <row r="101">
          <cell r="F101">
            <v>1</v>
          </cell>
        </row>
        <row r="102">
          <cell r="C102">
            <v>1</v>
          </cell>
        </row>
        <row r="103">
          <cell r="D103">
            <v>1</v>
          </cell>
        </row>
        <row r="104">
          <cell r="D104">
            <v>1</v>
          </cell>
        </row>
        <row r="105">
          <cell r="E105">
            <v>1</v>
          </cell>
        </row>
        <row r="106">
          <cell r="C106">
            <v>1</v>
          </cell>
        </row>
        <row r="107">
          <cell r="D107">
            <v>1</v>
          </cell>
        </row>
        <row r="108">
          <cell r="E108">
            <v>1</v>
          </cell>
        </row>
        <row r="109">
          <cell r="D109">
            <v>1</v>
          </cell>
        </row>
        <row r="110">
          <cell r="C110">
            <v>1</v>
          </cell>
        </row>
        <row r="111">
          <cell r="E111">
            <v>1</v>
          </cell>
        </row>
        <row r="112">
          <cell r="D112">
            <v>1</v>
          </cell>
        </row>
        <row r="113">
          <cell r="E113">
            <v>1</v>
          </cell>
        </row>
        <row r="114">
          <cell r="D114">
            <v>1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1</v>
          </cell>
        </row>
        <row r="118">
          <cell r="E118">
            <v>1</v>
          </cell>
        </row>
        <row r="119">
          <cell r="C119">
            <v>1</v>
          </cell>
        </row>
        <row r="120">
          <cell r="D120">
            <v>1</v>
          </cell>
        </row>
        <row r="121">
          <cell r="F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C124">
            <v>1</v>
          </cell>
        </row>
        <row r="125">
          <cell r="C125">
            <v>1</v>
          </cell>
        </row>
        <row r="126">
          <cell r="D126">
            <v>1</v>
          </cell>
        </row>
        <row r="127">
          <cell r="D127">
            <v>1</v>
          </cell>
        </row>
        <row r="128">
          <cell r="D128">
            <v>1</v>
          </cell>
        </row>
        <row r="129">
          <cell r="C129">
            <v>1</v>
          </cell>
        </row>
        <row r="130">
          <cell r="D130">
            <v>1</v>
          </cell>
        </row>
        <row r="131">
          <cell r="E131">
            <v>1</v>
          </cell>
        </row>
        <row r="132">
          <cell r="E132">
            <v>1</v>
          </cell>
        </row>
        <row r="133">
          <cell r="D133">
            <v>1</v>
          </cell>
        </row>
        <row r="134">
          <cell r="D134">
            <v>1</v>
          </cell>
        </row>
        <row r="135">
          <cell r="D135">
            <v>1</v>
          </cell>
        </row>
        <row r="136">
          <cell r="D136">
            <v>1</v>
          </cell>
        </row>
        <row r="137">
          <cell r="D137">
            <v>1</v>
          </cell>
        </row>
        <row r="138">
          <cell r="C138">
            <v>1</v>
          </cell>
        </row>
        <row r="139">
          <cell r="D139">
            <v>1</v>
          </cell>
        </row>
        <row r="140">
          <cell r="D140">
            <v>1</v>
          </cell>
        </row>
        <row r="141">
          <cell r="C141">
            <v>1</v>
          </cell>
        </row>
        <row r="142">
          <cell r="C142">
            <v>1</v>
          </cell>
        </row>
        <row r="143">
          <cell r="C143">
            <v>1</v>
          </cell>
        </row>
        <row r="144">
          <cell r="D144">
            <v>1</v>
          </cell>
        </row>
        <row r="145">
          <cell r="D145">
            <v>1</v>
          </cell>
        </row>
        <row r="146">
          <cell r="C146">
            <v>1</v>
          </cell>
        </row>
        <row r="147">
          <cell r="D147">
            <v>1</v>
          </cell>
        </row>
        <row r="148">
          <cell r="C148">
            <v>1</v>
          </cell>
        </row>
        <row r="149">
          <cell r="D149">
            <v>1</v>
          </cell>
        </row>
        <row r="150">
          <cell r="C150">
            <v>1</v>
          </cell>
        </row>
        <row r="151">
          <cell r="D151">
            <v>1</v>
          </cell>
        </row>
        <row r="152">
          <cell r="D152">
            <v>1</v>
          </cell>
        </row>
        <row r="153">
          <cell r="C153">
            <v>1</v>
          </cell>
        </row>
        <row r="154">
          <cell r="C154">
            <v>1</v>
          </cell>
        </row>
        <row r="155">
          <cell r="C155">
            <v>1</v>
          </cell>
        </row>
        <row r="156">
          <cell r="D156">
            <v>1</v>
          </cell>
        </row>
      </sheetData>
      <sheetData sheetId="11">
        <row r="2">
          <cell r="D2">
            <v>1</v>
          </cell>
          <cell r="H2" t="str">
            <v>Chile Digno</v>
          </cell>
          <cell r="I2">
            <v>11</v>
          </cell>
          <cell r="J2">
            <v>0</v>
          </cell>
          <cell r="K2">
            <v>0</v>
          </cell>
          <cell r="L2">
            <v>0</v>
          </cell>
          <cell r="M2">
            <v>11</v>
          </cell>
        </row>
        <row r="3">
          <cell r="C3">
            <v>1</v>
          </cell>
          <cell r="H3" t="str">
            <v>Mov. Sociales Const.</v>
          </cell>
          <cell r="I3">
            <v>2</v>
          </cell>
          <cell r="J3">
            <v>9</v>
          </cell>
          <cell r="K3">
            <v>1</v>
          </cell>
          <cell r="L3">
            <v>0</v>
          </cell>
          <cell r="M3">
            <v>12</v>
          </cell>
        </row>
        <row r="4">
          <cell r="D4">
            <v>1</v>
          </cell>
          <cell r="H4" t="str">
            <v>Pueblo Constituyente</v>
          </cell>
          <cell r="I4">
            <v>8</v>
          </cell>
          <cell r="J4">
            <v>2</v>
          </cell>
          <cell r="K4">
            <v>0</v>
          </cell>
          <cell r="L4">
            <v>0</v>
          </cell>
          <cell r="M4">
            <v>10</v>
          </cell>
        </row>
        <row r="5">
          <cell r="D5">
            <v>1</v>
          </cell>
          <cell r="H5" t="str">
            <v xml:space="preserve">Escaños Reservados </v>
          </cell>
          <cell r="I5">
            <v>0</v>
          </cell>
          <cell r="J5">
            <v>7</v>
          </cell>
          <cell r="K5">
            <v>1</v>
          </cell>
          <cell r="L5">
            <v>1</v>
          </cell>
          <cell r="M5">
            <v>9</v>
          </cell>
        </row>
        <row r="6">
          <cell r="C6">
            <v>1</v>
          </cell>
          <cell r="H6" t="str">
            <v>Coord. Plurinacional</v>
          </cell>
          <cell r="I6">
            <v>15</v>
          </cell>
          <cell r="J6">
            <v>0</v>
          </cell>
          <cell r="K6">
            <v>1</v>
          </cell>
          <cell r="L6">
            <v>0</v>
          </cell>
          <cell r="M6">
            <v>16</v>
          </cell>
        </row>
        <row r="7">
          <cell r="C7">
            <v>1</v>
          </cell>
          <cell r="H7" t="str">
            <v>Ind. Por Nueva Const.</v>
          </cell>
          <cell r="I7">
            <v>3</v>
          </cell>
          <cell r="J7">
            <v>5</v>
          </cell>
          <cell r="K7">
            <v>4</v>
          </cell>
          <cell r="L7">
            <v>0</v>
          </cell>
          <cell r="M7">
            <v>12</v>
          </cell>
        </row>
        <row r="8">
          <cell r="D8">
            <v>1</v>
          </cell>
          <cell r="H8" t="str">
            <v>Colectivo Socialista</v>
          </cell>
          <cell r="I8">
            <v>2</v>
          </cell>
          <cell r="J8">
            <v>11</v>
          </cell>
          <cell r="K8">
            <v>2</v>
          </cell>
          <cell r="L8">
            <v>0</v>
          </cell>
          <cell r="M8">
            <v>15</v>
          </cell>
        </row>
        <row r="9">
          <cell r="D9">
            <v>1</v>
          </cell>
          <cell r="H9" t="str">
            <v>Frente Amplio</v>
          </cell>
          <cell r="I9">
            <v>0</v>
          </cell>
          <cell r="J9">
            <v>11</v>
          </cell>
          <cell r="K9">
            <v>11</v>
          </cell>
          <cell r="L9">
            <v>0</v>
          </cell>
          <cell r="M9">
            <v>22</v>
          </cell>
        </row>
        <row r="10">
          <cell r="C10">
            <v>1</v>
          </cell>
          <cell r="H10" t="str">
            <v>Ind. + UDI</v>
          </cell>
          <cell r="I10">
            <v>0</v>
          </cell>
          <cell r="J10">
            <v>18</v>
          </cell>
          <cell r="K10">
            <v>3</v>
          </cell>
          <cell r="L10">
            <v>0</v>
          </cell>
          <cell r="M10">
            <v>21</v>
          </cell>
        </row>
        <row r="11">
          <cell r="C11">
            <v>1</v>
          </cell>
          <cell r="H11" t="str">
            <v>Ind. RN - Evópoli</v>
          </cell>
          <cell r="I11">
            <v>0</v>
          </cell>
          <cell r="J11">
            <v>13</v>
          </cell>
          <cell r="K11">
            <v>2</v>
          </cell>
          <cell r="L11">
            <v>0</v>
          </cell>
          <cell r="M11">
            <v>15</v>
          </cell>
        </row>
        <row r="12">
          <cell r="C12">
            <v>1</v>
          </cell>
          <cell r="H12" t="str">
            <v>Colectivo del Apruebo</v>
          </cell>
          <cell r="I12">
            <v>0</v>
          </cell>
          <cell r="J12">
            <v>6</v>
          </cell>
          <cell r="K12">
            <v>1</v>
          </cell>
          <cell r="L12">
            <v>0</v>
          </cell>
          <cell r="M12">
            <v>7</v>
          </cell>
        </row>
        <row r="13">
          <cell r="D13">
            <v>1</v>
          </cell>
          <cell r="H13" t="str">
            <v>Otros</v>
          </cell>
          <cell r="I13">
            <v>4</v>
          </cell>
          <cell r="J13">
            <v>1</v>
          </cell>
          <cell r="K13">
            <v>0</v>
          </cell>
          <cell r="L13">
            <v>0</v>
          </cell>
          <cell r="M13">
            <v>5</v>
          </cell>
        </row>
        <row r="14">
          <cell r="C14">
            <v>1</v>
          </cell>
        </row>
        <row r="15">
          <cell r="C15">
            <v>1</v>
          </cell>
        </row>
        <row r="16">
          <cell r="D16">
            <v>1</v>
          </cell>
        </row>
        <row r="17">
          <cell r="D17">
            <v>1</v>
          </cell>
        </row>
        <row r="18">
          <cell r="E18">
            <v>1</v>
          </cell>
        </row>
        <row r="19">
          <cell r="D19">
            <v>1</v>
          </cell>
        </row>
        <row r="20">
          <cell r="D20">
            <v>1</v>
          </cell>
        </row>
        <row r="21">
          <cell r="D21">
            <v>1</v>
          </cell>
        </row>
        <row r="22">
          <cell r="C22">
            <v>1</v>
          </cell>
        </row>
        <row r="23">
          <cell r="D23">
            <v>1</v>
          </cell>
        </row>
        <row r="24">
          <cell r="E24">
            <v>1</v>
          </cell>
        </row>
        <row r="25">
          <cell r="D25">
            <v>1</v>
          </cell>
        </row>
        <row r="26">
          <cell r="D26">
            <v>1</v>
          </cell>
        </row>
        <row r="27">
          <cell r="C27">
            <v>1</v>
          </cell>
        </row>
        <row r="28">
          <cell r="C28">
            <v>1</v>
          </cell>
        </row>
        <row r="29">
          <cell r="D29">
            <v>1</v>
          </cell>
        </row>
        <row r="30">
          <cell r="D30">
            <v>1</v>
          </cell>
        </row>
        <row r="31">
          <cell r="D31">
            <v>1</v>
          </cell>
        </row>
        <row r="32">
          <cell r="D32">
            <v>1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1</v>
          </cell>
        </row>
        <row r="36">
          <cell r="D36">
            <v>1</v>
          </cell>
        </row>
        <row r="37">
          <cell r="C37">
            <v>1</v>
          </cell>
        </row>
        <row r="38">
          <cell r="D38">
            <v>1</v>
          </cell>
        </row>
        <row r="39">
          <cell r="E39">
            <v>1</v>
          </cell>
        </row>
        <row r="40">
          <cell r="D40">
            <v>1</v>
          </cell>
        </row>
        <row r="41">
          <cell r="C41">
            <v>1</v>
          </cell>
        </row>
        <row r="42">
          <cell r="D42">
            <v>1</v>
          </cell>
        </row>
        <row r="43">
          <cell r="D43">
            <v>1</v>
          </cell>
        </row>
        <row r="44">
          <cell r="D44">
            <v>1</v>
          </cell>
        </row>
        <row r="45">
          <cell r="D45">
            <v>1</v>
          </cell>
        </row>
        <row r="46">
          <cell r="D46">
            <v>1</v>
          </cell>
          <cell r="H46" t="str">
            <v>Chile Digno</v>
          </cell>
          <cell r="I46">
            <v>1</v>
          </cell>
          <cell r="J46">
            <v>0</v>
          </cell>
          <cell r="K46">
            <v>0</v>
          </cell>
          <cell r="L46">
            <v>0</v>
          </cell>
        </row>
        <row r="47">
          <cell r="D47">
            <v>1</v>
          </cell>
          <cell r="H47" t="str">
            <v>Mov. Sociales Const.</v>
          </cell>
          <cell r="I47">
            <v>0.16666666666666666</v>
          </cell>
          <cell r="J47">
            <v>0.75</v>
          </cell>
          <cell r="K47">
            <v>8.3333333333333329E-2</v>
          </cell>
          <cell r="L47">
            <v>0</v>
          </cell>
        </row>
        <row r="48">
          <cell r="E48">
            <v>1</v>
          </cell>
          <cell r="H48" t="str">
            <v>Pueblo Constituyente</v>
          </cell>
          <cell r="I48">
            <v>0.8</v>
          </cell>
          <cell r="J48">
            <v>0.2</v>
          </cell>
          <cell r="K48">
            <v>0</v>
          </cell>
          <cell r="L48">
            <v>0</v>
          </cell>
        </row>
        <row r="49">
          <cell r="D49">
            <v>1</v>
          </cell>
          <cell r="H49" t="str">
            <v xml:space="preserve">Escaños Reservados </v>
          </cell>
          <cell r="I49">
            <v>0</v>
          </cell>
          <cell r="J49">
            <v>0.77777777777777779</v>
          </cell>
          <cell r="K49">
            <v>0.1111111111111111</v>
          </cell>
          <cell r="L49">
            <v>0.1111111111111111</v>
          </cell>
        </row>
        <row r="50">
          <cell r="D50">
            <v>1</v>
          </cell>
          <cell r="H50" t="str">
            <v>Coord. Plurinacional</v>
          </cell>
          <cell r="I50">
            <v>0.9375</v>
          </cell>
          <cell r="J50">
            <v>0</v>
          </cell>
          <cell r="K50">
            <v>6.25E-2</v>
          </cell>
          <cell r="L50">
            <v>0</v>
          </cell>
        </row>
        <row r="51">
          <cell r="D51">
            <v>1</v>
          </cell>
          <cell r="H51" t="str">
            <v>Ind. Por Nueva Const.</v>
          </cell>
          <cell r="I51">
            <v>0.25</v>
          </cell>
          <cell r="J51">
            <v>0.41666666666666669</v>
          </cell>
          <cell r="K51">
            <v>0.33333333333333331</v>
          </cell>
          <cell r="L51">
            <v>0</v>
          </cell>
        </row>
        <row r="52">
          <cell r="D52">
            <v>1</v>
          </cell>
          <cell r="H52" t="str">
            <v>Colectivo Socialista</v>
          </cell>
          <cell r="I52">
            <v>0.13333333333333333</v>
          </cell>
          <cell r="J52">
            <v>0.73333333333333328</v>
          </cell>
          <cell r="K52">
            <v>0.13333333333333333</v>
          </cell>
          <cell r="L52">
            <v>0</v>
          </cell>
        </row>
        <row r="53">
          <cell r="D53">
            <v>1</v>
          </cell>
          <cell r="H53" t="str">
            <v>Frente Amplio</v>
          </cell>
          <cell r="I53">
            <v>0</v>
          </cell>
          <cell r="J53">
            <v>0.5</v>
          </cell>
          <cell r="K53">
            <v>0.5</v>
          </cell>
          <cell r="L53">
            <v>0</v>
          </cell>
        </row>
        <row r="54">
          <cell r="E54">
            <v>1</v>
          </cell>
          <cell r="H54" t="str">
            <v>Ind. + UDI</v>
          </cell>
          <cell r="I54">
            <v>0</v>
          </cell>
          <cell r="J54">
            <v>0.8571428571428571</v>
          </cell>
          <cell r="K54">
            <v>0.14285714285714285</v>
          </cell>
          <cell r="L54">
            <v>0</v>
          </cell>
        </row>
        <row r="55">
          <cell r="C55">
            <v>1</v>
          </cell>
          <cell r="H55" t="str">
            <v>Ind. RN - Evópoli</v>
          </cell>
          <cell r="I55">
            <v>0</v>
          </cell>
          <cell r="J55">
            <v>0.8666666666666667</v>
          </cell>
          <cell r="K55">
            <v>0.13333333333333333</v>
          </cell>
          <cell r="L55">
            <v>0</v>
          </cell>
        </row>
        <row r="56">
          <cell r="D56">
            <v>1</v>
          </cell>
          <cell r="H56" t="str">
            <v>Colectivo del Apruebo</v>
          </cell>
          <cell r="I56">
            <v>0</v>
          </cell>
          <cell r="J56">
            <v>0.8571428571428571</v>
          </cell>
          <cell r="K56">
            <v>0.14285714285714285</v>
          </cell>
          <cell r="L56">
            <v>0</v>
          </cell>
        </row>
        <row r="57">
          <cell r="C57">
            <v>1</v>
          </cell>
          <cell r="H57" t="str">
            <v>Otros</v>
          </cell>
          <cell r="I57">
            <v>0.8</v>
          </cell>
          <cell r="J57">
            <v>0.2</v>
          </cell>
          <cell r="K57">
            <v>0</v>
          </cell>
          <cell r="L57">
            <v>0</v>
          </cell>
        </row>
        <row r="58">
          <cell r="D58">
            <v>1</v>
          </cell>
        </row>
        <row r="59">
          <cell r="C59">
            <v>1</v>
          </cell>
        </row>
        <row r="60">
          <cell r="C60">
            <v>1</v>
          </cell>
        </row>
        <row r="61">
          <cell r="E61">
            <v>1</v>
          </cell>
        </row>
        <row r="62">
          <cell r="C62">
            <v>1</v>
          </cell>
        </row>
        <row r="63">
          <cell r="F63">
            <v>1</v>
          </cell>
        </row>
        <row r="64">
          <cell r="C64">
            <v>1</v>
          </cell>
        </row>
        <row r="65">
          <cell r="C65">
            <v>1</v>
          </cell>
        </row>
        <row r="66">
          <cell r="C66">
            <v>1</v>
          </cell>
        </row>
        <row r="67">
          <cell r="D67">
            <v>1</v>
          </cell>
        </row>
        <row r="68">
          <cell r="C68">
            <v>1</v>
          </cell>
        </row>
        <row r="69">
          <cell r="E69">
            <v>1</v>
          </cell>
        </row>
        <row r="70">
          <cell r="E70">
            <v>1</v>
          </cell>
        </row>
        <row r="71">
          <cell r="E71">
            <v>1</v>
          </cell>
        </row>
        <row r="72">
          <cell r="E72">
            <v>1</v>
          </cell>
        </row>
        <row r="73">
          <cell r="E73">
            <v>1</v>
          </cell>
        </row>
        <row r="74">
          <cell r="E74">
            <v>1</v>
          </cell>
        </row>
        <row r="75">
          <cell r="E75">
            <v>1</v>
          </cell>
        </row>
        <row r="76">
          <cell r="C76">
            <v>1</v>
          </cell>
        </row>
        <row r="77">
          <cell r="D77">
            <v>1</v>
          </cell>
        </row>
        <row r="78">
          <cell r="C78">
            <v>1</v>
          </cell>
        </row>
        <row r="79">
          <cell r="D79">
            <v>1</v>
          </cell>
        </row>
        <row r="80">
          <cell r="D80">
            <v>1</v>
          </cell>
        </row>
        <row r="81">
          <cell r="D81">
            <v>1</v>
          </cell>
        </row>
        <row r="82">
          <cell r="C82">
            <v>1</v>
          </cell>
        </row>
        <row r="83">
          <cell r="C83">
            <v>1</v>
          </cell>
        </row>
        <row r="84">
          <cell r="D84">
            <v>1</v>
          </cell>
        </row>
        <row r="85">
          <cell r="D85">
            <v>1</v>
          </cell>
        </row>
        <row r="86">
          <cell r="C86">
            <v>1</v>
          </cell>
        </row>
        <row r="87">
          <cell r="D87">
            <v>1</v>
          </cell>
        </row>
        <row r="88">
          <cell r="D88">
            <v>1</v>
          </cell>
        </row>
        <row r="89">
          <cell r="C89">
            <v>1</v>
          </cell>
        </row>
        <row r="90">
          <cell r="E90">
            <v>1</v>
          </cell>
        </row>
        <row r="91">
          <cell r="D91">
            <v>1</v>
          </cell>
        </row>
        <row r="92">
          <cell r="E92">
            <v>1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1</v>
          </cell>
        </row>
        <row r="96">
          <cell r="C96">
            <v>1</v>
          </cell>
        </row>
        <row r="97">
          <cell r="E97">
            <v>1</v>
          </cell>
        </row>
        <row r="98">
          <cell r="D98">
            <v>1</v>
          </cell>
        </row>
        <row r="99">
          <cell r="D99">
            <v>1</v>
          </cell>
        </row>
        <row r="100">
          <cell r="D100">
            <v>1</v>
          </cell>
        </row>
        <row r="101">
          <cell r="D101">
            <v>1</v>
          </cell>
        </row>
        <row r="102">
          <cell r="E102">
            <v>1</v>
          </cell>
        </row>
        <row r="103">
          <cell r="D103">
            <v>1</v>
          </cell>
        </row>
        <row r="104">
          <cell r="D104">
            <v>1</v>
          </cell>
        </row>
        <row r="105">
          <cell r="C105">
            <v>1</v>
          </cell>
        </row>
        <row r="106">
          <cell r="C106">
            <v>1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</v>
          </cell>
        </row>
        <row r="110">
          <cell r="C110">
            <v>1</v>
          </cell>
        </row>
        <row r="111">
          <cell r="E111">
            <v>1</v>
          </cell>
        </row>
        <row r="112">
          <cell r="D112">
            <v>1</v>
          </cell>
        </row>
        <row r="113">
          <cell r="C113">
            <v>1</v>
          </cell>
        </row>
        <row r="114">
          <cell r="D114">
            <v>1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1</v>
          </cell>
        </row>
        <row r="118">
          <cell r="D118">
            <v>1</v>
          </cell>
        </row>
        <row r="119">
          <cell r="C119">
            <v>1</v>
          </cell>
        </row>
        <row r="120">
          <cell r="D120">
            <v>1</v>
          </cell>
        </row>
        <row r="121">
          <cell r="F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C124">
            <v>1</v>
          </cell>
        </row>
        <row r="125">
          <cell r="C125">
            <v>1</v>
          </cell>
        </row>
        <row r="126">
          <cell r="D126">
            <v>1</v>
          </cell>
        </row>
        <row r="127">
          <cell r="D127">
            <v>1</v>
          </cell>
        </row>
        <row r="128">
          <cell r="C128">
            <v>1</v>
          </cell>
        </row>
        <row r="129">
          <cell r="C129">
            <v>1</v>
          </cell>
        </row>
        <row r="130">
          <cell r="D130">
            <v>1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1</v>
          </cell>
        </row>
        <row r="134">
          <cell r="D134">
            <v>1</v>
          </cell>
        </row>
        <row r="135">
          <cell r="D135">
            <v>1</v>
          </cell>
        </row>
        <row r="136">
          <cell r="D136">
            <v>1</v>
          </cell>
        </row>
        <row r="137">
          <cell r="D137">
            <v>1</v>
          </cell>
        </row>
        <row r="138">
          <cell r="C138">
            <v>1</v>
          </cell>
        </row>
        <row r="139">
          <cell r="D139">
            <v>1</v>
          </cell>
        </row>
        <row r="140">
          <cell r="D140">
            <v>1</v>
          </cell>
        </row>
        <row r="141">
          <cell r="E141">
            <v>1</v>
          </cell>
        </row>
        <row r="142">
          <cell r="C142">
            <v>1</v>
          </cell>
        </row>
        <row r="143">
          <cell r="C143">
            <v>1</v>
          </cell>
        </row>
        <row r="144">
          <cell r="D144">
            <v>1</v>
          </cell>
        </row>
        <row r="145">
          <cell r="D145">
            <v>1</v>
          </cell>
        </row>
        <row r="146">
          <cell r="C146">
            <v>1</v>
          </cell>
        </row>
        <row r="147">
          <cell r="D147">
            <v>1</v>
          </cell>
        </row>
        <row r="148">
          <cell r="C148">
            <v>1</v>
          </cell>
        </row>
        <row r="149">
          <cell r="D149">
            <v>1</v>
          </cell>
        </row>
        <row r="150">
          <cell r="C150">
            <v>1</v>
          </cell>
        </row>
        <row r="151">
          <cell r="D151">
            <v>1</v>
          </cell>
        </row>
        <row r="152">
          <cell r="D152">
            <v>1</v>
          </cell>
        </row>
        <row r="153">
          <cell r="D153">
            <v>1</v>
          </cell>
        </row>
        <row r="154">
          <cell r="C154">
            <v>1</v>
          </cell>
        </row>
        <row r="155">
          <cell r="C155">
            <v>1</v>
          </cell>
        </row>
        <row r="156">
          <cell r="D156">
            <v>1</v>
          </cell>
        </row>
      </sheetData>
      <sheetData sheetId="12">
        <row r="2">
          <cell r="C2">
            <v>1</v>
          </cell>
          <cell r="H2" t="str">
            <v>Chile Digno</v>
          </cell>
          <cell r="I2">
            <v>10</v>
          </cell>
          <cell r="J2">
            <v>1</v>
          </cell>
          <cell r="K2">
            <v>0</v>
          </cell>
          <cell r="L2">
            <v>0</v>
          </cell>
          <cell r="M2">
            <v>11</v>
          </cell>
        </row>
        <row r="3">
          <cell r="C3">
            <v>1</v>
          </cell>
          <cell r="H3" t="str">
            <v>Mov. Sociales Const.</v>
          </cell>
          <cell r="I3">
            <v>12</v>
          </cell>
          <cell r="J3">
            <v>0</v>
          </cell>
          <cell r="K3">
            <v>0</v>
          </cell>
          <cell r="L3">
            <v>0</v>
          </cell>
          <cell r="M3">
            <v>12</v>
          </cell>
        </row>
        <row r="4">
          <cell r="E4">
            <v>1</v>
          </cell>
          <cell r="H4" t="str">
            <v>Pueblo Constituyente</v>
          </cell>
          <cell r="I4">
            <v>10</v>
          </cell>
          <cell r="J4">
            <v>0</v>
          </cell>
          <cell r="K4">
            <v>0</v>
          </cell>
          <cell r="L4">
            <v>0</v>
          </cell>
          <cell r="M4">
            <v>10</v>
          </cell>
        </row>
        <row r="5">
          <cell r="E5">
            <v>1</v>
          </cell>
          <cell r="H5" t="str">
            <v xml:space="preserve">Escaños Reservados </v>
          </cell>
          <cell r="I5">
            <v>0</v>
          </cell>
          <cell r="J5">
            <v>0</v>
          </cell>
          <cell r="K5">
            <v>8</v>
          </cell>
          <cell r="L5">
            <v>1</v>
          </cell>
          <cell r="M5">
            <v>9</v>
          </cell>
        </row>
        <row r="6">
          <cell r="C6">
            <v>1</v>
          </cell>
          <cell r="H6" t="str">
            <v>Coord. Plurinacional</v>
          </cell>
          <cell r="I6">
            <v>16</v>
          </cell>
          <cell r="J6">
            <v>0</v>
          </cell>
          <cell r="K6">
            <v>0</v>
          </cell>
          <cell r="L6">
            <v>0</v>
          </cell>
          <cell r="M6">
            <v>16</v>
          </cell>
        </row>
        <row r="7">
          <cell r="D7">
            <v>1</v>
          </cell>
          <cell r="H7" t="str">
            <v>Ind. Por Nueva Const.</v>
          </cell>
          <cell r="I7">
            <v>8</v>
          </cell>
          <cell r="J7">
            <v>2</v>
          </cell>
          <cell r="K7">
            <v>2</v>
          </cell>
          <cell r="L7">
            <v>0</v>
          </cell>
          <cell r="M7">
            <v>12</v>
          </cell>
        </row>
        <row r="8">
          <cell r="D8">
            <v>1</v>
          </cell>
          <cell r="H8" t="str">
            <v>Colectivo Socialista</v>
          </cell>
          <cell r="I8">
            <v>3</v>
          </cell>
          <cell r="J8">
            <v>12</v>
          </cell>
          <cell r="K8">
            <v>0</v>
          </cell>
          <cell r="L8">
            <v>0</v>
          </cell>
          <cell r="M8">
            <v>15</v>
          </cell>
        </row>
        <row r="9">
          <cell r="C9">
            <v>1</v>
          </cell>
          <cell r="H9" t="str">
            <v>Frente Amplio</v>
          </cell>
          <cell r="I9">
            <v>8</v>
          </cell>
          <cell r="J9">
            <v>3</v>
          </cell>
          <cell r="K9">
            <v>3</v>
          </cell>
          <cell r="L9">
            <v>0</v>
          </cell>
          <cell r="M9">
            <v>14</v>
          </cell>
        </row>
        <row r="10">
          <cell r="C10">
            <v>1</v>
          </cell>
          <cell r="H10" t="str">
            <v>Ind. + UDI</v>
          </cell>
          <cell r="I10">
            <v>0</v>
          </cell>
          <cell r="J10">
            <v>21</v>
          </cell>
          <cell r="K10">
            <v>0</v>
          </cell>
          <cell r="L10">
            <v>0</v>
          </cell>
          <cell r="M10">
            <v>21</v>
          </cell>
        </row>
        <row r="11">
          <cell r="C11">
            <v>1</v>
          </cell>
          <cell r="H11" t="str">
            <v>Ind. RN - Evópoli</v>
          </cell>
          <cell r="I11">
            <v>0</v>
          </cell>
          <cell r="J11">
            <v>13</v>
          </cell>
          <cell r="K11">
            <v>1</v>
          </cell>
          <cell r="L11">
            <v>1</v>
          </cell>
          <cell r="M11">
            <v>15</v>
          </cell>
        </row>
        <row r="12">
          <cell r="C12">
            <v>1</v>
          </cell>
          <cell r="H12" t="str">
            <v>Colectivo del Apruebo</v>
          </cell>
          <cell r="I12">
            <v>2</v>
          </cell>
          <cell r="J12">
            <v>5</v>
          </cell>
          <cell r="K12">
            <v>0</v>
          </cell>
          <cell r="L12">
            <v>0</v>
          </cell>
          <cell r="M12">
            <v>7</v>
          </cell>
        </row>
        <row r="13">
          <cell r="D13">
            <v>1</v>
          </cell>
          <cell r="H13" t="str">
            <v>Otros</v>
          </cell>
          <cell r="I13">
            <v>4</v>
          </cell>
          <cell r="J13">
            <v>0</v>
          </cell>
          <cell r="K13">
            <v>1</v>
          </cell>
          <cell r="L13">
            <v>0</v>
          </cell>
          <cell r="M13">
            <v>5</v>
          </cell>
        </row>
        <row r="14">
          <cell r="C14">
            <v>1</v>
          </cell>
        </row>
        <row r="15">
          <cell r="C15">
            <v>1</v>
          </cell>
        </row>
        <row r="16">
          <cell r="D16">
            <v>1</v>
          </cell>
        </row>
        <row r="17">
          <cell r="D17">
            <v>1</v>
          </cell>
        </row>
        <row r="18">
          <cell r="C18">
            <v>1</v>
          </cell>
        </row>
        <row r="19">
          <cell r="C19">
            <v>1</v>
          </cell>
        </row>
        <row r="20">
          <cell r="C20">
            <v>1</v>
          </cell>
        </row>
        <row r="21">
          <cell r="C21">
            <v>1</v>
          </cell>
        </row>
        <row r="22">
          <cell r="C22">
            <v>1</v>
          </cell>
        </row>
        <row r="23">
          <cell r="D23">
            <v>1</v>
          </cell>
        </row>
        <row r="24">
          <cell r="C24">
            <v>1</v>
          </cell>
        </row>
        <row r="25">
          <cell r="D25">
            <v>1</v>
          </cell>
        </row>
        <row r="26">
          <cell r="C26">
            <v>1</v>
          </cell>
        </row>
        <row r="27">
          <cell r="C27">
            <v>1</v>
          </cell>
        </row>
        <row r="28">
          <cell r="C28">
            <v>1</v>
          </cell>
        </row>
        <row r="29">
          <cell r="D29">
            <v>1</v>
          </cell>
        </row>
        <row r="30">
          <cell r="D30">
            <v>1</v>
          </cell>
        </row>
        <row r="31">
          <cell r="D31">
            <v>1</v>
          </cell>
        </row>
        <row r="32">
          <cell r="C32">
            <v>1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1</v>
          </cell>
        </row>
        <row r="36">
          <cell r="E36">
            <v>1</v>
          </cell>
        </row>
        <row r="37">
          <cell r="C37">
            <v>1</v>
          </cell>
        </row>
        <row r="38">
          <cell r="D38">
            <v>1</v>
          </cell>
        </row>
        <row r="39">
          <cell r="C39">
            <v>1</v>
          </cell>
        </row>
        <row r="40">
          <cell r="D40">
            <v>1</v>
          </cell>
        </row>
        <row r="41">
          <cell r="C41">
            <v>1</v>
          </cell>
        </row>
        <row r="42">
          <cell r="D42">
            <v>1</v>
          </cell>
        </row>
        <row r="43">
          <cell r="D43">
            <v>1</v>
          </cell>
        </row>
        <row r="44">
          <cell r="D44">
            <v>1</v>
          </cell>
        </row>
        <row r="45">
          <cell r="D45">
            <v>1</v>
          </cell>
        </row>
        <row r="46">
          <cell r="C46">
            <v>1</v>
          </cell>
          <cell r="H46" t="str">
            <v>Chile Digno</v>
          </cell>
          <cell r="I46">
            <v>0.90909090909090906</v>
          </cell>
          <cell r="J46">
            <v>9.0909090909090912E-2</v>
          </cell>
          <cell r="K46">
            <v>0</v>
          </cell>
          <cell r="L46">
            <v>0</v>
          </cell>
        </row>
        <row r="47">
          <cell r="F47">
            <v>1</v>
          </cell>
          <cell r="H47" t="str">
            <v>Mov. Sociales Const.</v>
          </cell>
          <cell r="I47">
            <v>1</v>
          </cell>
          <cell r="J47">
            <v>0</v>
          </cell>
          <cell r="K47">
            <v>0</v>
          </cell>
          <cell r="L47">
            <v>0</v>
          </cell>
        </row>
        <row r="48">
          <cell r="C48">
            <v>1</v>
          </cell>
          <cell r="H48" t="str">
            <v>Pueblo Constituyente</v>
          </cell>
          <cell r="I48">
            <v>1</v>
          </cell>
          <cell r="J48">
            <v>0</v>
          </cell>
          <cell r="K48">
            <v>0</v>
          </cell>
          <cell r="L48">
            <v>0</v>
          </cell>
        </row>
        <row r="49">
          <cell r="D49">
            <v>1</v>
          </cell>
          <cell r="H49" t="str">
            <v xml:space="preserve">Escaños Reservados </v>
          </cell>
          <cell r="I49">
            <v>0</v>
          </cell>
          <cell r="J49">
            <v>0</v>
          </cell>
          <cell r="K49">
            <v>0.88888888888888884</v>
          </cell>
          <cell r="L49">
            <v>0.1111111111111111</v>
          </cell>
        </row>
        <row r="50">
          <cell r="C50">
            <v>1</v>
          </cell>
          <cell r="H50" t="str">
            <v>Coord. Plurinacional</v>
          </cell>
          <cell r="I50">
            <v>1</v>
          </cell>
          <cell r="J50">
            <v>0</v>
          </cell>
          <cell r="K50">
            <v>0</v>
          </cell>
          <cell r="L50">
            <v>0</v>
          </cell>
        </row>
        <row r="51">
          <cell r="D51">
            <v>1</v>
          </cell>
          <cell r="H51" t="str">
            <v>Ind. Por Nueva Const.</v>
          </cell>
          <cell r="I51">
            <v>0.66666666666666663</v>
          </cell>
          <cell r="J51">
            <v>0.16666666666666666</v>
          </cell>
          <cell r="K51">
            <v>0.16666666666666666</v>
          </cell>
          <cell r="L51">
            <v>0</v>
          </cell>
        </row>
        <row r="52">
          <cell r="C52">
            <v>1</v>
          </cell>
          <cell r="H52" t="str">
            <v>Colectivo Socialista</v>
          </cell>
          <cell r="I52">
            <v>0.2</v>
          </cell>
          <cell r="J52">
            <v>0.8</v>
          </cell>
          <cell r="K52">
            <v>0</v>
          </cell>
          <cell r="L52">
            <v>0</v>
          </cell>
        </row>
        <row r="53">
          <cell r="D53">
            <v>1</v>
          </cell>
          <cell r="H53" t="str">
            <v>Frente Amplio</v>
          </cell>
          <cell r="I53">
            <v>0.5714285714285714</v>
          </cell>
          <cell r="J53">
            <v>0.21428571428571427</v>
          </cell>
          <cell r="K53">
            <v>0.21428571428571427</v>
          </cell>
          <cell r="L53">
            <v>0</v>
          </cell>
        </row>
        <row r="54">
          <cell r="E54">
            <v>1</v>
          </cell>
          <cell r="H54" t="str">
            <v>Ind. + UDI</v>
          </cell>
          <cell r="I54">
            <v>0</v>
          </cell>
          <cell r="J54">
            <v>1</v>
          </cell>
          <cell r="K54">
            <v>0</v>
          </cell>
          <cell r="L54">
            <v>0</v>
          </cell>
        </row>
        <row r="55">
          <cell r="C55">
            <v>1</v>
          </cell>
          <cell r="H55" t="str">
            <v>Ind. RN - Evópoli</v>
          </cell>
          <cell r="I55">
            <v>0</v>
          </cell>
          <cell r="J55">
            <v>0.8666666666666667</v>
          </cell>
          <cell r="K55">
            <v>6.6666666666666666E-2</v>
          </cell>
          <cell r="L55">
            <v>6.6666666666666666E-2</v>
          </cell>
        </row>
        <row r="56">
          <cell r="E56">
            <v>1</v>
          </cell>
          <cell r="H56" t="str">
            <v>Colectivo del Apruebo</v>
          </cell>
          <cell r="I56">
            <v>0.2857142857142857</v>
          </cell>
          <cell r="J56">
            <v>0.7142857142857143</v>
          </cell>
          <cell r="K56">
            <v>0</v>
          </cell>
          <cell r="L56">
            <v>0</v>
          </cell>
        </row>
        <row r="57">
          <cell r="C57">
            <v>1</v>
          </cell>
          <cell r="H57" t="str">
            <v>Otros</v>
          </cell>
          <cell r="I57">
            <v>0.8</v>
          </cell>
          <cell r="J57">
            <v>0</v>
          </cell>
          <cell r="K57">
            <v>0.2</v>
          </cell>
          <cell r="L57">
            <v>0</v>
          </cell>
        </row>
        <row r="58">
          <cell r="C58">
            <v>1</v>
          </cell>
        </row>
        <row r="59">
          <cell r="C59">
            <v>1</v>
          </cell>
        </row>
        <row r="60">
          <cell r="C60">
            <v>1</v>
          </cell>
        </row>
        <row r="61">
          <cell r="C61">
            <v>1</v>
          </cell>
        </row>
        <row r="62">
          <cell r="C62">
            <v>1</v>
          </cell>
        </row>
        <row r="63">
          <cell r="F63">
            <v>1</v>
          </cell>
        </row>
        <row r="64">
          <cell r="C64">
            <v>1</v>
          </cell>
        </row>
        <row r="65">
          <cell r="C65">
            <v>1</v>
          </cell>
        </row>
        <row r="66">
          <cell r="C66">
            <v>1</v>
          </cell>
        </row>
        <row r="67">
          <cell r="D67">
            <v>1</v>
          </cell>
        </row>
        <row r="68">
          <cell r="C68">
            <v>1</v>
          </cell>
        </row>
        <row r="69">
          <cell r="C69">
            <v>1</v>
          </cell>
        </row>
        <row r="70">
          <cell r="D70">
            <v>1</v>
          </cell>
        </row>
        <row r="71">
          <cell r="D71">
            <v>1</v>
          </cell>
        </row>
        <row r="72">
          <cell r="D72">
            <v>1</v>
          </cell>
        </row>
        <row r="73">
          <cell r="E73">
            <v>1</v>
          </cell>
        </row>
        <row r="74">
          <cell r="D74">
            <v>1</v>
          </cell>
        </row>
        <row r="75">
          <cell r="D75">
            <v>1</v>
          </cell>
        </row>
        <row r="76">
          <cell r="C76">
            <v>1</v>
          </cell>
        </row>
        <row r="77">
          <cell r="D77">
            <v>1</v>
          </cell>
        </row>
        <row r="78">
          <cell r="C78">
            <v>1</v>
          </cell>
        </row>
        <row r="79">
          <cell r="D79">
            <v>1</v>
          </cell>
        </row>
        <row r="80">
          <cell r="D80">
            <v>1</v>
          </cell>
        </row>
        <row r="81">
          <cell r="D81">
            <v>1</v>
          </cell>
        </row>
        <row r="82">
          <cell r="C82">
            <v>1</v>
          </cell>
        </row>
        <row r="83">
          <cell r="C83">
            <v>1</v>
          </cell>
        </row>
        <row r="84">
          <cell r="D84">
            <v>1</v>
          </cell>
        </row>
        <row r="85">
          <cell r="E85">
            <v>1</v>
          </cell>
        </row>
        <row r="86">
          <cell r="C86">
            <v>1</v>
          </cell>
        </row>
        <row r="87">
          <cell r="E87">
            <v>1</v>
          </cell>
        </row>
        <row r="88">
          <cell r="D88">
            <v>1</v>
          </cell>
        </row>
        <row r="89">
          <cell r="C89">
            <v>1</v>
          </cell>
        </row>
        <row r="90">
          <cell r="C90">
            <v>1</v>
          </cell>
        </row>
        <row r="91">
          <cell r="D91">
            <v>1</v>
          </cell>
        </row>
        <row r="92">
          <cell r="C92">
            <v>1</v>
          </cell>
        </row>
        <row r="93">
          <cell r="D93">
            <v>1</v>
          </cell>
        </row>
        <row r="94">
          <cell r="C94">
            <v>1</v>
          </cell>
        </row>
        <row r="95">
          <cell r="E95">
            <v>1</v>
          </cell>
        </row>
        <row r="96">
          <cell r="C96">
            <v>1</v>
          </cell>
        </row>
        <row r="97">
          <cell r="D97">
            <v>1</v>
          </cell>
        </row>
        <row r="98">
          <cell r="D98">
            <v>1</v>
          </cell>
        </row>
        <row r="99">
          <cell r="D99">
            <v>1</v>
          </cell>
        </row>
        <row r="100">
          <cell r="D100">
            <v>1</v>
          </cell>
        </row>
        <row r="101">
          <cell r="D101">
            <v>1</v>
          </cell>
        </row>
        <row r="102">
          <cell r="C102">
            <v>1</v>
          </cell>
        </row>
        <row r="103">
          <cell r="D103">
            <v>1</v>
          </cell>
        </row>
        <row r="104">
          <cell r="D104">
            <v>1</v>
          </cell>
        </row>
        <row r="105">
          <cell r="C105">
            <v>1</v>
          </cell>
        </row>
        <row r="106">
          <cell r="C106">
            <v>1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</v>
          </cell>
        </row>
        <row r="110">
          <cell r="C110">
            <v>1</v>
          </cell>
        </row>
        <row r="111">
          <cell r="C111">
            <v>1</v>
          </cell>
        </row>
        <row r="112">
          <cell r="E112">
            <v>1</v>
          </cell>
        </row>
        <row r="113">
          <cell r="C113">
            <v>1</v>
          </cell>
        </row>
        <row r="114">
          <cell r="D114">
            <v>1</v>
          </cell>
        </row>
        <row r="115">
          <cell r="C115">
            <v>1</v>
          </cell>
        </row>
        <row r="116">
          <cell r="D116">
            <v>1</v>
          </cell>
        </row>
        <row r="117">
          <cell r="C117">
            <v>1</v>
          </cell>
        </row>
        <row r="118">
          <cell r="D118">
            <v>1</v>
          </cell>
        </row>
        <row r="119">
          <cell r="C119">
            <v>1</v>
          </cell>
        </row>
        <row r="120">
          <cell r="C120">
            <v>1</v>
          </cell>
        </row>
        <row r="121">
          <cell r="F121">
            <v>1</v>
          </cell>
        </row>
        <row r="122">
          <cell r="C122">
            <v>1</v>
          </cell>
        </row>
        <row r="123">
          <cell r="C123">
            <v>1</v>
          </cell>
        </row>
        <row r="124">
          <cell r="C124">
            <v>1</v>
          </cell>
        </row>
        <row r="125">
          <cell r="C125">
            <v>1</v>
          </cell>
        </row>
        <row r="126">
          <cell r="D126">
            <v>1</v>
          </cell>
        </row>
        <row r="127">
          <cell r="E127">
            <v>1</v>
          </cell>
        </row>
        <row r="128">
          <cell r="D128">
            <v>1</v>
          </cell>
        </row>
        <row r="129">
          <cell r="C129">
            <v>1</v>
          </cell>
        </row>
        <row r="130">
          <cell r="C130">
            <v>1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C133">
            <v>1</v>
          </cell>
        </row>
        <row r="134">
          <cell r="D134">
            <v>1</v>
          </cell>
        </row>
        <row r="135">
          <cell r="E135">
            <v>1</v>
          </cell>
        </row>
        <row r="136">
          <cell r="D136">
            <v>1</v>
          </cell>
        </row>
        <row r="137">
          <cell r="D137">
            <v>1</v>
          </cell>
        </row>
        <row r="138">
          <cell r="C138">
            <v>1</v>
          </cell>
        </row>
        <row r="139">
          <cell r="E139">
            <v>1</v>
          </cell>
        </row>
        <row r="140">
          <cell r="D140">
            <v>1</v>
          </cell>
        </row>
        <row r="141">
          <cell r="C141">
            <v>1</v>
          </cell>
        </row>
        <row r="142">
          <cell r="C142">
            <v>1</v>
          </cell>
        </row>
        <row r="143">
          <cell r="C143">
            <v>1</v>
          </cell>
        </row>
        <row r="144">
          <cell r="D144">
            <v>1</v>
          </cell>
        </row>
        <row r="145">
          <cell r="D145">
            <v>1</v>
          </cell>
        </row>
        <row r="146">
          <cell r="C146">
            <v>1</v>
          </cell>
        </row>
        <row r="147">
          <cell r="E147">
            <v>1</v>
          </cell>
        </row>
        <row r="148">
          <cell r="C148">
            <v>1</v>
          </cell>
        </row>
        <row r="149">
          <cell r="E149">
            <v>1</v>
          </cell>
        </row>
        <row r="150">
          <cell r="C150">
            <v>1</v>
          </cell>
        </row>
        <row r="151">
          <cell r="D151">
            <v>1</v>
          </cell>
        </row>
        <row r="152">
          <cell r="C152">
            <v>1</v>
          </cell>
        </row>
        <row r="153">
          <cell r="C153">
            <v>1</v>
          </cell>
        </row>
        <row r="154">
          <cell r="C154">
            <v>1</v>
          </cell>
        </row>
        <row r="155">
          <cell r="C155">
            <v>1</v>
          </cell>
        </row>
        <row r="156">
          <cell r="D156">
            <v>1</v>
          </cell>
        </row>
      </sheetData>
      <sheetData sheetId="13">
        <row r="2">
          <cell r="E2">
            <v>1</v>
          </cell>
          <cell r="H2" t="str">
            <v>Chile Digno</v>
          </cell>
          <cell r="I2">
            <v>11</v>
          </cell>
          <cell r="J2">
            <v>0</v>
          </cell>
          <cell r="K2">
            <v>0</v>
          </cell>
          <cell r="L2">
            <v>0</v>
          </cell>
          <cell r="M2">
            <v>11</v>
          </cell>
        </row>
        <row r="3">
          <cell r="E3">
            <v>1</v>
          </cell>
          <cell r="H3" t="str">
            <v>Mov. Sociales Const.</v>
          </cell>
          <cell r="I3">
            <v>12</v>
          </cell>
          <cell r="J3">
            <v>0</v>
          </cell>
          <cell r="K3">
            <v>0</v>
          </cell>
          <cell r="L3">
            <v>0</v>
          </cell>
          <cell r="M3">
            <v>12</v>
          </cell>
        </row>
        <row r="4">
          <cell r="D4">
            <v>1</v>
          </cell>
          <cell r="H4" t="str">
            <v>Pueblo Constituyente</v>
          </cell>
          <cell r="I4">
            <v>10</v>
          </cell>
          <cell r="J4">
            <v>0</v>
          </cell>
          <cell r="K4">
            <v>0</v>
          </cell>
          <cell r="L4">
            <v>0</v>
          </cell>
          <cell r="M4">
            <v>10</v>
          </cell>
        </row>
        <row r="5">
          <cell r="E5">
            <v>1</v>
          </cell>
          <cell r="H5" t="str">
            <v xml:space="preserve">Escaños Reservados </v>
          </cell>
          <cell r="I5">
            <v>0</v>
          </cell>
          <cell r="J5">
            <v>0</v>
          </cell>
          <cell r="K5">
            <v>8</v>
          </cell>
          <cell r="L5">
            <v>1</v>
          </cell>
          <cell r="M5">
            <v>9</v>
          </cell>
        </row>
        <row r="6">
          <cell r="C6">
            <v>1</v>
          </cell>
          <cell r="H6" t="str">
            <v>Coord. Plurinacional</v>
          </cell>
          <cell r="I6">
            <v>15</v>
          </cell>
          <cell r="J6">
            <v>1</v>
          </cell>
          <cell r="K6">
            <v>0</v>
          </cell>
          <cell r="L6">
            <v>0</v>
          </cell>
          <cell r="M6">
            <v>16</v>
          </cell>
        </row>
        <row r="7">
          <cell r="D7">
            <v>1</v>
          </cell>
          <cell r="H7" t="str">
            <v>Ind. Por Nueva Const.</v>
          </cell>
          <cell r="I7">
            <v>2</v>
          </cell>
          <cell r="J7">
            <v>4</v>
          </cell>
          <cell r="K7">
            <v>6</v>
          </cell>
          <cell r="L7">
            <v>0</v>
          </cell>
          <cell r="M7">
            <v>12</v>
          </cell>
        </row>
        <row r="8">
          <cell r="D8">
            <v>1</v>
          </cell>
          <cell r="H8" t="str">
            <v>Colectivo Socialista</v>
          </cell>
          <cell r="I8">
            <v>3</v>
          </cell>
          <cell r="J8">
            <v>11</v>
          </cell>
          <cell r="K8">
            <v>1</v>
          </cell>
          <cell r="L8">
            <v>0</v>
          </cell>
          <cell r="M8">
            <v>15</v>
          </cell>
        </row>
        <row r="9">
          <cell r="D9">
            <v>1</v>
          </cell>
          <cell r="H9" t="str">
            <v>Frente Amplio</v>
          </cell>
          <cell r="I9">
            <v>2</v>
          </cell>
          <cell r="J9">
            <v>10</v>
          </cell>
          <cell r="K9">
            <v>10</v>
          </cell>
          <cell r="L9">
            <v>0</v>
          </cell>
          <cell r="M9">
            <v>22</v>
          </cell>
        </row>
        <row r="10">
          <cell r="E10">
            <v>1</v>
          </cell>
          <cell r="H10" t="str">
            <v>Ind. + UDI</v>
          </cell>
          <cell r="I10">
            <v>0</v>
          </cell>
          <cell r="J10">
            <v>21</v>
          </cell>
          <cell r="K10">
            <v>0</v>
          </cell>
          <cell r="L10">
            <v>0</v>
          </cell>
          <cell r="M10">
            <v>21</v>
          </cell>
        </row>
        <row r="11">
          <cell r="C11">
            <v>1</v>
          </cell>
          <cell r="H11" t="str">
            <v>Ind. RN - Evópoli</v>
          </cell>
          <cell r="I11">
            <v>0</v>
          </cell>
          <cell r="J11">
            <v>14</v>
          </cell>
          <cell r="K11">
            <v>1</v>
          </cell>
          <cell r="L11">
            <v>0</v>
          </cell>
          <cell r="M11">
            <v>15</v>
          </cell>
        </row>
        <row r="12">
          <cell r="C12">
            <v>1</v>
          </cell>
          <cell r="H12" t="str">
            <v>Colectivo del Apruebo</v>
          </cell>
          <cell r="I12">
            <v>1</v>
          </cell>
          <cell r="J12">
            <v>4</v>
          </cell>
          <cell r="K12">
            <v>2</v>
          </cell>
          <cell r="L12">
            <v>0</v>
          </cell>
          <cell r="M12">
            <v>7</v>
          </cell>
        </row>
        <row r="13">
          <cell r="D13">
            <v>1</v>
          </cell>
          <cell r="H13" t="str">
            <v>Otros</v>
          </cell>
          <cell r="I13">
            <v>3</v>
          </cell>
          <cell r="J13">
            <v>1</v>
          </cell>
          <cell r="K13">
            <v>1</v>
          </cell>
          <cell r="L13">
            <v>0</v>
          </cell>
          <cell r="M13">
            <v>5</v>
          </cell>
        </row>
        <row r="14">
          <cell r="C14">
            <v>1</v>
          </cell>
        </row>
        <row r="15">
          <cell r="C15">
            <v>1</v>
          </cell>
        </row>
        <row r="16">
          <cell r="D16">
            <v>1</v>
          </cell>
        </row>
        <row r="17">
          <cell r="D17">
            <v>1</v>
          </cell>
        </row>
        <row r="18">
          <cell r="C18">
            <v>1</v>
          </cell>
        </row>
        <row r="19">
          <cell r="D19">
            <v>1</v>
          </cell>
        </row>
        <row r="20">
          <cell r="C20">
            <v>1</v>
          </cell>
        </row>
        <row r="21">
          <cell r="C21">
            <v>1</v>
          </cell>
        </row>
        <row r="22">
          <cell r="C22">
            <v>1</v>
          </cell>
        </row>
        <row r="23">
          <cell r="E23">
            <v>1</v>
          </cell>
        </row>
        <row r="24">
          <cell r="E24">
            <v>1</v>
          </cell>
        </row>
        <row r="25">
          <cell r="D25">
            <v>1</v>
          </cell>
        </row>
        <row r="26">
          <cell r="C26">
            <v>1</v>
          </cell>
        </row>
        <row r="27">
          <cell r="C27">
            <v>1</v>
          </cell>
        </row>
        <row r="28">
          <cell r="C28">
            <v>1</v>
          </cell>
        </row>
        <row r="29">
          <cell r="C29">
            <v>1</v>
          </cell>
        </row>
        <row r="30">
          <cell r="D30">
            <v>1</v>
          </cell>
        </row>
        <row r="31">
          <cell r="D31">
            <v>1</v>
          </cell>
        </row>
        <row r="32">
          <cell r="C32">
            <v>1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1</v>
          </cell>
        </row>
        <row r="36">
          <cell r="E36">
            <v>1</v>
          </cell>
        </row>
        <row r="37">
          <cell r="C37">
            <v>1</v>
          </cell>
        </row>
        <row r="38">
          <cell r="D38">
            <v>1</v>
          </cell>
        </row>
        <row r="39">
          <cell r="D39">
            <v>1</v>
          </cell>
        </row>
        <row r="40">
          <cell r="E40">
            <v>1</v>
          </cell>
        </row>
        <row r="41">
          <cell r="C41">
            <v>1</v>
          </cell>
        </row>
        <row r="42">
          <cell r="D42">
            <v>1</v>
          </cell>
        </row>
        <row r="43">
          <cell r="D43">
            <v>1</v>
          </cell>
        </row>
        <row r="44">
          <cell r="D44">
            <v>1</v>
          </cell>
        </row>
        <row r="45">
          <cell r="D45">
            <v>1</v>
          </cell>
        </row>
        <row r="46">
          <cell r="E46">
            <v>1</v>
          </cell>
          <cell r="H46" t="str">
            <v>Chile Digno</v>
          </cell>
          <cell r="I46">
            <v>1</v>
          </cell>
          <cell r="J46">
            <v>0</v>
          </cell>
          <cell r="K46">
            <v>0</v>
          </cell>
          <cell r="L46">
            <v>0</v>
          </cell>
        </row>
        <row r="47">
          <cell r="D47">
            <v>1</v>
          </cell>
          <cell r="H47" t="str">
            <v>Mov. Sociales Const.</v>
          </cell>
          <cell r="I47">
            <v>1</v>
          </cell>
          <cell r="J47">
            <v>0</v>
          </cell>
          <cell r="K47">
            <v>0</v>
          </cell>
          <cell r="L47">
            <v>0</v>
          </cell>
        </row>
        <row r="48">
          <cell r="C48">
            <v>1</v>
          </cell>
          <cell r="H48" t="str">
            <v>Pueblo Constituyente</v>
          </cell>
          <cell r="I48">
            <v>1</v>
          </cell>
          <cell r="J48">
            <v>0</v>
          </cell>
          <cell r="K48">
            <v>0</v>
          </cell>
          <cell r="L48">
            <v>0</v>
          </cell>
        </row>
        <row r="49">
          <cell r="D49">
            <v>1</v>
          </cell>
          <cell r="H49" t="str">
            <v xml:space="preserve">Escaños Reservados </v>
          </cell>
          <cell r="I49">
            <v>0</v>
          </cell>
          <cell r="J49">
            <v>0</v>
          </cell>
          <cell r="K49">
            <v>0.88888888888888884</v>
          </cell>
          <cell r="L49">
            <v>0.1111111111111111</v>
          </cell>
        </row>
        <row r="50">
          <cell r="C50">
            <v>1</v>
          </cell>
          <cell r="H50" t="str">
            <v>Coord. Plurinacional</v>
          </cell>
          <cell r="I50">
            <v>0.9375</v>
          </cell>
          <cell r="J50">
            <v>6.25E-2</v>
          </cell>
          <cell r="K50">
            <v>0</v>
          </cell>
          <cell r="L50">
            <v>0</v>
          </cell>
        </row>
        <row r="51">
          <cell r="D51">
            <v>1</v>
          </cell>
          <cell r="H51" t="str">
            <v>Ind. Por Nueva Const.</v>
          </cell>
          <cell r="I51">
            <v>0.16666666666666666</v>
          </cell>
          <cell r="J51">
            <v>0.33333333333333331</v>
          </cell>
          <cell r="K51">
            <v>0.5</v>
          </cell>
          <cell r="L51">
            <v>0</v>
          </cell>
        </row>
        <row r="52">
          <cell r="C52">
            <v>1</v>
          </cell>
          <cell r="H52" t="str">
            <v>Colectivo Socialista</v>
          </cell>
          <cell r="I52">
            <v>0.2</v>
          </cell>
          <cell r="J52">
            <v>0.73333333333333328</v>
          </cell>
          <cell r="K52">
            <v>6.6666666666666666E-2</v>
          </cell>
          <cell r="L52">
            <v>0</v>
          </cell>
        </row>
        <row r="53">
          <cell r="D53">
            <v>1</v>
          </cell>
          <cell r="H53" t="str">
            <v>Frente Amplio</v>
          </cell>
          <cell r="I53">
            <v>9.0909090909090912E-2</v>
          </cell>
          <cell r="J53">
            <v>0.45454545454545453</v>
          </cell>
          <cell r="K53">
            <v>0.45454545454545453</v>
          </cell>
          <cell r="L53">
            <v>0</v>
          </cell>
        </row>
        <row r="54">
          <cell r="D54">
            <v>1</v>
          </cell>
          <cell r="H54" t="str">
            <v>Ind. + UDI</v>
          </cell>
          <cell r="I54">
            <v>0</v>
          </cell>
          <cell r="J54">
            <v>1</v>
          </cell>
          <cell r="K54">
            <v>0</v>
          </cell>
          <cell r="L54">
            <v>0</v>
          </cell>
        </row>
        <row r="55">
          <cell r="C55">
            <v>1</v>
          </cell>
          <cell r="H55" t="str">
            <v>Ind. RN - Evópoli</v>
          </cell>
          <cell r="I55">
            <v>0</v>
          </cell>
          <cell r="J55">
            <v>0.93333333333333335</v>
          </cell>
          <cell r="K55">
            <v>6.6666666666666666E-2</v>
          </cell>
          <cell r="L55">
            <v>0</v>
          </cell>
        </row>
        <row r="56">
          <cell r="E56">
            <v>1</v>
          </cell>
          <cell r="H56" t="str">
            <v>Colectivo del Apruebo</v>
          </cell>
          <cell r="I56">
            <v>0.14285714285714285</v>
          </cell>
          <cell r="J56">
            <v>0.5714285714285714</v>
          </cell>
          <cell r="K56">
            <v>0.2857142857142857</v>
          </cell>
          <cell r="L56">
            <v>0</v>
          </cell>
        </row>
        <row r="57">
          <cell r="C57">
            <v>1</v>
          </cell>
          <cell r="H57" t="str">
            <v>Otros</v>
          </cell>
          <cell r="I57">
            <v>0.6</v>
          </cell>
          <cell r="J57">
            <v>0.2</v>
          </cell>
          <cell r="K57">
            <v>0.2</v>
          </cell>
          <cell r="L57">
            <v>0</v>
          </cell>
        </row>
        <row r="58">
          <cell r="C58">
            <v>1</v>
          </cell>
        </row>
        <row r="59">
          <cell r="D59">
            <v>1</v>
          </cell>
        </row>
        <row r="60">
          <cell r="C60">
            <v>1</v>
          </cell>
        </row>
        <row r="61">
          <cell r="C61">
            <v>1</v>
          </cell>
        </row>
        <row r="62">
          <cell r="C62">
            <v>1</v>
          </cell>
        </row>
        <row r="63">
          <cell r="F63">
            <v>1</v>
          </cell>
        </row>
        <row r="64">
          <cell r="C64">
            <v>1</v>
          </cell>
        </row>
        <row r="65">
          <cell r="C65">
            <v>1</v>
          </cell>
        </row>
        <row r="66">
          <cell r="C66">
            <v>1</v>
          </cell>
        </row>
        <row r="67">
          <cell r="D67">
            <v>1</v>
          </cell>
        </row>
        <row r="68">
          <cell r="C68">
            <v>1</v>
          </cell>
        </row>
        <row r="69">
          <cell r="C69">
            <v>1</v>
          </cell>
        </row>
        <row r="70">
          <cell r="D70">
            <v>1</v>
          </cell>
        </row>
        <row r="71">
          <cell r="D71">
            <v>1</v>
          </cell>
        </row>
        <row r="72">
          <cell r="D72">
            <v>1</v>
          </cell>
        </row>
        <row r="73">
          <cell r="E73">
            <v>1</v>
          </cell>
        </row>
        <row r="74">
          <cell r="D74">
            <v>1</v>
          </cell>
        </row>
        <row r="75">
          <cell r="D75">
            <v>1</v>
          </cell>
        </row>
        <row r="76">
          <cell r="C76">
            <v>1</v>
          </cell>
        </row>
        <row r="77">
          <cell r="D77">
            <v>1</v>
          </cell>
        </row>
        <row r="78">
          <cell r="C78">
            <v>1</v>
          </cell>
        </row>
        <row r="79">
          <cell r="D79">
            <v>1</v>
          </cell>
        </row>
        <row r="80">
          <cell r="D80">
            <v>1</v>
          </cell>
        </row>
        <row r="81">
          <cell r="D81">
            <v>1</v>
          </cell>
        </row>
        <row r="82">
          <cell r="C82">
            <v>1</v>
          </cell>
        </row>
        <row r="83">
          <cell r="C83">
            <v>1</v>
          </cell>
        </row>
        <row r="84">
          <cell r="D84">
            <v>1</v>
          </cell>
        </row>
        <row r="85">
          <cell r="E85">
            <v>1</v>
          </cell>
        </row>
        <row r="86">
          <cell r="C86">
            <v>1</v>
          </cell>
        </row>
        <row r="87">
          <cell r="E87">
            <v>1</v>
          </cell>
        </row>
        <row r="88">
          <cell r="D88">
            <v>1</v>
          </cell>
        </row>
        <row r="89">
          <cell r="C89">
            <v>1</v>
          </cell>
        </row>
        <row r="90">
          <cell r="E90">
            <v>1</v>
          </cell>
        </row>
        <row r="91">
          <cell r="D91">
            <v>1</v>
          </cell>
        </row>
        <row r="92">
          <cell r="C92">
            <v>1</v>
          </cell>
        </row>
        <row r="93">
          <cell r="D93">
            <v>1</v>
          </cell>
        </row>
        <row r="94">
          <cell r="C94">
            <v>1</v>
          </cell>
        </row>
        <row r="95">
          <cell r="E95">
            <v>1</v>
          </cell>
        </row>
        <row r="96">
          <cell r="C96">
            <v>1</v>
          </cell>
        </row>
        <row r="97">
          <cell r="D97">
            <v>1</v>
          </cell>
        </row>
        <row r="98">
          <cell r="D98">
            <v>1</v>
          </cell>
        </row>
        <row r="99">
          <cell r="D99">
            <v>1</v>
          </cell>
        </row>
        <row r="100">
          <cell r="D100">
            <v>1</v>
          </cell>
        </row>
        <row r="101">
          <cell r="D101">
            <v>1</v>
          </cell>
        </row>
        <row r="102">
          <cell r="E102">
            <v>1</v>
          </cell>
        </row>
        <row r="103">
          <cell r="D103">
            <v>1</v>
          </cell>
        </row>
        <row r="104">
          <cell r="D104">
            <v>1</v>
          </cell>
        </row>
        <row r="105">
          <cell r="C105">
            <v>1</v>
          </cell>
        </row>
        <row r="106">
          <cell r="C106">
            <v>1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</v>
          </cell>
        </row>
        <row r="110">
          <cell r="C110">
            <v>1</v>
          </cell>
        </row>
        <row r="111">
          <cell r="E111">
            <v>1</v>
          </cell>
        </row>
        <row r="112">
          <cell r="D112">
            <v>1</v>
          </cell>
        </row>
        <row r="113">
          <cell r="C113">
            <v>1</v>
          </cell>
        </row>
        <row r="114">
          <cell r="D114">
            <v>1</v>
          </cell>
        </row>
        <row r="115">
          <cell r="C115">
            <v>1</v>
          </cell>
        </row>
        <row r="116">
          <cell r="D116">
            <v>1</v>
          </cell>
        </row>
        <row r="117">
          <cell r="C117">
            <v>1</v>
          </cell>
        </row>
        <row r="118">
          <cell r="D118">
            <v>1</v>
          </cell>
        </row>
        <row r="119">
          <cell r="C119">
            <v>1</v>
          </cell>
        </row>
        <row r="120">
          <cell r="D120">
            <v>1</v>
          </cell>
        </row>
        <row r="121">
          <cell r="F121">
            <v>1</v>
          </cell>
        </row>
        <row r="122">
          <cell r="C122">
            <v>1</v>
          </cell>
        </row>
        <row r="123">
          <cell r="C123">
            <v>1</v>
          </cell>
        </row>
        <row r="124">
          <cell r="C124">
            <v>1</v>
          </cell>
        </row>
        <row r="125">
          <cell r="C125">
            <v>1</v>
          </cell>
        </row>
        <row r="126">
          <cell r="D126">
            <v>1</v>
          </cell>
        </row>
        <row r="127">
          <cell r="D127">
            <v>1</v>
          </cell>
        </row>
        <row r="128">
          <cell r="C128">
            <v>1</v>
          </cell>
        </row>
        <row r="129">
          <cell r="E129">
            <v>1</v>
          </cell>
        </row>
        <row r="130">
          <cell r="D130">
            <v>1</v>
          </cell>
        </row>
        <row r="131">
          <cell r="E131">
            <v>1</v>
          </cell>
        </row>
        <row r="132">
          <cell r="D132">
            <v>1</v>
          </cell>
        </row>
        <row r="133">
          <cell r="D133">
            <v>1</v>
          </cell>
        </row>
        <row r="134">
          <cell r="D134">
            <v>1</v>
          </cell>
        </row>
        <row r="135">
          <cell r="E135">
            <v>1</v>
          </cell>
        </row>
        <row r="136">
          <cell r="D136">
            <v>1</v>
          </cell>
        </row>
        <row r="137">
          <cell r="D137">
            <v>1</v>
          </cell>
        </row>
        <row r="138">
          <cell r="C138">
            <v>1</v>
          </cell>
        </row>
        <row r="139">
          <cell r="D139">
            <v>1</v>
          </cell>
        </row>
        <row r="140">
          <cell r="D140">
            <v>1</v>
          </cell>
        </row>
        <row r="141">
          <cell r="E141">
            <v>1</v>
          </cell>
        </row>
        <row r="142">
          <cell r="C142">
            <v>1</v>
          </cell>
        </row>
        <row r="143">
          <cell r="C143">
            <v>1</v>
          </cell>
        </row>
        <row r="144">
          <cell r="D144">
            <v>1</v>
          </cell>
        </row>
        <row r="145">
          <cell r="D145">
            <v>1</v>
          </cell>
        </row>
        <row r="146">
          <cell r="C146">
            <v>1</v>
          </cell>
        </row>
        <row r="147">
          <cell r="D147">
            <v>1</v>
          </cell>
        </row>
        <row r="148">
          <cell r="C148">
            <v>1</v>
          </cell>
        </row>
        <row r="149">
          <cell r="D149">
            <v>1</v>
          </cell>
        </row>
        <row r="150">
          <cell r="C150">
            <v>1</v>
          </cell>
        </row>
        <row r="151">
          <cell r="D151">
            <v>1</v>
          </cell>
        </row>
        <row r="152">
          <cell r="C152">
            <v>1</v>
          </cell>
        </row>
        <row r="153">
          <cell r="C153">
            <v>1</v>
          </cell>
        </row>
        <row r="154">
          <cell r="C154">
            <v>1</v>
          </cell>
        </row>
        <row r="155">
          <cell r="C155">
            <v>1</v>
          </cell>
        </row>
        <row r="156">
          <cell r="D156">
            <v>1</v>
          </cell>
        </row>
      </sheetData>
      <sheetData sheetId="14">
        <row r="2">
          <cell r="E2">
            <v>1</v>
          </cell>
          <cell r="H2" t="str">
            <v>Chile Digno</v>
          </cell>
          <cell r="I2">
            <v>8</v>
          </cell>
          <cell r="J2">
            <v>1</v>
          </cell>
          <cell r="K2">
            <v>2</v>
          </cell>
          <cell r="L2">
            <v>0</v>
          </cell>
          <cell r="M2">
            <v>11</v>
          </cell>
        </row>
        <row r="3">
          <cell r="C3">
            <v>1</v>
          </cell>
          <cell r="H3" t="str">
            <v>Mov. Sociales Const.</v>
          </cell>
          <cell r="I3">
            <v>11</v>
          </cell>
          <cell r="J3">
            <v>1</v>
          </cell>
          <cell r="K3">
            <v>0</v>
          </cell>
          <cell r="L3">
            <v>0</v>
          </cell>
          <cell r="M3">
            <v>12</v>
          </cell>
        </row>
        <row r="4">
          <cell r="D4">
            <v>1</v>
          </cell>
          <cell r="H4" t="str">
            <v>Pueblo Constituyente</v>
          </cell>
          <cell r="I4">
            <v>10</v>
          </cell>
          <cell r="J4">
            <v>0</v>
          </cell>
          <cell r="K4">
            <v>0</v>
          </cell>
          <cell r="L4">
            <v>0</v>
          </cell>
          <cell r="M4">
            <v>10</v>
          </cell>
        </row>
        <row r="5">
          <cell r="D5">
            <v>1</v>
          </cell>
          <cell r="H5" t="str">
            <v xml:space="preserve">Escaños Reservados </v>
          </cell>
          <cell r="I5">
            <v>0</v>
          </cell>
          <cell r="J5">
            <v>7</v>
          </cell>
          <cell r="K5">
            <v>0</v>
          </cell>
          <cell r="L5">
            <v>2</v>
          </cell>
          <cell r="M5">
            <v>9</v>
          </cell>
        </row>
        <row r="6">
          <cell r="C6">
            <v>1</v>
          </cell>
          <cell r="H6" t="str">
            <v>Coord. Plurinacional</v>
          </cell>
          <cell r="I6">
            <v>3</v>
          </cell>
          <cell r="J6">
            <v>11</v>
          </cell>
          <cell r="K6">
            <v>2</v>
          </cell>
          <cell r="L6">
            <v>0</v>
          </cell>
          <cell r="M6">
            <v>16</v>
          </cell>
        </row>
        <row r="7">
          <cell r="E7">
            <v>1</v>
          </cell>
          <cell r="H7" t="str">
            <v>Ind. Por Nueva Const.</v>
          </cell>
          <cell r="I7">
            <v>9</v>
          </cell>
          <cell r="J7">
            <v>2</v>
          </cell>
          <cell r="K7">
            <v>1</v>
          </cell>
          <cell r="L7">
            <v>0</v>
          </cell>
          <cell r="M7">
            <v>12</v>
          </cell>
        </row>
        <row r="8">
          <cell r="D8">
            <v>1</v>
          </cell>
          <cell r="H8" t="str">
            <v>Colectivo Socialista</v>
          </cell>
          <cell r="I8">
            <v>0</v>
          </cell>
          <cell r="J8">
            <v>13</v>
          </cell>
          <cell r="K8">
            <v>2</v>
          </cell>
          <cell r="L8">
            <v>0</v>
          </cell>
          <cell r="M8">
            <v>15</v>
          </cell>
        </row>
        <row r="9">
          <cell r="C9">
            <v>1</v>
          </cell>
          <cell r="H9" t="str">
            <v>Frente Amplio</v>
          </cell>
          <cell r="I9">
            <v>2</v>
          </cell>
          <cell r="J9">
            <v>9</v>
          </cell>
          <cell r="K9">
            <v>9</v>
          </cell>
          <cell r="L9">
            <v>0</v>
          </cell>
          <cell r="M9">
            <v>20</v>
          </cell>
        </row>
        <row r="10">
          <cell r="C10">
            <v>1</v>
          </cell>
          <cell r="H10" t="str">
            <v>Ind. + UDI</v>
          </cell>
          <cell r="I10">
            <v>0</v>
          </cell>
          <cell r="J10">
            <v>19</v>
          </cell>
          <cell r="K10">
            <v>2</v>
          </cell>
          <cell r="L10">
            <v>0</v>
          </cell>
          <cell r="M10">
            <v>21</v>
          </cell>
        </row>
        <row r="11">
          <cell r="C11">
            <v>1</v>
          </cell>
          <cell r="H11" t="str">
            <v>Ind. RN - Evópoli</v>
          </cell>
          <cell r="I11">
            <v>1</v>
          </cell>
          <cell r="J11">
            <v>6</v>
          </cell>
          <cell r="K11">
            <v>8</v>
          </cell>
          <cell r="L11">
            <v>0</v>
          </cell>
          <cell r="M11">
            <v>15</v>
          </cell>
        </row>
        <row r="12">
          <cell r="C12">
            <v>1</v>
          </cell>
          <cell r="H12" t="str">
            <v>Colectivo del Apruebo</v>
          </cell>
          <cell r="I12">
            <v>0</v>
          </cell>
          <cell r="J12">
            <v>6</v>
          </cell>
          <cell r="K12">
            <v>1</v>
          </cell>
          <cell r="L12">
            <v>0</v>
          </cell>
          <cell r="M12">
            <v>7</v>
          </cell>
        </row>
        <row r="13">
          <cell r="D13">
            <v>1</v>
          </cell>
          <cell r="H13" t="str">
            <v>Otros</v>
          </cell>
          <cell r="I13">
            <v>4</v>
          </cell>
          <cell r="J13">
            <v>1</v>
          </cell>
          <cell r="K13">
            <v>0</v>
          </cell>
          <cell r="L13">
            <v>0</v>
          </cell>
          <cell r="M13">
            <v>5</v>
          </cell>
        </row>
        <row r="14">
          <cell r="C14">
            <v>1</v>
          </cell>
        </row>
        <row r="15">
          <cell r="C15">
            <v>1</v>
          </cell>
        </row>
        <row r="16">
          <cell r="D16">
            <v>1</v>
          </cell>
        </row>
        <row r="17">
          <cell r="D17">
            <v>1</v>
          </cell>
        </row>
        <row r="18">
          <cell r="D18">
            <v>1</v>
          </cell>
        </row>
        <row r="19">
          <cell r="D19">
            <v>1</v>
          </cell>
        </row>
        <row r="20">
          <cell r="C20">
            <v>1</v>
          </cell>
        </row>
        <row r="21">
          <cell r="D21">
            <v>1</v>
          </cell>
        </row>
        <row r="22">
          <cell r="C22">
            <v>1</v>
          </cell>
        </row>
        <row r="23">
          <cell r="D23">
            <v>1</v>
          </cell>
        </row>
        <row r="24">
          <cell r="E24">
            <v>1</v>
          </cell>
        </row>
        <row r="25">
          <cell r="D25">
            <v>1</v>
          </cell>
        </row>
        <row r="26">
          <cell r="C26">
            <v>1</v>
          </cell>
        </row>
        <row r="27">
          <cell r="C27">
            <v>1</v>
          </cell>
        </row>
        <row r="28">
          <cell r="D28">
            <v>1</v>
          </cell>
        </row>
        <row r="29">
          <cell r="D29">
            <v>1</v>
          </cell>
        </row>
        <row r="30">
          <cell r="D30">
            <v>1</v>
          </cell>
        </row>
        <row r="31">
          <cell r="D31">
            <v>1</v>
          </cell>
        </row>
        <row r="32">
          <cell r="C32">
            <v>1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1</v>
          </cell>
        </row>
        <row r="36">
          <cell r="D36">
            <v>1</v>
          </cell>
        </row>
        <row r="37">
          <cell r="C37">
            <v>1</v>
          </cell>
        </row>
        <row r="38">
          <cell r="E38">
            <v>1</v>
          </cell>
        </row>
        <row r="39">
          <cell r="C39">
            <v>1</v>
          </cell>
        </row>
        <row r="40">
          <cell r="D40">
            <v>1</v>
          </cell>
        </row>
        <row r="41">
          <cell r="D41">
            <v>1</v>
          </cell>
        </row>
        <row r="42">
          <cell r="D42">
            <v>1</v>
          </cell>
        </row>
        <row r="43">
          <cell r="D43">
            <v>1</v>
          </cell>
        </row>
        <row r="44">
          <cell r="D44">
            <v>1</v>
          </cell>
        </row>
        <row r="45">
          <cell r="D45">
            <v>1</v>
          </cell>
        </row>
        <row r="46">
          <cell r="E46">
            <v>1</v>
          </cell>
          <cell r="H46" t="str">
            <v>Chile Digno</v>
          </cell>
          <cell r="I46">
            <v>0.72727272727272729</v>
          </cell>
          <cell r="J46">
            <v>9.0909090909090912E-2</v>
          </cell>
          <cell r="K46">
            <v>0.18181818181818182</v>
          </cell>
          <cell r="L46">
            <v>0</v>
          </cell>
        </row>
        <row r="47">
          <cell r="E47">
            <v>1</v>
          </cell>
          <cell r="H47" t="str">
            <v>Mov. Sociales Const.</v>
          </cell>
          <cell r="I47">
            <v>0.91666666666666663</v>
          </cell>
          <cell r="J47">
            <v>8.3333333333333329E-2</v>
          </cell>
          <cell r="K47">
            <v>0</v>
          </cell>
          <cell r="L47">
            <v>0</v>
          </cell>
        </row>
        <row r="48">
          <cell r="E48">
            <v>1</v>
          </cell>
          <cell r="H48" t="str">
            <v>Pueblo Constituyente</v>
          </cell>
          <cell r="I48">
            <v>1</v>
          </cell>
          <cell r="J48">
            <v>0</v>
          </cell>
          <cell r="K48">
            <v>0</v>
          </cell>
          <cell r="L48">
            <v>0</v>
          </cell>
        </row>
        <row r="49">
          <cell r="D49">
            <v>1</v>
          </cell>
          <cell r="H49" t="str">
            <v xml:space="preserve">Escaños Reservados </v>
          </cell>
          <cell r="I49">
            <v>0</v>
          </cell>
          <cell r="J49">
            <v>0.77777777777777779</v>
          </cell>
          <cell r="K49">
            <v>0</v>
          </cell>
          <cell r="L49">
            <v>0.22222222222222221</v>
          </cell>
        </row>
        <row r="50">
          <cell r="C50">
            <v>1</v>
          </cell>
          <cell r="H50" t="str">
            <v>Coord. Plurinacional</v>
          </cell>
          <cell r="I50">
            <v>0.1875</v>
          </cell>
          <cell r="J50">
            <v>0.6875</v>
          </cell>
          <cell r="K50">
            <v>0.125</v>
          </cell>
          <cell r="L50">
            <v>0</v>
          </cell>
        </row>
        <row r="51">
          <cell r="D51">
            <v>1</v>
          </cell>
          <cell r="H51" t="str">
            <v>Ind. Por Nueva Const.</v>
          </cell>
          <cell r="I51">
            <v>0.75</v>
          </cell>
          <cell r="J51">
            <v>0.16666666666666666</v>
          </cell>
          <cell r="K51">
            <v>8.3333333333333329E-2</v>
          </cell>
          <cell r="L51">
            <v>0</v>
          </cell>
        </row>
        <row r="52">
          <cell r="D52">
            <v>1</v>
          </cell>
          <cell r="H52" t="str">
            <v>Colectivo Socialista</v>
          </cell>
          <cell r="I52">
            <v>0</v>
          </cell>
          <cell r="J52">
            <v>0.8666666666666667</v>
          </cell>
          <cell r="K52">
            <v>0.13333333333333333</v>
          </cell>
          <cell r="L52">
            <v>0</v>
          </cell>
        </row>
        <row r="53">
          <cell r="D53">
            <v>1</v>
          </cell>
          <cell r="H53" t="str">
            <v>Frente Amplio</v>
          </cell>
          <cell r="I53">
            <v>0.1</v>
          </cell>
          <cell r="J53">
            <v>0.45</v>
          </cell>
          <cell r="K53">
            <v>0.45</v>
          </cell>
          <cell r="L53">
            <v>0</v>
          </cell>
        </row>
        <row r="54">
          <cell r="C54">
            <v>1</v>
          </cell>
          <cell r="H54" t="str">
            <v>Ind. + UDI</v>
          </cell>
          <cell r="I54">
            <v>0</v>
          </cell>
          <cell r="J54">
            <v>0.90476190476190477</v>
          </cell>
          <cell r="K54">
            <v>9.5238095238095233E-2</v>
          </cell>
          <cell r="L54">
            <v>0</v>
          </cell>
        </row>
        <row r="55">
          <cell r="C55">
            <v>1</v>
          </cell>
          <cell r="H55" t="str">
            <v>Ind. RN - Evópoli</v>
          </cell>
          <cell r="I55">
            <v>6.6666666666666666E-2</v>
          </cell>
          <cell r="J55">
            <v>0.4</v>
          </cell>
          <cell r="K55">
            <v>0.53333333333333333</v>
          </cell>
          <cell r="L55">
            <v>0</v>
          </cell>
        </row>
        <row r="56">
          <cell r="D56">
            <v>1</v>
          </cell>
          <cell r="H56" t="str">
            <v>Colectivo del Apruebo</v>
          </cell>
          <cell r="I56">
            <v>0</v>
          </cell>
          <cell r="J56">
            <v>0.8571428571428571</v>
          </cell>
          <cell r="K56">
            <v>0.14285714285714285</v>
          </cell>
          <cell r="L56">
            <v>0</v>
          </cell>
        </row>
        <row r="57">
          <cell r="C57">
            <v>1</v>
          </cell>
          <cell r="H57" t="str">
            <v>Otros</v>
          </cell>
          <cell r="I57">
            <v>0.8</v>
          </cell>
          <cell r="J57">
            <v>0.2</v>
          </cell>
          <cell r="K57">
            <v>0</v>
          </cell>
          <cell r="L57">
            <v>0</v>
          </cell>
        </row>
        <row r="58">
          <cell r="C58">
            <v>1</v>
          </cell>
        </row>
        <row r="59">
          <cell r="E59">
            <v>1</v>
          </cell>
        </row>
        <row r="60">
          <cell r="D60">
            <v>1</v>
          </cell>
        </row>
        <row r="61">
          <cell r="C61">
            <v>1</v>
          </cell>
        </row>
        <row r="62">
          <cell r="C62">
            <v>1</v>
          </cell>
        </row>
        <row r="63">
          <cell r="F63">
            <v>1</v>
          </cell>
        </row>
        <row r="64">
          <cell r="D64">
            <v>1</v>
          </cell>
        </row>
        <row r="65">
          <cell r="C65">
            <v>1</v>
          </cell>
        </row>
        <row r="66">
          <cell r="E66">
            <v>1</v>
          </cell>
        </row>
        <row r="67">
          <cell r="D67">
            <v>1</v>
          </cell>
        </row>
        <row r="68">
          <cell r="C68">
            <v>1</v>
          </cell>
        </row>
        <row r="69">
          <cell r="C69">
            <v>1</v>
          </cell>
        </row>
        <row r="70">
          <cell r="D70">
            <v>1</v>
          </cell>
        </row>
        <row r="71">
          <cell r="D71">
            <v>1</v>
          </cell>
        </row>
        <row r="72">
          <cell r="D72">
            <v>1</v>
          </cell>
        </row>
        <row r="73">
          <cell r="F73">
            <v>1</v>
          </cell>
        </row>
        <row r="74">
          <cell r="D74">
            <v>1</v>
          </cell>
        </row>
        <row r="75">
          <cell r="E75">
            <v>1</v>
          </cell>
        </row>
        <row r="76">
          <cell r="C76">
            <v>1</v>
          </cell>
        </row>
        <row r="77">
          <cell r="E77">
            <v>1</v>
          </cell>
        </row>
        <row r="78">
          <cell r="C78">
            <v>1</v>
          </cell>
        </row>
        <row r="79">
          <cell r="D79">
            <v>1</v>
          </cell>
        </row>
        <row r="80">
          <cell r="E80">
            <v>1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</v>
          </cell>
        </row>
        <row r="84">
          <cell r="D84">
            <v>1</v>
          </cell>
        </row>
        <row r="85">
          <cell r="D85">
            <v>1</v>
          </cell>
        </row>
        <row r="86">
          <cell r="D86">
            <v>1</v>
          </cell>
        </row>
        <row r="87">
          <cell r="D87">
            <v>1</v>
          </cell>
        </row>
        <row r="88">
          <cell r="D88">
            <v>1</v>
          </cell>
        </row>
        <row r="89">
          <cell r="C89">
            <v>1</v>
          </cell>
        </row>
        <row r="90">
          <cell r="C90">
            <v>1</v>
          </cell>
        </row>
        <row r="91">
          <cell r="D91">
            <v>1</v>
          </cell>
        </row>
        <row r="92">
          <cell r="C92">
            <v>1</v>
          </cell>
        </row>
        <row r="93">
          <cell r="D93">
            <v>1</v>
          </cell>
        </row>
        <row r="94">
          <cell r="C94">
            <v>1</v>
          </cell>
        </row>
        <row r="95">
          <cell r="D95">
            <v>1</v>
          </cell>
        </row>
        <row r="96">
          <cell r="C96">
            <v>1</v>
          </cell>
        </row>
        <row r="97">
          <cell r="E97">
            <v>1</v>
          </cell>
        </row>
        <row r="98">
          <cell r="D98">
            <v>1</v>
          </cell>
        </row>
        <row r="99">
          <cell r="D99">
            <v>1</v>
          </cell>
        </row>
        <row r="100">
          <cell r="D100">
            <v>1</v>
          </cell>
        </row>
        <row r="101">
          <cell r="D101">
            <v>1</v>
          </cell>
        </row>
        <row r="102">
          <cell r="C102">
            <v>1</v>
          </cell>
        </row>
        <row r="103">
          <cell r="E103">
            <v>1</v>
          </cell>
        </row>
        <row r="104">
          <cell r="D104">
            <v>1</v>
          </cell>
        </row>
        <row r="105">
          <cell r="C105">
            <v>1</v>
          </cell>
        </row>
        <row r="106">
          <cell r="D106">
            <v>1</v>
          </cell>
        </row>
        <row r="107">
          <cell r="D107">
            <v>1</v>
          </cell>
        </row>
        <row r="108">
          <cell r="E108">
            <v>1</v>
          </cell>
        </row>
        <row r="109">
          <cell r="D109">
            <v>1</v>
          </cell>
        </row>
        <row r="110">
          <cell r="D110">
            <v>1</v>
          </cell>
        </row>
        <row r="111">
          <cell r="E111">
            <v>1</v>
          </cell>
        </row>
        <row r="112">
          <cell r="C112">
            <v>1</v>
          </cell>
        </row>
        <row r="113">
          <cell r="E113">
            <v>1</v>
          </cell>
        </row>
        <row r="114">
          <cell r="D114">
            <v>1</v>
          </cell>
        </row>
        <row r="115">
          <cell r="C115">
            <v>1</v>
          </cell>
        </row>
        <row r="116">
          <cell r="D116">
            <v>1</v>
          </cell>
        </row>
        <row r="117">
          <cell r="D117">
            <v>1</v>
          </cell>
        </row>
        <row r="118">
          <cell r="E118">
            <v>1</v>
          </cell>
        </row>
        <row r="119">
          <cell r="D119">
            <v>1</v>
          </cell>
        </row>
        <row r="120">
          <cell r="D120">
            <v>1</v>
          </cell>
        </row>
        <row r="121">
          <cell r="F121">
            <v>1</v>
          </cell>
        </row>
        <row r="122">
          <cell r="C122">
            <v>1</v>
          </cell>
        </row>
        <row r="123">
          <cell r="C123">
            <v>1</v>
          </cell>
        </row>
        <row r="124">
          <cell r="C124">
            <v>1</v>
          </cell>
        </row>
        <row r="125">
          <cell r="C125">
            <v>1</v>
          </cell>
        </row>
        <row r="126">
          <cell r="D126">
            <v>1</v>
          </cell>
        </row>
        <row r="127">
          <cell r="D127">
            <v>1</v>
          </cell>
        </row>
        <row r="128">
          <cell r="D128">
            <v>1</v>
          </cell>
        </row>
        <row r="129">
          <cell r="C129">
            <v>1</v>
          </cell>
        </row>
        <row r="130">
          <cell r="D130">
            <v>1</v>
          </cell>
        </row>
        <row r="131">
          <cell r="C131">
            <v>1</v>
          </cell>
        </row>
        <row r="132">
          <cell r="D132">
            <v>1</v>
          </cell>
        </row>
        <row r="133">
          <cell r="D133">
            <v>1</v>
          </cell>
        </row>
        <row r="134">
          <cell r="D134">
            <v>1</v>
          </cell>
        </row>
        <row r="135">
          <cell r="D135">
            <v>1</v>
          </cell>
        </row>
        <row r="136">
          <cell r="D136">
            <v>1</v>
          </cell>
        </row>
        <row r="137">
          <cell r="D137">
            <v>1</v>
          </cell>
        </row>
        <row r="138">
          <cell r="C138">
            <v>1</v>
          </cell>
        </row>
        <row r="139">
          <cell r="D139">
            <v>1</v>
          </cell>
        </row>
        <row r="140">
          <cell r="D140">
            <v>1</v>
          </cell>
        </row>
        <row r="141">
          <cell r="C141">
            <v>1</v>
          </cell>
        </row>
        <row r="142">
          <cell r="C142">
            <v>1</v>
          </cell>
        </row>
        <row r="143">
          <cell r="E143">
            <v>1</v>
          </cell>
        </row>
        <row r="144">
          <cell r="D144">
            <v>1</v>
          </cell>
        </row>
        <row r="145">
          <cell r="D145">
            <v>1</v>
          </cell>
        </row>
        <row r="146">
          <cell r="C146">
            <v>1</v>
          </cell>
        </row>
        <row r="147">
          <cell r="E147">
            <v>1</v>
          </cell>
        </row>
        <row r="148">
          <cell r="D148">
            <v>1</v>
          </cell>
        </row>
        <row r="149">
          <cell r="D149">
            <v>1</v>
          </cell>
        </row>
        <row r="150">
          <cell r="C150">
            <v>1</v>
          </cell>
        </row>
        <row r="151">
          <cell r="D151">
            <v>1</v>
          </cell>
        </row>
        <row r="152">
          <cell r="C152">
            <v>1</v>
          </cell>
        </row>
        <row r="153">
          <cell r="C153">
            <v>1</v>
          </cell>
        </row>
        <row r="154">
          <cell r="D154">
            <v>1</v>
          </cell>
        </row>
        <row r="155">
          <cell r="C155">
            <v>1</v>
          </cell>
        </row>
        <row r="156">
          <cell r="D156">
            <v>1</v>
          </cell>
        </row>
      </sheetData>
      <sheetData sheetId="15">
        <row r="2">
          <cell r="E2">
            <v>1</v>
          </cell>
          <cell r="H2" t="str">
            <v>Chile Digno</v>
          </cell>
          <cell r="I2">
            <v>11</v>
          </cell>
          <cell r="J2">
            <v>0</v>
          </cell>
          <cell r="K2">
            <v>0</v>
          </cell>
          <cell r="L2">
            <v>0</v>
          </cell>
          <cell r="M2">
            <v>11</v>
          </cell>
        </row>
        <row r="3">
          <cell r="C3">
            <v>1</v>
          </cell>
          <cell r="H3" t="str">
            <v>Mov. Sociales Const.</v>
          </cell>
          <cell r="I3">
            <v>12</v>
          </cell>
          <cell r="J3">
            <v>0</v>
          </cell>
          <cell r="K3">
            <v>0</v>
          </cell>
          <cell r="L3">
            <v>0</v>
          </cell>
          <cell r="M3">
            <v>12</v>
          </cell>
        </row>
        <row r="4">
          <cell r="D4">
            <v>1</v>
          </cell>
          <cell r="H4" t="str">
            <v>Pueblo Constituyente</v>
          </cell>
          <cell r="I4">
            <v>10</v>
          </cell>
          <cell r="J4">
            <v>0</v>
          </cell>
          <cell r="K4">
            <v>0</v>
          </cell>
          <cell r="L4">
            <v>0</v>
          </cell>
          <cell r="M4">
            <v>10</v>
          </cell>
        </row>
        <row r="5">
          <cell r="D5">
            <v>1</v>
          </cell>
          <cell r="H5" t="str">
            <v xml:space="preserve">Escaños Reservados </v>
          </cell>
          <cell r="I5">
            <v>0</v>
          </cell>
          <cell r="J5">
            <v>8</v>
          </cell>
          <cell r="K5">
            <v>0</v>
          </cell>
          <cell r="L5">
            <v>1</v>
          </cell>
          <cell r="M5">
            <v>9</v>
          </cell>
        </row>
        <row r="6">
          <cell r="C6">
            <v>1</v>
          </cell>
          <cell r="H6" t="str">
            <v>Coord. Plurinacional</v>
          </cell>
          <cell r="I6">
            <v>15</v>
          </cell>
          <cell r="J6">
            <v>0</v>
          </cell>
          <cell r="K6">
            <v>0</v>
          </cell>
          <cell r="L6">
            <v>1</v>
          </cell>
          <cell r="M6">
            <v>16</v>
          </cell>
        </row>
        <row r="7">
          <cell r="D7">
            <v>1</v>
          </cell>
          <cell r="H7" t="str">
            <v>Ind. Por Nueva Const.</v>
          </cell>
          <cell r="I7">
            <v>10</v>
          </cell>
          <cell r="J7">
            <v>0</v>
          </cell>
          <cell r="K7">
            <v>2</v>
          </cell>
          <cell r="L7">
            <v>0</v>
          </cell>
          <cell r="M7">
            <v>12</v>
          </cell>
        </row>
        <row r="8">
          <cell r="D8">
            <v>1</v>
          </cell>
          <cell r="H8" t="str">
            <v>Colectivo Socialista</v>
          </cell>
          <cell r="I8">
            <v>1</v>
          </cell>
          <cell r="J8">
            <v>13</v>
          </cell>
          <cell r="K8">
            <v>1</v>
          </cell>
          <cell r="L8">
            <v>0</v>
          </cell>
          <cell r="M8">
            <v>15</v>
          </cell>
        </row>
        <row r="9">
          <cell r="D9">
            <v>1</v>
          </cell>
          <cell r="H9" t="str">
            <v>Frente Amplio</v>
          </cell>
          <cell r="I9">
            <v>2</v>
          </cell>
          <cell r="J9">
            <v>9</v>
          </cell>
          <cell r="K9">
            <v>9</v>
          </cell>
          <cell r="L9">
            <v>0</v>
          </cell>
          <cell r="M9">
            <v>20</v>
          </cell>
        </row>
        <row r="10">
          <cell r="C10">
            <v>1</v>
          </cell>
          <cell r="H10" t="str">
            <v>Ind. + UDI</v>
          </cell>
          <cell r="I10">
            <v>0</v>
          </cell>
          <cell r="J10">
            <v>21</v>
          </cell>
          <cell r="K10">
            <v>0</v>
          </cell>
          <cell r="L10">
            <v>0</v>
          </cell>
          <cell r="M10">
            <v>21</v>
          </cell>
        </row>
        <row r="11">
          <cell r="C11">
            <v>1</v>
          </cell>
          <cell r="H11" t="str">
            <v>Ind. RN - Evópoli</v>
          </cell>
          <cell r="I11">
            <v>0</v>
          </cell>
          <cell r="J11">
            <v>14</v>
          </cell>
          <cell r="K11">
            <v>1</v>
          </cell>
          <cell r="L11">
            <v>0</v>
          </cell>
          <cell r="M11">
            <v>15</v>
          </cell>
        </row>
        <row r="12">
          <cell r="C12">
            <v>1</v>
          </cell>
          <cell r="H12" t="str">
            <v>Colectivo del Apruebo</v>
          </cell>
          <cell r="I12">
            <v>0</v>
          </cell>
          <cell r="J12">
            <v>3</v>
          </cell>
          <cell r="K12">
            <v>3</v>
          </cell>
          <cell r="L12">
            <v>1</v>
          </cell>
          <cell r="M12">
            <v>7</v>
          </cell>
        </row>
        <row r="13">
          <cell r="D13">
            <v>1</v>
          </cell>
          <cell r="H13" t="str">
            <v>Otros</v>
          </cell>
          <cell r="I13">
            <v>3</v>
          </cell>
          <cell r="J13">
            <v>2</v>
          </cell>
          <cell r="K13">
            <v>0</v>
          </cell>
          <cell r="L13">
            <v>0</v>
          </cell>
          <cell r="M13">
            <v>5</v>
          </cell>
        </row>
        <row r="14">
          <cell r="C14">
            <v>1</v>
          </cell>
        </row>
        <row r="15">
          <cell r="C15">
            <v>1</v>
          </cell>
        </row>
        <row r="16">
          <cell r="D16">
            <v>1</v>
          </cell>
        </row>
        <row r="17">
          <cell r="D17">
            <v>1</v>
          </cell>
        </row>
        <row r="18">
          <cell r="C18">
            <v>1</v>
          </cell>
        </row>
        <row r="19">
          <cell r="D19">
            <v>1</v>
          </cell>
        </row>
        <row r="20">
          <cell r="C20">
            <v>1</v>
          </cell>
        </row>
        <row r="21">
          <cell r="F21">
            <v>1</v>
          </cell>
        </row>
        <row r="22">
          <cell r="C22">
            <v>1</v>
          </cell>
        </row>
        <row r="23">
          <cell r="D23">
            <v>1</v>
          </cell>
        </row>
        <row r="24">
          <cell r="E24">
            <v>1</v>
          </cell>
        </row>
        <row r="25">
          <cell r="D25">
            <v>1</v>
          </cell>
        </row>
        <row r="26">
          <cell r="C26">
            <v>1</v>
          </cell>
        </row>
        <row r="27">
          <cell r="C27">
            <v>1</v>
          </cell>
        </row>
        <row r="28">
          <cell r="F28">
            <v>1</v>
          </cell>
        </row>
        <row r="29">
          <cell r="D29">
            <v>1</v>
          </cell>
        </row>
        <row r="30">
          <cell r="D30">
            <v>1</v>
          </cell>
        </row>
        <row r="31">
          <cell r="D31">
            <v>1</v>
          </cell>
        </row>
        <row r="32">
          <cell r="C32">
            <v>1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1</v>
          </cell>
        </row>
        <row r="36">
          <cell r="D36">
            <v>1</v>
          </cell>
        </row>
        <row r="37">
          <cell r="C37">
            <v>1</v>
          </cell>
        </row>
        <row r="38">
          <cell r="D38">
            <v>1</v>
          </cell>
        </row>
        <row r="39">
          <cell r="C39">
            <v>1</v>
          </cell>
        </row>
        <row r="40">
          <cell r="E40">
            <v>1</v>
          </cell>
        </row>
        <row r="41">
          <cell r="C41">
            <v>1</v>
          </cell>
        </row>
        <row r="42">
          <cell r="D42">
            <v>1</v>
          </cell>
        </row>
        <row r="43">
          <cell r="D43">
            <v>1</v>
          </cell>
        </row>
        <row r="44">
          <cell r="D44">
            <v>1</v>
          </cell>
        </row>
        <row r="45">
          <cell r="D45">
            <v>1</v>
          </cell>
        </row>
        <row r="46">
          <cell r="C46">
            <v>1</v>
          </cell>
          <cell r="H46" t="str">
            <v>Chile Digno</v>
          </cell>
          <cell r="I46">
            <v>1</v>
          </cell>
          <cell r="J46">
            <v>0</v>
          </cell>
          <cell r="K46">
            <v>0</v>
          </cell>
          <cell r="L46">
            <v>0</v>
          </cell>
        </row>
        <row r="47">
          <cell r="D47">
            <v>1</v>
          </cell>
          <cell r="H47" t="str">
            <v>Mov. Sociales Const.</v>
          </cell>
          <cell r="I47">
            <v>1</v>
          </cell>
          <cell r="J47">
            <v>0</v>
          </cell>
          <cell r="K47">
            <v>0</v>
          </cell>
          <cell r="L47">
            <v>0</v>
          </cell>
        </row>
        <row r="48">
          <cell r="E48">
            <v>1</v>
          </cell>
          <cell r="H48" t="str">
            <v>Pueblo Constituyente</v>
          </cell>
          <cell r="I48">
            <v>1</v>
          </cell>
          <cell r="J48">
            <v>0</v>
          </cell>
          <cell r="K48">
            <v>0</v>
          </cell>
          <cell r="L48">
            <v>0</v>
          </cell>
        </row>
        <row r="49">
          <cell r="C49">
            <v>1</v>
          </cell>
          <cell r="H49" t="str">
            <v xml:space="preserve">Escaños Reservados </v>
          </cell>
          <cell r="I49">
            <v>0</v>
          </cell>
          <cell r="J49">
            <v>0.88888888888888884</v>
          </cell>
          <cell r="K49">
            <v>0</v>
          </cell>
          <cell r="L49">
            <v>0.1111111111111111</v>
          </cell>
        </row>
        <row r="50">
          <cell r="C50">
            <v>1</v>
          </cell>
          <cell r="H50" t="str">
            <v>Coord. Plurinacional</v>
          </cell>
          <cell r="I50">
            <v>0.9375</v>
          </cell>
          <cell r="J50">
            <v>0</v>
          </cell>
          <cell r="K50">
            <v>0</v>
          </cell>
          <cell r="L50">
            <v>6.25E-2</v>
          </cell>
        </row>
        <row r="51">
          <cell r="D51">
            <v>1</v>
          </cell>
          <cell r="H51" t="str">
            <v>Ind. Por Nueva Const.</v>
          </cell>
          <cell r="I51">
            <v>0.83333333333333337</v>
          </cell>
          <cell r="J51">
            <v>0</v>
          </cell>
          <cell r="K51">
            <v>0.16666666666666666</v>
          </cell>
          <cell r="L51">
            <v>0</v>
          </cell>
        </row>
        <row r="52">
          <cell r="C52">
            <v>1</v>
          </cell>
          <cell r="H52" t="str">
            <v>Colectivo Socialista</v>
          </cell>
          <cell r="I52">
            <v>6.6666666666666666E-2</v>
          </cell>
          <cell r="J52">
            <v>0.8666666666666667</v>
          </cell>
          <cell r="K52">
            <v>6.6666666666666666E-2</v>
          </cell>
          <cell r="L52">
            <v>0</v>
          </cell>
        </row>
        <row r="53">
          <cell r="D53">
            <v>1</v>
          </cell>
          <cell r="H53" t="str">
            <v>Frente Amplio</v>
          </cell>
          <cell r="I53">
            <v>0.1</v>
          </cell>
          <cell r="J53">
            <v>0.45</v>
          </cell>
          <cell r="K53">
            <v>0.45</v>
          </cell>
          <cell r="L53">
            <v>0</v>
          </cell>
        </row>
        <row r="54">
          <cell r="E54">
            <v>1</v>
          </cell>
          <cell r="H54" t="str">
            <v>Ind. + UDI</v>
          </cell>
          <cell r="I54">
            <v>0</v>
          </cell>
          <cell r="J54">
            <v>1</v>
          </cell>
          <cell r="K54">
            <v>0</v>
          </cell>
          <cell r="L54">
            <v>0</v>
          </cell>
        </row>
        <row r="55">
          <cell r="C55">
            <v>1</v>
          </cell>
          <cell r="H55" t="str">
            <v>Ind. RN - Evópoli</v>
          </cell>
          <cell r="I55">
            <v>0</v>
          </cell>
          <cell r="J55">
            <v>0.93333333333333335</v>
          </cell>
          <cell r="K55">
            <v>6.6666666666666666E-2</v>
          </cell>
          <cell r="L55">
            <v>0</v>
          </cell>
        </row>
        <row r="56">
          <cell r="D56">
            <v>1</v>
          </cell>
          <cell r="H56" t="str">
            <v>Colectivo del Apruebo</v>
          </cell>
          <cell r="I56">
            <v>0</v>
          </cell>
          <cell r="J56">
            <v>0.42857142857142855</v>
          </cell>
          <cell r="K56">
            <v>0.42857142857142855</v>
          </cell>
          <cell r="L56">
            <v>0.14285714285714285</v>
          </cell>
        </row>
        <row r="57">
          <cell r="D57">
            <v>1</v>
          </cell>
          <cell r="H57" t="str">
            <v>Otros</v>
          </cell>
          <cell r="I57">
            <v>0.6</v>
          </cell>
          <cell r="J57">
            <v>0.4</v>
          </cell>
          <cell r="K57">
            <v>0</v>
          </cell>
          <cell r="L57">
            <v>0</v>
          </cell>
        </row>
        <row r="58">
          <cell r="C58">
            <v>1</v>
          </cell>
        </row>
        <row r="59">
          <cell r="C59">
            <v>1</v>
          </cell>
        </row>
        <row r="60">
          <cell r="C60">
            <v>1</v>
          </cell>
        </row>
        <row r="61">
          <cell r="C61">
            <v>1</v>
          </cell>
        </row>
        <row r="62">
          <cell r="C62">
            <v>1</v>
          </cell>
        </row>
        <row r="63">
          <cell r="F63">
            <v>1</v>
          </cell>
        </row>
        <row r="64">
          <cell r="C64">
            <v>1</v>
          </cell>
        </row>
        <row r="65">
          <cell r="C65">
            <v>1</v>
          </cell>
        </row>
        <row r="66">
          <cell r="C66">
            <v>1</v>
          </cell>
        </row>
        <row r="67">
          <cell r="D67">
            <v>1</v>
          </cell>
        </row>
        <row r="68">
          <cell r="C68">
            <v>1</v>
          </cell>
        </row>
        <row r="69">
          <cell r="C69">
            <v>1</v>
          </cell>
        </row>
        <row r="70">
          <cell r="D70">
            <v>1</v>
          </cell>
        </row>
        <row r="71">
          <cell r="D71">
            <v>1</v>
          </cell>
        </row>
        <row r="72">
          <cell r="D72">
            <v>1</v>
          </cell>
        </row>
        <row r="73">
          <cell r="D73">
            <v>1</v>
          </cell>
        </row>
        <row r="74">
          <cell r="D74">
            <v>1</v>
          </cell>
        </row>
        <row r="75">
          <cell r="D75">
            <v>1</v>
          </cell>
        </row>
        <row r="76">
          <cell r="C76">
            <v>1</v>
          </cell>
        </row>
        <row r="77">
          <cell r="D77">
            <v>1</v>
          </cell>
        </row>
        <row r="78">
          <cell r="C78">
            <v>1</v>
          </cell>
        </row>
        <row r="79">
          <cell r="D79">
            <v>1</v>
          </cell>
        </row>
        <row r="80">
          <cell r="D80">
            <v>1</v>
          </cell>
        </row>
        <row r="81">
          <cell r="D81">
            <v>1</v>
          </cell>
        </row>
        <row r="82">
          <cell r="C82">
            <v>1</v>
          </cell>
        </row>
        <row r="83">
          <cell r="C83">
            <v>1</v>
          </cell>
        </row>
        <row r="84">
          <cell r="E84">
            <v>1</v>
          </cell>
        </row>
        <row r="85">
          <cell r="D85">
            <v>1</v>
          </cell>
        </row>
        <row r="86">
          <cell r="C86">
            <v>1</v>
          </cell>
        </row>
        <row r="87">
          <cell r="D87">
            <v>1</v>
          </cell>
        </row>
        <row r="88">
          <cell r="D88">
            <v>1</v>
          </cell>
        </row>
        <row r="89">
          <cell r="C89">
            <v>1</v>
          </cell>
        </row>
        <row r="90">
          <cell r="C90">
            <v>1</v>
          </cell>
        </row>
        <row r="91">
          <cell r="D91">
            <v>1</v>
          </cell>
        </row>
        <row r="92">
          <cell r="C92">
            <v>1</v>
          </cell>
        </row>
        <row r="93">
          <cell r="D93">
            <v>1</v>
          </cell>
        </row>
        <row r="94">
          <cell r="C94">
            <v>1</v>
          </cell>
        </row>
        <row r="95">
          <cell r="D95">
            <v>1</v>
          </cell>
        </row>
        <row r="96">
          <cell r="C96">
            <v>1</v>
          </cell>
        </row>
        <row r="97">
          <cell r="D97">
            <v>1</v>
          </cell>
        </row>
        <row r="98">
          <cell r="D98">
            <v>1</v>
          </cell>
        </row>
        <row r="99">
          <cell r="D99">
            <v>1</v>
          </cell>
        </row>
        <row r="100">
          <cell r="D100">
            <v>1</v>
          </cell>
        </row>
        <row r="101">
          <cell r="D101">
            <v>1</v>
          </cell>
        </row>
        <row r="102">
          <cell r="C102">
            <v>1</v>
          </cell>
        </row>
        <row r="103">
          <cell r="D103">
            <v>1</v>
          </cell>
        </row>
        <row r="104">
          <cell r="D104">
            <v>1</v>
          </cell>
        </row>
        <row r="105">
          <cell r="C105">
            <v>1</v>
          </cell>
        </row>
        <row r="106">
          <cell r="C106">
            <v>1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</v>
          </cell>
        </row>
        <row r="110">
          <cell r="C110">
            <v>1</v>
          </cell>
        </row>
        <row r="111">
          <cell r="E111">
            <v>1</v>
          </cell>
        </row>
        <row r="112">
          <cell r="E112">
            <v>1</v>
          </cell>
        </row>
        <row r="113">
          <cell r="C113">
            <v>1</v>
          </cell>
        </row>
        <row r="114">
          <cell r="C114">
            <v>1</v>
          </cell>
        </row>
        <row r="115">
          <cell r="C115">
            <v>1</v>
          </cell>
        </row>
        <row r="116">
          <cell r="D116">
            <v>1</v>
          </cell>
        </row>
        <row r="117">
          <cell r="D117">
            <v>1</v>
          </cell>
        </row>
        <row r="118">
          <cell r="D118">
            <v>1</v>
          </cell>
        </row>
        <row r="119">
          <cell r="C119">
            <v>1</v>
          </cell>
        </row>
        <row r="120">
          <cell r="D120">
            <v>1</v>
          </cell>
        </row>
        <row r="121">
          <cell r="F121">
            <v>1</v>
          </cell>
        </row>
        <row r="122">
          <cell r="C122">
            <v>1</v>
          </cell>
        </row>
        <row r="123">
          <cell r="C123">
            <v>1</v>
          </cell>
        </row>
        <row r="124">
          <cell r="C124">
            <v>1</v>
          </cell>
        </row>
        <row r="125">
          <cell r="C125">
            <v>1</v>
          </cell>
        </row>
        <row r="126">
          <cell r="D126">
            <v>1</v>
          </cell>
        </row>
        <row r="127">
          <cell r="D127">
            <v>1</v>
          </cell>
        </row>
        <row r="128">
          <cell r="C128">
            <v>1</v>
          </cell>
        </row>
        <row r="129">
          <cell r="C129">
            <v>1</v>
          </cell>
        </row>
        <row r="130">
          <cell r="C130">
            <v>1</v>
          </cell>
        </row>
        <row r="131">
          <cell r="E131">
            <v>1</v>
          </cell>
        </row>
        <row r="132">
          <cell r="D132">
            <v>1</v>
          </cell>
        </row>
        <row r="133">
          <cell r="D133">
            <v>1</v>
          </cell>
        </row>
        <row r="134">
          <cell r="D134">
            <v>1</v>
          </cell>
        </row>
        <row r="135">
          <cell r="D135">
            <v>1</v>
          </cell>
        </row>
        <row r="136">
          <cell r="D136">
            <v>1</v>
          </cell>
        </row>
        <row r="137">
          <cell r="D137">
            <v>1</v>
          </cell>
        </row>
        <row r="138">
          <cell r="C138">
            <v>1</v>
          </cell>
        </row>
        <row r="139">
          <cell r="D139">
            <v>1</v>
          </cell>
        </row>
        <row r="140">
          <cell r="D140">
            <v>1</v>
          </cell>
        </row>
        <row r="141">
          <cell r="C141">
            <v>1</v>
          </cell>
        </row>
        <row r="142">
          <cell r="C142">
            <v>1</v>
          </cell>
        </row>
        <row r="143">
          <cell r="C143">
            <v>1</v>
          </cell>
        </row>
        <row r="144">
          <cell r="D144">
            <v>1</v>
          </cell>
        </row>
        <row r="145">
          <cell r="D145">
            <v>1</v>
          </cell>
        </row>
        <row r="146">
          <cell r="C146">
            <v>1</v>
          </cell>
        </row>
        <row r="147">
          <cell r="D147">
            <v>1</v>
          </cell>
        </row>
        <row r="148">
          <cell r="C148">
            <v>1</v>
          </cell>
        </row>
        <row r="149">
          <cell r="D149">
            <v>1</v>
          </cell>
        </row>
        <row r="150">
          <cell r="C150">
            <v>1</v>
          </cell>
        </row>
        <row r="151">
          <cell r="D151">
            <v>1</v>
          </cell>
        </row>
        <row r="152">
          <cell r="C152">
            <v>1</v>
          </cell>
        </row>
        <row r="153">
          <cell r="C153">
            <v>1</v>
          </cell>
        </row>
        <row r="154">
          <cell r="C154">
            <v>1</v>
          </cell>
        </row>
        <row r="155">
          <cell r="C155">
            <v>1</v>
          </cell>
        </row>
        <row r="156">
          <cell r="D156">
            <v>1</v>
          </cell>
        </row>
      </sheetData>
      <sheetData sheetId="16">
        <row r="2">
          <cell r="E2">
            <v>1</v>
          </cell>
          <cell r="H2" t="str">
            <v>Chile Digno</v>
          </cell>
          <cell r="I2">
            <v>11</v>
          </cell>
          <cell r="J2">
            <v>0</v>
          </cell>
          <cell r="K2">
            <v>0</v>
          </cell>
          <cell r="L2">
            <v>0</v>
          </cell>
          <cell r="M2">
            <v>11</v>
          </cell>
        </row>
        <row r="3">
          <cell r="E3">
            <v>1</v>
          </cell>
          <cell r="H3" t="str">
            <v>Mov. Sociales Const.</v>
          </cell>
          <cell r="I3">
            <v>6</v>
          </cell>
          <cell r="J3">
            <v>5</v>
          </cell>
          <cell r="K3">
            <v>1</v>
          </cell>
          <cell r="L3">
            <v>0</v>
          </cell>
          <cell r="M3">
            <v>12</v>
          </cell>
        </row>
        <row r="4">
          <cell r="D4">
            <v>1</v>
          </cell>
          <cell r="H4" t="str">
            <v>Pueblo Constituyente</v>
          </cell>
          <cell r="I4">
            <v>10</v>
          </cell>
          <cell r="J4">
            <v>0</v>
          </cell>
          <cell r="K4">
            <v>0</v>
          </cell>
          <cell r="L4">
            <v>0</v>
          </cell>
          <cell r="M4">
            <v>10</v>
          </cell>
        </row>
        <row r="5">
          <cell r="E5">
            <v>1</v>
          </cell>
          <cell r="H5" t="str">
            <v xml:space="preserve">Escaños Reservados </v>
          </cell>
          <cell r="I5">
            <v>0</v>
          </cell>
          <cell r="J5">
            <v>0</v>
          </cell>
          <cell r="K5">
            <v>7</v>
          </cell>
          <cell r="L5">
            <v>2</v>
          </cell>
          <cell r="M5">
            <v>9</v>
          </cell>
        </row>
        <row r="6">
          <cell r="C6">
            <v>1</v>
          </cell>
          <cell r="H6" t="str">
            <v>Coord. Plurinacional</v>
          </cell>
          <cell r="I6">
            <v>16</v>
          </cell>
          <cell r="J6">
            <v>0</v>
          </cell>
          <cell r="K6">
            <v>0</v>
          </cell>
          <cell r="L6">
            <v>0</v>
          </cell>
          <cell r="M6">
            <v>16</v>
          </cell>
        </row>
        <row r="7">
          <cell r="D7">
            <v>1</v>
          </cell>
          <cell r="H7" t="str">
            <v>Ind. Por Nueva Const.</v>
          </cell>
          <cell r="I7">
            <v>5</v>
          </cell>
          <cell r="J7">
            <v>5</v>
          </cell>
          <cell r="K7">
            <v>2</v>
          </cell>
          <cell r="L7">
            <v>0</v>
          </cell>
          <cell r="M7">
            <v>12</v>
          </cell>
        </row>
        <row r="8">
          <cell r="D8">
            <v>1</v>
          </cell>
          <cell r="H8" t="str">
            <v>Colectivo Socialista</v>
          </cell>
          <cell r="I8">
            <v>1</v>
          </cell>
          <cell r="J8">
            <v>13</v>
          </cell>
          <cell r="K8">
            <v>1</v>
          </cell>
          <cell r="L8">
            <v>0</v>
          </cell>
          <cell r="M8">
            <v>15</v>
          </cell>
        </row>
        <row r="9">
          <cell r="D9">
            <v>1</v>
          </cell>
          <cell r="H9" t="str">
            <v>Frente Amplio</v>
          </cell>
          <cell r="I9">
            <v>2</v>
          </cell>
          <cell r="J9">
            <v>9</v>
          </cell>
          <cell r="K9">
            <v>9</v>
          </cell>
          <cell r="L9">
            <v>0</v>
          </cell>
          <cell r="M9">
            <v>20</v>
          </cell>
        </row>
        <row r="10">
          <cell r="C10">
            <v>1</v>
          </cell>
          <cell r="H10" t="str">
            <v>Ind. + UDI</v>
          </cell>
          <cell r="I10">
            <v>0</v>
          </cell>
          <cell r="J10">
            <v>21</v>
          </cell>
          <cell r="K10">
            <v>0</v>
          </cell>
          <cell r="L10">
            <v>0</v>
          </cell>
          <cell r="M10">
            <v>21</v>
          </cell>
        </row>
        <row r="11">
          <cell r="C11">
            <v>1</v>
          </cell>
          <cell r="H11" t="str">
            <v>Ind. RN - Evópoli</v>
          </cell>
          <cell r="I11">
            <v>0</v>
          </cell>
          <cell r="J11">
            <v>13</v>
          </cell>
          <cell r="K11">
            <v>2</v>
          </cell>
          <cell r="L11">
            <v>0</v>
          </cell>
          <cell r="M11">
            <v>15</v>
          </cell>
        </row>
        <row r="12">
          <cell r="C12">
            <v>1</v>
          </cell>
          <cell r="H12" t="str">
            <v>Colectivo del Apruebo</v>
          </cell>
          <cell r="I12">
            <v>1</v>
          </cell>
          <cell r="J12">
            <v>4</v>
          </cell>
          <cell r="K12">
            <v>2</v>
          </cell>
          <cell r="L12">
            <v>0</v>
          </cell>
          <cell r="M12">
            <v>7</v>
          </cell>
        </row>
        <row r="13">
          <cell r="D13">
            <v>1</v>
          </cell>
          <cell r="H13" t="str">
            <v>Otros</v>
          </cell>
          <cell r="I13">
            <v>4</v>
          </cell>
          <cell r="J13">
            <v>1</v>
          </cell>
          <cell r="K13">
            <v>0</v>
          </cell>
          <cell r="L13">
            <v>0</v>
          </cell>
          <cell r="M13">
            <v>5</v>
          </cell>
        </row>
        <row r="14">
          <cell r="C14">
            <v>1</v>
          </cell>
        </row>
        <row r="15">
          <cell r="C15">
            <v>1</v>
          </cell>
        </row>
        <row r="16">
          <cell r="D16">
            <v>1</v>
          </cell>
        </row>
        <row r="17">
          <cell r="D17">
            <v>1</v>
          </cell>
        </row>
        <row r="18">
          <cell r="C18">
            <v>1</v>
          </cell>
        </row>
        <row r="19">
          <cell r="D19">
            <v>1</v>
          </cell>
        </row>
        <row r="20">
          <cell r="C20">
            <v>1</v>
          </cell>
        </row>
        <row r="21">
          <cell r="C21">
            <v>1</v>
          </cell>
        </row>
        <row r="22">
          <cell r="C22">
            <v>1</v>
          </cell>
        </row>
        <row r="23">
          <cell r="E23">
            <v>1</v>
          </cell>
        </row>
        <row r="24">
          <cell r="E24">
            <v>1</v>
          </cell>
        </row>
        <row r="25">
          <cell r="D25">
            <v>1</v>
          </cell>
        </row>
        <row r="26">
          <cell r="C26">
            <v>1</v>
          </cell>
        </row>
        <row r="27">
          <cell r="C27">
            <v>1</v>
          </cell>
        </row>
        <row r="28">
          <cell r="C28">
            <v>1</v>
          </cell>
        </row>
        <row r="29">
          <cell r="D29">
            <v>1</v>
          </cell>
        </row>
        <row r="30">
          <cell r="D30">
            <v>1</v>
          </cell>
        </row>
        <row r="31">
          <cell r="D31">
            <v>1</v>
          </cell>
        </row>
        <row r="32">
          <cell r="D32">
            <v>1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1</v>
          </cell>
        </row>
        <row r="36">
          <cell r="E36">
            <v>1</v>
          </cell>
        </row>
        <row r="37">
          <cell r="C37">
            <v>1</v>
          </cell>
        </row>
        <row r="38">
          <cell r="D38">
            <v>1</v>
          </cell>
        </row>
        <row r="39">
          <cell r="D39">
            <v>1</v>
          </cell>
        </row>
        <row r="40">
          <cell r="D40">
            <v>1</v>
          </cell>
        </row>
        <row r="41">
          <cell r="C41">
            <v>1</v>
          </cell>
        </row>
        <row r="42">
          <cell r="D42">
            <v>1</v>
          </cell>
        </row>
        <row r="43">
          <cell r="D43">
            <v>1</v>
          </cell>
        </row>
        <row r="44">
          <cell r="D44">
            <v>1</v>
          </cell>
        </row>
        <row r="45">
          <cell r="D45">
            <v>1</v>
          </cell>
        </row>
        <row r="46">
          <cell r="C46">
            <v>1</v>
          </cell>
          <cell r="H46" t="str">
            <v>Chile Digno</v>
          </cell>
          <cell r="I46">
            <v>1</v>
          </cell>
          <cell r="J46">
            <v>0</v>
          </cell>
          <cell r="K46">
            <v>0</v>
          </cell>
          <cell r="L46">
            <v>0</v>
          </cell>
        </row>
        <row r="47">
          <cell r="D47">
            <v>1</v>
          </cell>
          <cell r="H47" t="str">
            <v>Mov. Sociales Const.</v>
          </cell>
          <cell r="I47">
            <v>0.5</v>
          </cell>
          <cell r="J47">
            <v>0.41666666666666669</v>
          </cell>
          <cell r="K47">
            <v>8.3333333333333329E-2</v>
          </cell>
          <cell r="L47">
            <v>0</v>
          </cell>
        </row>
        <row r="48">
          <cell r="E48">
            <v>1</v>
          </cell>
          <cell r="H48" t="str">
            <v>Pueblo Constituyente</v>
          </cell>
          <cell r="I48">
            <v>1</v>
          </cell>
          <cell r="J48">
            <v>0</v>
          </cell>
          <cell r="K48">
            <v>0</v>
          </cell>
          <cell r="L48">
            <v>0</v>
          </cell>
        </row>
        <row r="49">
          <cell r="D49">
            <v>1</v>
          </cell>
          <cell r="H49" t="str">
            <v xml:space="preserve">Escaños Reservados </v>
          </cell>
          <cell r="I49">
            <v>0</v>
          </cell>
          <cell r="J49">
            <v>0</v>
          </cell>
          <cell r="K49">
            <v>0.77777777777777779</v>
          </cell>
          <cell r="L49">
            <v>0.22222222222222221</v>
          </cell>
        </row>
        <row r="50">
          <cell r="D50">
            <v>1</v>
          </cell>
          <cell r="H50" t="str">
            <v>Coord. Plurinacional</v>
          </cell>
          <cell r="I50">
            <v>1</v>
          </cell>
          <cell r="J50">
            <v>0</v>
          </cell>
          <cell r="K50">
            <v>0</v>
          </cell>
          <cell r="L50">
            <v>0</v>
          </cell>
        </row>
        <row r="51">
          <cell r="D51">
            <v>1</v>
          </cell>
          <cell r="H51" t="str">
            <v>Ind. Por Nueva Const.</v>
          </cell>
          <cell r="I51">
            <v>0.41666666666666669</v>
          </cell>
          <cell r="J51">
            <v>0.41666666666666669</v>
          </cell>
          <cell r="K51">
            <v>0.16666666666666666</v>
          </cell>
          <cell r="L51">
            <v>0</v>
          </cell>
        </row>
        <row r="52">
          <cell r="E52">
            <v>1</v>
          </cell>
          <cell r="H52" t="str">
            <v>Colectivo Socialista</v>
          </cell>
          <cell r="I52">
            <v>6.6666666666666666E-2</v>
          </cell>
          <cell r="J52">
            <v>0.8666666666666667</v>
          </cell>
          <cell r="K52">
            <v>6.6666666666666666E-2</v>
          </cell>
          <cell r="L52">
            <v>0</v>
          </cell>
        </row>
        <row r="53">
          <cell r="D53">
            <v>1</v>
          </cell>
          <cell r="H53" t="str">
            <v>Frente Amplio</v>
          </cell>
          <cell r="I53">
            <v>0.1</v>
          </cell>
          <cell r="J53">
            <v>0.45</v>
          </cell>
          <cell r="K53">
            <v>0.45</v>
          </cell>
          <cell r="L53">
            <v>0</v>
          </cell>
        </row>
        <row r="54">
          <cell r="D54">
            <v>1</v>
          </cell>
          <cell r="H54" t="str">
            <v>Ind. + UDI</v>
          </cell>
          <cell r="I54">
            <v>0</v>
          </cell>
          <cell r="J54">
            <v>1</v>
          </cell>
          <cell r="K54">
            <v>0</v>
          </cell>
          <cell r="L54">
            <v>0</v>
          </cell>
        </row>
        <row r="55">
          <cell r="C55">
            <v>1</v>
          </cell>
          <cell r="H55" t="str">
            <v>Ind. RN - Evópoli</v>
          </cell>
          <cell r="I55">
            <v>0</v>
          </cell>
          <cell r="J55">
            <v>0.8666666666666667</v>
          </cell>
          <cell r="K55">
            <v>0.13333333333333333</v>
          </cell>
          <cell r="L55">
            <v>0</v>
          </cell>
        </row>
        <row r="56">
          <cell r="E56">
            <v>1</v>
          </cell>
          <cell r="H56" t="str">
            <v>Colectivo del Apruebo</v>
          </cell>
          <cell r="I56">
            <v>0.14285714285714285</v>
          </cell>
          <cell r="J56">
            <v>0.5714285714285714</v>
          </cell>
          <cell r="K56">
            <v>0.2857142857142857</v>
          </cell>
          <cell r="L56">
            <v>0</v>
          </cell>
        </row>
        <row r="57">
          <cell r="C57">
            <v>1</v>
          </cell>
          <cell r="H57" t="str">
            <v>Otros</v>
          </cell>
          <cell r="I57">
            <v>0.8</v>
          </cell>
          <cell r="J57">
            <v>0.2</v>
          </cell>
          <cell r="K57">
            <v>0</v>
          </cell>
          <cell r="L57">
            <v>0</v>
          </cell>
        </row>
        <row r="58">
          <cell r="D58">
            <v>1</v>
          </cell>
        </row>
        <row r="59">
          <cell r="C59">
            <v>1</v>
          </cell>
        </row>
        <row r="60">
          <cell r="C60">
            <v>1</v>
          </cell>
        </row>
        <row r="61">
          <cell r="C61">
            <v>1</v>
          </cell>
        </row>
        <row r="62">
          <cell r="C62">
            <v>1</v>
          </cell>
        </row>
        <row r="63">
          <cell r="F63">
            <v>1</v>
          </cell>
        </row>
        <row r="64">
          <cell r="C64">
            <v>1</v>
          </cell>
        </row>
        <row r="65">
          <cell r="C65">
            <v>1</v>
          </cell>
        </row>
        <row r="66">
          <cell r="C66">
            <v>1</v>
          </cell>
        </row>
        <row r="67">
          <cell r="D67">
            <v>1</v>
          </cell>
        </row>
        <row r="68">
          <cell r="C68">
            <v>1</v>
          </cell>
        </row>
        <row r="69">
          <cell r="C69">
            <v>1</v>
          </cell>
        </row>
        <row r="70">
          <cell r="D70">
            <v>1</v>
          </cell>
        </row>
        <row r="71">
          <cell r="D71">
            <v>1</v>
          </cell>
        </row>
        <row r="72">
          <cell r="D72">
            <v>1</v>
          </cell>
        </row>
        <row r="73">
          <cell r="F73">
            <v>1</v>
          </cell>
        </row>
        <row r="74">
          <cell r="D74">
            <v>1</v>
          </cell>
        </row>
        <row r="75">
          <cell r="D75">
            <v>1</v>
          </cell>
        </row>
        <row r="76">
          <cell r="C76">
            <v>1</v>
          </cell>
        </row>
        <row r="77">
          <cell r="D77">
            <v>1</v>
          </cell>
        </row>
        <row r="78">
          <cell r="C78">
            <v>1</v>
          </cell>
        </row>
        <row r="79">
          <cell r="D79">
            <v>1</v>
          </cell>
        </row>
        <row r="80">
          <cell r="D80">
            <v>1</v>
          </cell>
        </row>
        <row r="81">
          <cell r="D81">
            <v>1</v>
          </cell>
        </row>
        <row r="82">
          <cell r="C82">
            <v>1</v>
          </cell>
        </row>
        <row r="83">
          <cell r="C83">
            <v>1</v>
          </cell>
        </row>
        <row r="84">
          <cell r="E84">
            <v>1</v>
          </cell>
        </row>
        <row r="85">
          <cell r="E85">
            <v>1</v>
          </cell>
        </row>
        <row r="86">
          <cell r="C86">
            <v>1</v>
          </cell>
        </row>
        <row r="87">
          <cell r="E87">
            <v>1</v>
          </cell>
        </row>
        <row r="88">
          <cell r="D88">
            <v>1</v>
          </cell>
        </row>
        <row r="89">
          <cell r="C89">
            <v>1</v>
          </cell>
        </row>
        <row r="90">
          <cell r="D90">
            <v>1</v>
          </cell>
        </row>
        <row r="91">
          <cell r="D91">
            <v>1</v>
          </cell>
        </row>
        <row r="92">
          <cell r="C92">
            <v>1</v>
          </cell>
        </row>
        <row r="93">
          <cell r="D93">
            <v>1</v>
          </cell>
        </row>
        <row r="94">
          <cell r="D94">
            <v>1</v>
          </cell>
        </row>
        <row r="95">
          <cell r="E95">
            <v>1</v>
          </cell>
        </row>
        <row r="96">
          <cell r="C96">
            <v>1</v>
          </cell>
        </row>
        <row r="97">
          <cell r="E97">
            <v>1</v>
          </cell>
        </row>
        <row r="98">
          <cell r="D98">
            <v>1</v>
          </cell>
        </row>
        <row r="99">
          <cell r="D99">
            <v>1</v>
          </cell>
        </row>
        <row r="100">
          <cell r="D100">
            <v>1</v>
          </cell>
        </row>
        <row r="101">
          <cell r="D101">
            <v>1</v>
          </cell>
        </row>
        <row r="102">
          <cell r="C102">
            <v>1</v>
          </cell>
        </row>
        <row r="103">
          <cell r="D103">
            <v>1</v>
          </cell>
        </row>
        <row r="104">
          <cell r="D104">
            <v>1</v>
          </cell>
        </row>
        <row r="105">
          <cell r="C105">
            <v>1</v>
          </cell>
        </row>
        <row r="106">
          <cell r="C106">
            <v>1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</v>
          </cell>
        </row>
        <row r="110">
          <cell r="C110">
            <v>1</v>
          </cell>
        </row>
        <row r="111">
          <cell r="E111">
            <v>1</v>
          </cell>
        </row>
        <row r="112">
          <cell r="D112">
            <v>1</v>
          </cell>
        </row>
        <row r="113">
          <cell r="C113">
            <v>1</v>
          </cell>
        </row>
        <row r="114">
          <cell r="D114">
            <v>1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1</v>
          </cell>
        </row>
        <row r="118">
          <cell r="D118">
            <v>1</v>
          </cell>
        </row>
        <row r="119">
          <cell r="C119">
            <v>1</v>
          </cell>
        </row>
        <row r="120">
          <cell r="C120">
            <v>1</v>
          </cell>
        </row>
        <row r="121">
          <cell r="F121">
            <v>1</v>
          </cell>
        </row>
        <row r="122">
          <cell r="C122">
            <v>1</v>
          </cell>
        </row>
        <row r="123">
          <cell r="C123">
            <v>1</v>
          </cell>
        </row>
        <row r="124">
          <cell r="C124">
            <v>1</v>
          </cell>
        </row>
        <row r="125">
          <cell r="C125">
            <v>1</v>
          </cell>
        </row>
        <row r="126">
          <cell r="D126">
            <v>1</v>
          </cell>
        </row>
        <row r="127">
          <cell r="D127">
            <v>1</v>
          </cell>
        </row>
        <row r="128">
          <cell r="C128">
            <v>1</v>
          </cell>
        </row>
        <row r="129">
          <cell r="E129">
            <v>1</v>
          </cell>
        </row>
        <row r="130">
          <cell r="D130">
            <v>1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1</v>
          </cell>
        </row>
        <row r="134">
          <cell r="D134">
            <v>1</v>
          </cell>
        </row>
        <row r="135">
          <cell r="E135">
            <v>1</v>
          </cell>
        </row>
        <row r="136">
          <cell r="D136">
            <v>1</v>
          </cell>
        </row>
        <row r="137">
          <cell r="D137">
            <v>1</v>
          </cell>
        </row>
        <row r="138">
          <cell r="C138">
            <v>1</v>
          </cell>
        </row>
        <row r="139">
          <cell r="E139">
            <v>1</v>
          </cell>
        </row>
        <row r="140">
          <cell r="D140">
            <v>1</v>
          </cell>
        </row>
        <row r="141">
          <cell r="C141">
            <v>1</v>
          </cell>
        </row>
        <row r="142">
          <cell r="C142">
            <v>1</v>
          </cell>
        </row>
        <row r="143">
          <cell r="C143">
            <v>1</v>
          </cell>
        </row>
        <row r="144">
          <cell r="D144">
            <v>1</v>
          </cell>
        </row>
        <row r="145">
          <cell r="D145">
            <v>1</v>
          </cell>
        </row>
        <row r="146">
          <cell r="C146">
            <v>1</v>
          </cell>
        </row>
        <row r="147">
          <cell r="E147">
            <v>1</v>
          </cell>
        </row>
        <row r="148">
          <cell r="C148">
            <v>1</v>
          </cell>
        </row>
        <row r="149">
          <cell r="D149">
            <v>1</v>
          </cell>
        </row>
        <row r="150">
          <cell r="C150">
            <v>1</v>
          </cell>
        </row>
        <row r="151">
          <cell r="D151">
            <v>1</v>
          </cell>
        </row>
        <row r="152">
          <cell r="C152">
            <v>1</v>
          </cell>
        </row>
        <row r="153">
          <cell r="C153">
            <v>1</v>
          </cell>
        </row>
        <row r="154">
          <cell r="C154">
            <v>1</v>
          </cell>
        </row>
        <row r="155">
          <cell r="C155">
            <v>1</v>
          </cell>
        </row>
        <row r="156">
          <cell r="D156">
            <v>1</v>
          </cell>
        </row>
      </sheetData>
      <sheetData sheetId="17">
        <row r="2">
          <cell r="C2">
            <v>1</v>
          </cell>
          <cell r="H2" t="str">
            <v>Chile Digno</v>
          </cell>
          <cell r="I2">
            <v>11</v>
          </cell>
          <cell r="J2">
            <v>0</v>
          </cell>
          <cell r="K2">
            <v>0</v>
          </cell>
          <cell r="L2">
            <v>0</v>
          </cell>
          <cell r="M2">
            <v>11</v>
          </cell>
        </row>
        <row r="3">
          <cell r="D3">
            <v>1</v>
          </cell>
          <cell r="H3" t="str">
            <v>Mov. Sociales Const.</v>
          </cell>
          <cell r="I3">
            <v>11</v>
          </cell>
          <cell r="J3">
            <v>1</v>
          </cell>
          <cell r="K3">
            <v>0</v>
          </cell>
          <cell r="L3">
            <v>0</v>
          </cell>
          <cell r="M3">
            <v>12</v>
          </cell>
        </row>
        <row r="4">
          <cell r="E4">
            <v>1</v>
          </cell>
          <cell r="H4" t="str">
            <v>Pueblo Constituyente</v>
          </cell>
          <cell r="I4">
            <v>9</v>
          </cell>
          <cell r="J4">
            <v>1</v>
          </cell>
          <cell r="K4">
            <v>0</v>
          </cell>
          <cell r="L4">
            <v>0</v>
          </cell>
          <cell r="M4">
            <v>10</v>
          </cell>
        </row>
        <row r="5">
          <cell r="C5">
            <v>1</v>
          </cell>
          <cell r="H5" t="str">
            <v xml:space="preserve">Escaños Reservados </v>
          </cell>
          <cell r="I5">
            <v>7</v>
          </cell>
          <cell r="J5">
            <v>0</v>
          </cell>
          <cell r="K5">
            <v>1</v>
          </cell>
          <cell r="L5">
            <v>1</v>
          </cell>
          <cell r="M5">
            <v>9</v>
          </cell>
        </row>
        <row r="6">
          <cell r="C6">
            <v>1</v>
          </cell>
          <cell r="H6" t="str">
            <v>Coord. Plurinacional</v>
          </cell>
          <cell r="I6">
            <v>16</v>
          </cell>
          <cell r="J6">
            <v>0</v>
          </cell>
          <cell r="K6">
            <v>0</v>
          </cell>
          <cell r="L6">
            <v>0</v>
          </cell>
          <cell r="M6">
            <v>16</v>
          </cell>
        </row>
        <row r="7">
          <cell r="D7">
            <v>1</v>
          </cell>
          <cell r="H7" t="str">
            <v>Ind. Por Nueva Const.</v>
          </cell>
          <cell r="I7">
            <v>3</v>
          </cell>
          <cell r="J7">
            <v>8</v>
          </cell>
          <cell r="K7">
            <v>1</v>
          </cell>
          <cell r="L7">
            <v>0</v>
          </cell>
          <cell r="M7">
            <v>12</v>
          </cell>
        </row>
        <row r="8">
          <cell r="D8">
            <v>1</v>
          </cell>
          <cell r="H8" t="str">
            <v>Colectivo Socialista</v>
          </cell>
          <cell r="I8">
            <v>5</v>
          </cell>
          <cell r="J8">
            <v>10</v>
          </cell>
          <cell r="K8">
            <v>0</v>
          </cell>
          <cell r="L8">
            <v>0</v>
          </cell>
          <cell r="M8">
            <v>15</v>
          </cell>
        </row>
        <row r="9">
          <cell r="C9">
            <v>1</v>
          </cell>
          <cell r="H9" t="str">
            <v>Frente Amplio</v>
          </cell>
          <cell r="I9">
            <v>9</v>
          </cell>
          <cell r="J9">
            <v>2</v>
          </cell>
          <cell r="K9">
            <v>2</v>
          </cell>
          <cell r="L9">
            <v>0</v>
          </cell>
          <cell r="M9">
            <v>13</v>
          </cell>
        </row>
        <row r="10">
          <cell r="C10">
            <v>1</v>
          </cell>
          <cell r="H10" t="str">
            <v>Ind. + UDI</v>
          </cell>
          <cell r="I10">
            <v>0</v>
          </cell>
          <cell r="J10">
            <v>21</v>
          </cell>
          <cell r="K10">
            <v>0</v>
          </cell>
          <cell r="L10">
            <v>0</v>
          </cell>
          <cell r="M10">
            <v>21</v>
          </cell>
        </row>
        <row r="11">
          <cell r="C11">
            <v>1</v>
          </cell>
          <cell r="H11" t="str">
            <v>Ind. RN - Evópoli</v>
          </cell>
          <cell r="I11">
            <v>0</v>
          </cell>
          <cell r="J11">
            <v>15</v>
          </cell>
          <cell r="K11">
            <v>0</v>
          </cell>
          <cell r="L11">
            <v>0</v>
          </cell>
          <cell r="M11">
            <v>15</v>
          </cell>
        </row>
        <row r="12">
          <cell r="C12">
            <v>1</v>
          </cell>
          <cell r="H12" t="str">
            <v>Colectivo del Apruebo</v>
          </cell>
          <cell r="I12">
            <v>1</v>
          </cell>
          <cell r="J12">
            <v>4</v>
          </cell>
          <cell r="K12">
            <v>2</v>
          </cell>
          <cell r="L12">
            <v>0</v>
          </cell>
          <cell r="M12">
            <v>7</v>
          </cell>
        </row>
        <row r="13">
          <cell r="D13">
            <v>1</v>
          </cell>
          <cell r="H13" t="str">
            <v>Otros</v>
          </cell>
          <cell r="I13">
            <v>4</v>
          </cell>
          <cell r="J13">
            <v>1</v>
          </cell>
          <cell r="K13">
            <v>0</v>
          </cell>
          <cell r="L13">
            <v>0</v>
          </cell>
          <cell r="M13">
            <v>5</v>
          </cell>
        </row>
        <row r="14">
          <cell r="C14">
            <v>1</v>
          </cell>
        </row>
        <row r="15">
          <cell r="C15">
            <v>1</v>
          </cell>
        </row>
        <row r="16">
          <cell r="D16">
            <v>1</v>
          </cell>
        </row>
        <row r="17">
          <cell r="D17">
            <v>1</v>
          </cell>
        </row>
        <row r="18">
          <cell r="C18">
            <v>1</v>
          </cell>
        </row>
        <row r="19">
          <cell r="C19">
            <v>1</v>
          </cell>
        </row>
        <row r="20">
          <cell r="C20">
            <v>1</v>
          </cell>
        </row>
        <row r="21">
          <cell r="C21">
            <v>1</v>
          </cell>
        </row>
        <row r="22">
          <cell r="C22">
            <v>1</v>
          </cell>
        </row>
        <row r="23">
          <cell r="C23">
            <v>1</v>
          </cell>
        </row>
        <row r="24">
          <cell r="E24">
            <v>1</v>
          </cell>
        </row>
        <row r="25">
          <cell r="D25">
            <v>1</v>
          </cell>
        </row>
        <row r="26">
          <cell r="C26">
            <v>1</v>
          </cell>
        </row>
        <row r="27">
          <cell r="C27">
            <v>1</v>
          </cell>
        </row>
        <row r="28">
          <cell r="C28">
            <v>1</v>
          </cell>
        </row>
        <row r="29">
          <cell r="C29">
            <v>1</v>
          </cell>
        </row>
        <row r="30">
          <cell r="C30">
            <v>1</v>
          </cell>
        </row>
        <row r="31">
          <cell r="D31">
            <v>1</v>
          </cell>
        </row>
        <row r="32">
          <cell r="C32">
            <v>1</v>
          </cell>
        </row>
        <row r="33">
          <cell r="D33">
            <v>1</v>
          </cell>
        </row>
        <row r="34">
          <cell r="E34">
            <v>1</v>
          </cell>
        </row>
        <row r="35">
          <cell r="D35">
            <v>1</v>
          </cell>
        </row>
        <row r="36">
          <cell r="C36">
            <v>1</v>
          </cell>
        </row>
        <row r="37">
          <cell r="C37">
            <v>1</v>
          </cell>
        </row>
        <row r="38">
          <cell r="D38">
            <v>1</v>
          </cell>
        </row>
        <row r="39">
          <cell r="D39">
            <v>1</v>
          </cell>
        </row>
        <row r="40">
          <cell r="D40">
            <v>1</v>
          </cell>
        </row>
        <row r="41">
          <cell r="C41">
            <v>1</v>
          </cell>
        </row>
        <row r="42">
          <cell r="D42">
            <v>1</v>
          </cell>
        </row>
        <row r="43">
          <cell r="D43">
            <v>1</v>
          </cell>
        </row>
        <row r="44">
          <cell r="D44">
            <v>1</v>
          </cell>
        </row>
        <row r="45">
          <cell r="D45">
            <v>1</v>
          </cell>
        </row>
        <row r="46">
          <cell r="D46">
            <v>1</v>
          </cell>
          <cell r="H46" t="str">
            <v>Chile Digno</v>
          </cell>
          <cell r="I46">
            <v>1</v>
          </cell>
          <cell r="J46">
            <v>0</v>
          </cell>
          <cell r="K46">
            <v>0</v>
          </cell>
          <cell r="L46">
            <v>0</v>
          </cell>
        </row>
        <row r="47">
          <cell r="D47">
            <v>1</v>
          </cell>
          <cell r="H47" t="str">
            <v>Mov. Sociales Const.</v>
          </cell>
          <cell r="I47">
            <v>0.91666666666666663</v>
          </cell>
          <cell r="J47">
            <v>8.3333333333333329E-2</v>
          </cell>
          <cell r="K47">
            <v>0</v>
          </cell>
          <cell r="L47">
            <v>0</v>
          </cell>
        </row>
        <row r="48">
          <cell r="C48">
            <v>1</v>
          </cell>
          <cell r="H48" t="str">
            <v>Pueblo Constituyente</v>
          </cell>
          <cell r="I48">
            <v>0.9</v>
          </cell>
          <cell r="J48">
            <v>0.1</v>
          </cell>
          <cell r="K48">
            <v>0</v>
          </cell>
          <cell r="L48">
            <v>0</v>
          </cell>
        </row>
        <row r="49">
          <cell r="D49">
            <v>1</v>
          </cell>
          <cell r="H49" t="str">
            <v xml:space="preserve">Escaños Reservados </v>
          </cell>
          <cell r="I49">
            <v>0.77777777777777779</v>
          </cell>
          <cell r="J49">
            <v>0</v>
          </cell>
          <cell r="K49">
            <v>0.1111111111111111</v>
          </cell>
          <cell r="L49">
            <v>0.1111111111111111</v>
          </cell>
        </row>
        <row r="50">
          <cell r="C50">
            <v>1</v>
          </cell>
          <cell r="H50" t="str">
            <v>Coord. Plurinacional</v>
          </cell>
          <cell r="I50">
            <v>1</v>
          </cell>
          <cell r="J50">
            <v>0</v>
          </cell>
          <cell r="K50">
            <v>0</v>
          </cell>
          <cell r="L50">
            <v>0</v>
          </cell>
        </row>
        <row r="51">
          <cell r="D51">
            <v>1</v>
          </cell>
          <cell r="H51" t="str">
            <v>Ind. Por Nueva Const.</v>
          </cell>
          <cell r="I51">
            <v>0.25</v>
          </cell>
          <cell r="J51">
            <v>0.66666666666666663</v>
          </cell>
          <cell r="K51">
            <v>8.3333333333333329E-2</v>
          </cell>
          <cell r="L51">
            <v>0</v>
          </cell>
        </row>
        <row r="52">
          <cell r="C52">
            <v>1</v>
          </cell>
          <cell r="H52" t="str">
            <v>Colectivo Socialista</v>
          </cell>
          <cell r="I52">
            <v>0.33333333333333331</v>
          </cell>
          <cell r="J52">
            <v>0.66666666666666663</v>
          </cell>
          <cell r="K52">
            <v>0</v>
          </cell>
          <cell r="L52">
            <v>0</v>
          </cell>
        </row>
        <row r="53">
          <cell r="D53">
            <v>1</v>
          </cell>
          <cell r="H53" t="str">
            <v>Frente Amplio</v>
          </cell>
          <cell r="I53">
            <v>0.69230769230769229</v>
          </cell>
          <cell r="J53">
            <v>0.15384615384615385</v>
          </cell>
          <cell r="K53">
            <v>0.15384615384615385</v>
          </cell>
          <cell r="L53">
            <v>0</v>
          </cell>
        </row>
        <row r="54">
          <cell r="D54">
            <v>1</v>
          </cell>
          <cell r="H54" t="str">
            <v>Ind. + UDI</v>
          </cell>
          <cell r="I54">
            <v>0</v>
          </cell>
          <cell r="J54">
            <v>1</v>
          </cell>
          <cell r="K54">
            <v>0</v>
          </cell>
          <cell r="L54">
            <v>0</v>
          </cell>
        </row>
        <row r="55">
          <cell r="C55">
            <v>1</v>
          </cell>
          <cell r="H55" t="str">
            <v>Ind. RN - Evópoli</v>
          </cell>
          <cell r="I55">
            <v>0</v>
          </cell>
          <cell r="J55">
            <v>1</v>
          </cell>
          <cell r="K55">
            <v>0</v>
          </cell>
          <cell r="L55">
            <v>0</v>
          </cell>
        </row>
        <row r="56">
          <cell r="C56">
            <v>1</v>
          </cell>
          <cell r="H56" t="str">
            <v>Colectivo del Apruebo</v>
          </cell>
          <cell r="I56">
            <v>0.14285714285714285</v>
          </cell>
          <cell r="J56">
            <v>0.5714285714285714</v>
          </cell>
          <cell r="K56">
            <v>0.2857142857142857</v>
          </cell>
          <cell r="L56">
            <v>0</v>
          </cell>
        </row>
        <row r="57">
          <cell r="D57">
            <v>1</v>
          </cell>
          <cell r="H57" t="str">
            <v>Otros</v>
          </cell>
          <cell r="I57">
            <v>0.8</v>
          </cell>
          <cell r="J57">
            <v>0.2</v>
          </cell>
          <cell r="K57">
            <v>0</v>
          </cell>
          <cell r="L57">
            <v>0</v>
          </cell>
        </row>
        <row r="58">
          <cell r="C58">
            <v>1</v>
          </cell>
        </row>
        <row r="59">
          <cell r="C59">
            <v>1</v>
          </cell>
        </row>
        <row r="60">
          <cell r="C60">
            <v>1</v>
          </cell>
        </row>
        <row r="61">
          <cell r="C61">
            <v>1</v>
          </cell>
        </row>
        <row r="62">
          <cell r="D62">
            <v>1</v>
          </cell>
        </row>
        <row r="63">
          <cell r="F63">
            <v>1</v>
          </cell>
        </row>
        <row r="64">
          <cell r="C64">
            <v>1</v>
          </cell>
        </row>
        <row r="65">
          <cell r="C65">
            <v>1</v>
          </cell>
        </row>
        <row r="66">
          <cell r="C66">
            <v>1</v>
          </cell>
        </row>
        <row r="67">
          <cell r="D67">
            <v>1</v>
          </cell>
        </row>
        <row r="68">
          <cell r="C68">
            <v>1</v>
          </cell>
        </row>
        <row r="69">
          <cell r="C69">
            <v>1</v>
          </cell>
        </row>
        <row r="70">
          <cell r="D70">
            <v>1</v>
          </cell>
        </row>
        <row r="71">
          <cell r="D71">
            <v>1</v>
          </cell>
        </row>
        <row r="72">
          <cell r="D72">
            <v>1</v>
          </cell>
        </row>
        <row r="73">
          <cell r="E73">
            <v>1</v>
          </cell>
        </row>
        <row r="74">
          <cell r="D74">
            <v>1</v>
          </cell>
        </row>
        <row r="75">
          <cell r="D75">
            <v>1</v>
          </cell>
        </row>
        <row r="76">
          <cell r="D76">
            <v>1</v>
          </cell>
        </row>
        <row r="77">
          <cell r="D77">
            <v>1</v>
          </cell>
        </row>
        <row r="78">
          <cell r="C78">
            <v>1</v>
          </cell>
        </row>
        <row r="79">
          <cell r="D79">
            <v>1</v>
          </cell>
        </row>
        <row r="80">
          <cell r="D80">
            <v>1</v>
          </cell>
        </row>
        <row r="81">
          <cell r="D81">
            <v>1</v>
          </cell>
        </row>
        <row r="82">
          <cell r="C82">
            <v>1</v>
          </cell>
        </row>
        <row r="83">
          <cell r="C83">
            <v>1</v>
          </cell>
        </row>
        <row r="84">
          <cell r="D84">
            <v>1</v>
          </cell>
        </row>
        <row r="85">
          <cell r="C85">
            <v>1</v>
          </cell>
        </row>
        <row r="86">
          <cell r="C86">
            <v>1</v>
          </cell>
        </row>
        <row r="87">
          <cell r="C87">
            <v>1</v>
          </cell>
        </row>
        <row r="88">
          <cell r="D88">
            <v>1</v>
          </cell>
        </row>
        <row r="89">
          <cell r="C89">
            <v>1</v>
          </cell>
        </row>
        <row r="90">
          <cell r="D90">
            <v>1</v>
          </cell>
        </row>
        <row r="91">
          <cell r="D91">
            <v>1</v>
          </cell>
        </row>
        <row r="92">
          <cell r="C92">
            <v>1</v>
          </cell>
        </row>
        <row r="93">
          <cell r="D93">
            <v>1</v>
          </cell>
        </row>
        <row r="94">
          <cell r="C94">
            <v>1</v>
          </cell>
        </row>
        <row r="95">
          <cell r="C95">
            <v>1</v>
          </cell>
        </row>
        <row r="96">
          <cell r="C96">
            <v>1</v>
          </cell>
        </row>
        <row r="97">
          <cell r="D97">
            <v>1</v>
          </cell>
        </row>
        <row r="98">
          <cell r="D98">
            <v>1</v>
          </cell>
        </row>
        <row r="99">
          <cell r="D99">
            <v>1</v>
          </cell>
        </row>
        <row r="100">
          <cell r="D100">
            <v>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1</v>
          </cell>
        </row>
        <row r="104">
          <cell r="D104">
            <v>1</v>
          </cell>
        </row>
        <row r="105">
          <cell r="C105">
            <v>1</v>
          </cell>
        </row>
        <row r="106">
          <cell r="C106">
            <v>1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F109">
            <v>1</v>
          </cell>
        </row>
        <row r="110">
          <cell r="C110">
            <v>1</v>
          </cell>
        </row>
        <row r="111">
          <cell r="C111">
            <v>1</v>
          </cell>
        </row>
        <row r="112">
          <cell r="D112">
            <v>1</v>
          </cell>
        </row>
        <row r="113">
          <cell r="C113">
            <v>1</v>
          </cell>
        </row>
        <row r="114">
          <cell r="D114">
            <v>1</v>
          </cell>
        </row>
        <row r="115">
          <cell r="C115">
            <v>1</v>
          </cell>
        </row>
        <row r="116">
          <cell r="D116">
            <v>1</v>
          </cell>
        </row>
        <row r="117">
          <cell r="C117">
            <v>1</v>
          </cell>
        </row>
        <row r="118">
          <cell r="D118">
            <v>1</v>
          </cell>
        </row>
        <row r="119">
          <cell r="C119">
            <v>1</v>
          </cell>
        </row>
        <row r="120">
          <cell r="C120">
            <v>1</v>
          </cell>
        </row>
        <row r="121">
          <cell r="F121">
            <v>1</v>
          </cell>
        </row>
        <row r="122">
          <cell r="C122">
            <v>1</v>
          </cell>
        </row>
        <row r="123">
          <cell r="C123">
            <v>1</v>
          </cell>
        </row>
        <row r="124">
          <cell r="C124">
            <v>1</v>
          </cell>
        </row>
        <row r="125">
          <cell r="C125">
            <v>1</v>
          </cell>
        </row>
        <row r="126">
          <cell r="E126">
            <v>1</v>
          </cell>
        </row>
        <row r="127">
          <cell r="D127">
            <v>1</v>
          </cell>
        </row>
        <row r="128">
          <cell r="C128">
            <v>1</v>
          </cell>
        </row>
        <row r="129">
          <cell r="E129">
            <v>1</v>
          </cell>
        </row>
        <row r="130">
          <cell r="C130">
            <v>1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C133">
            <v>1</v>
          </cell>
        </row>
        <row r="134">
          <cell r="D134">
            <v>1</v>
          </cell>
        </row>
        <row r="135">
          <cell r="C135">
            <v>1</v>
          </cell>
        </row>
        <row r="136">
          <cell r="D136">
            <v>1</v>
          </cell>
        </row>
        <row r="137">
          <cell r="D137">
            <v>1</v>
          </cell>
        </row>
        <row r="138">
          <cell r="C138">
            <v>1</v>
          </cell>
        </row>
        <row r="139">
          <cell r="C139">
            <v>1</v>
          </cell>
        </row>
        <row r="140">
          <cell r="D140">
            <v>1</v>
          </cell>
        </row>
        <row r="141">
          <cell r="C141">
            <v>1</v>
          </cell>
        </row>
        <row r="142">
          <cell r="C142">
            <v>1</v>
          </cell>
        </row>
        <row r="143">
          <cell r="C143">
            <v>1</v>
          </cell>
        </row>
        <row r="144">
          <cell r="D144">
            <v>1</v>
          </cell>
        </row>
        <row r="145">
          <cell r="D145">
            <v>1</v>
          </cell>
        </row>
        <row r="146">
          <cell r="C146">
            <v>1</v>
          </cell>
        </row>
        <row r="147">
          <cell r="D147">
            <v>1</v>
          </cell>
        </row>
        <row r="148">
          <cell r="C148">
            <v>1</v>
          </cell>
        </row>
        <row r="149">
          <cell r="C149">
            <v>1</v>
          </cell>
        </row>
        <row r="150">
          <cell r="C150">
            <v>1</v>
          </cell>
        </row>
        <row r="151">
          <cell r="C151">
            <v>1</v>
          </cell>
        </row>
        <row r="152">
          <cell r="C152">
            <v>1</v>
          </cell>
        </row>
        <row r="153">
          <cell r="C153">
            <v>1</v>
          </cell>
        </row>
        <row r="154">
          <cell r="C154">
            <v>1</v>
          </cell>
        </row>
        <row r="155">
          <cell r="C155">
            <v>1</v>
          </cell>
        </row>
        <row r="156">
          <cell r="D156">
            <v>1</v>
          </cell>
        </row>
      </sheetData>
      <sheetData sheetId="18">
        <row r="2">
          <cell r="D2">
            <v>1</v>
          </cell>
          <cell r="H2" t="str">
            <v>Chile Digno</v>
          </cell>
          <cell r="I2">
            <v>9</v>
          </cell>
          <cell r="J2">
            <v>1</v>
          </cell>
          <cell r="K2">
            <v>1</v>
          </cell>
          <cell r="L2">
            <v>0</v>
          </cell>
          <cell r="M2">
            <v>11</v>
          </cell>
        </row>
        <row r="3">
          <cell r="C3">
            <v>1</v>
          </cell>
          <cell r="H3" t="str">
            <v>Mov. Sociales Const.</v>
          </cell>
          <cell r="I3">
            <v>1</v>
          </cell>
          <cell r="J3">
            <v>11</v>
          </cell>
          <cell r="K3">
            <v>0</v>
          </cell>
          <cell r="L3">
            <v>0</v>
          </cell>
          <cell r="M3">
            <v>12</v>
          </cell>
        </row>
        <row r="4">
          <cell r="D4">
            <v>1</v>
          </cell>
          <cell r="H4" t="str">
            <v>Pueblo Constituyente</v>
          </cell>
          <cell r="I4">
            <v>10</v>
          </cell>
          <cell r="J4">
            <v>0</v>
          </cell>
          <cell r="K4">
            <v>0</v>
          </cell>
          <cell r="L4">
            <v>0</v>
          </cell>
          <cell r="M4">
            <v>10</v>
          </cell>
        </row>
        <row r="5">
          <cell r="E5">
            <v>1</v>
          </cell>
          <cell r="H5" t="str">
            <v xml:space="preserve">Escaños Reservados </v>
          </cell>
          <cell r="I5">
            <v>0</v>
          </cell>
          <cell r="J5">
            <v>1</v>
          </cell>
          <cell r="K5">
            <v>7</v>
          </cell>
          <cell r="L5">
            <v>1</v>
          </cell>
          <cell r="M5">
            <v>9</v>
          </cell>
        </row>
        <row r="6">
          <cell r="C6">
            <v>1</v>
          </cell>
          <cell r="H6" t="str">
            <v>Coord. Plurinacional</v>
          </cell>
          <cell r="I6">
            <v>15</v>
          </cell>
          <cell r="J6">
            <v>0</v>
          </cell>
          <cell r="K6">
            <v>1</v>
          </cell>
          <cell r="L6">
            <v>0</v>
          </cell>
          <cell r="M6">
            <v>16</v>
          </cell>
        </row>
        <row r="7">
          <cell r="C7">
            <v>1</v>
          </cell>
          <cell r="H7" t="str">
            <v>Ind. Por Nueva Const.</v>
          </cell>
          <cell r="I7">
            <v>5</v>
          </cell>
          <cell r="J7">
            <v>5</v>
          </cell>
          <cell r="K7">
            <v>2</v>
          </cell>
          <cell r="L7">
            <v>0</v>
          </cell>
          <cell r="M7">
            <v>12</v>
          </cell>
        </row>
        <row r="8">
          <cell r="D8">
            <v>1</v>
          </cell>
          <cell r="H8" t="str">
            <v>Colectivo Socialista</v>
          </cell>
          <cell r="I8">
            <v>3</v>
          </cell>
          <cell r="J8">
            <v>11</v>
          </cell>
          <cell r="K8">
            <v>1</v>
          </cell>
          <cell r="L8">
            <v>0</v>
          </cell>
          <cell r="M8">
            <v>15</v>
          </cell>
        </row>
        <row r="9">
          <cell r="D9">
            <v>1</v>
          </cell>
          <cell r="H9" t="str">
            <v>Frente Amplio</v>
          </cell>
          <cell r="I9">
            <v>0</v>
          </cell>
          <cell r="J9">
            <v>12</v>
          </cell>
          <cell r="K9">
            <v>12</v>
          </cell>
          <cell r="L9">
            <v>0</v>
          </cell>
          <cell r="M9">
            <v>24</v>
          </cell>
        </row>
        <row r="10">
          <cell r="C10">
            <v>1</v>
          </cell>
          <cell r="H10" t="str">
            <v>Ind. + UDI</v>
          </cell>
          <cell r="I10">
            <v>0</v>
          </cell>
          <cell r="J10">
            <v>21</v>
          </cell>
          <cell r="K10">
            <v>0</v>
          </cell>
          <cell r="L10">
            <v>0</v>
          </cell>
          <cell r="M10">
            <v>21</v>
          </cell>
        </row>
        <row r="11">
          <cell r="C11">
            <v>1</v>
          </cell>
          <cell r="H11" t="str">
            <v>Ind. RN - Evópoli</v>
          </cell>
          <cell r="I11">
            <v>0</v>
          </cell>
          <cell r="J11">
            <v>14</v>
          </cell>
          <cell r="K11">
            <v>1</v>
          </cell>
          <cell r="L11">
            <v>0</v>
          </cell>
          <cell r="M11">
            <v>15</v>
          </cell>
        </row>
        <row r="12">
          <cell r="C12">
            <v>1</v>
          </cell>
          <cell r="H12" t="str">
            <v>Colectivo del Apruebo</v>
          </cell>
          <cell r="I12">
            <v>1</v>
          </cell>
          <cell r="J12">
            <v>6</v>
          </cell>
          <cell r="K12">
            <v>0</v>
          </cell>
          <cell r="L12">
            <v>0</v>
          </cell>
          <cell r="M12">
            <v>7</v>
          </cell>
        </row>
        <row r="13">
          <cell r="D13">
            <v>1</v>
          </cell>
          <cell r="H13" t="str">
            <v>Otros</v>
          </cell>
          <cell r="I13">
            <v>4</v>
          </cell>
          <cell r="J13">
            <v>1</v>
          </cell>
          <cell r="K13">
            <v>0</v>
          </cell>
          <cell r="L13">
            <v>0</v>
          </cell>
          <cell r="M13">
            <v>5</v>
          </cell>
        </row>
        <row r="14">
          <cell r="C14">
            <v>1</v>
          </cell>
        </row>
        <row r="15">
          <cell r="C15">
            <v>1</v>
          </cell>
        </row>
        <row r="16">
          <cell r="D16">
            <v>1</v>
          </cell>
        </row>
        <row r="17">
          <cell r="D17">
            <v>1</v>
          </cell>
        </row>
        <row r="18">
          <cell r="E18">
            <v>1</v>
          </cell>
        </row>
        <row r="19">
          <cell r="D19">
            <v>1</v>
          </cell>
        </row>
        <row r="20">
          <cell r="C20">
            <v>1</v>
          </cell>
        </row>
        <row r="21">
          <cell r="D21">
            <v>1</v>
          </cell>
        </row>
        <row r="22">
          <cell r="C22">
            <v>1</v>
          </cell>
        </row>
        <row r="23">
          <cell r="E23">
            <v>1</v>
          </cell>
        </row>
        <row r="24">
          <cell r="C24">
            <v>1</v>
          </cell>
        </row>
        <row r="25">
          <cell r="D25">
            <v>1</v>
          </cell>
        </row>
        <row r="26">
          <cell r="C26">
            <v>1</v>
          </cell>
        </row>
        <row r="27">
          <cell r="C27">
            <v>1</v>
          </cell>
        </row>
        <row r="28">
          <cell r="C28">
            <v>1</v>
          </cell>
        </row>
        <row r="29">
          <cell r="D29">
            <v>1</v>
          </cell>
        </row>
        <row r="30">
          <cell r="C30">
            <v>1</v>
          </cell>
        </row>
        <row r="31">
          <cell r="D31">
            <v>1</v>
          </cell>
        </row>
        <row r="32">
          <cell r="D32">
            <v>1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1</v>
          </cell>
        </row>
        <row r="36">
          <cell r="E36">
            <v>1</v>
          </cell>
        </row>
        <row r="37">
          <cell r="C37">
            <v>1</v>
          </cell>
        </row>
        <row r="38">
          <cell r="D38">
            <v>1</v>
          </cell>
        </row>
        <row r="39">
          <cell r="D39">
            <v>1</v>
          </cell>
        </row>
        <row r="40">
          <cell r="D40">
            <v>1</v>
          </cell>
        </row>
        <row r="41">
          <cell r="C41">
            <v>1</v>
          </cell>
        </row>
        <row r="42">
          <cell r="D42">
            <v>1</v>
          </cell>
        </row>
        <row r="43">
          <cell r="D43">
            <v>1</v>
          </cell>
        </row>
        <row r="44">
          <cell r="D44">
            <v>1</v>
          </cell>
        </row>
        <row r="45">
          <cell r="D45">
            <v>1</v>
          </cell>
        </row>
        <row r="46">
          <cell r="D46">
            <v>1</v>
          </cell>
          <cell r="H46" t="str">
            <v>Chile Digno</v>
          </cell>
          <cell r="I46">
            <v>0.81818181818181823</v>
          </cell>
          <cell r="J46">
            <v>9.0909090909090912E-2</v>
          </cell>
          <cell r="K46">
            <v>9.0909090909090912E-2</v>
          </cell>
          <cell r="L46">
            <v>0</v>
          </cell>
        </row>
        <row r="47">
          <cell r="D47">
            <v>1</v>
          </cell>
          <cell r="H47" t="str">
            <v>Mov. Sociales Const.</v>
          </cell>
          <cell r="I47">
            <v>8.3333333333333329E-2</v>
          </cell>
          <cell r="J47">
            <v>0.91666666666666663</v>
          </cell>
          <cell r="K47">
            <v>0</v>
          </cell>
          <cell r="L47">
            <v>0</v>
          </cell>
        </row>
        <row r="48">
          <cell r="D48">
            <v>1</v>
          </cell>
          <cell r="H48" t="str">
            <v>Pueblo Constituyente</v>
          </cell>
          <cell r="I48">
            <v>1</v>
          </cell>
          <cell r="J48">
            <v>0</v>
          </cell>
          <cell r="K48">
            <v>0</v>
          </cell>
          <cell r="L48">
            <v>0</v>
          </cell>
        </row>
        <row r="49">
          <cell r="D49">
            <v>1</v>
          </cell>
          <cell r="H49" t="str">
            <v xml:space="preserve">Escaños Reservados </v>
          </cell>
          <cell r="I49">
            <v>0</v>
          </cell>
          <cell r="J49">
            <v>0.1111111111111111</v>
          </cell>
          <cell r="K49">
            <v>0.77777777777777779</v>
          </cell>
          <cell r="L49">
            <v>0.1111111111111111</v>
          </cell>
        </row>
        <row r="50">
          <cell r="D50">
            <v>1</v>
          </cell>
          <cell r="H50" t="str">
            <v>Coord. Plurinacional</v>
          </cell>
          <cell r="I50">
            <v>0.9375</v>
          </cell>
          <cell r="J50">
            <v>0</v>
          </cell>
          <cell r="K50">
            <v>6.25E-2</v>
          </cell>
          <cell r="L50">
            <v>0</v>
          </cell>
        </row>
        <row r="51">
          <cell r="D51">
            <v>1</v>
          </cell>
          <cell r="H51" t="str">
            <v>Ind. Por Nueva Const.</v>
          </cell>
          <cell r="I51">
            <v>0.41666666666666669</v>
          </cell>
          <cell r="J51">
            <v>0.41666666666666669</v>
          </cell>
          <cell r="K51">
            <v>0.16666666666666666</v>
          </cell>
          <cell r="L51">
            <v>0</v>
          </cell>
        </row>
        <row r="52">
          <cell r="D52">
            <v>1</v>
          </cell>
          <cell r="H52" t="str">
            <v>Colectivo Socialista</v>
          </cell>
          <cell r="I52">
            <v>0.2</v>
          </cell>
          <cell r="J52">
            <v>0.73333333333333328</v>
          </cell>
          <cell r="K52">
            <v>6.6666666666666666E-2</v>
          </cell>
          <cell r="L52">
            <v>0</v>
          </cell>
        </row>
        <row r="53">
          <cell r="D53">
            <v>1</v>
          </cell>
          <cell r="H53" t="str">
            <v>Frente Amplio</v>
          </cell>
          <cell r="I53">
            <v>0</v>
          </cell>
          <cell r="J53">
            <v>0.5</v>
          </cell>
          <cell r="K53">
            <v>0.5</v>
          </cell>
          <cell r="L53">
            <v>0</v>
          </cell>
        </row>
        <row r="54">
          <cell r="E54">
            <v>1</v>
          </cell>
          <cell r="H54" t="str">
            <v>Ind. + UDI</v>
          </cell>
          <cell r="I54">
            <v>0</v>
          </cell>
          <cell r="J54">
            <v>1</v>
          </cell>
          <cell r="K54">
            <v>0</v>
          </cell>
          <cell r="L54">
            <v>0</v>
          </cell>
        </row>
        <row r="55">
          <cell r="C55">
            <v>1</v>
          </cell>
          <cell r="H55" t="str">
            <v>Ind. RN - Evópoli</v>
          </cell>
          <cell r="I55">
            <v>0</v>
          </cell>
          <cell r="J55">
            <v>0.93333333333333335</v>
          </cell>
          <cell r="K55">
            <v>6.6666666666666666E-2</v>
          </cell>
          <cell r="L55">
            <v>0</v>
          </cell>
        </row>
        <row r="56">
          <cell r="E56">
            <v>1</v>
          </cell>
          <cell r="H56" t="str">
            <v>Colectivo del Apruebo</v>
          </cell>
          <cell r="I56">
            <v>0.14285714285714285</v>
          </cell>
          <cell r="J56">
            <v>0.8571428571428571</v>
          </cell>
          <cell r="K56">
            <v>0</v>
          </cell>
          <cell r="L56">
            <v>0</v>
          </cell>
        </row>
        <row r="57">
          <cell r="C57">
            <v>1</v>
          </cell>
          <cell r="H57" t="str">
            <v>Otros</v>
          </cell>
          <cell r="I57">
            <v>0.8</v>
          </cell>
          <cell r="J57">
            <v>0.2</v>
          </cell>
          <cell r="K57">
            <v>0</v>
          </cell>
          <cell r="L57">
            <v>0</v>
          </cell>
        </row>
        <row r="58">
          <cell r="D58">
            <v>1</v>
          </cell>
        </row>
        <row r="59">
          <cell r="C59">
            <v>1</v>
          </cell>
        </row>
        <row r="60">
          <cell r="D60">
            <v>1</v>
          </cell>
        </row>
        <row r="61">
          <cell r="E61">
            <v>1</v>
          </cell>
        </row>
        <row r="62">
          <cell r="C62">
            <v>1</v>
          </cell>
        </row>
        <row r="63">
          <cell r="F63">
            <v>1</v>
          </cell>
        </row>
        <row r="64">
          <cell r="C64">
            <v>1</v>
          </cell>
        </row>
        <row r="65">
          <cell r="C65">
            <v>1</v>
          </cell>
        </row>
        <row r="66">
          <cell r="E66">
            <v>1</v>
          </cell>
        </row>
        <row r="67">
          <cell r="D67">
            <v>1</v>
          </cell>
        </row>
        <row r="68">
          <cell r="C68">
            <v>1</v>
          </cell>
        </row>
        <row r="69">
          <cell r="D69">
            <v>1</v>
          </cell>
        </row>
        <row r="70">
          <cell r="D70">
            <v>1</v>
          </cell>
        </row>
        <row r="71">
          <cell r="D71">
            <v>1</v>
          </cell>
        </row>
        <row r="72">
          <cell r="D72">
            <v>1</v>
          </cell>
        </row>
        <row r="73">
          <cell r="D73">
            <v>1</v>
          </cell>
        </row>
        <row r="74">
          <cell r="D74">
            <v>1</v>
          </cell>
        </row>
        <row r="75">
          <cell r="D75">
            <v>1</v>
          </cell>
        </row>
        <row r="76">
          <cell r="D76">
            <v>1</v>
          </cell>
        </row>
        <row r="77">
          <cell r="D77">
            <v>1</v>
          </cell>
        </row>
        <row r="78">
          <cell r="C78">
            <v>1</v>
          </cell>
        </row>
        <row r="79">
          <cell r="D79">
            <v>1</v>
          </cell>
        </row>
        <row r="80">
          <cell r="D80">
            <v>1</v>
          </cell>
        </row>
        <row r="81">
          <cell r="D81">
            <v>1</v>
          </cell>
        </row>
        <row r="82">
          <cell r="C82">
            <v>1</v>
          </cell>
        </row>
        <row r="83">
          <cell r="C83">
            <v>1</v>
          </cell>
        </row>
        <row r="84">
          <cell r="D84">
            <v>1</v>
          </cell>
        </row>
        <row r="85">
          <cell r="E85">
            <v>1</v>
          </cell>
        </row>
        <row r="86">
          <cell r="C86">
            <v>1</v>
          </cell>
        </row>
        <row r="87">
          <cell r="E87">
            <v>1</v>
          </cell>
        </row>
        <row r="88">
          <cell r="D88">
            <v>1</v>
          </cell>
        </row>
        <row r="89">
          <cell r="C89">
            <v>1</v>
          </cell>
        </row>
        <row r="90">
          <cell r="D90">
            <v>1</v>
          </cell>
        </row>
        <row r="91">
          <cell r="D91">
            <v>1</v>
          </cell>
        </row>
        <row r="92">
          <cell r="E92">
            <v>1</v>
          </cell>
        </row>
        <row r="93">
          <cell r="D93">
            <v>1</v>
          </cell>
        </row>
        <row r="94">
          <cell r="D94">
            <v>1</v>
          </cell>
        </row>
        <row r="95">
          <cell r="E95">
            <v>1</v>
          </cell>
        </row>
        <row r="96">
          <cell r="C96">
            <v>1</v>
          </cell>
        </row>
        <row r="97">
          <cell r="D97">
            <v>1</v>
          </cell>
        </row>
        <row r="98">
          <cell r="D98">
            <v>1</v>
          </cell>
        </row>
        <row r="99">
          <cell r="D99">
            <v>1</v>
          </cell>
        </row>
        <row r="100">
          <cell r="D100">
            <v>1</v>
          </cell>
        </row>
        <row r="101">
          <cell r="D101">
            <v>1</v>
          </cell>
        </row>
        <row r="102">
          <cell r="E102">
            <v>1</v>
          </cell>
        </row>
        <row r="103">
          <cell r="D103">
            <v>1</v>
          </cell>
        </row>
        <row r="104">
          <cell r="D104">
            <v>1</v>
          </cell>
        </row>
        <row r="105">
          <cell r="C105">
            <v>1</v>
          </cell>
        </row>
        <row r="106">
          <cell r="C106">
            <v>1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</v>
          </cell>
        </row>
        <row r="110">
          <cell r="C110">
            <v>1</v>
          </cell>
        </row>
        <row r="111">
          <cell r="E111">
            <v>1</v>
          </cell>
        </row>
        <row r="112">
          <cell r="D112">
            <v>1</v>
          </cell>
        </row>
        <row r="113">
          <cell r="C113">
            <v>1</v>
          </cell>
        </row>
        <row r="114">
          <cell r="D114">
            <v>1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1</v>
          </cell>
        </row>
        <row r="118">
          <cell r="D118">
            <v>1</v>
          </cell>
        </row>
        <row r="119">
          <cell r="C119">
            <v>1</v>
          </cell>
        </row>
        <row r="120">
          <cell r="D120">
            <v>1</v>
          </cell>
        </row>
        <row r="121">
          <cell r="F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C124">
            <v>1</v>
          </cell>
        </row>
        <row r="125">
          <cell r="C125">
            <v>1</v>
          </cell>
        </row>
        <row r="126">
          <cell r="D126">
            <v>1</v>
          </cell>
        </row>
        <row r="127">
          <cell r="D127">
            <v>1</v>
          </cell>
        </row>
        <row r="128">
          <cell r="C128">
            <v>1</v>
          </cell>
        </row>
        <row r="129">
          <cell r="C129">
            <v>1</v>
          </cell>
        </row>
        <row r="130">
          <cell r="D130">
            <v>1</v>
          </cell>
        </row>
        <row r="131">
          <cell r="E131">
            <v>1</v>
          </cell>
        </row>
        <row r="132">
          <cell r="D132">
            <v>1</v>
          </cell>
        </row>
        <row r="133">
          <cell r="D133">
            <v>1</v>
          </cell>
        </row>
        <row r="134">
          <cell r="D134">
            <v>1</v>
          </cell>
        </row>
        <row r="135">
          <cell r="E135">
            <v>1</v>
          </cell>
        </row>
        <row r="136">
          <cell r="D136">
            <v>1</v>
          </cell>
        </row>
        <row r="137">
          <cell r="D137">
            <v>1</v>
          </cell>
        </row>
        <row r="138">
          <cell r="C138">
            <v>1</v>
          </cell>
        </row>
        <row r="139">
          <cell r="D139">
            <v>1</v>
          </cell>
        </row>
        <row r="140">
          <cell r="D140">
            <v>1</v>
          </cell>
        </row>
        <row r="141">
          <cell r="C141">
            <v>1</v>
          </cell>
        </row>
        <row r="142">
          <cell r="C142">
            <v>1</v>
          </cell>
        </row>
        <row r="143">
          <cell r="C143">
            <v>1</v>
          </cell>
        </row>
        <row r="144">
          <cell r="C144">
            <v>1</v>
          </cell>
        </row>
        <row r="145">
          <cell r="D145">
            <v>1</v>
          </cell>
        </row>
        <row r="146">
          <cell r="D146">
            <v>1</v>
          </cell>
        </row>
        <row r="147">
          <cell r="D147">
            <v>1</v>
          </cell>
        </row>
        <row r="148">
          <cell r="C148">
            <v>1</v>
          </cell>
        </row>
        <row r="149">
          <cell r="D149">
            <v>1</v>
          </cell>
        </row>
        <row r="150">
          <cell r="C150">
            <v>1</v>
          </cell>
        </row>
        <row r="151">
          <cell r="D151">
            <v>1</v>
          </cell>
        </row>
        <row r="152">
          <cell r="D152">
            <v>1</v>
          </cell>
        </row>
        <row r="153">
          <cell r="C153">
            <v>1</v>
          </cell>
        </row>
        <row r="154">
          <cell r="C154">
            <v>1</v>
          </cell>
        </row>
        <row r="155">
          <cell r="C155">
            <v>1</v>
          </cell>
        </row>
        <row r="156">
          <cell r="D156">
            <v>1</v>
          </cell>
        </row>
      </sheetData>
      <sheetData sheetId="19">
        <row r="2">
          <cell r="C2">
            <v>1</v>
          </cell>
          <cell r="H2" t="str">
            <v>Chile Digno</v>
          </cell>
          <cell r="I2">
            <v>11</v>
          </cell>
          <cell r="J2">
            <v>0</v>
          </cell>
          <cell r="K2">
            <v>0</v>
          </cell>
          <cell r="L2">
            <v>0</v>
          </cell>
          <cell r="M2">
            <v>11</v>
          </cell>
        </row>
        <row r="3">
          <cell r="C3">
            <v>1</v>
          </cell>
          <cell r="H3" t="str">
            <v>Mov. Sociales Const.</v>
          </cell>
          <cell r="I3">
            <v>12</v>
          </cell>
          <cell r="J3">
            <v>0</v>
          </cell>
          <cell r="K3">
            <v>0</v>
          </cell>
          <cell r="L3">
            <v>0</v>
          </cell>
          <cell r="M3">
            <v>12</v>
          </cell>
        </row>
        <row r="4">
          <cell r="C4">
            <v>1</v>
          </cell>
          <cell r="H4" t="str">
            <v>Pueblo Constituyente</v>
          </cell>
          <cell r="I4">
            <v>10</v>
          </cell>
          <cell r="J4">
            <v>0</v>
          </cell>
          <cell r="K4">
            <v>0</v>
          </cell>
          <cell r="L4">
            <v>0</v>
          </cell>
          <cell r="M4">
            <v>10</v>
          </cell>
        </row>
        <row r="5">
          <cell r="C5">
            <v>1</v>
          </cell>
          <cell r="H5" t="str">
            <v xml:space="preserve">Escaños Reservados </v>
          </cell>
          <cell r="I5">
            <v>7</v>
          </cell>
          <cell r="J5">
            <v>0</v>
          </cell>
          <cell r="K5">
            <v>0</v>
          </cell>
          <cell r="L5">
            <v>2</v>
          </cell>
          <cell r="M5">
            <v>9</v>
          </cell>
        </row>
        <row r="6">
          <cell r="C6">
            <v>1</v>
          </cell>
          <cell r="H6" t="str">
            <v>Coord. Plurinacional</v>
          </cell>
          <cell r="I6">
            <v>16</v>
          </cell>
          <cell r="J6">
            <v>0</v>
          </cell>
          <cell r="K6">
            <v>0</v>
          </cell>
          <cell r="L6">
            <v>0</v>
          </cell>
          <cell r="M6">
            <v>16</v>
          </cell>
        </row>
        <row r="7">
          <cell r="C7">
            <v>1</v>
          </cell>
          <cell r="H7" t="str">
            <v>Ind. Por Nueva Const.</v>
          </cell>
          <cell r="I7">
            <v>7</v>
          </cell>
          <cell r="J7">
            <v>4</v>
          </cell>
          <cell r="K7">
            <v>1</v>
          </cell>
          <cell r="L7">
            <v>0</v>
          </cell>
          <cell r="M7">
            <v>12</v>
          </cell>
        </row>
        <row r="8">
          <cell r="D8">
            <v>1</v>
          </cell>
          <cell r="H8" t="str">
            <v>Colectivo Socialista</v>
          </cell>
          <cell r="I8">
            <v>8</v>
          </cell>
          <cell r="J8">
            <v>4</v>
          </cell>
          <cell r="K8">
            <v>3</v>
          </cell>
          <cell r="L8">
            <v>0</v>
          </cell>
          <cell r="M8">
            <v>15</v>
          </cell>
        </row>
        <row r="9">
          <cell r="C9">
            <v>1</v>
          </cell>
          <cell r="H9" t="str">
            <v>Frente Amplio</v>
          </cell>
          <cell r="I9">
            <v>12</v>
          </cell>
          <cell r="J9">
            <v>1</v>
          </cell>
          <cell r="K9">
            <v>1</v>
          </cell>
          <cell r="L9">
            <v>0</v>
          </cell>
          <cell r="M9">
            <v>14</v>
          </cell>
        </row>
        <row r="10">
          <cell r="E10">
            <v>1</v>
          </cell>
          <cell r="H10" t="str">
            <v>Ind. + UDI</v>
          </cell>
          <cell r="I10">
            <v>0</v>
          </cell>
          <cell r="J10">
            <v>21</v>
          </cell>
          <cell r="K10">
            <v>0</v>
          </cell>
          <cell r="L10">
            <v>0</v>
          </cell>
          <cell r="M10">
            <v>21</v>
          </cell>
        </row>
        <row r="11">
          <cell r="C11">
            <v>1</v>
          </cell>
          <cell r="H11" t="str">
            <v>Ind. RN - Evópoli</v>
          </cell>
          <cell r="I11">
            <v>0</v>
          </cell>
          <cell r="J11">
            <v>11</v>
          </cell>
          <cell r="K11">
            <v>2</v>
          </cell>
          <cell r="L11">
            <v>2</v>
          </cell>
          <cell r="M11">
            <v>15</v>
          </cell>
        </row>
        <row r="12">
          <cell r="C12">
            <v>1</v>
          </cell>
          <cell r="H12" t="str">
            <v>Colectivo del Apruebo</v>
          </cell>
          <cell r="I12">
            <v>4</v>
          </cell>
          <cell r="J12">
            <v>3</v>
          </cell>
          <cell r="K12">
            <v>0</v>
          </cell>
          <cell r="L12">
            <v>0</v>
          </cell>
          <cell r="M12">
            <v>7</v>
          </cell>
        </row>
        <row r="13">
          <cell r="D13">
            <v>1</v>
          </cell>
          <cell r="H13" t="str">
            <v>Otros</v>
          </cell>
          <cell r="I13">
            <v>4</v>
          </cell>
          <cell r="J13">
            <v>0</v>
          </cell>
          <cell r="K13">
            <v>1</v>
          </cell>
          <cell r="L13">
            <v>0</v>
          </cell>
          <cell r="M13">
            <v>5</v>
          </cell>
        </row>
        <row r="14">
          <cell r="C14">
            <v>1</v>
          </cell>
        </row>
        <row r="15">
          <cell r="C15">
            <v>1</v>
          </cell>
        </row>
        <row r="16">
          <cell r="D16">
            <v>1</v>
          </cell>
        </row>
        <row r="17">
          <cell r="D17">
            <v>1</v>
          </cell>
        </row>
        <row r="18">
          <cell r="C18">
            <v>1</v>
          </cell>
        </row>
        <row r="19">
          <cell r="C19">
            <v>1</v>
          </cell>
        </row>
        <row r="20">
          <cell r="C20">
            <v>1</v>
          </cell>
        </row>
        <row r="21">
          <cell r="C21">
            <v>1</v>
          </cell>
        </row>
        <row r="22">
          <cell r="C22">
            <v>1</v>
          </cell>
        </row>
        <row r="23">
          <cell r="C23">
            <v>1</v>
          </cell>
        </row>
        <row r="24">
          <cell r="C24">
            <v>1</v>
          </cell>
        </row>
        <row r="25">
          <cell r="D25">
            <v>1</v>
          </cell>
        </row>
        <row r="26">
          <cell r="C26">
            <v>1</v>
          </cell>
        </row>
        <row r="27">
          <cell r="C27">
            <v>1</v>
          </cell>
        </row>
        <row r="28">
          <cell r="C28">
            <v>1</v>
          </cell>
        </row>
        <row r="29">
          <cell r="C29">
            <v>1</v>
          </cell>
        </row>
        <row r="30">
          <cell r="D30">
            <v>1</v>
          </cell>
        </row>
        <row r="31">
          <cell r="D31">
            <v>1</v>
          </cell>
        </row>
        <row r="32">
          <cell r="C32">
            <v>1</v>
          </cell>
        </row>
        <row r="33">
          <cell r="C33">
            <v>1</v>
          </cell>
        </row>
        <row r="34">
          <cell r="D34">
            <v>1</v>
          </cell>
        </row>
        <row r="35">
          <cell r="D35">
            <v>1</v>
          </cell>
        </row>
        <row r="36">
          <cell r="C36">
            <v>1</v>
          </cell>
        </row>
        <row r="37">
          <cell r="C37">
            <v>1</v>
          </cell>
        </row>
        <row r="38">
          <cell r="D38">
            <v>1</v>
          </cell>
        </row>
        <row r="39">
          <cell r="D39">
            <v>1</v>
          </cell>
        </row>
        <row r="40">
          <cell r="C40">
            <v>1</v>
          </cell>
        </row>
        <row r="41">
          <cell r="C41">
            <v>1</v>
          </cell>
        </row>
        <row r="42">
          <cell r="D42">
            <v>1</v>
          </cell>
        </row>
        <row r="43">
          <cell r="D43">
            <v>1</v>
          </cell>
        </row>
        <row r="44">
          <cell r="D44">
            <v>1</v>
          </cell>
        </row>
        <row r="45">
          <cell r="D45">
            <v>1</v>
          </cell>
        </row>
        <row r="46">
          <cell r="C46">
            <v>1</v>
          </cell>
          <cell r="H46" t="str">
            <v>Chile Digno</v>
          </cell>
          <cell r="I46">
            <v>1</v>
          </cell>
          <cell r="J46">
            <v>0</v>
          </cell>
          <cell r="K46">
            <v>0</v>
          </cell>
          <cell r="L46">
            <v>0</v>
          </cell>
        </row>
        <row r="47">
          <cell r="D47">
            <v>1</v>
          </cell>
          <cell r="H47" t="str">
            <v>Mov. Sociales Const.</v>
          </cell>
          <cell r="I47">
            <v>1</v>
          </cell>
          <cell r="J47">
            <v>0</v>
          </cell>
          <cell r="K47">
            <v>0</v>
          </cell>
          <cell r="L47">
            <v>0</v>
          </cell>
        </row>
        <row r="48">
          <cell r="C48">
            <v>1</v>
          </cell>
          <cell r="H48" t="str">
            <v>Pueblo Constituyente</v>
          </cell>
          <cell r="I48">
            <v>1</v>
          </cell>
          <cell r="J48">
            <v>0</v>
          </cell>
          <cell r="K48">
            <v>0</v>
          </cell>
          <cell r="L48">
            <v>0</v>
          </cell>
        </row>
        <row r="49">
          <cell r="D49">
            <v>1</v>
          </cell>
          <cell r="H49" t="str">
            <v xml:space="preserve">Escaños Reservados </v>
          </cell>
          <cell r="I49">
            <v>0.77777777777777779</v>
          </cell>
          <cell r="J49">
            <v>0</v>
          </cell>
          <cell r="K49">
            <v>0</v>
          </cell>
          <cell r="L49">
            <v>0.22222222222222221</v>
          </cell>
        </row>
        <row r="50">
          <cell r="C50">
            <v>1</v>
          </cell>
          <cell r="H50" t="str">
            <v>Coord. Plurinacional</v>
          </cell>
          <cell r="I50">
            <v>1</v>
          </cell>
          <cell r="J50">
            <v>0</v>
          </cell>
          <cell r="K50">
            <v>0</v>
          </cell>
          <cell r="L50">
            <v>0</v>
          </cell>
        </row>
        <row r="51">
          <cell r="D51">
            <v>1</v>
          </cell>
          <cell r="H51" t="str">
            <v>Ind. Por Nueva Const.</v>
          </cell>
          <cell r="I51">
            <v>0.58333333333333337</v>
          </cell>
          <cell r="J51">
            <v>0.33333333333333331</v>
          </cell>
          <cell r="K51">
            <v>8.3333333333333329E-2</v>
          </cell>
          <cell r="L51">
            <v>0</v>
          </cell>
        </row>
        <row r="52">
          <cell r="C52">
            <v>1</v>
          </cell>
          <cell r="H52" t="str">
            <v>Colectivo Socialista</v>
          </cell>
          <cell r="I52">
            <v>0.53333333333333333</v>
          </cell>
          <cell r="J52">
            <v>0.26666666666666666</v>
          </cell>
          <cell r="K52">
            <v>0.2</v>
          </cell>
          <cell r="L52">
            <v>0</v>
          </cell>
        </row>
        <row r="53">
          <cell r="F53">
            <v>1</v>
          </cell>
          <cell r="H53" t="str">
            <v>Frente Amplio</v>
          </cell>
          <cell r="I53">
            <v>0.8571428571428571</v>
          </cell>
          <cell r="J53">
            <v>7.1428571428571425E-2</v>
          </cell>
          <cell r="K53">
            <v>7.1428571428571425E-2</v>
          </cell>
          <cell r="L53">
            <v>0</v>
          </cell>
        </row>
        <row r="54">
          <cell r="D54">
            <v>1</v>
          </cell>
          <cell r="H54" t="str">
            <v>Ind. + UDI</v>
          </cell>
          <cell r="I54">
            <v>0</v>
          </cell>
          <cell r="J54">
            <v>1</v>
          </cell>
          <cell r="K54">
            <v>0</v>
          </cell>
          <cell r="L54">
            <v>0</v>
          </cell>
        </row>
        <row r="55">
          <cell r="C55">
            <v>1</v>
          </cell>
          <cell r="H55" t="str">
            <v>Ind. RN - Evópoli</v>
          </cell>
          <cell r="I55">
            <v>0</v>
          </cell>
          <cell r="J55">
            <v>0.73333333333333328</v>
          </cell>
          <cell r="K55">
            <v>0.13333333333333333</v>
          </cell>
          <cell r="L55">
            <v>0.13333333333333333</v>
          </cell>
        </row>
        <row r="56">
          <cell r="C56">
            <v>1</v>
          </cell>
          <cell r="H56" t="str">
            <v>Colectivo del Apruebo</v>
          </cell>
          <cell r="I56">
            <v>0.5714285714285714</v>
          </cell>
          <cell r="J56">
            <v>0.42857142857142855</v>
          </cell>
          <cell r="K56">
            <v>0</v>
          </cell>
          <cell r="L56">
            <v>0</v>
          </cell>
        </row>
        <row r="57">
          <cell r="C57">
            <v>1</v>
          </cell>
          <cell r="H57" t="str">
            <v>Otros</v>
          </cell>
          <cell r="I57">
            <v>0.8</v>
          </cell>
          <cell r="J57">
            <v>0</v>
          </cell>
          <cell r="K57">
            <v>0.2</v>
          </cell>
          <cell r="L57">
            <v>0</v>
          </cell>
        </row>
        <row r="58">
          <cell r="C58">
            <v>1</v>
          </cell>
        </row>
        <row r="59">
          <cell r="C59">
            <v>1</v>
          </cell>
        </row>
        <row r="60">
          <cell r="C60">
            <v>1</v>
          </cell>
        </row>
        <row r="61">
          <cell r="C61">
            <v>1</v>
          </cell>
        </row>
        <row r="62">
          <cell r="C62">
            <v>1</v>
          </cell>
        </row>
        <row r="63">
          <cell r="F63">
            <v>1</v>
          </cell>
        </row>
        <row r="64">
          <cell r="C64">
            <v>1</v>
          </cell>
        </row>
        <row r="65">
          <cell r="C65">
            <v>1</v>
          </cell>
        </row>
        <row r="66">
          <cell r="C66">
            <v>1</v>
          </cell>
        </row>
        <row r="67">
          <cell r="D67">
            <v>1</v>
          </cell>
        </row>
        <row r="68">
          <cell r="C68">
            <v>1</v>
          </cell>
        </row>
        <row r="69">
          <cell r="C69">
            <v>1</v>
          </cell>
        </row>
        <row r="70">
          <cell r="D70">
            <v>1</v>
          </cell>
        </row>
        <row r="71">
          <cell r="D71">
            <v>1</v>
          </cell>
        </row>
        <row r="72">
          <cell r="D72">
            <v>1</v>
          </cell>
        </row>
        <row r="73">
          <cell r="F73">
            <v>1</v>
          </cell>
        </row>
        <row r="74">
          <cell r="D74">
            <v>1</v>
          </cell>
        </row>
        <row r="75">
          <cell r="D75">
            <v>1</v>
          </cell>
        </row>
        <row r="76">
          <cell r="C76">
            <v>1</v>
          </cell>
        </row>
        <row r="77">
          <cell r="D77">
            <v>1</v>
          </cell>
        </row>
        <row r="78">
          <cell r="C78">
            <v>1</v>
          </cell>
        </row>
        <row r="79">
          <cell r="C79">
            <v>1</v>
          </cell>
        </row>
        <row r="80">
          <cell r="D80">
            <v>1</v>
          </cell>
        </row>
        <row r="81">
          <cell r="D81">
            <v>1</v>
          </cell>
        </row>
        <row r="82">
          <cell r="C82">
            <v>1</v>
          </cell>
        </row>
        <row r="83">
          <cell r="C83">
            <v>1</v>
          </cell>
        </row>
        <row r="84">
          <cell r="C84">
            <v>1</v>
          </cell>
        </row>
        <row r="85">
          <cell r="C85">
            <v>1</v>
          </cell>
        </row>
        <row r="86">
          <cell r="C86">
            <v>1</v>
          </cell>
        </row>
        <row r="87">
          <cell r="C87">
            <v>1</v>
          </cell>
        </row>
        <row r="88">
          <cell r="D88">
            <v>1</v>
          </cell>
        </row>
        <row r="89">
          <cell r="C89">
            <v>1</v>
          </cell>
        </row>
        <row r="90">
          <cell r="E90">
            <v>1</v>
          </cell>
        </row>
        <row r="91">
          <cell r="D91">
            <v>1</v>
          </cell>
        </row>
        <row r="92">
          <cell r="C92">
            <v>1</v>
          </cell>
        </row>
        <row r="93">
          <cell r="D93">
            <v>1</v>
          </cell>
        </row>
        <row r="94">
          <cell r="C94">
            <v>1</v>
          </cell>
        </row>
        <row r="95">
          <cell r="C95">
            <v>1</v>
          </cell>
        </row>
        <row r="96">
          <cell r="C96">
            <v>1</v>
          </cell>
        </row>
        <row r="97">
          <cell r="E97">
            <v>1</v>
          </cell>
        </row>
        <row r="98">
          <cell r="D98">
            <v>1</v>
          </cell>
        </row>
        <row r="99">
          <cell r="E99">
            <v>1</v>
          </cell>
        </row>
        <row r="100">
          <cell r="D100">
            <v>1</v>
          </cell>
        </row>
        <row r="101">
          <cell r="E101">
            <v>1</v>
          </cell>
        </row>
        <row r="102">
          <cell r="C102">
            <v>1</v>
          </cell>
        </row>
        <row r="103">
          <cell r="D103">
            <v>1</v>
          </cell>
        </row>
        <row r="104">
          <cell r="D104">
            <v>1</v>
          </cell>
        </row>
        <row r="105">
          <cell r="C105">
            <v>1</v>
          </cell>
        </row>
        <row r="106">
          <cell r="C106">
            <v>1</v>
          </cell>
        </row>
        <row r="107">
          <cell r="C107">
            <v>1</v>
          </cell>
        </row>
        <row r="108">
          <cell r="F108">
            <v>1</v>
          </cell>
        </row>
        <row r="109">
          <cell r="D109">
            <v>1</v>
          </cell>
        </row>
        <row r="110">
          <cell r="C110">
            <v>1</v>
          </cell>
        </row>
        <row r="111">
          <cell r="C111">
            <v>1</v>
          </cell>
        </row>
        <row r="112">
          <cell r="D112">
            <v>1</v>
          </cell>
        </row>
        <row r="113">
          <cell r="C113">
            <v>1</v>
          </cell>
        </row>
        <row r="114">
          <cell r="D114">
            <v>1</v>
          </cell>
        </row>
        <row r="115">
          <cell r="C115">
            <v>1</v>
          </cell>
        </row>
        <row r="116">
          <cell r="D116">
            <v>1</v>
          </cell>
        </row>
        <row r="117">
          <cell r="C117">
            <v>1</v>
          </cell>
        </row>
        <row r="118">
          <cell r="D118">
            <v>1</v>
          </cell>
        </row>
        <row r="119">
          <cell r="C119">
            <v>1</v>
          </cell>
        </row>
        <row r="120">
          <cell r="C120">
            <v>1</v>
          </cell>
        </row>
        <row r="121">
          <cell r="F121">
            <v>1</v>
          </cell>
        </row>
        <row r="122">
          <cell r="C122">
            <v>1</v>
          </cell>
        </row>
        <row r="123">
          <cell r="C123">
            <v>1</v>
          </cell>
        </row>
        <row r="124">
          <cell r="C124">
            <v>1</v>
          </cell>
        </row>
        <row r="125">
          <cell r="C125">
            <v>1</v>
          </cell>
        </row>
        <row r="126">
          <cell r="C126">
            <v>1</v>
          </cell>
        </row>
        <row r="127">
          <cell r="C127">
            <v>1</v>
          </cell>
        </row>
        <row r="128">
          <cell r="C128">
            <v>1</v>
          </cell>
        </row>
        <row r="129">
          <cell r="C129">
            <v>1</v>
          </cell>
        </row>
        <row r="130">
          <cell r="C130">
            <v>1</v>
          </cell>
        </row>
        <row r="131">
          <cell r="E131">
            <v>1</v>
          </cell>
        </row>
        <row r="132">
          <cell r="D132">
            <v>1</v>
          </cell>
        </row>
        <row r="133">
          <cell r="C133">
            <v>1</v>
          </cell>
        </row>
        <row r="134">
          <cell r="D134">
            <v>1</v>
          </cell>
        </row>
        <row r="135">
          <cell r="C135">
            <v>1</v>
          </cell>
        </row>
        <row r="136">
          <cell r="D136">
            <v>1</v>
          </cell>
        </row>
        <row r="137">
          <cell r="D137">
            <v>1</v>
          </cell>
        </row>
        <row r="138">
          <cell r="C138">
            <v>1</v>
          </cell>
        </row>
        <row r="139">
          <cell r="C139">
            <v>1</v>
          </cell>
        </row>
        <row r="140">
          <cell r="E140">
            <v>1</v>
          </cell>
        </row>
        <row r="141">
          <cell r="C141">
            <v>1</v>
          </cell>
        </row>
        <row r="142">
          <cell r="C142">
            <v>1</v>
          </cell>
        </row>
        <row r="143">
          <cell r="C143">
            <v>1</v>
          </cell>
        </row>
        <row r="144">
          <cell r="C144">
            <v>1</v>
          </cell>
        </row>
        <row r="145">
          <cell r="D145">
            <v>1</v>
          </cell>
        </row>
        <row r="146">
          <cell r="C146">
            <v>1</v>
          </cell>
        </row>
        <row r="147">
          <cell r="D147">
            <v>1</v>
          </cell>
        </row>
        <row r="148">
          <cell r="C148">
            <v>1</v>
          </cell>
        </row>
        <row r="149">
          <cell r="C149">
            <v>1</v>
          </cell>
        </row>
        <row r="150">
          <cell r="C150">
            <v>1</v>
          </cell>
        </row>
        <row r="151">
          <cell r="C151">
            <v>1</v>
          </cell>
        </row>
        <row r="152">
          <cell r="C152">
            <v>1</v>
          </cell>
        </row>
        <row r="153">
          <cell r="C153">
            <v>1</v>
          </cell>
        </row>
        <row r="154">
          <cell r="C154">
            <v>1</v>
          </cell>
        </row>
        <row r="155">
          <cell r="C155">
            <v>1</v>
          </cell>
        </row>
        <row r="156">
          <cell r="D156">
            <v>1</v>
          </cell>
        </row>
      </sheetData>
      <sheetData sheetId="20">
        <row r="2">
          <cell r="C2">
            <v>1</v>
          </cell>
          <cell r="H2" t="str">
            <v>Chile Digno</v>
          </cell>
          <cell r="I2">
            <v>11</v>
          </cell>
          <cell r="J2">
            <v>0</v>
          </cell>
          <cell r="K2">
            <v>0</v>
          </cell>
          <cell r="L2">
            <v>0</v>
          </cell>
          <cell r="M2">
            <v>11</v>
          </cell>
        </row>
        <row r="3">
          <cell r="C3">
            <v>1</v>
          </cell>
          <cell r="H3" t="str">
            <v>Mov. Sociales Const.</v>
          </cell>
          <cell r="I3">
            <v>12</v>
          </cell>
          <cell r="J3">
            <v>0</v>
          </cell>
          <cell r="K3">
            <v>0</v>
          </cell>
          <cell r="L3">
            <v>0</v>
          </cell>
          <cell r="M3">
            <v>12</v>
          </cell>
        </row>
        <row r="4">
          <cell r="C4">
            <v>1</v>
          </cell>
          <cell r="H4" t="str">
            <v>Pueblo Constituyente</v>
          </cell>
          <cell r="I4">
            <v>10</v>
          </cell>
          <cell r="J4">
            <v>0</v>
          </cell>
          <cell r="K4">
            <v>0</v>
          </cell>
          <cell r="L4">
            <v>0</v>
          </cell>
          <cell r="M4">
            <v>10</v>
          </cell>
        </row>
        <row r="5">
          <cell r="C5">
            <v>1</v>
          </cell>
          <cell r="H5" t="str">
            <v xml:space="preserve">Escaños Reservados </v>
          </cell>
          <cell r="I5">
            <v>8</v>
          </cell>
          <cell r="J5">
            <v>0</v>
          </cell>
          <cell r="K5">
            <v>0</v>
          </cell>
          <cell r="L5">
            <v>1</v>
          </cell>
          <cell r="M5">
            <v>9</v>
          </cell>
        </row>
        <row r="6">
          <cell r="C6">
            <v>1</v>
          </cell>
          <cell r="H6" t="str">
            <v>Coord. Plurinacional</v>
          </cell>
          <cell r="I6">
            <v>16</v>
          </cell>
          <cell r="J6">
            <v>0</v>
          </cell>
          <cell r="K6">
            <v>0</v>
          </cell>
          <cell r="L6">
            <v>0</v>
          </cell>
          <cell r="M6">
            <v>16</v>
          </cell>
        </row>
        <row r="7">
          <cell r="C7">
            <v>1</v>
          </cell>
          <cell r="H7" t="str">
            <v>Ind. Por Nueva Const.</v>
          </cell>
          <cell r="I7">
            <v>6</v>
          </cell>
          <cell r="J7">
            <v>3</v>
          </cell>
          <cell r="K7">
            <v>3</v>
          </cell>
          <cell r="L7">
            <v>0</v>
          </cell>
          <cell r="M7">
            <v>12</v>
          </cell>
        </row>
        <row r="8">
          <cell r="E8">
            <v>1</v>
          </cell>
          <cell r="H8" t="str">
            <v>Colectivo Socialista</v>
          </cell>
          <cell r="I8">
            <v>6</v>
          </cell>
          <cell r="J8">
            <v>8</v>
          </cell>
          <cell r="K8">
            <v>1</v>
          </cell>
          <cell r="L8">
            <v>0</v>
          </cell>
          <cell r="M8">
            <v>15</v>
          </cell>
        </row>
        <row r="9">
          <cell r="C9">
            <v>1</v>
          </cell>
          <cell r="H9" t="str">
            <v>Frente Amplio</v>
          </cell>
          <cell r="I9">
            <v>9</v>
          </cell>
          <cell r="J9">
            <v>2</v>
          </cell>
          <cell r="K9">
            <v>2</v>
          </cell>
          <cell r="L9">
            <v>0</v>
          </cell>
          <cell r="M9">
            <v>13</v>
          </cell>
        </row>
        <row r="10">
          <cell r="C10">
            <v>1</v>
          </cell>
          <cell r="H10" t="str">
            <v>Ind. + UDI</v>
          </cell>
          <cell r="I10">
            <v>0</v>
          </cell>
          <cell r="J10">
            <v>7</v>
          </cell>
          <cell r="K10">
            <v>14</v>
          </cell>
          <cell r="L10">
            <v>0</v>
          </cell>
          <cell r="M10">
            <v>21</v>
          </cell>
        </row>
        <row r="11">
          <cell r="C11">
            <v>1</v>
          </cell>
          <cell r="H11" t="str">
            <v>Ind. RN - Evópoli</v>
          </cell>
          <cell r="I11">
            <v>3</v>
          </cell>
          <cell r="J11">
            <v>1</v>
          </cell>
          <cell r="K11">
            <v>11</v>
          </cell>
          <cell r="L11">
            <v>0</v>
          </cell>
          <cell r="M11">
            <v>15</v>
          </cell>
        </row>
        <row r="12">
          <cell r="C12">
            <v>1</v>
          </cell>
          <cell r="H12" t="str">
            <v>Colectivo del Apruebo</v>
          </cell>
          <cell r="I12">
            <v>1</v>
          </cell>
          <cell r="J12">
            <v>4</v>
          </cell>
          <cell r="K12">
            <v>2</v>
          </cell>
          <cell r="L12">
            <v>0</v>
          </cell>
          <cell r="M12">
            <v>7</v>
          </cell>
        </row>
        <row r="13">
          <cell r="E13">
            <v>1</v>
          </cell>
          <cell r="H13" t="str">
            <v>Otros</v>
          </cell>
          <cell r="I13">
            <v>5</v>
          </cell>
          <cell r="J13">
            <v>0</v>
          </cell>
          <cell r="K13">
            <v>0</v>
          </cell>
          <cell r="L13">
            <v>0</v>
          </cell>
          <cell r="M13">
            <v>5</v>
          </cell>
        </row>
        <row r="14">
          <cell r="C14">
            <v>1</v>
          </cell>
        </row>
        <row r="15">
          <cell r="C15">
            <v>1</v>
          </cell>
        </row>
        <row r="16">
          <cell r="D16">
            <v>1</v>
          </cell>
        </row>
        <row r="17">
          <cell r="D17">
            <v>1</v>
          </cell>
        </row>
        <row r="18">
          <cell r="C18">
            <v>1</v>
          </cell>
        </row>
        <row r="19">
          <cell r="C19">
            <v>1</v>
          </cell>
        </row>
        <row r="20">
          <cell r="D20">
            <v>1</v>
          </cell>
        </row>
        <row r="21">
          <cell r="D21">
            <v>1</v>
          </cell>
        </row>
        <row r="22">
          <cell r="C22">
            <v>1</v>
          </cell>
        </row>
        <row r="23">
          <cell r="E23">
            <v>1</v>
          </cell>
        </row>
        <row r="24">
          <cell r="E24">
            <v>1</v>
          </cell>
        </row>
        <row r="25">
          <cell r="E25">
            <v>1</v>
          </cell>
        </row>
        <row r="26">
          <cell r="C26">
            <v>1</v>
          </cell>
        </row>
        <row r="27">
          <cell r="C27">
            <v>1</v>
          </cell>
        </row>
        <row r="28">
          <cell r="C28">
            <v>1</v>
          </cell>
        </row>
        <row r="29">
          <cell r="D29">
            <v>1</v>
          </cell>
        </row>
        <row r="30">
          <cell r="C30">
            <v>1</v>
          </cell>
        </row>
        <row r="31">
          <cell r="D31">
            <v>1</v>
          </cell>
        </row>
        <row r="32">
          <cell r="C32">
            <v>1</v>
          </cell>
        </row>
        <row r="33">
          <cell r="D33">
            <v>1</v>
          </cell>
        </row>
        <row r="34">
          <cell r="D34">
            <v>1</v>
          </cell>
        </row>
        <row r="35">
          <cell r="E35">
            <v>1</v>
          </cell>
        </row>
        <row r="36">
          <cell r="C36">
            <v>1</v>
          </cell>
        </row>
        <row r="37">
          <cell r="C37">
            <v>1</v>
          </cell>
        </row>
        <row r="38">
          <cell r="E38">
            <v>1</v>
          </cell>
        </row>
        <row r="39">
          <cell r="C39">
            <v>1</v>
          </cell>
        </row>
        <row r="40">
          <cell r="C40">
            <v>1</v>
          </cell>
        </row>
        <row r="41">
          <cell r="C41">
            <v>1</v>
          </cell>
        </row>
        <row r="42">
          <cell r="E42">
            <v>1</v>
          </cell>
        </row>
        <row r="43">
          <cell r="D43">
            <v>1</v>
          </cell>
        </row>
        <row r="44">
          <cell r="D44">
            <v>1</v>
          </cell>
        </row>
        <row r="45">
          <cell r="E45">
            <v>1</v>
          </cell>
        </row>
        <row r="46">
          <cell r="E46">
            <v>1</v>
          </cell>
          <cell r="H46" t="str">
            <v>Chile Digno</v>
          </cell>
          <cell r="I46">
            <v>1</v>
          </cell>
          <cell r="J46">
            <v>0</v>
          </cell>
          <cell r="K46">
            <v>0</v>
          </cell>
          <cell r="L46">
            <v>0</v>
          </cell>
        </row>
        <row r="47">
          <cell r="C47">
            <v>1</v>
          </cell>
          <cell r="H47" t="str">
            <v>Mov. Sociales Const.</v>
          </cell>
          <cell r="I47">
            <v>1</v>
          </cell>
          <cell r="J47">
            <v>0</v>
          </cell>
          <cell r="K47">
            <v>0</v>
          </cell>
          <cell r="L47">
            <v>0</v>
          </cell>
        </row>
        <row r="48">
          <cell r="E48">
            <v>1</v>
          </cell>
          <cell r="H48" t="str">
            <v>Pueblo Constituyente</v>
          </cell>
          <cell r="I48">
            <v>1</v>
          </cell>
          <cell r="J48">
            <v>0</v>
          </cell>
          <cell r="K48">
            <v>0</v>
          </cell>
          <cell r="L48">
            <v>0</v>
          </cell>
        </row>
        <row r="49">
          <cell r="C49">
            <v>1</v>
          </cell>
          <cell r="H49" t="str">
            <v xml:space="preserve">Escaños Reservados </v>
          </cell>
          <cell r="I49">
            <v>0.88888888888888884</v>
          </cell>
          <cell r="J49">
            <v>0</v>
          </cell>
          <cell r="K49">
            <v>0</v>
          </cell>
          <cell r="L49">
            <v>0.1111111111111111</v>
          </cell>
        </row>
        <row r="50">
          <cell r="C50">
            <v>1</v>
          </cell>
          <cell r="H50" t="str">
            <v>Coord. Plurinacional</v>
          </cell>
          <cell r="I50">
            <v>1</v>
          </cell>
          <cell r="J50">
            <v>0</v>
          </cell>
          <cell r="K50">
            <v>0</v>
          </cell>
          <cell r="L50">
            <v>0</v>
          </cell>
        </row>
        <row r="51">
          <cell r="D51">
            <v>1</v>
          </cell>
          <cell r="H51" t="str">
            <v>Ind. Por Nueva Const.</v>
          </cell>
          <cell r="I51">
            <v>0.5</v>
          </cell>
          <cell r="J51">
            <v>0.25</v>
          </cell>
          <cell r="K51">
            <v>0.25</v>
          </cell>
          <cell r="L51">
            <v>0</v>
          </cell>
        </row>
        <row r="52">
          <cell r="C52">
            <v>1</v>
          </cell>
          <cell r="H52" t="str">
            <v>Colectivo Socialista</v>
          </cell>
          <cell r="I52">
            <v>0.4</v>
          </cell>
          <cell r="J52">
            <v>0.53333333333333333</v>
          </cell>
          <cell r="K52">
            <v>6.6666666666666666E-2</v>
          </cell>
          <cell r="L52">
            <v>0</v>
          </cell>
        </row>
        <row r="53">
          <cell r="E53">
            <v>1</v>
          </cell>
          <cell r="H53" t="str">
            <v>Frente Amplio</v>
          </cell>
          <cell r="I53">
            <v>0.69230769230769229</v>
          </cell>
          <cell r="J53">
            <v>0.15384615384615385</v>
          </cell>
          <cell r="K53">
            <v>0.15384615384615385</v>
          </cell>
          <cell r="L53">
            <v>0</v>
          </cell>
        </row>
        <row r="54">
          <cell r="E54">
            <v>1</v>
          </cell>
          <cell r="H54" t="str">
            <v>Ind. + UDI</v>
          </cell>
          <cell r="I54">
            <v>0</v>
          </cell>
          <cell r="J54">
            <v>0.33333333333333331</v>
          </cell>
          <cell r="K54">
            <v>0.66666666666666663</v>
          </cell>
          <cell r="L54">
            <v>0</v>
          </cell>
        </row>
        <row r="55">
          <cell r="C55">
            <v>1</v>
          </cell>
          <cell r="H55" t="str">
            <v>Ind. RN - Evópoli</v>
          </cell>
          <cell r="I55">
            <v>0.2</v>
          </cell>
          <cell r="J55">
            <v>6.6666666666666666E-2</v>
          </cell>
          <cell r="K55">
            <v>0.73333333333333328</v>
          </cell>
          <cell r="L55">
            <v>0</v>
          </cell>
        </row>
        <row r="56">
          <cell r="C56">
            <v>1</v>
          </cell>
          <cell r="H56" t="str">
            <v>Colectivo del Apruebo</v>
          </cell>
          <cell r="I56">
            <v>0.14285714285714285</v>
          </cell>
          <cell r="J56">
            <v>0.5714285714285714</v>
          </cell>
          <cell r="K56">
            <v>0.2857142857142857</v>
          </cell>
          <cell r="L56">
            <v>0</v>
          </cell>
        </row>
        <row r="57">
          <cell r="C57">
            <v>1</v>
          </cell>
          <cell r="H57" t="str">
            <v>Otros</v>
          </cell>
          <cell r="I57">
            <v>1</v>
          </cell>
          <cell r="J57">
            <v>0</v>
          </cell>
          <cell r="K57">
            <v>0</v>
          </cell>
          <cell r="L57">
            <v>0</v>
          </cell>
        </row>
        <row r="58">
          <cell r="C58">
            <v>1</v>
          </cell>
        </row>
        <row r="59">
          <cell r="C59">
            <v>1</v>
          </cell>
        </row>
        <row r="60">
          <cell r="C60">
            <v>1</v>
          </cell>
        </row>
        <row r="61">
          <cell r="C61">
            <v>1</v>
          </cell>
        </row>
        <row r="62">
          <cell r="C62">
            <v>1</v>
          </cell>
        </row>
        <row r="63">
          <cell r="F63">
            <v>1</v>
          </cell>
        </row>
        <row r="64">
          <cell r="C64">
            <v>1</v>
          </cell>
        </row>
        <row r="65">
          <cell r="C65">
            <v>1</v>
          </cell>
        </row>
        <row r="66">
          <cell r="C66">
            <v>1</v>
          </cell>
        </row>
        <row r="67">
          <cell r="D67">
            <v>1</v>
          </cell>
        </row>
        <row r="68">
          <cell r="C68">
            <v>1</v>
          </cell>
        </row>
        <row r="69">
          <cell r="C69">
            <v>1</v>
          </cell>
        </row>
        <row r="70">
          <cell r="D70">
            <v>1</v>
          </cell>
        </row>
        <row r="71">
          <cell r="D71">
            <v>1</v>
          </cell>
        </row>
        <row r="72">
          <cell r="D72">
            <v>1</v>
          </cell>
        </row>
        <row r="73">
          <cell r="C73">
            <v>1</v>
          </cell>
        </row>
        <row r="74">
          <cell r="E74">
            <v>1</v>
          </cell>
        </row>
        <row r="75">
          <cell r="E75">
            <v>1</v>
          </cell>
        </row>
        <row r="76">
          <cell r="C76">
            <v>1</v>
          </cell>
        </row>
        <row r="77">
          <cell r="C77">
            <v>1</v>
          </cell>
        </row>
        <row r="78">
          <cell r="C78">
            <v>1</v>
          </cell>
        </row>
        <row r="79">
          <cell r="D79">
            <v>1</v>
          </cell>
        </row>
        <row r="80">
          <cell r="E80">
            <v>1</v>
          </cell>
        </row>
        <row r="81">
          <cell r="E81">
            <v>1</v>
          </cell>
        </row>
        <row r="82">
          <cell r="C82">
            <v>1</v>
          </cell>
        </row>
        <row r="83">
          <cell r="C83">
            <v>1</v>
          </cell>
        </row>
        <row r="84">
          <cell r="E84">
            <v>1</v>
          </cell>
        </row>
        <row r="85">
          <cell r="C85">
            <v>1</v>
          </cell>
        </row>
        <row r="86">
          <cell r="C86">
            <v>1</v>
          </cell>
        </row>
        <row r="87">
          <cell r="C87">
            <v>1</v>
          </cell>
        </row>
        <row r="88">
          <cell r="D88">
            <v>1</v>
          </cell>
        </row>
        <row r="89">
          <cell r="C89">
            <v>1</v>
          </cell>
        </row>
        <row r="90">
          <cell r="E90">
            <v>1</v>
          </cell>
        </row>
        <row r="91">
          <cell r="E91">
            <v>1</v>
          </cell>
        </row>
        <row r="92">
          <cell r="C92">
            <v>1</v>
          </cell>
        </row>
        <row r="93">
          <cell r="E93">
            <v>1</v>
          </cell>
        </row>
        <row r="94">
          <cell r="C94">
            <v>1</v>
          </cell>
        </row>
        <row r="95">
          <cell r="C95">
            <v>1</v>
          </cell>
        </row>
        <row r="96">
          <cell r="C96">
            <v>1</v>
          </cell>
        </row>
        <row r="97">
          <cell r="E97">
            <v>1</v>
          </cell>
        </row>
        <row r="98">
          <cell r="E98">
            <v>1</v>
          </cell>
        </row>
        <row r="99">
          <cell r="E99">
            <v>1</v>
          </cell>
        </row>
        <row r="100">
          <cell r="D100">
            <v>1</v>
          </cell>
        </row>
        <row r="101">
          <cell r="D101">
            <v>1</v>
          </cell>
        </row>
        <row r="102">
          <cell r="C102">
            <v>1</v>
          </cell>
        </row>
        <row r="103">
          <cell r="E103">
            <v>1</v>
          </cell>
        </row>
        <row r="104">
          <cell r="E104">
            <v>1</v>
          </cell>
        </row>
        <row r="105">
          <cell r="C105">
            <v>1</v>
          </cell>
        </row>
        <row r="106">
          <cell r="C106">
            <v>1</v>
          </cell>
        </row>
        <row r="107">
          <cell r="D107">
            <v>1</v>
          </cell>
        </row>
        <row r="108">
          <cell r="E108">
            <v>1</v>
          </cell>
        </row>
        <row r="109">
          <cell r="D109">
            <v>1</v>
          </cell>
        </row>
        <row r="110">
          <cell r="C110">
            <v>1</v>
          </cell>
        </row>
        <row r="111">
          <cell r="C111">
            <v>1</v>
          </cell>
        </row>
        <row r="112">
          <cell r="D112">
            <v>1</v>
          </cell>
        </row>
        <row r="113">
          <cell r="C113">
            <v>1</v>
          </cell>
        </row>
        <row r="114">
          <cell r="D114">
            <v>1</v>
          </cell>
        </row>
        <row r="115">
          <cell r="C115">
            <v>1</v>
          </cell>
        </row>
        <row r="116">
          <cell r="E116">
            <v>1</v>
          </cell>
        </row>
        <row r="117">
          <cell r="C117">
            <v>1</v>
          </cell>
        </row>
        <row r="118">
          <cell r="E118">
            <v>1</v>
          </cell>
        </row>
        <row r="119">
          <cell r="C119">
            <v>1</v>
          </cell>
        </row>
        <row r="120">
          <cell r="C120">
            <v>1</v>
          </cell>
        </row>
        <row r="121">
          <cell r="F121">
            <v>1</v>
          </cell>
        </row>
        <row r="122">
          <cell r="C122">
            <v>1</v>
          </cell>
        </row>
        <row r="123">
          <cell r="C123">
            <v>1</v>
          </cell>
        </row>
        <row r="124">
          <cell r="C124">
            <v>1</v>
          </cell>
        </row>
        <row r="125">
          <cell r="C125">
            <v>1</v>
          </cell>
        </row>
        <row r="126">
          <cell r="C126">
            <v>1</v>
          </cell>
        </row>
        <row r="127">
          <cell r="E127">
            <v>1</v>
          </cell>
        </row>
        <row r="128">
          <cell r="C128">
            <v>1</v>
          </cell>
        </row>
        <row r="129">
          <cell r="C129">
            <v>1</v>
          </cell>
        </row>
        <row r="130">
          <cell r="C130">
            <v>1</v>
          </cell>
        </row>
        <row r="131">
          <cell r="C131">
            <v>1</v>
          </cell>
        </row>
        <row r="132">
          <cell r="D132">
            <v>1</v>
          </cell>
        </row>
        <row r="133">
          <cell r="C133">
            <v>1</v>
          </cell>
        </row>
        <row r="134">
          <cell r="D134">
            <v>1</v>
          </cell>
        </row>
        <row r="135">
          <cell r="C135">
            <v>1</v>
          </cell>
        </row>
        <row r="136">
          <cell r="E136">
            <v>1</v>
          </cell>
        </row>
        <row r="137">
          <cell r="E137">
            <v>1</v>
          </cell>
        </row>
        <row r="138">
          <cell r="C138">
            <v>1</v>
          </cell>
        </row>
        <row r="139">
          <cell r="C139">
            <v>1</v>
          </cell>
        </row>
        <row r="140">
          <cell r="D140">
            <v>1</v>
          </cell>
        </row>
        <row r="141">
          <cell r="C141">
            <v>1</v>
          </cell>
        </row>
        <row r="142">
          <cell r="C142">
            <v>1</v>
          </cell>
        </row>
        <row r="143">
          <cell r="C143">
            <v>1</v>
          </cell>
        </row>
        <row r="144">
          <cell r="C144">
            <v>1</v>
          </cell>
        </row>
        <row r="145">
          <cell r="D145">
            <v>1</v>
          </cell>
        </row>
        <row r="146">
          <cell r="C146">
            <v>1</v>
          </cell>
        </row>
        <row r="147">
          <cell r="E147">
            <v>1</v>
          </cell>
        </row>
        <row r="148">
          <cell r="C148">
            <v>1</v>
          </cell>
        </row>
        <row r="149">
          <cell r="C149">
            <v>1</v>
          </cell>
        </row>
        <row r="150">
          <cell r="C150">
            <v>1</v>
          </cell>
        </row>
        <row r="151">
          <cell r="D151">
            <v>1</v>
          </cell>
        </row>
        <row r="152">
          <cell r="C152">
            <v>1</v>
          </cell>
        </row>
        <row r="153">
          <cell r="C153">
            <v>1</v>
          </cell>
        </row>
        <row r="154">
          <cell r="C154">
            <v>1</v>
          </cell>
        </row>
        <row r="155">
          <cell r="C155">
            <v>1</v>
          </cell>
        </row>
        <row r="156">
          <cell r="E156">
            <v>1</v>
          </cell>
        </row>
      </sheetData>
      <sheetData sheetId="21">
        <row r="2">
          <cell r="D2">
            <v>1</v>
          </cell>
          <cell r="H2" t="str">
            <v>Chile Digno</v>
          </cell>
          <cell r="I2">
            <v>11</v>
          </cell>
          <cell r="J2">
            <v>0</v>
          </cell>
          <cell r="K2">
            <v>0</v>
          </cell>
          <cell r="L2">
            <v>0</v>
          </cell>
          <cell r="M2">
            <v>11</v>
          </cell>
        </row>
        <row r="3">
          <cell r="C3">
            <v>1</v>
          </cell>
          <cell r="H3" t="str">
            <v>Mov. Sociales Const.</v>
          </cell>
          <cell r="I3">
            <v>10</v>
          </cell>
          <cell r="J3">
            <v>1</v>
          </cell>
          <cell r="K3">
            <v>1</v>
          </cell>
          <cell r="L3">
            <v>0</v>
          </cell>
          <cell r="M3">
            <v>12</v>
          </cell>
        </row>
        <row r="4">
          <cell r="D4">
            <v>1</v>
          </cell>
          <cell r="H4" t="str">
            <v>Pueblo Constituyente</v>
          </cell>
          <cell r="I4">
            <v>10</v>
          </cell>
          <cell r="J4">
            <v>0</v>
          </cell>
          <cell r="K4">
            <v>0</v>
          </cell>
          <cell r="L4">
            <v>0</v>
          </cell>
          <cell r="M4">
            <v>10</v>
          </cell>
        </row>
        <row r="5">
          <cell r="E5">
            <v>1</v>
          </cell>
          <cell r="H5" t="str">
            <v xml:space="preserve">Escaños Reservados </v>
          </cell>
          <cell r="I5">
            <v>0</v>
          </cell>
          <cell r="J5">
            <v>0</v>
          </cell>
          <cell r="K5">
            <v>8</v>
          </cell>
          <cell r="L5">
            <v>1</v>
          </cell>
          <cell r="M5">
            <v>9</v>
          </cell>
        </row>
        <row r="6">
          <cell r="C6">
            <v>1</v>
          </cell>
          <cell r="H6" t="str">
            <v>Coord. Plurinacional</v>
          </cell>
          <cell r="I6">
            <v>16</v>
          </cell>
          <cell r="J6">
            <v>0</v>
          </cell>
          <cell r="K6">
            <v>0</v>
          </cell>
          <cell r="L6">
            <v>0</v>
          </cell>
          <cell r="M6">
            <v>16</v>
          </cell>
        </row>
        <row r="7">
          <cell r="D7">
            <v>1</v>
          </cell>
          <cell r="H7" t="str">
            <v>Ind. Por Nueva Const.</v>
          </cell>
          <cell r="I7">
            <v>3</v>
          </cell>
          <cell r="J7">
            <v>9</v>
          </cell>
          <cell r="K7">
            <v>0</v>
          </cell>
          <cell r="L7">
            <v>0</v>
          </cell>
          <cell r="M7">
            <v>12</v>
          </cell>
        </row>
        <row r="8">
          <cell r="E8">
            <v>1</v>
          </cell>
          <cell r="H8" t="str">
            <v>Colectivo Socialista</v>
          </cell>
          <cell r="I8">
            <v>1</v>
          </cell>
          <cell r="J8">
            <v>12</v>
          </cell>
          <cell r="K8">
            <v>2</v>
          </cell>
          <cell r="L8">
            <v>0</v>
          </cell>
          <cell r="M8">
            <v>15</v>
          </cell>
        </row>
        <row r="9">
          <cell r="D9">
            <v>1</v>
          </cell>
          <cell r="H9" t="str">
            <v>Frente Amplio</v>
          </cell>
          <cell r="I9">
            <v>2</v>
          </cell>
          <cell r="J9">
            <v>10</v>
          </cell>
          <cell r="K9">
            <v>10</v>
          </cell>
          <cell r="L9">
            <v>0</v>
          </cell>
          <cell r="M9">
            <v>22</v>
          </cell>
        </row>
        <row r="10">
          <cell r="E10">
            <v>1</v>
          </cell>
          <cell r="H10" t="str">
            <v>Ind. + UDI</v>
          </cell>
          <cell r="I10">
            <v>0</v>
          </cell>
          <cell r="J10">
            <v>7</v>
          </cell>
          <cell r="K10">
            <v>14</v>
          </cell>
          <cell r="L10">
            <v>0</v>
          </cell>
          <cell r="M10">
            <v>21</v>
          </cell>
        </row>
        <row r="11">
          <cell r="C11">
            <v>1</v>
          </cell>
          <cell r="H11" t="str">
            <v>Ind. RN - Evópoli</v>
          </cell>
          <cell r="I11">
            <v>1</v>
          </cell>
          <cell r="J11">
            <v>5</v>
          </cell>
          <cell r="K11">
            <v>9</v>
          </cell>
          <cell r="L11">
            <v>0</v>
          </cell>
          <cell r="M11">
            <v>15</v>
          </cell>
        </row>
        <row r="12">
          <cell r="C12">
            <v>1</v>
          </cell>
          <cell r="H12" t="str">
            <v>Colectivo del Apruebo</v>
          </cell>
          <cell r="I12">
            <v>2</v>
          </cell>
          <cell r="J12">
            <v>1</v>
          </cell>
          <cell r="K12">
            <v>4</v>
          </cell>
          <cell r="L12">
            <v>0</v>
          </cell>
          <cell r="M12">
            <v>7</v>
          </cell>
        </row>
        <row r="13">
          <cell r="E13">
            <v>1</v>
          </cell>
          <cell r="H13" t="str">
            <v>Otros</v>
          </cell>
          <cell r="I13">
            <v>2</v>
          </cell>
          <cell r="J13">
            <v>2</v>
          </cell>
          <cell r="K13">
            <v>1</v>
          </cell>
          <cell r="L13">
            <v>0</v>
          </cell>
          <cell r="M13">
            <v>5</v>
          </cell>
        </row>
        <row r="14">
          <cell r="C14">
            <v>1</v>
          </cell>
        </row>
        <row r="15">
          <cell r="C15">
            <v>1</v>
          </cell>
        </row>
        <row r="16">
          <cell r="D16">
            <v>1</v>
          </cell>
        </row>
        <row r="17">
          <cell r="D17">
            <v>1</v>
          </cell>
        </row>
        <row r="18">
          <cell r="C18">
            <v>1</v>
          </cell>
        </row>
        <row r="19">
          <cell r="D19">
            <v>1</v>
          </cell>
        </row>
        <row r="20">
          <cell r="D20">
            <v>1</v>
          </cell>
        </row>
        <row r="21">
          <cell r="C21">
            <v>1</v>
          </cell>
        </row>
        <row r="22">
          <cell r="C22">
            <v>1</v>
          </cell>
        </row>
        <row r="23">
          <cell r="D23">
            <v>1</v>
          </cell>
        </row>
        <row r="24">
          <cell r="E24">
            <v>1</v>
          </cell>
        </row>
        <row r="25">
          <cell r="D25">
            <v>1</v>
          </cell>
        </row>
        <row r="26">
          <cell r="C26">
            <v>1</v>
          </cell>
        </row>
        <row r="27">
          <cell r="C27">
            <v>1</v>
          </cell>
        </row>
        <row r="28">
          <cell r="C28">
            <v>1</v>
          </cell>
        </row>
        <row r="29">
          <cell r="C29">
            <v>1</v>
          </cell>
        </row>
        <row r="30">
          <cell r="D30">
            <v>1</v>
          </cell>
        </row>
        <row r="31">
          <cell r="D31">
            <v>1</v>
          </cell>
        </row>
        <row r="32">
          <cell r="C32">
            <v>1</v>
          </cell>
        </row>
        <row r="33">
          <cell r="D33">
            <v>1</v>
          </cell>
        </row>
        <row r="34">
          <cell r="E34">
            <v>1</v>
          </cell>
        </row>
        <row r="35">
          <cell r="E35">
            <v>1</v>
          </cell>
        </row>
        <row r="36">
          <cell r="E36">
            <v>1</v>
          </cell>
        </row>
        <row r="37">
          <cell r="C37">
            <v>1</v>
          </cell>
        </row>
        <row r="38">
          <cell r="E38">
            <v>1</v>
          </cell>
        </row>
        <row r="39">
          <cell r="D39">
            <v>1</v>
          </cell>
        </row>
        <row r="40">
          <cell r="E40">
            <v>1</v>
          </cell>
        </row>
        <row r="41">
          <cell r="C41">
            <v>1</v>
          </cell>
        </row>
        <row r="42">
          <cell r="E42">
            <v>1</v>
          </cell>
        </row>
        <row r="43">
          <cell r="E43">
            <v>1</v>
          </cell>
        </row>
        <row r="44">
          <cell r="D44">
            <v>1</v>
          </cell>
        </row>
        <row r="45">
          <cell r="E45">
            <v>1</v>
          </cell>
        </row>
        <row r="46">
          <cell r="D46">
            <v>1</v>
          </cell>
          <cell r="H46" t="str">
            <v>Chile Digno</v>
          </cell>
          <cell r="I46">
            <v>1</v>
          </cell>
          <cell r="J46">
            <v>0</v>
          </cell>
          <cell r="K46">
            <v>0</v>
          </cell>
          <cell r="L46">
            <v>0</v>
          </cell>
        </row>
        <row r="47">
          <cell r="C47">
            <v>1</v>
          </cell>
          <cell r="H47" t="str">
            <v>Mov. Sociales Const.</v>
          </cell>
          <cell r="I47">
            <v>0.83333333333333337</v>
          </cell>
          <cell r="J47">
            <v>8.3333333333333329E-2</v>
          </cell>
          <cell r="K47">
            <v>8.3333333333333329E-2</v>
          </cell>
          <cell r="L47">
            <v>0</v>
          </cell>
        </row>
        <row r="48">
          <cell r="E48">
            <v>1</v>
          </cell>
          <cell r="H48" t="str">
            <v>Pueblo Constituyente</v>
          </cell>
          <cell r="I48">
            <v>1</v>
          </cell>
          <cell r="J48">
            <v>0</v>
          </cell>
          <cell r="K48">
            <v>0</v>
          </cell>
          <cell r="L48">
            <v>0</v>
          </cell>
        </row>
        <row r="49">
          <cell r="D49">
            <v>1</v>
          </cell>
          <cell r="H49" t="str">
            <v xml:space="preserve">Escaños Reservados </v>
          </cell>
          <cell r="I49">
            <v>0</v>
          </cell>
          <cell r="J49">
            <v>0</v>
          </cell>
          <cell r="K49">
            <v>0.88888888888888884</v>
          </cell>
          <cell r="L49">
            <v>0.1111111111111111</v>
          </cell>
        </row>
        <row r="50">
          <cell r="C50">
            <v>1</v>
          </cell>
          <cell r="H50" t="str">
            <v>Coord. Plurinacional</v>
          </cell>
          <cell r="I50">
            <v>1</v>
          </cell>
          <cell r="J50">
            <v>0</v>
          </cell>
          <cell r="K50">
            <v>0</v>
          </cell>
          <cell r="L50">
            <v>0</v>
          </cell>
        </row>
        <row r="51">
          <cell r="D51">
            <v>1</v>
          </cell>
          <cell r="H51" t="str">
            <v>Ind. Por Nueva Const.</v>
          </cell>
          <cell r="I51">
            <v>0.25</v>
          </cell>
          <cell r="J51">
            <v>0.75</v>
          </cell>
          <cell r="K51">
            <v>0</v>
          </cell>
          <cell r="L51">
            <v>0</v>
          </cell>
        </row>
        <row r="52">
          <cell r="E52">
            <v>1</v>
          </cell>
          <cell r="H52" t="str">
            <v>Colectivo Socialista</v>
          </cell>
          <cell r="I52">
            <v>6.6666666666666666E-2</v>
          </cell>
          <cell r="J52">
            <v>0.8</v>
          </cell>
          <cell r="K52">
            <v>0.13333333333333333</v>
          </cell>
          <cell r="L52">
            <v>0</v>
          </cell>
        </row>
        <row r="53">
          <cell r="D53">
            <v>1</v>
          </cell>
          <cell r="H53" t="str">
            <v>Frente Amplio</v>
          </cell>
          <cell r="I53">
            <v>9.0909090909090912E-2</v>
          </cell>
          <cell r="J53">
            <v>0.45454545454545453</v>
          </cell>
          <cell r="K53">
            <v>0.45454545454545453</v>
          </cell>
          <cell r="L53">
            <v>0</v>
          </cell>
        </row>
        <row r="54">
          <cell r="D54">
            <v>1</v>
          </cell>
          <cell r="H54" t="str">
            <v>Ind. + UDI</v>
          </cell>
          <cell r="I54">
            <v>0</v>
          </cell>
          <cell r="J54">
            <v>0.33333333333333331</v>
          </cell>
          <cell r="K54">
            <v>0.66666666666666663</v>
          </cell>
          <cell r="L54">
            <v>0</v>
          </cell>
        </row>
        <row r="55">
          <cell r="C55">
            <v>1</v>
          </cell>
          <cell r="H55" t="str">
            <v>Ind. RN - Evópoli</v>
          </cell>
          <cell r="I55">
            <v>6.6666666666666666E-2</v>
          </cell>
          <cell r="J55">
            <v>0.33333333333333331</v>
          </cell>
          <cell r="K55">
            <v>0.6</v>
          </cell>
          <cell r="L55">
            <v>0</v>
          </cell>
        </row>
        <row r="56">
          <cell r="E56">
            <v>1</v>
          </cell>
          <cell r="H56" t="str">
            <v>Colectivo del Apruebo</v>
          </cell>
          <cell r="I56">
            <v>0.2857142857142857</v>
          </cell>
          <cell r="J56">
            <v>0.14285714285714285</v>
          </cell>
          <cell r="K56">
            <v>0.5714285714285714</v>
          </cell>
          <cell r="L56">
            <v>0</v>
          </cell>
        </row>
        <row r="57">
          <cell r="D57">
            <v>1</v>
          </cell>
          <cell r="H57" t="str">
            <v>Otros</v>
          </cell>
          <cell r="I57">
            <v>0.4</v>
          </cell>
          <cell r="J57">
            <v>0.4</v>
          </cell>
          <cell r="K57">
            <v>0.2</v>
          </cell>
          <cell r="L57">
            <v>0</v>
          </cell>
        </row>
        <row r="58">
          <cell r="C58">
            <v>1</v>
          </cell>
        </row>
        <row r="59">
          <cell r="C59">
            <v>1</v>
          </cell>
        </row>
        <row r="60">
          <cell r="D60">
            <v>1</v>
          </cell>
        </row>
        <row r="61">
          <cell r="C61">
            <v>1</v>
          </cell>
        </row>
        <row r="62">
          <cell r="C62">
            <v>1</v>
          </cell>
        </row>
        <row r="63">
          <cell r="F63">
            <v>1</v>
          </cell>
        </row>
        <row r="64">
          <cell r="C64">
            <v>1</v>
          </cell>
        </row>
        <row r="65">
          <cell r="C65">
            <v>1</v>
          </cell>
        </row>
        <row r="66">
          <cell r="C66">
            <v>1</v>
          </cell>
        </row>
        <row r="67">
          <cell r="D67">
            <v>1</v>
          </cell>
        </row>
        <row r="68">
          <cell r="C68">
            <v>1</v>
          </cell>
        </row>
        <row r="69">
          <cell r="C69">
            <v>1</v>
          </cell>
        </row>
        <row r="70">
          <cell r="D70">
            <v>1</v>
          </cell>
        </row>
        <row r="71">
          <cell r="D71">
            <v>1</v>
          </cell>
        </row>
        <row r="72">
          <cell r="D72">
            <v>1</v>
          </cell>
        </row>
        <row r="73">
          <cell r="E73">
            <v>1</v>
          </cell>
        </row>
        <row r="74">
          <cell r="E74">
            <v>1</v>
          </cell>
        </row>
        <row r="75">
          <cell r="E75">
            <v>1</v>
          </cell>
        </row>
        <row r="76">
          <cell r="C76">
            <v>1</v>
          </cell>
        </row>
        <row r="77">
          <cell r="D77">
            <v>1</v>
          </cell>
        </row>
        <row r="78">
          <cell r="C78">
            <v>1</v>
          </cell>
        </row>
        <row r="79">
          <cell r="D79">
            <v>1</v>
          </cell>
        </row>
        <row r="80">
          <cell r="E80">
            <v>1</v>
          </cell>
        </row>
        <row r="81">
          <cell r="E81">
            <v>1</v>
          </cell>
        </row>
        <row r="82">
          <cell r="C82">
            <v>1</v>
          </cell>
        </row>
        <row r="83">
          <cell r="C83">
            <v>1</v>
          </cell>
        </row>
        <row r="84">
          <cell r="C84">
            <v>1</v>
          </cell>
        </row>
        <row r="85">
          <cell r="E85">
            <v>1</v>
          </cell>
        </row>
        <row r="86">
          <cell r="C86">
            <v>1</v>
          </cell>
        </row>
        <row r="87">
          <cell r="E87">
            <v>1</v>
          </cell>
        </row>
        <row r="88">
          <cell r="D88">
            <v>1</v>
          </cell>
        </row>
        <row r="89">
          <cell r="C89">
            <v>1</v>
          </cell>
        </row>
        <row r="90">
          <cell r="D90">
            <v>1</v>
          </cell>
        </row>
        <row r="91">
          <cell r="D91">
            <v>1</v>
          </cell>
        </row>
        <row r="92">
          <cell r="C92">
            <v>1</v>
          </cell>
        </row>
        <row r="93">
          <cell r="E93">
            <v>1</v>
          </cell>
        </row>
        <row r="94">
          <cell r="C94">
            <v>1</v>
          </cell>
        </row>
        <row r="95">
          <cell r="E95">
            <v>1</v>
          </cell>
        </row>
        <row r="96">
          <cell r="C96">
            <v>1</v>
          </cell>
        </row>
        <row r="97">
          <cell r="E97">
            <v>1</v>
          </cell>
        </row>
        <row r="98">
          <cell r="D98">
            <v>1</v>
          </cell>
        </row>
        <row r="99">
          <cell r="D99">
            <v>1</v>
          </cell>
        </row>
        <row r="100">
          <cell r="E100">
            <v>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E103">
            <v>1</v>
          </cell>
        </row>
        <row r="104">
          <cell r="E104">
            <v>1</v>
          </cell>
        </row>
        <row r="105">
          <cell r="C105">
            <v>1</v>
          </cell>
        </row>
        <row r="106">
          <cell r="C106">
            <v>1</v>
          </cell>
        </row>
        <row r="107">
          <cell r="D107">
            <v>1</v>
          </cell>
        </row>
        <row r="108">
          <cell r="E108">
            <v>1</v>
          </cell>
        </row>
        <row r="109">
          <cell r="D109">
            <v>1</v>
          </cell>
        </row>
        <row r="110">
          <cell r="C110">
            <v>1</v>
          </cell>
        </row>
        <row r="111">
          <cell r="E111">
            <v>1</v>
          </cell>
        </row>
        <row r="112">
          <cell r="D112">
            <v>1</v>
          </cell>
        </row>
        <row r="113">
          <cell r="C113">
            <v>1</v>
          </cell>
        </row>
        <row r="114">
          <cell r="D114">
            <v>1</v>
          </cell>
        </row>
        <row r="115">
          <cell r="C115">
            <v>1</v>
          </cell>
        </row>
        <row r="116">
          <cell r="D116">
            <v>1</v>
          </cell>
        </row>
        <row r="117">
          <cell r="D117">
            <v>1</v>
          </cell>
        </row>
        <row r="118">
          <cell r="E118">
            <v>1</v>
          </cell>
        </row>
        <row r="119">
          <cell r="C119">
            <v>1</v>
          </cell>
        </row>
        <row r="120">
          <cell r="C120">
            <v>1</v>
          </cell>
        </row>
        <row r="121">
          <cell r="F121">
            <v>1</v>
          </cell>
        </row>
        <row r="122">
          <cell r="C122">
            <v>1</v>
          </cell>
        </row>
        <row r="123">
          <cell r="C123">
            <v>1</v>
          </cell>
        </row>
        <row r="124">
          <cell r="C124">
            <v>1</v>
          </cell>
        </row>
        <row r="125">
          <cell r="C125">
            <v>1</v>
          </cell>
        </row>
        <row r="126">
          <cell r="D126">
            <v>1</v>
          </cell>
        </row>
        <row r="127">
          <cell r="D127">
            <v>1</v>
          </cell>
        </row>
        <row r="128">
          <cell r="C128">
            <v>1</v>
          </cell>
        </row>
        <row r="129">
          <cell r="C129">
            <v>1</v>
          </cell>
        </row>
        <row r="130">
          <cell r="D130">
            <v>1</v>
          </cell>
        </row>
        <row r="131">
          <cell r="E131">
            <v>1</v>
          </cell>
        </row>
        <row r="132">
          <cell r="E132">
            <v>1</v>
          </cell>
        </row>
        <row r="133">
          <cell r="D133">
            <v>1</v>
          </cell>
        </row>
        <row r="134">
          <cell r="E134">
            <v>1</v>
          </cell>
        </row>
        <row r="135">
          <cell r="E135">
            <v>1</v>
          </cell>
        </row>
        <row r="136">
          <cell r="E136">
            <v>1</v>
          </cell>
        </row>
        <row r="137">
          <cell r="E137">
            <v>1</v>
          </cell>
        </row>
        <row r="138">
          <cell r="C138">
            <v>1</v>
          </cell>
        </row>
        <row r="139">
          <cell r="D139">
            <v>1</v>
          </cell>
        </row>
        <row r="140">
          <cell r="E140">
            <v>1</v>
          </cell>
        </row>
        <row r="141">
          <cell r="D141">
            <v>1</v>
          </cell>
        </row>
        <row r="142">
          <cell r="C142">
            <v>1</v>
          </cell>
        </row>
        <row r="143">
          <cell r="C143">
            <v>1</v>
          </cell>
        </row>
        <row r="144">
          <cell r="D144">
            <v>1</v>
          </cell>
        </row>
        <row r="145">
          <cell r="D145">
            <v>1</v>
          </cell>
        </row>
        <row r="146">
          <cell r="C146">
            <v>1</v>
          </cell>
        </row>
        <row r="147">
          <cell r="E147">
            <v>1</v>
          </cell>
        </row>
        <row r="148">
          <cell r="C148">
            <v>1</v>
          </cell>
        </row>
        <row r="149">
          <cell r="D149">
            <v>1</v>
          </cell>
        </row>
        <row r="150">
          <cell r="C150">
            <v>1</v>
          </cell>
        </row>
        <row r="151">
          <cell r="D151">
            <v>1</v>
          </cell>
        </row>
        <row r="152">
          <cell r="D152">
            <v>1</v>
          </cell>
        </row>
        <row r="153">
          <cell r="C153">
            <v>1</v>
          </cell>
        </row>
        <row r="154">
          <cell r="C154">
            <v>1</v>
          </cell>
        </row>
        <row r="155">
          <cell r="C155">
            <v>1</v>
          </cell>
        </row>
        <row r="156">
          <cell r="E156">
            <v>1</v>
          </cell>
        </row>
      </sheetData>
      <sheetData sheetId="22">
        <row r="2">
          <cell r="E2">
            <v>1</v>
          </cell>
          <cell r="H2" t="str">
            <v>Chile Digno</v>
          </cell>
          <cell r="I2">
            <v>9</v>
          </cell>
          <cell r="J2">
            <v>0</v>
          </cell>
          <cell r="K2">
            <v>2</v>
          </cell>
          <cell r="L2">
            <v>0</v>
          </cell>
          <cell r="M2">
            <v>11</v>
          </cell>
        </row>
        <row r="3">
          <cell r="C3">
            <v>1</v>
          </cell>
          <cell r="H3" t="str">
            <v>Mov. Sociales Const.</v>
          </cell>
          <cell r="I3">
            <v>11</v>
          </cell>
          <cell r="J3">
            <v>1</v>
          </cell>
          <cell r="K3">
            <v>0</v>
          </cell>
          <cell r="L3">
            <v>0</v>
          </cell>
          <cell r="M3">
            <v>12</v>
          </cell>
        </row>
        <row r="4">
          <cell r="D4">
            <v>1</v>
          </cell>
          <cell r="H4" t="str">
            <v>Pueblo Constituyente</v>
          </cell>
          <cell r="I4">
            <v>9</v>
          </cell>
          <cell r="J4">
            <v>0</v>
          </cell>
          <cell r="K4">
            <v>0</v>
          </cell>
          <cell r="L4">
            <v>1</v>
          </cell>
          <cell r="M4">
            <v>10</v>
          </cell>
        </row>
        <row r="5">
          <cell r="D5">
            <v>1</v>
          </cell>
          <cell r="H5" t="str">
            <v xml:space="preserve">Escaños Reservados </v>
          </cell>
          <cell r="I5">
            <v>0</v>
          </cell>
          <cell r="J5">
            <v>8</v>
          </cell>
          <cell r="K5">
            <v>0</v>
          </cell>
          <cell r="L5">
            <v>1</v>
          </cell>
          <cell r="M5">
            <v>9</v>
          </cell>
        </row>
        <row r="6">
          <cell r="C6">
            <v>1</v>
          </cell>
          <cell r="H6" t="str">
            <v>Coord. Plurinacional</v>
          </cell>
          <cell r="I6">
            <v>15</v>
          </cell>
          <cell r="J6">
            <v>0</v>
          </cell>
          <cell r="K6">
            <v>1</v>
          </cell>
          <cell r="L6">
            <v>0</v>
          </cell>
          <cell r="M6">
            <v>16</v>
          </cell>
        </row>
        <row r="7">
          <cell r="D7">
            <v>1</v>
          </cell>
          <cell r="H7" t="str">
            <v>Ind. Por Nueva Const.</v>
          </cell>
          <cell r="I7">
            <v>7</v>
          </cell>
          <cell r="J7">
            <v>5</v>
          </cell>
          <cell r="K7">
            <v>0</v>
          </cell>
          <cell r="L7">
            <v>0</v>
          </cell>
          <cell r="M7">
            <v>12</v>
          </cell>
        </row>
        <row r="8">
          <cell r="D8">
            <v>1</v>
          </cell>
          <cell r="H8" t="str">
            <v>Colectivo Socialista</v>
          </cell>
          <cell r="I8">
            <v>3</v>
          </cell>
          <cell r="J8">
            <v>12</v>
          </cell>
          <cell r="K8">
            <v>0</v>
          </cell>
          <cell r="L8">
            <v>0</v>
          </cell>
          <cell r="M8">
            <v>15</v>
          </cell>
        </row>
        <row r="9">
          <cell r="E9">
            <v>1</v>
          </cell>
          <cell r="H9" t="str">
            <v>Frente Amplio</v>
          </cell>
          <cell r="I9">
            <v>0</v>
          </cell>
          <cell r="J9">
            <v>9</v>
          </cell>
          <cell r="K9">
            <v>9</v>
          </cell>
          <cell r="L9">
            <v>0</v>
          </cell>
          <cell r="M9">
            <v>18</v>
          </cell>
        </row>
        <row r="10">
          <cell r="C10">
            <v>1</v>
          </cell>
          <cell r="H10" t="str">
            <v>Ind. + UDI</v>
          </cell>
          <cell r="I10">
            <v>0</v>
          </cell>
          <cell r="J10">
            <v>20</v>
          </cell>
          <cell r="K10">
            <v>1</v>
          </cell>
          <cell r="L10">
            <v>0</v>
          </cell>
          <cell r="M10">
            <v>21</v>
          </cell>
        </row>
        <row r="11">
          <cell r="C11">
            <v>1</v>
          </cell>
          <cell r="H11" t="str">
            <v>Ind. RN - Evópoli</v>
          </cell>
          <cell r="I11">
            <v>0</v>
          </cell>
          <cell r="J11">
            <v>10</v>
          </cell>
          <cell r="K11">
            <v>4</v>
          </cell>
          <cell r="L11">
            <v>1</v>
          </cell>
          <cell r="M11">
            <v>15</v>
          </cell>
        </row>
        <row r="12">
          <cell r="C12">
            <v>1</v>
          </cell>
          <cell r="H12" t="str">
            <v>Colectivo del Apruebo</v>
          </cell>
          <cell r="I12">
            <v>1</v>
          </cell>
          <cell r="J12">
            <v>5</v>
          </cell>
          <cell r="K12">
            <v>1</v>
          </cell>
          <cell r="L12">
            <v>0</v>
          </cell>
          <cell r="M12">
            <v>7</v>
          </cell>
        </row>
        <row r="13">
          <cell r="D13">
            <v>1</v>
          </cell>
          <cell r="H13" t="str">
            <v>Otros</v>
          </cell>
          <cell r="I13">
            <v>4</v>
          </cell>
          <cell r="J13">
            <v>1</v>
          </cell>
          <cell r="K13">
            <v>0</v>
          </cell>
          <cell r="L13">
            <v>0</v>
          </cell>
          <cell r="M13">
            <v>5</v>
          </cell>
        </row>
        <row r="14">
          <cell r="C14">
            <v>1</v>
          </cell>
        </row>
        <row r="15">
          <cell r="C15">
            <v>1</v>
          </cell>
        </row>
        <row r="16">
          <cell r="D16">
            <v>1</v>
          </cell>
        </row>
        <row r="17">
          <cell r="D17">
            <v>1</v>
          </cell>
        </row>
        <row r="18">
          <cell r="E18">
            <v>1</v>
          </cell>
        </row>
        <row r="19">
          <cell r="D19">
            <v>1</v>
          </cell>
        </row>
        <row r="20">
          <cell r="C20">
            <v>1</v>
          </cell>
        </row>
        <row r="21">
          <cell r="E21">
            <v>1</v>
          </cell>
        </row>
        <row r="22">
          <cell r="C22">
            <v>1</v>
          </cell>
        </row>
        <row r="23">
          <cell r="D23">
            <v>1</v>
          </cell>
        </row>
        <row r="24">
          <cell r="C24">
            <v>1</v>
          </cell>
        </row>
        <row r="25">
          <cell r="D25">
            <v>1</v>
          </cell>
        </row>
        <row r="26">
          <cell r="C26">
            <v>1</v>
          </cell>
        </row>
        <row r="27">
          <cell r="C27">
            <v>1</v>
          </cell>
        </row>
        <row r="28">
          <cell r="C28">
            <v>1</v>
          </cell>
        </row>
        <row r="29">
          <cell r="C29">
            <v>1</v>
          </cell>
        </row>
        <row r="30">
          <cell r="C30">
            <v>1</v>
          </cell>
        </row>
        <row r="31">
          <cell r="D31">
            <v>1</v>
          </cell>
        </row>
        <row r="32">
          <cell r="C32">
            <v>1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1</v>
          </cell>
        </row>
        <row r="36">
          <cell r="D36">
            <v>1</v>
          </cell>
        </row>
        <row r="37">
          <cell r="E37">
            <v>1</v>
          </cell>
        </row>
        <row r="38">
          <cell r="D38">
            <v>1</v>
          </cell>
        </row>
        <row r="39">
          <cell r="E39">
            <v>1</v>
          </cell>
        </row>
        <row r="40">
          <cell r="D40">
            <v>1</v>
          </cell>
        </row>
        <row r="41">
          <cell r="C41">
            <v>1</v>
          </cell>
        </row>
        <row r="42">
          <cell r="D42">
            <v>1</v>
          </cell>
        </row>
        <row r="43">
          <cell r="D43">
            <v>1</v>
          </cell>
        </row>
        <row r="44">
          <cell r="D44">
            <v>1</v>
          </cell>
        </row>
        <row r="45">
          <cell r="D45">
            <v>1</v>
          </cell>
        </row>
        <row r="46">
          <cell r="D46">
            <v>1</v>
          </cell>
          <cell r="H46" t="str">
            <v>Chile Digno</v>
          </cell>
          <cell r="I46">
            <v>0.81818181818181823</v>
          </cell>
          <cell r="J46">
            <v>0</v>
          </cell>
          <cell r="K46">
            <v>0.18181818181818182</v>
          </cell>
          <cell r="L46">
            <v>0</v>
          </cell>
        </row>
        <row r="47">
          <cell r="D47">
            <v>1</v>
          </cell>
          <cell r="H47" t="str">
            <v>Mov. Sociales Const.</v>
          </cell>
          <cell r="I47">
            <v>0.91666666666666663</v>
          </cell>
          <cell r="J47">
            <v>8.3333333333333329E-2</v>
          </cell>
          <cell r="K47">
            <v>0</v>
          </cell>
          <cell r="L47">
            <v>0</v>
          </cell>
        </row>
        <row r="48">
          <cell r="E48">
            <v>1</v>
          </cell>
          <cell r="H48" t="str">
            <v>Pueblo Constituyente</v>
          </cell>
          <cell r="I48">
            <v>0.9</v>
          </cell>
          <cell r="J48">
            <v>0</v>
          </cell>
          <cell r="K48">
            <v>0</v>
          </cell>
          <cell r="L48">
            <v>0.1</v>
          </cell>
        </row>
        <row r="49">
          <cell r="D49">
            <v>1</v>
          </cell>
          <cell r="H49" t="str">
            <v xml:space="preserve">Escaños Reservados </v>
          </cell>
          <cell r="I49">
            <v>0</v>
          </cell>
          <cell r="J49">
            <v>0.88888888888888884</v>
          </cell>
          <cell r="K49">
            <v>0</v>
          </cell>
          <cell r="L49">
            <v>0.1111111111111111</v>
          </cell>
        </row>
        <row r="50">
          <cell r="C50">
            <v>1</v>
          </cell>
          <cell r="H50" t="str">
            <v>Coord. Plurinacional</v>
          </cell>
          <cell r="I50">
            <v>0.9375</v>
          </cell>
          <cell r="J50">
            <v>0</v>
          </cell>
          <cell r="K50">
            <v>6.25E-2</v>
          </cell>
          <cell r="L50">
            <v>0</v>
          </cell>
        </row>
        <row r="51">
          <cell r="D51">
            <v>1</v>
          </cell>
          <cell r="H51" t="str">
            <v>Ind. Por Nueva Const.</v>
          </cell>
          <cell r="I51">
            <v>0.58333333333333337</v>
          </cell>
          <cell r="J51">
            <v>0.41666666666666669</v>
          </cell>
          <cell r="K51">
            <v>0</v>
          </cell>
          <cell r="L51">
            <v>0</v>
          </cell>
        </row>
        <row r="52">
          <cell r="C52">
            <v>1</v>
          </cell>
          <cell r="H52" t="str">
            <v>Colectivo Socialista</v>
          </cell>
          <cell r="I52">
            <v>0.2</v>
          </cell>
          <cell r="J52">
            <v>0.8</v>
          </cell>
          <cell r="K52">
            <v>0</v>
          </cell>
          <cell r="L52">
            <v>0</v>
          </cell>
        </row>
        <row r="53">
          <cell r="D53">
            <v>1</v>
          </cell>
          <cell r="H53" t="str">
            <v>Frente Amplio</v>
          </cell>
          <cell r="I53">
            <v>0</v>
          </cell>
          <cell r="J53">
            <v>0.5</v>
          </cell>
          <cell r="K53">
            <v>0.5</v>
          </cell>
          <cell r="L53">
            <v>0</v>
          </cell>
        </row>
        <row r="54">
          <cell r="C54">
            <v>1</v>
          </cell>
          <cell r="H54" t="str">
            <v>Ind. + UDI</v>
          </cell>
          <cell r="I54">
            <v>0</v>
          </cell>
          <cell r="J54">
            <v>0.95238095238095233</v>
          </cell>
          <cell r="K54">
            <v>4.7619047619047616E-2</v>
          </cell>
          <cell r="L54">
            <v>0</v>
          </cell>
        </row>
        <row r="55">
          <cell r="C55">
            <v>1</v>
          </cell>
          <cell r="H55" t="str">
            <v>Ind. RN - Evópoli</v>
          </cell>
          <cell r="I55">
            <v>0</v>
          </cell>
          <cell r="J55">
            <v>0.66666666666666663</v>
          </cell>
          <cell r="K55">
            <v>0.26666666666666666</v>
          </cell>
          <cell r="L55">
            <v>6.6666666666666666E-2</v>
          </cell>
        </row>
        <row r="56">
          <cell r="D56">
            <v>1</v>
          </cell>
          <cell r="H56" t="str">
            <v>Colectivo del Apruebo</v>
          </cell>
          <cell r="I56">
            <v>0.14285714285714285</v>
          </cell>
          <cell r="J56">
            <v>0.7142857142857143</v>
          </cell>
          <cell r="K56">
            <v>0.14285714285714285</v>
          </cell>
          <cell r="L56">
            <v>0</v>
          </cell>
        </row>
        <row r="57">
          <cell r="D57">
            <v>1</v>
          </cell>
          <cell r="H57" t="str">
            <v>Otros</v>
          </cell>
          <cell r="I57">
            <v>0.8</v>
          </cell>
          <cell r="J57">
            <v>0.2</v>
          </cell>
          <cell r="K57">
            <v>0</v>
          </cell>
          <cell r="L57">
            <v>0</v>
          </cell>
        </row>
        <row r="58">
          <cell r="C58">
            <v>1</v>
          </cell>
        </row>
        <row r="59">
          <cell r="C59">
            <v>1</v>
          </cell>
        </row>
        <row r="60">
          <cell r="D60">
            <v>1</v>
          </cell>
        </row>
        <row r="61">
          <cell r="E61">
            <v>1</v>
          </cell>
        </row>
        <row r="62">
          <cell r="C62">
            <v>1</v>
          </cell>
        </row>
        <row r="63">
          <cell r="F63">
            <v>1</v>
          </cell>
        </row>
        <row r="64">
          <cell r="C64">
            <v>1</v>
          </cell>
        </row>
        <row r="65">
          <cell r="E65">
            <v>1</v>
          </cell>
        </row>
        <row r="66">
          <cell r="C66">
            <v>1</v>
          </cell>
        </row>
        <row r="67">
          <cell r="D67">
            <v>1</v>
          </cell>
        </row>
        <row r="68">
          <cell r="C68">
            <v>1</v>
          </cell>
        </row>
        <row r="69">
          <cell r="C69">
            <v>1</v>
          </cell>
        </row>
        <row r="70">
          <cell r="D70">
            <v>1</v>
          </cell>
        </row>
        <row r="71">
          <cell r="D71">
            <v>1</v>
          </cell>
        </row>
        <row r="72">
          <cell r="D72">
            <v>1</v>
          </cell>
        </row>
        <row r="73">
          <cell r="D73">
            <v>1</v>
          </cell>
        </row>
        <row r="74">
          <cell r="D74">
            <v>1</v>
          </cell>
        </row>
        <row r="75">
          <cell r="D75">
            <v>1</v>
          </cell>
        </row>
        <row r="76">
          <cell r="C76">
            <v>1</v>
          </cell>
        </row>
        <row r="77">
          <cell r="E77">
            <v>1</v>
          </cell>
        </row>
        <row r="78">
          <cell r="C78">
            <v>1</v>
          </cell>
        </row>
        <row r="79">
          <cell r="D79">
            <v>1</v>
          </cell>
        </row>
        <row r="80">
          <cell r="D80">
            <v>1</v>
          </cell>
        </row>
        <row r="81">
          <cell r="D81">
            <v>1</v>
          </cell>
        </row>
        <row r="82">
          <cell r="C82">
            <v>1</v>
          </cell>
        </row>
        <row r="83">
          <cell r="C83">
            <v>1</v>
          </cell>
        </row>
        <row r="84">
          <cell r="D84">
            <v>1</v>
          </cell>
        </row>
        <row r="85">
          <cell r="D85">
            <v>1</v>
          </cell>
        </row>
        <row r="86">
          <cell r="C86">
            <v>1</v>
          </cell>
        </row>
        <row r="87">
          <cell r="D87">
            <v>1</v>
          </cell>
        </row>
        <row r="88">
          <cell r="D88">
            <v>1</v>
          </cell>
        </row>
        <row r="89">
          <cell r="C89">
            <v>1</v>
          </cell>
        </row>
        <row r="90">
          <cell r="D90">
            <v>1</v>
          </cell>
        </row>
        <row r="91">
          <cell r="D91">
            <v>1</v>
          </cell>
        </row>
        <row r="92">
          <cell r="E92">
            <v>1</v>
          </cell>
        </row>
        <row r="93">
          <cell r="D93">
            <v>1</v>
          </cell>
        </row>
        <row r="94">
          <cell r="C94">
            <v>1</v>
          </cell>
        </row>
        <row r="95">
          <cell r="D95">
            <v>1</v>
          </cell>
        </row>
        <row r="96">
          <cell r="C96">
            <v>1</v>
          </cell>
        </row>
        <row r="97">
          <cell r="D97">
            <v>1</v>
          </cell>
        </row>
        <row r="98">
          <cell r="D98">
            <v>1</v>
          </cell>
        </row>
        <row r="99">
          <cell r="D99">
            <v>1</v>
          </cell>
        </row>
        <row r="100">
          <cell r="D100">
            <v>1</v>
          </cell>
        </row>
        <row r="101">
          <cell r="D101">
            <v>1</v>
          </cell>
        </row>
        <row r="102">
          <cell r="C102">
            <v>1</v>
          </cell>
        </row>
        <row r="103">
          <cell r="E103">
            <v>1</v>
          </cell>
        </row>
        <row r="104">
          <cell r="D104">
            <v>1</v>
          </cell>
        </row>
        <row r="105">
          <cell r="C105">
            <v>1</v>
          </cell>
        </row>
        <row r="106">
          <cell r="C106">
            <v>1</v>
          </cell>
        </row>
        <row r="107">
          <cell r="D107">
            <v>1</v>
          </cell>
        </row>
        <row r="108">
          <cell r="F108">
            <v>1</v>
          </cell>
        </row>
        <row r="109">
          <cell r="D109">
            <v>1</v>
          </cell>
        </row>
        <row r="110">
          <cell r="C110">
            <v>1</v>
          </cell>
        </row>
        <row r="111">
          <cell r="C111">
            <v>1</v>
          </cell>
        </row>
        <row r="112">
          <cell r="D112">
            <v>1</v>
          </cell>
        </row>
        <row r="113">
          <cell r="C113">
            <v>1</v>
          </cell>
        </row>
        <row r="114">
          <cell r="D114">
            <v>1</v>
          </cell>
        </row>
        <row r="115">
          <cell r="C115">
            <v>1</v>
          </cell>
        </row>
        <row r="116">
          <cell r="D116">
            <v>1</v>
          </cell>
        </row>
        <row r="117">
          <cell r="D117">
            <v>1</v>
          </cell>
        </row>
        <row r="118">
          <cell r="E118">
            <v>1</v>
          </cell>
        </row>
        <row r="119">
          <cell r="C119">
            <v>1</v>
          </cell>
        </row>
        <row r="120">
          <cell r="D120">
            <v>1</v>
          </cell>
        </row>
        <row r="121">
          <cell r="F121">
            <v>1</v>
          </cell>
        </row>
        <row r="122">
          <cell r="D122">
            <v>1</v>
          </cell>
        </row>
        <row r="123">
          <cell r="C123">
            <v>1</v>
          </cell>
        </row>
        <row r="124">
          <cell r="C124">
            <v>1</v>
          </cell>
        </row>
        <row r="125">
          <cell r="C125">
            <v>1</v>
          </cell>
        </row>
        <row r="126">
          <cell r="D126">
            <v>1</v>
          </cell>
        </row>
        <row r="127">
          <cell r="D127">
            <v>1</v>
          </cell>
        </row>
        <row r="128">
          <cell r="C128">
            <v>1</v>
          </cell>
        </row>
        <row r="129">
          <cell r="C129">
            <v>1</v>
          </cell>
        </row>
        <row r="130">
          <cell r="D130">
            <v>1</v>
          </cell>
        </row>
        <row r="131">
          <cell r="E131">
            <v>1</v>
          </cell>
        </row>
        <row r="132">
          <cell r="D132">
            <v>1</v>
          </cell>
        </row>
        <row r="133">
          <cell r="D133">
            <v>1</v>
          </cell>
        </row>
        <row r="134">
          <cell r="D134">
            <v>1</v>
          </cell>
        </row>
        <row r="135">
          <cell r="D135">
            <v>1</v>
          </cell>
        </row>
        <row r="136">
          <cell r="D136">
            <v>1</v>
          </cell>
        </row>
        <row r="137">
          <cell r="D137">
            <v>1</v>
          </cell>
        </row>
        <row r="138">
          <cell r="C138">
            <v>1</v>
          </cell>
        </row>
        <row r="139">
          <cell r="D139">
            <v>1</v>
          </cell>
        </row>
        <row r="140">
          <cell r="D140">
            <v>1</v>
          </cell>
        </row>
        <row r="141">
          <cell r="C141">
            <v>1</v>
          </cell>
        </row>
        <row r="142">
          <cell r="C142">
            <v>1</v>
          </cell>
        </row>
        <row r="143">
          <cell r="C143">
            <v>1</v>
          </cell>
        </row>
        <row r="144">
          <cell r="D144">
            <v>1</v>
          </cell>
        </row>
        <row r="145">
          <cell r="D145">
            <v>1</v>
          </cell>
        </row>
        <row r="146">
          <cell r="C146">
            <v>1</v>
          </cell>
        </row>
        <row r="147">
          <cell r="E147">
            <v>1</v>
          </cell>
        </row>
        <row r="148">
          <cell r="C148">
            <v>1</v>
          </cell>
        </row>
        <row r="149">
          <cell r="C149">
            <v>1</v>
          </cell>
        </row>
        <row r="150">
          <cell r="C150">
            <v>1</v>
          </cell>
        </row>
        <row r="151">
          <cell r="D151">
            <v>1</v>
          </cell>
        </row>
        <row r="152">
          <cell r="C152">
            <v>1</v>
          </cell>
        </row>
        <row r="153">
          <cell r="C153">
            <v>1</v>
          </cell>
        </row>
        <row r="154">
          <cell r="C154">
            <v>1</v>
          </cell>
        </row>
        <row r="155">
          <cell r="F155">
            <v>1</v>
          </cell>
        </row>
        <row r="156">
          <cell r="D156">
            <v>1</v>
          </cell>
        </row>
      </sheetData>
      <sheetData sheetId="23">
        <row r="2">
          <cell r="C2">
            <v>1</v>
          </cell>
          <cell r="H2" t="str">
            <v>Chile Digno</v>
          </cell>
          <cell r="I2">
            <v>11</v>
          </cell>
          <cell r="J2">
            <v>0</v>
          </cell>
          <cell r="K2">
            <v>0</v>
          </cell>
          <cell r="L2">
            <v>0</v>
          </cell>
          <cell r="M2">
            <v>11</v>
          </cell>
        </row>
        <row r="3">
          <cell r="C3">
            <v>1</v>
          </cell>
          <cell r="H3" t="str">
            <v>Mov. Sociales Const.</v>
          </cell>
          <cell r="I3">
            <v>12</v>
          </cell>
          <cell r="J3">
            <v>0</v>
          </cell>
          <cell r="K3">
            <v>0</v>
          </cell>
          <cell r="L3">
            <v>0</v>
          </cell>
          <cell r="M3">
            <v>12</v>
          </cell>
        </row>
        <row r="4">
          <cell r="C4">
            <v>1</v>
          </cell>
          <cell r="H4" t="str">
            <v>Pueblo Constituyente</v>
          </cell>
          <cell r="I4">
            <v>10</v>
          </cell>
          <cell r="J4">
            <v>0</v>
          </cell>
          <cell r="K4">
            <v>0</v>
          </cell>
          <cell r="L4">
            <v>0</v>
          </cell>
          <cell r="M4">
            <v>10</v>
          </cell>
        </row>
        <row r="5">
          <cell r="E5">
            <v>1</v>
          </cell>
          <cell r="H5" t="str">
            <v xml:space="preserve">Escaños Reservados </v>
          </cell>
          <cell r="I5">
            <v>3</v>
          </cell>
          <cell r="J5">
            <v>1</v>
          </cell>
          <cell r="K5">
            <v>3</v>
          </cell>
          <cell r="L5">
            <v>2</v>
          </cell>
          <cell r="M5">
            <v>9</v>
          </cell>
        </row>
        <row r="6">
          <cell r="C6">
            <v>1</v>
          </cell>
          <cell r="H6" t="str">
            <v>Coord. Plurinacional</v>
          </cell>
          <cell r="I6">
            <v>15</v>
          </cell>
          <cell r="J6">
            <v>0</v>
          </cell>
          <cell r="K6">
            <v>0</v>
          </cell>
          <cell r="L6">
            <v>1</v>
          </cell>
          <cell r="M6">
            <v>16</v>
          </cell>
        </row>
        <row r="7">
          <cell r="C7">
            <v>1</v>
          </cell>
          <cell r="H7" t="str">
            <v>Ind. Por Nueva Const.</v>
          </cell>
          <cell r="I7">
            <v>11</v>
          </cell>
          <cell r="J7">
            <v>0</v>
          </cell>
          <cell r="K7">
            <v>1</v>
          </cell>
          <cell r="L7">
            <v>0</v>
          </cell>
          <cell r="M7">
            <v>12</v>
          </cell>
        </row>
        <row r="8">
          <cell r="D8">
            <v>1</v>
          </cell>
          <cell r="H8" t="str">
            <v>Colectivo Socialista</v>
          </cell>
          <cell r="I8">
            <v>14</v>
          </cell>
          <cell r="J8">
            <v>0</v>
          </cell>
          <cell r="K8">
            <v>1</v>
          </cell>
          <cell r="L8">
            <v>0</v>
          </cell>
          <cell r="M8">
            <v>15</v>
          </cell>
        </row>
        <row r="9">
          <cell r="C9">
            <v>1</v>
          </cell>
          <cell r="H9" t="str">
            <v>Frente Amplio</v>
          </cell>
          <cell r="I9">
            <v>12</v>
          </cell>
          <cell r="J9">
            <v>1</v>
          </cell>
          <cell r="K9">
            <v>1</v>
          </cell>
          <cell r="L9">
            <v>0</v>
          </cell>
          <cell r="M9">
            <v>14</v>
          </cell>
        </row>
        <row r="10">
          <cell r="C10">
            <v>1</v>
          </cell>
          <cell r="H10" t="str">
            <v>Ind. + UDI</v>
          </cell>
          <cell r="I10">
            <v>0</v>
          </cell>
          <cell r="J10">
            <v>18</v>
          </cell>
          <cell r="K10">
            <v>3</v>
          </cell>
          <cell r="L10">
            <v>0</v>
          </cell>
          <cell r="M10">
            <v>21</v>
          </cell>
        </row>
        <row r="11">
          <cell r="C11">
            <v>1</v>
          </cell>
          <cell r="H11" t="str">
            <v>Ind. RN - Evópoli</v>
          </cell>
          <cell r="I11">
            <v>1</v>
          </cell>
          <cell r="J11">
            <v>6</v>
          </cell>
          <cell r="K11">
            <v>8</v>
          </cell>
          <cell r="L11">
            <v>0</v>
          </cell>
          <cell r="M11">
            <v>15</v>
          </cell>
        </row>
        <row r="12">
          <cell r="C12">
            <v>1</v>
          </cell>
          <cell r="H12" t="str">
            <v>Colectivo del Apruebo</v>
          </cell>
          <cell r="I12">
            <v>3</v>
          </cell>
          <cell r="J12">
            <v>1</v>
          </cell>
          <cell r="K12">
            <v>3</v>
          </cell>
          <cell r="L12">
            <v>0</v>
          </cell>
          <cell r="M12">
            <v>7</v>
          </cell>
        </row>
        <row r="13">
          <cell r="D13">
            <v>1</v>
          </cell>
          <cell r="H13" t="str">
            <v>Otros</v>
          </cell>
          <cell r="I13">
            <v>5</v>
          </cell>
          <cell r="J13">
            <v>0</v>
          </cell>
          <cell r="K13">
            <v>0</v>
          </cell>
          <cell r="L13">
            <v>0</v>
          </cell>
          <cell r="M13">
            <v>5</v>
          </cell>
        </row>
        <row r="14">
          <cell r="C14">
            <v>1</v>
          </cell>
        </row>
        <row r="15">
          <cell r="C15">
            <v>1</v>
          </cell>
        </row>
        <row r="16">
          <cell r="D16">
            <v>1</v>
          </cell>
        </row>
        <row r="17">
          <cell r="C17">
            <v>1</v>
          </cell>
        </row>
        <row r="18">
          <cell r="C18">
            <v>1</v>
          </cell>
        </row>
        <row r="19">
          <cell r="C19">
            <v>1</v>
          </cell>
        </row>
        <row r="20">
          <cell r="C20">
            <v>1</v>
          </cell>
        </row>
        <row r="21">
          <cell r="C21">
            <v>1</v>
          </cell>
        </row>
        <row r="22">
          <cell r="C22">
            <v>1</v>
          </cell>
        </row>
        <row r="23">
          <cell r="C23">
            <v>1</v>
          </cell>
        </row>
        <row r="24">
          <cell r="C24">
            <v>1</v>
          </cell>
        </row>
        <row r="25">
          <cell r="D25">
            <v>1</v>
          </cell>
        </row>
        <row r="26">
          <cell r="C26">
            <v>1</v>
          </cell>
        </row>
        <row r="27">
          <cell r="C27">
            <v>1</v>
          </cell>
        </row>
        <row r="28">
          <cell r="C28">
            <v>1</v>
          </cell>
        </row>
        <row r="29">
          <cell r="C29">
            <v>1</v>
          </cell>
        </row>
        <row r="30">
          <cell r="C30">
            <v>1</v>
          </cell>
        </row>
        <row r="31">
          <cell r="D31">
            <v>1</v>
          </cell>
        </row>
        <row r="32">
          <cell r="C32">
            <v>1</v>
          </cell>
        </row>
        <row r="33">
          <cell r="C33">
            <v>1</v>
          </cell>
        </row>
        <row r="34">
          <cell r="E34">
            <v>1</v>
          </cell>
        </row>
        <row r="35">
          <cell r="D35">
            <v>1</v>
          </cell>
        </row>
        <row r="36">
          <cell r="C36">
            <v>1</v>
          </cell>
        </row>
        <row r="37">
          <cell r="C37">
            <v>1</v>
          </cell>
        </row>
        <row r="38">
          <cell r="E38">
            <v>1</v>
          </cell>
        </row>
        <row r="39">
          <cell r="C39">
            <v>1</v>
          </cell>
        </row>
        <row r="40">
          <cell r="E40">
            <v>1</v>
          </cell>
        </row>
        <row r="41">
          <cell r="C41">
            <v>1</v>
          </cell>
        </row>
        <row r="42">
          <cell r="D42">
            <v>1</v>
          </cell>
        </row>
        <row r="43">
          <cell r="D43">
            <v>1</v>
          </cell>
        </row>
        <row r="44">
          <cell r="C44">
            <v>1</v>
          </cell>
        </row>
        <row r="45">
          <cell r="D45">
            <v>1</v>
          </cell>
        </row>
        <row r="46">
          <cell r="C46">
            <v>1</v>
          </cell>
          <cell r="H46" t="str">
            <v>Chile Digno</v>
          </cell>
          <cell r="I46">
            <v>1</v>
          </cell>
          <cell r="J46">
            <v>0</v>
          </cell>
          <cell r="K46">
            <v>0</v>
          </cell>
          <cell r="L46">
            <v>0</v>
          </cell>
        </row>
        <row r="47">
          <cell r="E47">
            <v>1</v>
          </cell>
          <cell r="H47" t="str">
            <v>Mov. Sociales Const.</v>
          </cell>
          <cell r="I47">
            <v>1</v>
          </cell>
          <cell r="J47">
            <v>0</v>
          </cell>
          <cell r="K47">
            <v>0</v>
          </cell>
          <cell r="L47">
            <v>0</v>
          </cell>
        </row>
        <row r="48">
          <cell r="C48">
            <v>1</v>
          </cell>
          <cell r="H48" t="str">
            <v>Pueblo Constituyente</v>
          </cell>
          <cell r="I48">
            <v>1</v>
          </cell>
          <cell r="J48">
            <v>0</v>
          </cell>
          <cell r="K48">
            <v>0</v>
          </cell>
          <cell r="L48">
            <v>0</v>
          </cell>
        </row>
        <row r="49">
          <cell r="C49">
            <v>1</v>
          </cell>
          <cell r="H49" t="str">
            <v xml:space="preserve">Escaños Reservados </v>
          </cell>
          <cell r="I49">
            <v>0.33333333333333331</v>
          </cell>
          <cell r="J49">
            <v>0.1111111111111111</v>
          </cell>
          <cell r="K49">
            <v>0.33333333333333331</v>
          </cell>
          <cell r="L49">
            <v>0.22222222222222221</v>
          </cell>
        </row>
        <row r="50">
          <cell r="C50">
            <v>1</v>
          </cell>
          <cell r="H50" t="str">
            <v>Coord. Plurinacional</v>
          </cell>
          <cell r="I50">
            <v>0.9375</v>
          </cell>
          <cell r="J50">
            <v>0</v>
          </cell>
          <cell r="K50">
            <v>0</v>
          </cell>
          <cell r="L50">
            <v>6.25E-2</v>
          </cell>
        </row>
        <row r="51">
          <cell r="E51">
            <v>1</v>
          </cell>
          <cell r="H51" t="str">
            <v>Ind. Por Nueva Const.</v>
          </cell>
          <cell r="I51">
            <v>0.91666666666666663</v>
          </cell>
          <cell r="J51">
            <v>0</v>
          </cell>
          <cell r="K51">
            <v>8.3333333333333329E-2</v>
          </cell>
          <cell r="L51">
            <v>0</v>
          </cell>
        </row>
        <row r="52">
          <cell r="C52">
            <v>1</v>
          </cell>
          <cell r="H52" t="str">
            <v>Colectivo Socialista</v>
          </cell>
          <cell r="I52">
            <v>0.93333333333333335</v>
          </cell>
          <cell r="J52">
            <v>0</v>
          </cell>
          <cell r="K52">
            <v>6.6666666666666666E-2</v>
          </cell>
          <cell r="L52">
            <v>0</v>
          </cell>
        </row>
        <row r="53">
          <cell r="E53">
            <v>1</v>
          </cell>
          <cell r="H53" t="str">
            <v>Frente Amplio</v>
          </cell>
          <cell r="I53">
            <v>0.8571428571428571</v>
          </cell>
          <cell r="J53">
            <v>7.1428571428571425E-2</v>
          </cell>
          <cell r="K53">
            <v>7.1428571428571425E-2</v>
          </cell>
          <cell r="L53">
            <v>0</v>
          </cell>
        </row>
        <row r="54">
          <cell r="C54">
            <v>1</v>
          </cell>
          <cell r="H54" t="str">
            <v>Ind. + UDI</v>
          </cell>
          <cell r="I54">
            <v>0</v>
          </cell>
          <cell r="J54">
            <v>0.8571428571428571</v>
          </cell>
          <cell r="K54">
            <v>0.14285714285714285</v>
          </cell>
          <cell r="L54">
            <v>0</v>
          </cell>
        </row>
        <row r="55">
          <cell r="C55">
            <v>1</v>
          </cell>
          <cell r="H55" t="str">
            <v>Ind. RN - Evópoli</v>
          </cell>
          <cell r="I55">
            <v>6.6666666666666666E-2</v>
          </cell>
          <cell r="J55">
            <v>0.4</v>
          </cell>
          <cell r="K55">
            <v>0.53333333333333333</v>
          </cell>
          <cell r="L55">
            <v>0</v>
          </cell>
        </row>
        <row r="56">
          <cell r="C56">
            <v>1</v>
          </cell>
          <cell r="H56" t="str">
            <v>Colectivo del Apruebo</v>
          </cell>
          <cell r="I56">
            <v>0.42857142857142855</v>
          </cell>
          <cell r="J56">
            <v>0.14285714285714285</v>
          </cell>
          <cell r="K56">
            <v>0.42857142857142855</v>
          </cell>
          <cell r="L56">
            <v>0</v>
          </cell>
        </row>
        <row r="57">
          <cell r="C57">
            <v>1</v>
          </cell>
          <cell r="H57" t="str">
            <v>Otros</v>
          </cell>
          <cell r="I57">
            <v>1</v>
          </cell>
          <cell r="J57">
            <v>0</v>
          </cell>
          <cell r="K57">
            <v>0</v>
          </cell>
          <cell r="L57">
            <v>0</v>
          </cell>
        </row>
        <row r="58">
          <cell r="C58">
            <v>1</v>
          </cell>
        </row>
        <row r="59">
          <cell r="C59">
            <v>1</v>
          </cell>
        </row>
        <row r="60">
          <cell r="C60">
            <v>1</v>
          </cell>
        </row>
        <row r="61">
          <cell r="C61">
            <v>1</v>
          </cell>
        </row>
        <row r="62">
          <cell r="C62">
            <v>1</v>
          </cell>
        </row>
        <row r="63">
          <cell r="F63">
            <v>1</v>
          </cell>
        </row>
        <row r="64">
          <cell r="C64">
            <v>1</v>
          </cell>
        </row>
        <row r="65">
          <cell r="C65">
            <v>1</v>
          </cell>
        </row>
        <row r="66">
          <cell r="C66">
            <v>1</v>
          </cell>
        </row>
        <row r="67">
          <cell r="D67">
            <v>1</v>
          </cell>
        </row>
        <row r="68">
          <cell r="C68">
            <v>1</v>
          </cell>
        </row>
        <row r="69">
          <cell r="C69">
            <v>1</v>
          </cell>
        </row>
        <row r="70">
          <cell r="D70">
            <v>1</v>
          </cell>
        </row>
        <row r="71">
          <cell r="D71">
            <v>1</v>
          </cell>
        </row>
        <row r="72">
          <cell r="C72">
            <v>1</v>
          </cell>
        </row>
        <row r="73">
          <cell r="F73">
            <v>1</v>
          </cell>
        </row>
        <row r="74">
          <cell r="D74">
            <v>1</v>
          </cell>
        </row>
        <row r="75">
          <cell r="D75">
            <v>1</v>
          </cell>
        </row>
        <row r="76">
          <cell r="C76">
            <v>1</v>
          </cell>
        </row>
        <row r="77">
          <cell r="C77">
            <v>1</v>
          </cell>
        </row>
        <row r="78">
          <cell r="C78">
            <v>1</v>
          </cell>
        </row>
        <row r="79">
          <cell r="C79">
            <v>1</v>
          </cell>
        </row>
        <row r="80">
          <cell r="E80">
            <v>1</v>
          </cell>
        </row>
        <row r="81">
          <cell r="D81">
            <v>1</v>
          </cell>
        </row>
        <row r="82">
          <cell r="C82">
            <v>1</v>
          </cell>
        </row>
        <row r="83">
          <cell r="F83">
            <v>1</v>
          </cell>
        </row>
        <row r="84">
          <cell r="C84">
            <v>1</v>
          </cell>
        </row>
        <row r="85">
          <cell r="C85">
            <v>1</v>
          </cell>
        </row>
        <row r="86">
          <cell r="C86">
            <v>1</v>
          </cell>
        </row>
        <row r="87">
          <cell r="D87">
            <v>1</v>
          </cell>
        </row>
        <row r="88">
          <cell r="D88">
            <v>1</v>
          </cell>
        </row>
        <row r="89">
          <cell r="C89">
            <v>1</v>
          </cell>
        </row>
        <row r="90">
          <cell r="E90">
            <v>1</v>
          </cell>
        </row>
        <row r="91">
          <cell r="D91">
            <v>1</v>
          </cell>
        </row>
        <row r="92">
          <cell r="C92">
            <v>1</v>
          </cell>
        </row>
        <row r="93">
          <cell r="E93">
            <v>1</v>
          </cell>
        </row>
        <row r="94">
          <cell r="C94">
            <v>1</v>
          </cell>
        </row>
        <row r="95">
          <cell r="E95">
            <v>1</v>
          </cell>
        </row>
        <row r="96">
          <cell r="C96">
            <v>1</v>
          </cell>
        </row>
        <row r="97">
          <cell r="E97">
            <v>1</v>
          </cell>
        </row>
        <row r="98">
          <cell r="D98">
            <v>1</v>
          </cell>
        </row>
        <row r="99">
          <cell r="C99">
            <v>1</v>
          </cell>
        </row>
        <row r="100">
          <cell r="D100">
            <v>1</v>
          </cell>
        </row>
        <row r="101">
          <cell r="C101">
            <v>1</v>
          </cell>
        </row>
        <row r="102">
          <cell r="C102">
            <v>1</v>
          </cell>
        </row>
        <row r="103">
          <cell r="D103">
            <v>1</v>
          </cell>
        </row>
        <row r="104">
          <cell r="D104">
            <v>1</v>
          </cell>
        </row>
        <row r="105">
          <cell r="C105">
            <v>1</v>
          </cell>
        </row>
        <row r="106">
          <cell r="C106">
            <v>1</v>
          </cell>
        </row>
        <row r="107">
          <cell r="C107">
            <v>1</v>
          </cell>
        </row>
        <row r="108">
          <cell r="E108">
            <v>1</v>
          </cell>
        </row>
        <row r="109">
          <cell r="C109">
            <v>1</v>
          </cell>
        </row>
        <row r="110">
          <cell r="C110">
            <v>1</v>
          </cell>
        </row>
        <row r="111">
          <cell r="C111">
            <v>1</v>
          </cell>
        </row>
        <row r="112">
          <cell r="C112">
            <v>1</v>
          </cell>
        </row>
        <row r="113">
          <cell r="C113">
            <v>1</v>
          </cell>
        </row>
        <row r="114">
          <cell r="C114">
            <v>1</v>
          </cell>
        </row>
        <row r="115">
          <cell r="C115">
            <v>1</v>
          </cell>
        </row>
        <row r="116">
          <cell r="D116">
            <v>1</v>
          </cell>
        </row>
        <row r="117">
          <cell r="C117">
            <v>1</v>
          </cell>
        </row>
        <row r="118">
          <cell r="E118">
            <v>1</v>
          </cell>
        </row>
        <row r="119">
          <cell r="C119">
            <v>1</v>
          </cell>
        </row>
        <row r="120">
          <cell r="C120">
            <v>1</v>
          </cell>
        </row>
        <row r="121">
          <cell r="F121">
            <v>1</v>
          </cell>
        </row>
        <row r="122">
          <cell r="C122">
            <v>1</v>
          </cell>
        </row>
        <row r="123">
          <cell r="C123">
            <v>1</v>
          </cell>
        </row>
        <row r="124">
          <cell r="C124">
            <v>1</v>
          </cell>
        </row>
        <row r="125">
          <cell r="C125">
            <v>1</v>
          </cell>
        </row>
        <row r="126">
          <cell r="C126">
            <v>1</v>
          </cell>
        </row>
        <row r="127">
          <cell r="C127">
            <v>1</v>
          </cell>
        </row>
        <row r="128">
          <cell r="C128">
            <v>1</v>
          </cell>
        </row>
        <row r="129">
          <cell r="C129">
            <v>1</v>
          </cell>
        </row>
        <row r="130">
          <cell r="C130">
            <v>1</v>
          </cell>
        </row>
        <row r="131">
          <cell r="E131">
            <v>1</v>
          </cell>
        </row>
        <row r="132">
          <cell r="E132">
            <v>1</v>
          </cell>
        </row>
        <row r="133">
          <cell r="C133">
            <v>1</v>
          </cell>
        </row>
        <row r="134">
          <cell r="D134">
            <v>1</v>
          </cell>
        </row>
        <row r="135">
          <cell r="E135">
            <v>1</v>
          </cell>
        </row>
        <row r="136">
          <cell r="E136">
            <v>1</v>
          </cell>
        </row>
        <row r="137">
          <cell r="D137">
            <v>1</v>
          </cell>
        </row>
        <row r="138">
          <cell r="C138">
            <v>1</v>
          </cell>
        </row>
        <row r="139">
          <cell r="E139">
            <v>1</v>
          </cell>
        </row>
        <row r="140">
          <cell r="C140">
            <v>1</v>
          </cell>
        </row>
        <row r="141">
          <cell r="C141">
            <v>1</v>
          </cell>
        </row>
        <row r="142">
          <cell r="C142">
            <v>1</v>
          </cell>
        </row>
        <row r="143">
          <cell r="C143">
            <v>1</v>
          </cell>
        </row>
        <row r="144">
          <cell r="C144">
            <v>1</v>
          </cell>
        </row>
        <row r="145">
          <cell r="D145">
            <v>1</v>
          </cell>
        </row>
        <row r="146">
          <cell r="C146">
            <v>1</v>
          </cell>
        </row>
        <row r="147">
          <cell r="E147">
            <v>1</v>
          </cell>
        </row>
        <row r="148">
          <cell r="C148">
            <v>1</v>
          </cell>
        </row>
        <row r="149">
          <cell r="C149">
            <v>1</v>
          </cell>
        </row>
        <row r="150">
          <cell r="C150">
            <v>1</v>
          </cell>
        </row>
        <row r="151">
          <cell r="D151">
            <v>1</v>
          </cell>
        </row>
        <row r="152">
          <cell r="C152">
            <v>1</v>
          </cell>
        </row>
        <row r="153">
          <cell r="C153">
            <v>1</v>
          </cell>
        </row>
        <row r="154">
          <cell r="C154">
            <v>1</v>
          </cell>
        </row>
        <row r="155">
          <cell r="C155">
            <v>1</v>
          </cell>
        </row>
        <row r="156">
          <cell r="D156">
            <v>1</v>
          </cell>
        </row>
      </sheetData>
      <sheetData sheetId="24">
        <row r="2">
          <cell r="C2">
            <v>1</v>
          </cell>
          <cell r="H2" t="str">
            <v>Chile Digno</v>
          </cell>
          <cell r="I2">
            <v>11</v>
          </cell>
          <cell r="J2">
            <v>0</v>
          </cell>
          <cell r="K2">
            <v>0</v>
          </cell>
          <cell r="L2">
            <v>0</v>
          </cell>
          <cell r="M2">
            <v>11</v>
          </cell>
        </row>
        <row r="3">
          <cell r="C3">
            <v>1</v>
          </cell>
          <cell r="H3" t="str">
            <v>Mov. Sociales Const.</v>
          </cell>
          <cell r="I3">
            <v>3</v>
          </cell>
          <cell r="J3">
            <v>8</v>
          </cell>
          <cell r="K3">
            <v>1</v>
          </cell>
          <cell r="L3">
            <v>0</v>
          </cell>
          <cell r="M3">
            <v>12</v>
          </cell>
        </row>
        <row r="4">
          <cell r="D4">
            <v>1</v>
          </cell>
          <cell r="H4" t="str">
            <v>Pueblo Constituyente</v>
          </cell>
          <cell r="I4">
            <v>10</v>
          </cell>
          <cell r="J4">
            <v>0</v>
          </cell>
          <cell r="K4">
            <v>0</v>
          </cell>
          <cell r="L4">
            <v>0</v>
          </cell>
          <cell r="M4">
            <v>10</v>
          </cell>
        </row>
        <row r="5">
          <cell r="E5">
            <v>1</v>
          </cell>
          <cell r="H5" t="str">
            <v xml:space="preserve">Escaños Reservados </v>
          </cell>
          <cell r="I5">
            <v>3</v>
          </cell>
          <cell r="J5">
            <v>0</v>
          </cell>
          <cell r="K5">
            <v>5</v>
          </cell>
          <cell r="L5">
            <v>1</v>
          </cell>
          <cell r="M5">
            <v>9</v>
          </cell>
        </row>
        <row r="6">
          <cell r="C6">
            <v>1</v>
          </cell>
          <cell r="H6" t="str">
            <v>Coord. Plurinacional</v>
          </cell>
          <cell r="I6">
            <v>15</v>
          </cell>
          <cell r="J6">
            <v>1</v>
          </cell>
          <cell r="K6">
            <v>0</v>
          </cell>
          <cell r="L6">
            <v>0</v>
          </cell>
          <cell r="M6">
            <v>16</v>
          </cell>
        </row>
        <row r="7">
          <cell r="C7">
            <v>1</v>
          </cell>
          <cell r="H7" t="str">
            <v>Ind. Por Nueva Const.</v>
          </cell>
          <cell r="I7">
            <v>7</v>
          </cell>
          <cell r="J7">
            <v>2</v>
          </cell>
          <cell r="K7">
            <v>3</v>
          </cell>
          <cell r="L7">
            <v>0</v>
          </cell>
          <cell r="M7">
            <v>12</v>
          </cell>
        </row>
        <row r="8">
          <cell r="D8">
            <v>1</v>
          </cell>
          <cell r="H8" t="str">
            <v>Colectivo Socialista</v>
          </cell>
          <cell r="I8">
            <v>3</v>
          </cell>
          <cell r="J8">
            <v>9</v>
          </cell>
          <cell r="K8">
            <v>2</v>
          </cell>
          <cell r="L8">
            <v>1</v>
          </cell>
          <cell r="M8">
            <v>15</v>
          </cell>
        </row>
        <row r="9">
          <cell r="D9">
            <v>1</v>
          </cell>
          <cell r="H9" t="str">
            <v>Frente Amplio</v>
          </cell>
          <cell r="I9">
            <v>2</v>
          </cell>
          <cell r="J9">
            <v>10</v>
          </cell>
          <cell r="K9">
            <v>10</v>
          </cell>
          <cell r="L9">
            <v>0</v>
          </cell>
          <cell r="M9">
            <v>22</v>
          </cell>
        </row>
        <row r="10">
          <cell r="C10">
            <v>1</v>
          </cell>
          <cell r="H10" t="str">
            <v>Ind. + UDI</v>
          </cell>
          <cell r="I10">
            <v>0</v>
          </cell>
          <cell r="J10">
            <v>19</v>
          </cell>
          <cell r="K10">
            <v>2</v>
          </cell>
          <cell r="L10">
            <v>0</v>
          </cell>
          <cell r="M10">
            <v>21</v>
          </cell>
        </row>
        <row r="11">
          <cell r="C11">
            <v>1</v>
          </cell>
          <cell r="H11" t="str">
            <v>Ind. RN - Evópoli</v>
          </cell>
          <cell r="I11">
            <v>0</v>
          </cell>
          <cell r="J11">
            <v>10</v>
          </cell>
          <cell r="K11">
            <v>5</v>
          </cell>
          <cell r="L11">
            <v>0</v>
          </cell>
          <cell r="M11">
            <v>15</v>
          </cell>
        </row>
        <row r="12">
          <cell r="C12">
            <v>1</v>
          </cell>
          <cell r="H12" t="str">
            <v>Colectivo del Apruebo</v>
          </cell>
          <cell r="I12">
            <v>3</v>
          </cell>
          <cell r="J12">
            <v>2</v>
          </cell>
          <cell r="K12">
            <v>2</v>
          </cell>
          <cell r="L12">
            <v>0</v>
          </cell>
          <cell r="M12">
            <v>7</v>
          </cell>
        </row>
        <row r="13">
          <cell r="D13">
            <v>1</v>
          </cell>
          <cell r="H13" t="str">
            <v>Otros</v>
          </cell>
          <cell r="I13">
            <v>5</v>
          </cell>
          <cell r="J13">
            <v>0</v>
          </cell>
          <cell r="K13">
            <v>0</v>
          </cell>
          <cell r="L13">
            <v>0</v>
          </cell>
          <cell r="M13">
            <v>5</v>
          </cell>
        </row>
        <row r="14">
          <cell r="C14">
            <v>1</v>
          </cell>
        </row>
        <row r="15">
          <cell r="C15">
            <v>1</v>
          </cell>
        </row>
        <row r="16">
          <cell r="D16">
            <v>1</v>
          </cell>
        </row>
        <row r="17">
          <cell r="D17">
            <v>1</v>
          </cell>
        </row>
        <row r="18">
          <cell r="C18">
            <v>1</v>
          </cell>
        </row>
        <row r="19">
          <cell r="D19">
            <v>1</v>
          </cell>
        </row>
        <row r="20">
          <cell r="C20">
            <v>1</v>
          </cell>
        </row>
        <row r="21">
          <cell r="C21">
            <v>1</v>
          </cell>
        </row>
        <row r="22">
          <cell r="C22">
            <v>1</v>
          </cell>
        </row>
        <row r="23">
          <cell r="D23">
            <v>1</v>
          </cell>
        </row>
        <row r="24">
          <cell r="C24">
            <v>1</v>
          </cell>
        </row>
        <row r="25">
          <cell r="D25">
            <v>1</v>
          </cell>
        </row>
        <row r="26">
          <cell r="C26">
            <v>1</v>
          </cell>
        </row>
        <row r="27">
          <cell r="C27">
            <v>1</v>
          </cell>
        </row>
        <row r="28">
          <cell r="C28">
            <v>1</v>
          </cell>
        </row>
        <row r="29">
          <cell r="D29">
            <v>1</v>
          </cell>
        </row>
        <row r="30">
          <cell r="C30">
            <v>1</v>
          </cell>
        </row>
        <row r="31">
          <cell r="D31">
            <v>1</v>
          </cell>
        </row>
        <row r="32">
          <cell r="D32">
            <v>1</v>
          </cell>
        </row>
        <row r="33">
          <cell r="D33">
            <v>1</v>
          </cell>
        </row>
        <row r="34">
          <cell r="E34">
            <v>1</v>
          </cell>
        </row>
        <row r="35">
          <cell r="D35">
            <v>1</v>
          </cell>
        </row>
        <row r="36">
          <cell r="E36">
            <v>1</v>
          </cell>
        </row>
        <row r="37">
          <cell r="C37">
            <v>1</v>
          </cell>
        </row>
        <row r="38">
          <cell r="E38">
            <v>1</v>
          </cell>
        </row>
        <row r="39">
          <cell r="E39">
            <v>1</v>
          </cell>
        </row>
        <row r="40">
          <cell r="E40">
            <v>1</v>
          </cell>
        </row>
        <row r="41">
          <cell r="C41">
            <v>1</v>
          </cell>
        </row>
        <row r="42">
          <cell r="D42">
            <v>1</v>
          </cell>
        </row>
        <row r="43">
          <cell r="D43">
            <v>1</v>
          </cell>
        </row>
        <row r="44">
          <cell r="D44">
            <v>1</v>
          </cell>
        </row>
        <row r="45">
          <cell r="E45">
            <v>1</v>
          </cell>
        </row>
        <row r="46">
          <cell r="D46">
            <v>1</v>
          </cell>
          <cell r="H46" t="str">
            <v>Chile Digno</v>
          </cell>
          <cell r="I46">
            <v>1</v>
          </cell>
          <cell r="J46">
            <v>0</v>
          </cell>
          <cell r="K46">
            <v>0</v>
          </cell>
          <cell r="L46">
            <v>0</v>
          </cell>
        </row>
        <row r="47">
          <cell r="D47">
            <v>1</v>
          </cell>
          <cell r="H47" t="str">
            <v>Mov. Sociales Const.</v>
          </cell>
          <cell r="I47">
            <v>0.25</v>
          </cell>
          <cell r="J47">
            <v>0.66666666666666663</v>
          </cell>
          <cell r="K47">
            <v>8.3333333333333329E-2</v>
          </cell>
          <cell r="L47">
            <v>0</v>
          </cell>
        </row>
        <row r="48">
          <cell r="D48">
            <v>1</v>
          </cell>
          <cell r="H48" t="str">
            <v>Pueblo Constituyente</v>
          </cell>
          <cell r="I48">
            <v>1</v>
          </cell>
          <cell r="J48">
            <v>0</v>
          </cell>
          <cell r="K48">
            <v>0</v>
          </cell>
          <cell r="L48">
            <v>0</v>
          </cell>
        </row>
        <row r="49">
          <cell r="D49">
            <v>1</v>
          </cell>
          <cell r="H49" t="str">
            <v xml:space="preserve">Escaños Reservados </v>
          </cell>
          <cell r="I49">
            <v>0.33333333333333331</v>
          </cell>
          <cell r="J49">
            <v>0</v>
          </cell>
          <cell r="K49">
            <v>0.55555555555555558</v>
          </cell>
          <cell r="L49">
            <v>0.1111111111111111</v>
          </cell>
        </row>
        <row r="50">
          <cell r="D50">
            <v>1</v>
          </cell>
          <cell r="H50" t="str">
            <v>Coord. Plurinacional</v>
          </cell>
          <cell r="I50">
            <v>0.9375</v>
          </cell>
          <cell r="J50">
            <v>6.25E-2</v>
          </cell>
          <cell r="K50">
            <v>0</v>
          </cell>
          <cell r="L50">
            <v>0</v>
          </cell>
        </row>
        <row r="51">
          <cell r="D51">
            <v>1</v>
          </cell>
          <cell r="H51" t="str">
            <v>Ind. Por Nueva Const.</v>
          </cell>
          <cell r="I51">
            <v>0.58333333333333337</v>
          </cell>
          <cell r="J51">
            <v>0.16666666666666666</v>
          </cell>
          <cell r="K51">
            <v>0.25</v>
          </cell>
          <cell r="L51">
            <v>0</v>
          </cell>
        </row>
        <row r="52">
          <cell r="D52">
            <v>1</v>
          </cell>
          <cell r="H52" t="str">
            <v>Colectivo Socialista</v>
          </cell>
          <cell r="I52">
            <v>0.2</v>
          </cell>
          <cell r="J52">
            <v>0.6</v>
          </cell>
          <cell r="K52">
            <v>0.13333333333333333</v>
          </cell>
          <cell r="L52">
            <v>6.6666666666666666E-2</v>
          </cell>
        </row>
        <row r="53">
          <cell r="D53">
            <v>1</v>
          </cell>
          <cell r="H53" t="str">
            <v>Frente Amplio</v>
          </cell>
          <cell r="I53">
            <v>9.0909090909090912E-2</v>
          </cell>
          <cell r="J53">
            <v>0.45454545454545453</v>
          </cell>
          <cell r="K53">
            <v>0.45454545454545453</v>
          </cell>
          <cell r="L53">
            <v>0</v>
          </cell>
        </row>
        <row r="54">
          <cell r="C54">
            <v>1</v>
          </cell>
          <cell r="H54" t="str">
            <v>Ind. + UDI</v>
          </cell>
          <cell r="I54">
            <v>0</v>
          </cell>
          <cell r="J54">
            <v>0.90476190476190477</v>
          </cell>
          <cell r="K54">
            <v>9.5238095238095233E-2</v>
          </cell>
          <cell r="L54">
            <v>0</v>
          </cell>
        </row>
        <row r="55">
          <cell r="C55">
            <v>1</v>
          </cell>
          <cell r="H55" t="str">
            <v>Ind. RN - Evópoli</v>
          </cell>
          <cell r="I55">
            <v>0</v>
          </cell>
          <cell r="J55">
            <v>0.66666666666666663</v>
          </cell>
          <cell r="K55">
            <v>0.33333333333333331</v>
          </cell>
          <cell r="L55">
            <v>0</v>
          </cell>
        </row>
        <row r="56">
          <cell r="C56">
            <v>1</v>
          </cell>
          <cell r="H56" t="str">
            <v>Colectivo del Apruebo</v>
          </cell>
          <cell r="I56">
            <v>0.42857142857142855</v>
          </cell>
          <cell r="J56">
            <v>0.2857142857142857</v>
          </cell>
          <cell r="K56">
            <v>0.2857142857142857</v>
          </cell>
          <cell r="L56">
            <v>0</v>
          </cell>
        </row>
        <row r="57">
          <cell r="C57">
            <v>1</v>
          </cell>
          <cell r="H57" t="str">
            <v>Otros</v>
          </cell>
          <cell r="I57">
            <v>1</v>
          </cell>
          <cell r="J57">
            <v>0</v>
          </cell>
          <cell r="K57">
            <v>0</v>
          </cell>
          <cell r="L57">
            <v>0</v>
          </cell>
        </row>
        <row r="58">
          <cell r="D58">
            <v>1</v>
          </cell>
        </row>
        <row r="59">
          <cell r="C59">
            <v>1</v>
          </cell>
        </row>
        <row r="60">
          <cell r="C60">
            <v>1</v>
          </cell>
        </row>
        <row r="61">
          <cell r="C61">
            <v>1</v>
          </cell>
        </row>
        <row r="62">
          <cell r="C62">
            <v>1</v>
          </cell>
        </row>
        <row r="63">
          <cell r="F63">
            <v>1</v>
          </cell>
        </row>
        <row r="64">
          <cell r="C64">
            <v>1</v>
          </cell>
        </row>
        <row r="65">
          <cell r="C65">
            <v>1</v>
          </cell>
        </row>
        <row r="66">
          <cell r="C66">
            <v>1</v>
          </cell>
        </row>
        <row r="67">
          <cell r="D67">
            <v>1</v>
          </cell>
        </row>
        <row r="68">
          <cell r="C68">
            <v>1</v>
          </cell>
        </row>
        <row r="69">
          <cell r="D69">
            <v>1</v>
          </cell>
        </row>
        <row r="70">
          <cell r="D70">
            <v>1</v>
          </cell>
        </row>
        <row r="71">
          <cell r="D71">
            <v>1</v>
          </cell>
        </row>
        <row r="72">
          <cell r="D72">
            <v>1</v>
          </cell>
        </row>
        <row r="73">
          <cell r="C73">
            <v>1</v>
          </cell>
        </row>
        <row r="74">
          <cell r="D74">
            <v>1</v>
          </cell>
        </row>
        <row r="75">
          <cell r="D75">
            <v>1</v>
          </cell>
        </row>
        <row r="76">
          <cell r="C76">
            <v>1</v>
          </cell>
        </row>
        <row r="77">
          <cell r="E77">
            <v>1</v>
          </cell>
        </row>
        <row r="78">
          <cell r="C78">
            <v>1</v>
          </cell>
        </row>
        <row r="79">
          <cell r="F79">
            <v>1</v>
          </cell>
        </row>
        <row r="80">
          <cell r="D80">
            <v>1</v>
          </cell>
        </row>
        <row r="81">
          <cell r="D81">
            <v>1</v>
          </cell>
        </row>
        <row r="82">
          <cell r="C82">
            <v>1</v>
          </cell>
        </row>
        <row r="83">
          <cell r="C83">
            <v>1</v>
          </cell>
        </row>
        <row r="84">
          <cell r="C84">
            <v>1</v>
          </cell>
        </row>
        <row r="85">
          <cell r="E85">
            <v>1</v>
          </cell>
        </row>
        <row r="86">
          <cell r="C86">
            <v>1</v>
          </cell>
        </row>
        <row r="87">
          <cell r="E87">
            <v>1</v>
          </cell>
        </row>
        <row r="88">
          <cell r="D88">
            <v>1</v>
          </cell>
        </row>
        <row r="89">
          <cell r="C89">
            <v>1</v>
          </cell>
        </row>
        <row r="90">
          <cell r="E90">
            <v>1</v>
          </cell>
        </row>
        <row r="91">
          <cell r="D91">
            <v>1</v>
          </cell>
        </row>
        <row r="92">
          <cell r="E92">
            <v>1</v>
          </cell>
        </row>
        <row r="93">
          <cell r="D93">
            <v>1</v>
          </cell>
        </row>
        <row r="94">
          <cell r="D94">
            <v>1</v>
          </cell>
        </row>
        <row r="95">
          <cell r="E95">
            <v>1</v>
          </cell>
        </row>
        <row r="96">
          <cell r="C96">
            <v>1</v>
          </cell>
        </row>
        <row r="97">
          <cell r="E97">
            <v>1</v>
          </cell>
        </row>
        <row r="98">
          <cell r="D98">
            <v>1</v>
          </cell>
        </row>
        <row r="99">
          <cell r="D99">
            <v>1</v>
          </cell>
        </row>
        <row r="100">
          <cell r="D100">
            <v>1</v>
          </cell>
        </row>
        <row r="101">
          <cell r="D101">
            <v>1</v>
          </cell>
        </row>
        <row r="102">
          <cell r="C102">
            <v>1</v>
          </cell>
        </row>
        <row r="103">
          <cell r="D103">
            <v>1</v>
          </cell>
        </row>
        <row r="104">
          <cell r="D104">
            <v>1</v>
          </cell>
        </row>
        <row r="105">
          <cell r="C105">
            <v>1</v>
          </cell>
        </row>
        <row r="106">
          <cell r="C106">
            <v>1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C109">
            <v>1</v>
          </cell>
        </row>
        <row r="110">
          <cell r="C110">
            <v>1</v>
          </cell>
        </row>
        <row r="111">
          <cell r="E111">
            <v>1</v>
          </cell>
        </row>
        <row r="112">
          <cell r="E112">
            <v>1</v>
          </cell>
        </row>
        <row r="113">
          <cell r="C113">
            <v>1</v>
          </cell>
        </row>
        <row r="114">
          <cell r="E114">
            <v>1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E117">
            <v>1</v>
          </cell>
        </row>
        <row r="118">
          <cell r="E118">
            <v>1</v>
          </cell>
        </row>
        <row r="119">
          <cell r="C119">
            <v>1</v>
          </cell>
        </row>
        <row r="120">
          <cell r="D120">
            <v>1</v>
          </cell>
        </row>
        <row r="121">
          <cell r="F121">
            <v>1</v>
          </cell>
        </row>
        <row r="122">
          <cell r="C122">
            <v>1</v>
          </cell>
        </row>
        <row r="123">
          <cell r="D123">
            <v>1</v>
          </cell>
        </row>
        <row r="124">
          <cell r="C124">
            <v>1</v>
          </cell>
        </row>
        <row r="125">
          <cell r="C125">
            <v>1</v>
          </cell>
        </row>
        <row r="126">
          <cell r="D126">
            <v>1</v>
          </cell>
        </row>
        <row r="127">
          <cell r="D127">
            <v>1</v>
          </cell>
        </row>
        <row r="128">
          <cell r="C128">
            <v>1</v>
          </cell>
        </row>
        <row r="129">
          <cell r="C129">
            <v>1</v>
          </cell>
        </row>
        <row r="130">
          <cell r="C130">
            <v>1</v>
          </cell>
        </row>
        <row r="131">
          <cell r="E131">
            <v>1</v>
          </cell>
        </row>
        <row r="132">
          <cell r="D132">
            <v>1</v>
          </cell>
        </row>
        <row r="133">
          <cell r="D133">
            <v>1</v>
          </cell>
        </row>
        <row r="134">
          <cell r="D134">
            <v>1</v>
          </cell>
        </row>
        <row r="135">
          <cell r="C135">
            <v>1</v>
          </cell>
        </row>
        <row r="136">
          <cell r="D136">
            <v>1</v>
          </cell>
        </row>
        <row r="137">
          <cell r="D137">
            <v>1</v>
          </cell>
        </row>
        <row r="138">
          <cell r="C138">
            <v>1</v>
          </cell>
        </row>
        <row r="139">
          <cell r="D139">
            <v>1</v>
          </cell>
        </row>
        <row r="140">
          <cell r="D140">
            <v>1</v>
          </cell>
        </row>
        <row r="141">
          <cell r="C141">
            <v>1</v>
          </cell>
        </row>
        <row r="142">
          <cell r="C142">
            <v>1</v>
          </cell>
        </row>
        <row r="143">
          <cell r="C143">
            <v>1</v>
          </cell>
        </row>
        <row r="144">
          <cell r="D144">
            <v>1</v>
          </cell>
        </row>
        <row r="145">
          <cell r="D145">
            <v>1</v>
          </cell>
        </row>
        <row r="146">
          <cell r="C146">
            <v>1</v>
          </cell>
        </row>
        <row r="147">
          <cell r="E147">
            <v>1</v>
          </cell>
        </row>
        <row r="148">
          <cell r="C148">
            <v>1</v>
          </cell>
        </row>
        <row r="149">
          <cell r="C149">
            <v>1</v>
          </cell>
        </row>
        <row r="150">
          <cell r="C150">
            <v>1</v>
          </cell>
        </row>
        <row r="151">
          <cell r="D151">
            <v>1</v>
          </cell>
        </row>
        <row r="152">
          <cell r="E152">
            <v>1</v>
          </cell>
        </row>
        <row r="153">
          <cell r="C153">
            <v>1</v>
          </cell>
        </row>
        <row r="154">
          <cell r="D154">
            <v>1</v>
          </cell>
        </row>
        <row r="155">
          <cell r="C155">
            <v>1</v>
          </cell>
        </row>
        <row r="156">
          <cell r="D156">
            <v>1</v>
          </cell>
        </row>
      </sheetData>
      <sheetData sheetId="25">
        <row r="2">
          <cell r="C2">
            <v>1</v>
          </cell>
          <cell r="H2" t="str">
            <v>Chile Digno</v>
          </cell>
          <cell r="I2">
            <v>11</v>
          </cell>
          <cell r="J2">
            <v>0</v>
          </cell>
          <cell r="K2">
            <v>0</v>
          </cell>
          <cell r="L2">
            <v>0</v>
          </cell>
          <cell r="M2">
            <v>11</v>
          </cell>
        </row>
        <row r="3">
          <cell r="C3">
            <v>1</v>
          </cell>
          <cell r="H3" t="str">
            <v>Mov. Sociales Const.</v>
          </cell>
          <cell r="I3">
            <v>12</v>
          </cell>
          <cell r="J3">
            <v>0</v>
          </cell>
          <cell r="K3">
            <v>0</v>
          </cell>
          <cell r="L3">
            <v>0</v>
          </cell>
          <cell r="M3">
            <v>12</v>
          </cell>
        </row>
        <row r="4">
          <cell r="D4">
            <v>1</v>
          </cell>
          <cell r="H4" t="str">
            <v>Pueblo Constituyente</v>
          </cell>
          <cell r="I4">
            <v>10</v>
          </cell>
          <cell r="J4">
            <v>0</v>
          </cell>
          <cell r="K4">
            <v>0</v>
          </cell>
          <cell r="L4">
            <v>0</v>
          </cell>
          <cell r="M4">
            <v>10</v>
          </cell>
        </row>
        <row r="5">
          <cell r="C5">
            <v>1</v>
          </cell>
          <cell r="H5" t="str">
            <v xml:space="preserve">Escaños Reservados </v>
          </cell>
          <cell r="I5">
            <v>8</v>
          </cell>
          <cell r="J5">
            <v>0</v>
          </cell>
          <cell r="K5">
            <v>0</v>
          </cell>
          <cell r="L5">
            <v>1</v>
          </cell>
          <cell r="M5">
            <v>9</v>
          </cell>
        </row>
        <row r="6">
          <cell r="C6">
            <v>1</v>
          </cell>
          <cell r="H6" t="str">
            <v>Coord. Plurinacional</v>
          </cell>
          <cell r="I6">
            <v>16</v>
          </cell>
          <cell r="J6">
            <v>0</v>
          </cell>
          <cell r="K6">
            <v>0</v>
          </cell>
          <cell r="L6">
            <v>0</v>
          </cell>
          <cell r="M6">
            <v>16</v>
          </cell>
        </row>
        <row r="7">
          <cell r="C7">
            <v>1</v>
          </cell>
          <cell r="H7" t="str">
            <v>Ind. Por Nueva Const.</v>
          </cell>
          <cell r="I7">
            <v>8</v>
          </cell>
          <cell r="J7">
            <v>0</v>
          </cell>
          <cell r="K7">
            <v>4</v>
          </cell>
          <cell r="L7">
            <v>0</v>
          </cell>
          <cell r="M7">
            <v>12</v>
          </cell>
        </row>
        <row r="8">
          <cell r="E8">
            <v>1</v>
          </cell>
          <cell r="H8" t="str">
            <v>Colectivo Socialista</v>
          </cell>
          <cell r="I8">
            <v>12</v>
          </cell>
          <cell r="J8">
            <v>1</v>
          </cell>
          <cell r="K8">
            <v>2</v>
          </cell>
          <cell r="L8">
            <v>0</v>
          </cell>
          <cell r="M8">
            <v>15</v>
          </cell>
        </row>
        <row r="9">
          <cell r="C9">
            <v>1</v>
          </cell>
          <cell r="H9" t="str">
            <v>Frente Amplio</v>
          </cell>
          <cell r="I9">
            <v>4</v>
          </cell>
          <cell r="J9">
            <v>8</v>
          </cell>
          <cell r="K9">
            <v>8</v>
          </cell>
          <cell r="L9">
            <v>0</v>
          </cell>
          <cell r="M9">
            <v>20</v>
          </cell>
        </row>
        <row r="10">
          <cell r="C10">
            <v>1</v>
          </cell>
          <cell r="H10" t="str">
            <v>Ind. + UDI</v>
          </cell>
          <cell r="I10">
            <v>3</v>
          </cell>
          <cell r="J10">
            <v>3</v>
          </cell>
          <cell r="K10">
            <v>15</v>
          </cell>
          <cell r="L10">
            <v>0</v>
          </cell>
          <cell r="M10">
            <v>21</v>
          </cell>
        </row>
        <row r="11">
          <cell r="C11">
            <v>1</v>
          </cell>
          <cell r="H11" t="str">
            <v>Ind. RN - Evópoli</v>
          </cell>
          <cell r="I11">
            <v>4</v>
          </cell>
          <cell r="J11">
            <v>3</v>
          </cell>
          <cell r="K11">
            <v>8</v>
          </cell>
          <cell r="L11">
            <v>0</v>
          </cell>
          <cell r="M11">
            <v>15</v>
          </cell>
        </row>
        <row r="12">
          <cell r="C12">
            <v>1</v>
          </cell>
          <cell r="H12" t="str">
            <v>Colectivo del Apruebo</v>
          </cell>
          <cell r="I12">
            <v>5</v>
          </cell>
          <cell r="J12">
            <v>0</v>
          </cell>
          <cell r="K12">
            <v>2</v>
          </cell>
          <cell r="L12">
            <v>0</v>
          </cell>
          <cell r="M12">
            <v>7</v>
          </cell>
        </row>
        <row r="13">
          <cell r="E13">
            <v>1</v>
          </cell>
          <cell r="H13" t="str">
            <v>Otros</v>
          </cell>
          <cell r="I13">
            <v>5</v>
          </cell>
          <cell r="J13">
            <v>0</v>
          </cell>
          <cell r="K13">
            <v>0</v>
          </cell>
          <cell r="L13">
            <v>0</v>
          </cell>
          <cell r="M13">
            <v>5</v>
          </cell>
        </row>
        <row r="14">
          <cell r="C14">
            <v>1</v>
          </cell>
        </row>
        <row r="15">
          <cell r="C15">
            <v>1</v>
          </cell>
        </row>
        <row r="16">
          <cell r="E16">
            <v>1</v>
          </cell>
        </row>
        <row r="17">
          <cell r="D17">
            <v>1</v>
          </cell>
        </row>
        <row r="18">
          <cell r="C18">
            <v>1</v>
          </cell>
        </row>
        <row r="19">
          <cell r="D19">
            <v>1</v>
          </cell>
        </row>
        <row r="20">
          <cell r="C20">
            <v>1</v>
          </cell>
        </row>
        <row r="21">
          <cell r="C21">
            <v>1</v>
          </cell>
        </row>
        <row r="22">
          <cell r="C22">
            <v>1</v>
          </cell>
        </row>
        <row r="23">
          <cell r="E23">
            <v>1</v>
          </cell>
        </row>
        <row r="24">
          <cell r="C24">
            <v>1</v>
          </cell>
        </row>
        <row r="25">
          <cell r="E25">
            <v>1</v>
          </cell>
        </row>
        <row r="26">
          <cell r="C26">
            <v>1</v>
          </cell>
        </row>
        <row r="27">
          <cell r="C27">
            <v>1</v>
          </cell>
        </row>
        <row r="28">
          <cell r="C28">
            <v>1</v>
          </cell>
        </row>
        <row r="29">
          <cell r="C29">
            <v>1</v>
          </cell>
        </row>
        <row r="30">
          <cell r="C30">
            <v>1</v>
          </cell>
        </row>
        <row r="31">
          <cell r="D31">
            <v>1</v>
          </cell>
        </row>
        <row r="32">
          <cell r="C32">
            <v>1</v>
          </cell>
        </row>
        <row r="33">
          <cell r="C33">
            <v>1</v>
          </cell>
        </row>
        <row r="34">
          <cell r="C34">
            <v>1</v>
          </cell>
        </row>
        <row r="35">
          <cell r="E35">
            <v>1</v>
          </cell>
        </row>
        <row r="36">
          <cell r="C36">
            <v>1</v>
          </cell>
        </row>
        <row r="37">
          <cell r="C37">
            <v>1</v>
          </cell>
        </row>
        <row r="38">
          <cell r="E38">
            <v>1</v>
          </cell>
        </row>
        <row r="39">
          <cell r="D39">
            <v>1</v>
          </cell>
        </row>
        <row r="40">
          <cell r="E40">
            <v>1</v>
          </cell>
        </row>
        <row r="41">
          <cell r="C41">
            <v>1</v>
          </cell>
        </row>
        <row r="42">
          <cell r="D42">
            <v>1</v>
          </cell>
        </row>
        <row r="43">
          <cell r="E43">
            <v>1</v>
          </cell>
        </row>
        <row r="44">
          <cell r="C44">
            <v>1</v>
          </cell>
        </row>
        <row r="45">
          <cell r="C45">
            <v>1</v>
          </cell>
        </row>
        <row r="46">
          <cell r="E46">
            <v>1</v>
          </cell>
          <cell r="H46" t="str">
            <v>Chile Digno</v>
          </cell>
          <cell r="I46">
            <v>1</v>
          </cell>
          <cell r="J46">
            <v>0</v>
          </cell>
          <cell r="K46">
            <v>0</v>
          </cell>
          <cell r="L46">
            <v>0</v>
          </cell>
        </row>
        <row r="47">
          <cell r="C47">
            <v>1</v>
          </cell>
          <cell r="H47" t="str">
            <v>Mov. Sociales Const.</v>
          </cell>
          <cell r="I47">
            <v>1</v>
          </cell>
          <cell r="J47">
            <v>0</v>
          </cell>
          <cell r="K47">
            <v>0</v>
          </cell>
          <cell r="L47">
            <v>0</v>
          </cell>
        </row>
        <row r="48">
          <cell r="C48">
            <v>1</v>
          </cell>
          <cell r="H48" t="str">
            <v>Pueblo Constituyente</v>
          </cell>
          <cell r="I48">
            <v>1</v>
          </cell>
          <cell r="J48">
            <v>0</v>
          </cell>
          <cell r="K48">
            <v>0</v>
          </cell>
          <cell r="L48">
            <v>0</v>
          </cell>
        </row>
        <row r="49">
          <cell r="C49">
            <v>1</v>
          </cell>
          <cell r="H49" t="str">
            <v xml:space="preserve">Escaños Reservados </v>
          </cell>
          <cell r="I49">
            <v>0.88888888888888884</v>
          </cell>
          <cell r="J49">
            <v>0</v>
          </cell>
          <cell r="K49">
            <v>0</v>
          </cell>
          <cell r="L49">
            <v>0.1111111111111111</v>
          </cell>
        </row>
        <row r="50">
          <cell r="C50">
            <v>1</v>
          </cell>
          <cell r="H50" t="str">
            <v>Coord. Plurinacional</v>
          </cell>
          <cell r="I50">
            <v>1</v>
          </cell>
          <cell r="J50">
            <v>0</v>
          </cell>
          <cell r="K50">
            <v>0</v>
          </cell>
          <cell r="L50">
            <v>0</v>
          </cell>
        </row>
        <row r="51">
          <cell r="C51">
            <v>1</v>
          </cell>
          <cell r="H51" t="str">
            <v>Ind. Por Nueva Const.</v>
          </cell>
          <cell r="I51">
            <v>0.66666666666666663</v>
          </cell>
          <cell r="J51">
            <v>0</v>
          </cell>
          <cell r="K51">
            <v>0.33333333333333331</v>
          </cell>
          <cell r="L51">
            <v>0</v>
          </cell>
        </row>
        <row r="52">
          <cell r="C52">
            <v>1</v>
          </cell>
          <cell r="H52" t="str">
            <v>Colectivo Socialista</v>
          </cell>
          <cell r="I52">
            <v>0.8</v>
          </cell>
          <cell r="J52">
            <v>6.6666666666666666E-2</v>
          </cell>
          <cell r="K52">
            <v>0.13333333333333333</v>
          </cell>
          <cell r="L52">
            <v>0</v>
          </cell>
        </row>
        <row r="53">
          <cell r="E53">
            <v>1</v>
          </cell>
          <cell r="H53" t="str">
            <v>Frente Amplio</v>
          </cell>
          <cell r="I53">
            <v>0.2</v>
          </cell>
          <cell r="J53">
            <v>0.4</v>
          </cell>
          <cell r="K53">
            <v>0.4</v>
          </cell>
          <cell r="L53">
            <v>0</v>
          </cell>
        </row>
        <row r="54">
          <cell r="C54">
            <v>1</v>
          </cell>
          <cell r="H54" t="str">
            <v>Ind. + UDI</v>
          </cell>
          <cell r="I54">
            <v>0.14285714285714285</v>
          </cell>
          <cell r="J54">
            <v>0.14285714285714285</v>
          </cell>
          <cell r="K54">
            <v>0.7142857142857143</v>
          </cell>
          <cell r="L54">
            <v>0</v>
          </cell>
        </row>
        <row r="55">
          <cell r="C55">
            <v>1</v>
          </cell>
          <cell r="H55" t="str">
            <v>Ind. RN - Evópoli</v>
          </cell>
          <cell r="I55">
            <v>0.26666666666666666</v>
          </cell>
          <cell r="J55">
            <v>0.2</v>
          </cell>
          <cell r="K55">
            <v>0.53333333333333333</v>
          </cell>
          <cell r="L55">
            <v>0</v>
          </cell>
        </row>
        <row r="56">
          <cell r="C56">
            <v>1</v>
          </cell>
          <cell r="H56" t="str">
            <v>Colectivo del Apruebo</v>
          </cell>
          <cell r="I56">
            <v>0.7142857142857143</v>
          </cell>
          <cell r="J56">
            <v>0</v>
          </cell>
          <cell r="K56">
            <v>0.2857142857142857</v>
          </cell>
          <cell r="L56">
            <v>0</v>
          </cell>
        </row>
        <row r="57">
          <cell r="C57">
            <v>1</v>
          </cell>
          <cell r="H57" t="str">
            <v>Otros</v>
          </cell>
          <cell r="I57">
            <v>1</v>
          </cell>
          <cell r="J57">
            <v>0</v>
          </cell>
          <cell r="K57">
            <v>0</v>
          </cell>
          <cell r="L57">
            <v>0</v>
          </cell>
        </row>
        <row r="58">
          <cell r="C58">
            <v>1</v>
          </cell>
        </row>
        <row r="59">
          <cell r="C59">
            <v>1</v>
          </cell>
        </row>
        <row r="60">
          <cell r="C60">
            <v>1</v>
          </cell>
        </row>
        <row r="61">
          <cell r="C61">
            <v>1</v>
          </cell>
        </row>
        <row r="62">
          <cell r="C62">
            <v>1</v>
          </cell>
        </row>
        <row r="63">
          <cell r="F63">
            <v>1</v>
          </cell>
        </row>
        <row r="64">
          <cell r="C64">
            <v>1</v>
          </cell>
        </row>
        <row r="65">
          <cell r="C65">
            <v>1</v>
          </cell>
        </row>
        <row r="66">
          <cell r="C66">
            <v>1</v>
          </cell>
        </row>
        <row r="67">
          <cell r="E67">
            <v>1</v>
          </cell>
        </row>
        <row r="68">
          <cell r="C68">
            <v>1</v>
          </cell>
        </row>
        <row r="69">
          <cell r="C69">
            <v>1</v>
          </cell>
        </row>
        <row r="70">
          <cell r="E70">
            <v>1</v>
          </cell>
        </row>
        <row r="71">
          <cell r="E71">
            <v>1</v>
          </cell>
        </row>
        <row r="72">
          <cell r="D72">
            <v>1</v>
          </cell>
        </row>
        <row r="73">
          <cell r="C73">
            <v>1</v>
          </cell>
        </row>
        <row r="74">
          <cell r="E74">
            <v>1</v>
          </cell>
        </row>
        <row r="75">
          <cell r="E75">
            <v>1</v>
          </cell>
        </row>
        <row r="76">
          <cell r="C76">
            <v>1</v>
          </cell>
        </row>
        <row r="77">
          <cell r="C77">
            <v>1</v>
          </cell>
        </row>
        <row r="78">
          <cell r="C78">
            <v>1</v>
          </cell>
        </row>
        <row r="79">
          <cell r="C79">
            <v>1</v>
          </cell>
        </row>
        <row r="80">
          <cell r="E80">
            <v>1</v>
          </cell>
        </row>
        <row r="81">
          <cell r="E81">
            <v>1</v>
          </cell>
        </row>
        <row r="82">
          <cell r="C82">
            <v>1</v>
          </cell>
        </row>
        <row r="83">
          <cell r="C83">
            <v>1</v>
          </cell>
        </row>
        <row r="84">
          <cell r="C84">
            <v>1</v>
          </cell>
        </row>
        <row r="85">
          <cell r="C85">
            <v>1</v>
          </cell>
        </row>
        <row r="86">
          <cell r="C86">
            <v>1</v>
          </cell>
        </row>
        <row r="87">
          <cell r="C87">
            <v>1</v>
          </cell>
        </row>
        <row r="88">
          <cell r="D88">
            <v>1</v>
          </cell>
        </row>
        <row r="89">
          <cell r="C89">
            <v>1</v>
          </cell>
        </row>
        <row r="90">
          <cell r="E90">
            <v>1</v>
          </cell>
        </row>
        <row r="91">
          <cell r="D91">
            <v>1</v>
          </cell>
        </row>
        <row r="92">
          <cell r="E92">
            <v>1</v>
          </cell>
        </row>
        <row r="93">
          <cell r="E93">
            <v>1</v>
          </cell>
        </row>
        <row r="94">
          <cell r="C94">
            <v>1</v>
          </cell>
        </row>
        <row r="95">
          <cell r="C95">
            <v>1</v>
          </cell>
        </row>
        <row r="96">
          <cell r="C96">
            <v>1</v>
          </cell>
        </row>
        <row r="97">
          <cell r="C97">
            <v>1</v>
          </cell>
        </row>
        <row r="98">
          <cell r="D98">
            <v>1</v>
          </cell>
        </row>
        <row r="99">
          <cell r="E99">
            <v>1</v>
          </cell>
        </row>
        <row r="100">
          <cell r="E100">
            <v>1</v>
          </cell>
        </row>
        <row r="101">
          <cell r="C101">
            <v>1</v>
          </cell>
        </row>
        <row r="102">
          <cell r="C102">
            <v>1</v>
          </cell>
        </row>
        <row r="103">
          <cell r="E103">
            <v>1</v>
          </cell>
        </row>
        <row r="104">
          <cell r="E104">
            <v>1</v>
          </cell>
        </row>
        <row r="105">
          <cell r="C105">
            <v>1</v>
          </cell>
        </row>
        <row r="106">
          <cell r="C106">
            <v>1</v>
          </cell>
        </row>
        <row r="107">
          <cell r="E107">
            <v>1</v>
          </cell>
        </row>
        <row r="108">
          <cell r="E108">
            <v>1</v>
          </cell>
        </row>
        <row r="109">
          <cell r="C109">
            <v>1</v>
          </cell>
        </row>
        <row r="110">
          <cell r="C110">
            <v>1</v>
          </cell>
        </row>
        <row r="111">
          <cell r="C111">
            <v>1</v>
          </cell>
        </row>
        <row r="112">
          <cell r="C112">
            <v>1</v>
          </cell>
        </row>
        <row r="113">
          <cell r="C113">
            <v>1</v>
          </cell>
        </row>
        <row r="114">
          <cell r="E114">
            <v>1</v>
          </cell>
        </row>
        <row r="115">
          <cell r="C115">
            <v>1</v>
          </cell>
        </row>
        <row r="116">
          <cell r="E116">
            <v>1</v>
          </cell>
        </row>
        <row r="117">
          <cell r="C117">
            <v>1</v>
          </cell>
        </row>
        <row r="118">
          <cell r="C118">
            <v>1</v>
          </cell>
        </row>
        <row r="119">
          <cell r="C119">
            <v>1</v>
          </cell>
        </row>
        <row r="120">
          <cell r="D120">
            <v>1</v>
          </cell>
        </row>
        <row r="121">
          <cell r="F121">
            <v>1</v>
          </cell>
        </row>
        <row r="122">
          <cell r="C122">
            <v>1</v>
          </cell>
        </row>
        <row r="123">
          <cell r="C123">
            <v>1</v>
          </cell>
        </row>
        <row r="124">
          <cell r="C124">
            <v>1</v>
          </cell>
        </row>
        <row r="125">
          <cell r="C125">
            <v>1</v>
          </cell>
        </row>
        <row r="126">
          <cell r="D126">
            <v>1</v>
          </cell>
        </row>
        <row r="127">
          <cell r="D127">
            <v>1</v>
          </cell>
        </row>
        <row r="128">
          <cell r="C128">
            <v>1</v>
          </cell>
        </row>
        <row r="129">
          <cell r="C129">
            <v>1</v>
          </cell>
        </row>
        <row r="130">
          <cell r="C130">
            <v>1</v>
          </cell>
        </row>
        <row r="131">
          <cell r="C131">
            <v>1</v>
          </cell>
        </row>
        <row r="132">
          <cell r="C132">
            <v>1</v>
          </cell>
        </row>
        <row r="133">
          <cell r="D133">
            <v>1</v>
          </cell>
        </row>
        <row r="134">
          <cell r="E134">
            <v>1</v>
          </cell>
        </row>
        <row r="135">
          <cell r="C135">
            <v>1</v>
          </cell>
        </row>
        <row r="136">
          <cell r="E136">
            <v>1</v>
          </cell>
        </row>
        <row r="137">
          <cell r="E137">
            <v>1</v>
          </cell>
        </row>
        <row r="138">
          <cell r="C138">
            <v>1</v>
          </cell>
        </row>
        <row r="139">
          <cell r="E139">
            <v>1</v>
          </cell>
        </row>
        <row r="140">
          <cell r="C140">
            <v>1</v>
          </cell>
        </row>
        <row r="141">
          <cell r="E141">
            <v>1</v>
          </cell>
        </row>
        <row r="142">
          <cell r="C142">
            <v>1</v>
          </cell>
        </row>
        <row r="143">
          <cell r="C143">
            <v>1</v>
          </cell>
        </row>
        <row r="144">
          <cell r="C144">
            <v>1</v>
          </cell>
        </row>
        <row r="145">
          <cell r="D145">
            <v>1</v>
          </cell>
        </row>
        <row r="146">
          <cell r="C146">
            <v>1</v>
          </cell>
        </row>
        <row r="147">
          <cell r="E147">
            <v>1</v>
          </cell>
        </row>
        <row r="148">
          <cell r="C148">
            <v>1</v>
          </cell>
        </row>
        <row r="149">
          <cell r="C149">
            <v>1</v>
          </cell>
        </row>
        <row r="150">
          <cell r="C150">
            <v>1</v>
          </cell>
        </row>
        <row r="151">
          <cell r="D151">
            <v>1</v>
          </cell>
        </row>
        <row r="152">
          <cell r="C152">
            <v>1</v>
          </cell>
        </row>
        <row r="153">
          <cell r="C153">
            <v>1</v>
          </cell>
        </row>
        <row r="154">
          <cell r="C154">
            <v>1</v>
          </cell>
        </row>
        <row r="155">
          <cell r="C155">
            <v>1</v>
          </cell>
        </row>
        <row r="156">
          <cell r="C156">
            <v>1</v>
          </cell>
        </row>
      </sheetData>
      <sheetData sheetId="26">
        <row r="2">
          <cell r="E2">
            <v>1</v>
          </cell>
          <cell r="H2" t="str">
            <v>Chile Digno</v>
          </cell>
          <cell r="I2">
            <v>11</v>
          </cell>
          <cell r="J2">
            <v>0</v>
          </cell>
          <cell r="K2">
            <v>0</v>
          </cell>
          <cell r="L2">
            <v>0</v>
          </cell>
          <cell r="M2">
            <v>11</v>
          </cell>
        </row>
        <row r="3">
          <cell r="C3">
            <v>1</v>
          </cell>
          <cell r="H3" t="str">
            <v>Mov. Sociales Const.</v>
          </cell>
          <cell r="I3">
            <v>12</v>
          </cell>
          <cell r="J3">
            <v>0</v>
          </cell>
          <cell r="K3">
            <v>0</v>
          </cell>
          <cell r="L3">
            <v>0</v>
          </cell>
          <cell r="M3">
            <v>12</v>
          </cell>
        </row>
        <row r="4">
          <cell r="D4">
            <v>1</v>
          </cell>
          <cell r="H4" t="str">
            <v>Pueblo Constituyente</v>
          </cell>
          <cell r="I4">
            <v>10</v>
          </cell>
          <cell r="J4">
            <v>0</v>
          </cell>
          <cell r="K4">
            <v>0</v>
          </cell>
          <cell r="L4">
            <v>0</v>
          </cell>
          <cell r="M4">
            <v>10</v>
          </cell>
        </row>
        <row r="5">
          <cell r="C5">
            <v>1</v>
          </cell>
          <cell r="H5" t="str">
            <v xml:space="preserve">Escaños Reservados </v>
          </cell>
          <cell r="I5">
            <v>8</v>
          </cell>
          <cell r="J5">
            <v>0</v>
          </cell>
          <cell r="K5">
            <v>0</v>
          </cell>
          <cell r="L5">
            <v>1</v>
          </cell>
          <cell r="M5">
            <v>9</v>
          </cell>
        </row>
        <row r="6">
          <cell r="C6">
            <v>1</v>
          </cell>
          <cell r="H6" t="str">
            <v>Coord. Plurinacional</v>
          </cell>
          <cell r="I6">
            <v>13</v>
          </cell>
          <cell r="J6">
            <v>3</v>
          </cell>
          <cell r="K6">
            <v>0</v>
          </cell>
          <cell r="L6">
            <v>0</v>
          </cell>
          <cell r="M6">
            <v>16</v>
          </cell>
        </row>
        <row r="7">
          <cell r="C7">
            <v>1</v>
          </cell>
          <cell r="H7" t="str">
            <v>Ind. Por Nueva Const.</v>
          </cell>
          <cell r="I7">
            <v>10</v>
          </cell>
          <cell r="J7">
            <v>2</v>
          </cell>
          <cell r="K7">
            <v>0</v>
          </cell>
          <cell r="L7">
            <v>0</v>
          </cell>
          <cell r="M7">
            <v>12</v>
          </cell>
        </row>
        <row r="8">
          <cell r="D8">
            <v>1</v>
          </cell>
          <cell r="H8" t="str">
            <v>Colectivo Socialista</v>
          </cell>
          <cell r="I8">
            <v>5</v>
          </cell>
          <cell r="J8">
            <v>9</v>
          </cell>
          <cell r="K8">
            <v>1</v>
          </cell>
          <cell r="L8">
            <v>0</v>
          </cell>
          <cell r="M8">
            <v>15</v>
          </cell>
        </row>
        <row r="9">
          <cell r="D9">
            <v>1</v>
          </cell>
          <cell r="H9" t="str">
            <v>Frente Amplio</v>
          </cell>
          <cell r="I9">
            <v>1</v>
          </cell>
          <cell r="J9">
            <v>10</v>
          </cell>
          <cell r="K9">
            <v>10</v>
          </cell>
          <cell r="L9">
            <v>0</v>
          </cell>
          <cell r="M9">
            <v>21</v>
          </cell>
        </row>
        <row r="10">
          <cell r="C10">
            <v>1</v>
          </cell>
          <cell r="H10" t="str">
            <v>Ind. + UDI</v>
          </cell>
          <cell r="I10">
            <v>0</v>
          </cell>
          <cell r="J10">
            <v>20</v>
          </cell>
          <cell r="K10">
            <v>1</v>
          </cell>
          <cell r="L10">
            <v>0</v>
          </cell>
          <cell r="M10">
            <v>21</v>
          </cell>
        </row>
        <row r="11">
          <cell r="C11">
            <v>1</v>
          </cell>
          <cell r="H11" t="str">
            <v>Ind. RN - Evópoli</v>
          </cell>
          <cell r="I11">
            <v>0</v>
          </cell>
          <cell r="J11">
            <v>14</v>
          </cell>
          <cell r="K11">
            <v>11</v>
          </cell>
          <cell r="L11">
            <v>0</v>
          </cell>
          <cell r="M11">
            <v>25</v>
          </cell>
        </row>
        <row r="12">
          <cell r="C12">
            <v>1</v>
          </cell>
          <cell r="H12" t="str">
            <v>Colectivo del Apruebo</v>
          </cell>
          <cell r="I12">
            <v>0</v>
          </cell>
          <cell r="J12">
            <v>6</v>
          </cell>
          <cell r="K12">
            <v>1</v>
          </cell>
          <cell r="L12">
            <v>0</v>
          </cell>
          <cell r="M12">
            <v>7</v>
          </cell>
        </row>
        <row r="13">
          <cell r="D13">
            <v>1</v>
          </cell>
          <cell r="H13" t="str">
            <v>Otros</v>
          </cell>
          <cell r="I13">
            <v>4</v>
          </cell>
          <cell r="J13">
            <v>1</v>
          </cell>
          <cell r="K13">
            <v>0</v>
          </cell>
          <cell r="L13">
            <v>0</v>
          </cell>
          <cell r="M13">
            <v>5</v>
          </cell>
        </row>
        <row r="14">
          <cell r="C14">
            <v>1</v>
          </cell>
        </row>
        <row r="15">
          <cell r="C15">
            <v>1</v>
          </cell>
        </row>
        <row r="16">
          <cell r="D16">
            <v>1</v>
          </cell>
        </row>
        <row r="17">
          <cell r="D17">
            <v>1</v>
          </cell>
        </row>
        <row r="18">
          <cell r="C18">
            <v>1</v>
          </cell>
        </row>
        <row r="19">
          <cell r="D19">
            <v>1</v>
          </cell>
        </row>
        <row r="20">
          <cell r="C20">
            <v>1</v>
          </cell>
        </row>
        <row r="21">
          <cell r="D21">
            <v>1</v>
          </cell>
        </row>
        <row r="22">
          <cell r="C22">
            <v>1</v>
          </cell>
        </row>
        <row r="23">
          <cell r="F23">
            <v>1</v>
          </cell>
        </row>
        <row r="24">
          <cell r="E24">
            <v>1</v>
          </cell>
        </row>
        <row r="25">
          <cell r="D25">
            <v>1</v>
          </cell>
        </row>
        <row r="26">
          <cell r="C26">
            <v>1</v>
          </cell>
        </row>
        <row r="27">
          <cell r="C27">
            <v>1</v>
          </cell>
        </row>
        <row r="28">
          <cell r="D28">
            <v>1</v>
          </cell>
        </row>
        <row r="29">
          <cell r="D29">
            <v>1</v>
          </cell>
        </row>
        <row r="30">
          <cell r="C30">
            <v>1</v>
          </cell>
        </row>
        <row r="31">
          <cell r="D31">
            <v>1</v>
          </cell>
        </row>
        <row r="32">
          <cell r="C32">
            <v>1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1</v>
          </cell>
        </row>
        <row r="36">
          <cell r="C36">
            <v>1</v>
          </cell>
        </row>
        <row r="37">
          <cell r="C37">
            <v>1</v>
          </cell>
        </row>
        <row r="38">
          <cell r="D38">
            <v>1</v>
          </cell>
        </row>
        <row r="39">
          <cell r="C39">
            <v>1</v>
          </cell>
        </row>
        <row r="40">
          <cell r="D40">
            <v>1</v>
          </cell>
        </row>
        <row r="41">
          <cell r="C41">
            <v>1</v>
          </cell>
        </row>
        <row r="42">
          <cell r="D42">
            <v>1</v>
          </cell>
        </row>
        <row r="43">
          <cell r="D43">
            <v>1</v>
          </cell>
        </row>
        <row r="44">
          <cell r="D44">
            <v>1</v>
          </cell>
        </row>
        <row r="45">
          <cell r="D45">
            <v>1</v>
          </cell>
        </row>
        <row r="46">
          <cell r="D46">
            <v>1</v>
          </cell>
          <cell r="H46" t="str">
            <v>Chile Digno</v>
          </cell>
          <cell r="I46">
            <v>1</v>
          </cell>
          <cell r="J46">
            <v>0</v>
          </cell>
          <cell r="K46">
            <v>0</v>
          </cell>
          <cell r="L46">
            <v>0</v>
          </cell>
        </row>
        <row r="47">
          <cell r="D47">
            <v>1</v>
          </cell>
          <cell r="H47" t="str">
            <v>Mov. Sociales Const.</v>
          </cell>
          <cell r="I47">
            <v>1</v>
          </cell>
          <cell r="J47">
            <v>0</v>
          </cell>
          <cell r="K47">
            <v>0</v>
          </cell>
          <cell r="L47">
            <v>0</v>
          </cell>
        </row>
        <row r="48">
          <cell r="D48">
            <v>1</v>
          </cell>
          <cell r="H48" t="str">
            <v>Pueblo Constituyente</v>
          </cell>
          <cell r="I48">
            <v>1</v>
          </cell>
          <cell r="J48">
            <v>0</v>
          </cell>
          <cell r="K48">
            <v>0</v>
          </cell>
          <cell r="L48">
            <v>0</v>
          </cell>
        </row>
        <row r="49">
          <cell r="C49">
            <v>1</v>
          </cell>
          <cell r="H49" t="str">
            <v xml:space="preserve">Escaños Reservados </v>
          </cell>
          <cell r="I49">
            <v>0.88888888888888884</v>
          </cell>
          <cell r="J49">
            <v>0</v>
          </cell>
          <cell r="K49">
            <v>0</v>
          </cell>
          <cell r="L49">
            <v>0.1111111111111111</v>
          </cell>
        </row>
        <row r="50">
          <cell r="C50">
            <v>1</v>
          </cell>
          <cell r="H50" t="str">
            <v>Coord. Plurinacional</v>
          </cell>
          <cell r="I50">
            <v>0.8125</v>
          </cell>
          <cell r="J50">
            <v>0.1875</v>
          </cell>
          <cell r="K50">
            <v>0</v>
          </cell>
          <cell r="L50">
            <v>0</v>
          </cell>
        </row>
        <row r="51">
          <cell r="D51">
            <v>1</v>
          </cell>
          <cell r="H51" t="str">
            <v>Ind. Por Nueva Const.</v>
          </cell>
          <cell r="I51">
            <v>0.83333333333333337</v>
          </cell>
          <cell r="J51">
            <v>0.16666666666666666</v>
          </cell>
          <cell r="K51">
            <v>0</v>
          </cell>
          <cell r="L51">
            <v>0</v>
          </cell>
        </row>
        <row r="52">
          <cell r="C52">
            <v>1</v>
          </cell>
          <cell r="H52" t="str">
            <v>Colectivo Socialista</v>
          </cell>
          <cell r="I52">
            <v>0.33333333333333331</v>
          </cell>
          <cell r="J52">
            <v>0.6</v>
          </cell>
          <cell r="K52">
            <v>6.6666666666666666E-2</v>
          </cell>
          <cell r="L52">
            <v>0</v>
          </cell>
        </row>
        <row r="53">
          <cell r="D53">
            <v>1</v>
          </cell>
          <cell r="H53" t="str">
            <v>Frente Amplio</v>
          </cell>
          <cell r="I53">
            <v>4.7619047619047616E-2</v>
          </cell>
          <cell r="J53">
            <v>0.47619047619047616</v>
          </cell>
          <cell r="K53">
            <v>0.47619047619047616</v>
          </cell>
          <cell r="L53">
            <v>0</v>
          </cell>
        </row>
        <row r="54">
          <cell r="C54">
            <v>1</v>
          </cell>
          <cell r="H54" t="str">
            <v>Ind. + UDI</v>
          </cell>
          <cell r="I54">
            <v>0</v>
          </cell>
          <cell r="J54">
            <v>0.95238095238095233</v>
          </cell>
          <cell r="K54">
            <v>4.7619047619047616E-2</v>
          </cell>
          <cell r="L54">
            <v>0</v>
          </cell>
        </row>
        <row r="55">
          <cell r="C55">
            <v>1</v>
          </cell>
          <cell r="H55" t="str">
            <v>Ind. RN - Evópoli</v>
          </cell>
          <cell r="I55">
            <v>0</v>
          </cell>
          <cell r="J55">
            <v>0.56000000000000005</v>
          </cell>
          <cell r="K55">
            <v>0.44</v>
          </cell>
          <cell r="L55">
            <v>0</v>
          </cell>
        </row>
        <row r="56">
          <cell r="C56">
            <v>1</v>
          </cell>
          <cell r="H56" t="str">
            <v>Colectivo del Apruebo</v>
          </cell>
          <cell r="I56">
            <v>0</v>
          </cell>
          <cell r="J56">
            <v>0.8571428571428571</v>
          </cell>
          <cell r="K56">
            <v>0.14285714285714285</v>
          </cell>
          <cell r="L56">
            <v>0</v>
          </cell>
        </row>
        <row r="57">
          <cell r="D57">
            <v>1</v>
          </cell>
          <cell r="H57" t="str">
            <v>Otros</v>
          </cell>
          <cell r="I57">
            <v>0.8</v>
          </cell>
          <cell r="J57">
            <v>0.2</v>
          </cell>
          <cell r="K57">
            <v>0</v>
          </cell>
          <cell r="L57">
            <v>0</v>
          </cell>
        </row>
        <row r="58">
          <cell r="C58">
            <v>1</v>
          </cell>
        </row>
        <row r="59">
          <cell r="C59">
            <v>1</v>
          </cell>
        </row>
        <row r="60">
          <cell r="C60">
            <v>1</v>
          </cell>
        </row>
        <row r="61">
          <cell r="E61">
            <v>1</v>
          </cell>
        </row>
        <row r="62">
          <cell r="C62">
            <v>1</v>
          </cell>
        </row>
        <row r="63">
          <cell r="F63">
            <v>1</v>
          </cell>
        </row>
        <row r="64">
          <cell r="C64">
            <v>1</v>
          </cell>
        </row>
        <row r="65">
          <cell r="C65">
            <v>1</v>
          </cell>
        </row>
        <row r="66">
          <cell r="C66">
            <v>1</v>
          </cell>
        </row>
        <row r="67">
          <cell r="D67">
            <v>1</v>
          </cell>
        </row>
        <row r="68">
          <cell r="C68">
            <v>1</v>
          </cell>
        </row>
        <row r="69">
          <cell r="C69">
            <v>1</v>
          </cell>
        </row>
        <row r="70">
          <cell r="D70">
            <v>1</v>
          </cell>
        </row>
        <row r="71">
          <cell r="D71">
            <v>1</v>
          </cell>
        </row>
        <row r="72">
          <cell r="D72">
            <v>1</v>
          </cell>
        </row>
        <row r="73">
          <cell r="C73">
            <v>1</v>
          </cell>
        </row>
        <row r="74">
          <cell r="D74">
            <v>1</v>
          </cell>
        </row>
        <row r="75">
          <cell r="D75">
            <v>1</v>
          </cell>
        </row>
        <row r="76">
          <cell r="C76">
            <v>1</v>
          </cell>
        </row>
        <row r="77">
          <cell r="D77">
            <v>1</v>
          </cell>
        </row>
        <row r="78">
          <cell r="C78">
            <v>1</v>
          </cell>
        </row>
        <row r="79">
          <cell r="D79">
            <v>1</v>
          </cell>
        </row>
        <row r="80">
          <cell r="D80">
            <v>1</v>
          </cell>
        </row>
        <row r="81">
          <cell r="D81">
            <v>1</v>
          </cell>
        </row>
        <row r="82">
          <cell r="C82">
            <v>1</v>
          </cell>
        </row>
        <row r="83">
          <cell r="C83">
            <v>1</v>
          </cell>
        </row>
        <row r="84">
          <cell r="D84">
            <v>1</v>
          </cell>
        </row>
        <row r="85">
          <cell r="C85">
            <v>1</v>
          </cell>
        </row>
        <row r="86">
          <cell r="D86">
            <v>1</v>
          </cell>
        </row>
        <row r="87">
          <cell r="C87">
            <v>1</v>
          </cell>
        </row>
        <row r="88">
          <cell r="D88">
            <v>1</v>
          </cell>
        </row>
        <row r="89">
          <cell r="C89">
            <v>1</v>
          </cell>
        </row>
        <row r="90">
          <cell r="C90">
            <v>1</v>
          </cell>
        </row>
        <row r="91">
          <cell r="D91">
            <v>1</v>
          </cell>
        </row>
        <row r="92">
          <cell r="E92">
            <v>1</v>
          </cell>
        </row>
        <row r="93">
          <cell r="D93">
            <v>1</v>
          </cell>
        </row>
        <row r="94">
          <cell r="C94">
            <v>1</v>
          </cell>
        </row>
        <row r="95">
          <cell r="C95">
            <v>1</v>
          </cell>
        </row>
        <row r="96">
          <cell r="C96">
            <v>1</v>
          </cell>
        </row>
        <row r="97">
          <cell r="D97">
            <v>1</v>
          </cell>
        </row>
        <row r="98">
          <cell r="D98">
            <v>1</v>
          </cell>
        </row>
        <row r="99">
          <cell r="D99">
            <v>1</v>
          </cell>
        </row>
        <row r="100">
          <cell r="D100">
            <v>1</v>
          </cell>
        </row>
        <row r="101">
          <cell r="D101">
            <v>1</v>
          </cell>
        </row>
        <row r="102">
          <cell r="C102">
            <v>1</v>
          </cell>
        </row>
        <row r="103">
          <cell r="D103">
            <v>1</v>
          </cell>
        </row>
        <row r="104">
          <cell r="D104">
            <v>1</v>
          </cell>
        </row>
        <row r="105">
          <cell r="C105">
            <v>1</v>
          </cell>
        </row>
        <row r="106">
          <cell r="C106">
            <v>1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</v>
          </cell>
        </row>
        <row r="110">
          <cell r="D110">
            <v>1</v>
          </cell>
        </row>
        <row r="111">
          <cell r="E111">
            <v>1</v>
          </cell>
        </row>
        <row r="112">
          <cell r="C112">
            <v>1</v>
          </cell>
        </row>
        <row r="113">
          <cell r="C113">
            <v>1</v>
          </cell>
        </row>
        <row r="114">
          <cell r="D114">
            <v>1</v>
          </cell>
        </row>
        <row r="115">
          <cell r="C115">
            <v>1</v>
          </cell>
        </row>
        <row r="116">
          <cell r="D116">
            <v>1</v>
          </cell>
        </row>
        <row r="117">
          <cell r="C117">
            <v>1</v>
          </cell>
        </row>
        <row r="118">
          <cell r="E118">
            <v>1</v>
          </cell>
        </row>
        <row r="119">
          <cell r="C119">
            <v>1</v>
          </cell>
        </row>
        <row r="120">
          <cell r="D120">
            <v>1</v>
          </cell>
        </row>
        <row r="121">
          <cell r="F121">
            <v>1</v>
          </cell>
        </row>
        <row r="122">
          <cell r="C122">
            <v>1</v>
          </cell>
        </row>
        <row r="123">
          <cell r="C123">
            <v>1</v>
          </cell>
        </row>
        <row r="124">
          <cell r="C124">
            <v>1</v>
          </cell>
        </row>
        <row r="125">
          <cell r="C125">
            <v>1</v>
          </cell>
        </row>
        <row r="126">
          <cell r="D126">
            <v>1</v>
          </cell>
        </row>
        <row r="127">
          <cell r="D127">
            <v>1</v>
          </cell>
        </row>
        <row r="128">
          <cell r="C128">
            <v>1</v>
          </cell>
        </row>
        <row r="129">
          <cell r="C129">
            <v>1</v>
          </cell>
        </row>
        <row r="130">
          <cell r="C130">
            <v>1</v>
          </cell>
        </row>
        <row r="131">
          <cell r="E131">
            <v>11</v>
          </cell>
        </row>
        <row r="132">
          <cell r="D132">
            <v>1</v>
          </cell>
        </row>
        <row r="133">
          <cell r="D133">
            <v>1</v>
          </cell>
        </row>
        <row r="134">
          <cell r="D134">
            <v>1</v>
          </cell>
        </row>
        <row r="135">
          <cell r="C135">
            <v>1</v>
          </cell>
        </row>
        <row r="136">
          <cell r="D136">
            <v>1</v>
          </cell>
        </row>
        <row r="137">
          <cell r="D137">
            <v>1</v>
          </cell>
        </row>
        <row r="138">
          <cell r="C138">
            <v>1</v>
          </cell>
        </row>
        <row r="139">
          <cell r="D139">
            <v>1</v>
          </cell>
        </row>
        <row r="140">
          <cell r="D140">
            <v>1</v>
          </cell>
        </row>
        <row r="141">
          <cell r="C141">
            <v>1</v>
          </cell>
        </row>
        <row r="142">
          <cell r="C142">
            <v>1</v>
          </cell>
        </row>
        <row r="143">
          <cell r="C143">
            <v>1</v>
          </cell>
        </row>
        <row r="144">
          <cell r="C144">
            <v>1</v>
          </cell>
        </row>
        <row r="145">
          <cell r="D145">
            <v>1</v>
          </cell>
        </row>
        <row r="146">
          <cell r="C146">
            <v>1</v>
          </cell>
        </row>
        <row r="147">
          <cell r="D147">
            <v>1</v>
          </cell>
        </row>
        <row r="148">
          <cell r="C148">
            <v>1</v>
          </cell>
        </row>
        <row r="149">
          <cell r="C149">
            <v>1</v>
          </cell>
        </row>
        <row r="150">
          <cell r="C150">
            <v>1</v>
          </cell>
        </row>
        <row r="151">
          <cell r="D151">
            <v>1</v>
          </cell>
        </row>
        <row r="152">
          <cell r="C152">
            <v>1</v>
          </cell>
        </row>
        <row r="153">
          <cell r="C153">
            <v>1</v>
          </cell>
        </row>
        <row r="154">
          <cell r="D154">
            <v>1</v>
          </cell>
        </row>
        <row r="155">
          <cell r="C155">
            <v>1</v>
          </cell>
        </row>
        <row r="156">
          <cell r="D156">
            <v>1</v>
          </cell>
        </row>
      </sheetData>
      <sheetData sheetId="27">
        <row r="2">
          <cell r="C2">
            <v>1</v>
          </cell>
          <cell r="H2" t="str">
            <v>Chile Digno</v>
          </cell>
          <cell r="I2">
            <v>11</v>
          </cell>
          <cell r="J2">
            <v>0</v>
          </cell>
          <cell r="K2">
            <v>0</v>
          </cell>
          <cell r="L2">
            <v>0</v>
          </cell>
          <cell r="M2">
            <v>11</v>
          </cell>
        </row>
        <row r="3">
          <cell r="C3">
            <v>1</v>
          </cell>
          <cell r="H3" t="str">
            <v>Mov. Sociales Const.</v>
          </cell>
          <cell r="I3">
            <v>12</v>
          </cell>
          <cell r="J3">
            <v>0</v>
          </cell>
          <cell r="K3">
            <v>0</v>
          </cell>
          <cell r="L3">
            <v>0</v>
          </cell>
          <cell r="M3">
            <v>12</v>
          </cell>
        </row>
        <row r="4">
          <cell r="C4">
            <v>1</v>
          </cell>
          <cell r="H4" t="str">
            <v>Pueblo Constituyente</v>
          </cell>
          <cell r="I4">
            <v>8</v>
          </cell>
          <cell r="J4">
            <v>0</v>
          </cell>
          <cell r="K4">
            <v>0</v>
          </cell>
          <cell r="L4">
            <v>2</v>
          </cell>
          <cell r="M4">
            <v>10</v>
          </cell>
        </row>
        <row r="5">
          <cell r="C5">
            <v>1</v>
          </cell>
          <cell r="H5" t="str">
            <v xml:space="preserve">Escaños Reservados </v>
          </cell>
          <cell r="I5">
            <v>8</v>
          </cell>
          <cell r="J5">
            <v>0</v>
          </cell>
          <cell r="K5">
            <v>0</v>
          </cell>
          <cell r="L5">
            <v>1</v>
          </cell>
          <cell r="M5">
            <v>9</v>
          </cell>
        </row>
        <row r="6">
          <cell r="C6">
            <v>1</v>
          </cell>
          <cell r="H6" t="str">
            <v>Coord. Plurinacional</v>
          </cell>
          <cell r="I6">
            <v>16</v>
          </cell>
          <cell r="J6">
            <v>0</v>
          </cell>
          <cell r="K6">
            <v>0</v>
          </cell>
          <cell r="L6">
            <v>0</v>
          </cell>
          <cell r="M6">
            <v>16</v>
          </cell>
        </row>
        <row r="7">
          <cell r="C7">
            <v>1</v>
          </cell>
          <cell r="H7" t="str">
            <v>Ind. Por Nueva Const.</v>
          </cell>
          <cell r="I7">
            <v>7</v>
          </cell>
          <cell r="J7">
            <v>2</v>
          </cell>
          <cell r="K7">
            <v>3</v>
          </cell>
          <cell r="L7">
            <v>0</v>
          </cell>
          <cell r="M7">
            <v>12</v>
          </cell>
        </row>
        <row r="8">
          <cell r="D8">
            <v>1</v>
          </cell>
          <cell r="H8" t="str">
            <v>Colectivo Socialista</v>
          </cell>
          <cell r="I8">
            <v>10</v>
          </cell>
          <cell r="J8">
            <v>2</v>
          </cell>
          <cell r="K8">
            <v>3</v>
          </cell>
          <cell r="L8">
            <v>0</v>
          </cell>
          <cell r="M8">
            <v>15</v>
          </cell>
        </row>
        <row r="9">
          <cell r="C9">
            <v>1</v>
          </cell>
          <cell r="H9" t="str">
            <v>Frente Amplio</v>
          </cell>
          <cell r="I9">
            <v>13</v>
          </cell>
          <cell r="J9">
            <v>0</v>
          </cell>
          <cell r="K9">
            <v>0</v>
          </cell>
          <cell r="L9">
            <v>0</v>
          </cell>
          <cell r="M9">
            <v>13</v>
          </cell>
        </row>
        <row r="10">
          <cell r="C10">
            <v>1</v>
          </cell>
          <cell r="H10" t="str">
            <v>Ind. + UDI</v>
          </cell>
          <cell r="I10">
            <v>0</v>
          </cell>
          <cell r="J10">
            <v>21</v>
          </cell>
          <cell r="K10">
            <v>0</v>
          </cell>
          <cell r="L10">
            <v>0</v>
          </cell>
          <cell r="M10">
            <v>21</v>
          </cell>
        </row>
        <row r="11">
          <cell r="C11">
            <v>1</v>
          </cell>
          <cell r="H11" t="str">
            <v>Ind. RN - Evópoli</v>
          </cell>
          <cell r="I11">
            <v>0</v>
          </cell>
          <cell r="J11">
            <v>9</v>
          </cell>
          <cell r="K11">
            <v>6</v>
          </cell>
          <cell r="L11">
            <v>0</v>
          </cell>
          <cell r="M11">
            <v>15</v>
          </cell>
        </row>
        <row r="12">
          <cell r="C12">
            <v>1</v>
          </cell>
          <cell r="H12" t="str">
            <v>Colectivo del Apruebo</v>
          </cell>
          <cell r="I12">
            <v>2</v>
          </cell>
          <cell r="J12">
            <v>1</v>
          </cell>
          <cell r="K12">
            <v>4</v>
          </cell>
          <cell r="L12">
            <v>0</v>
          </cell>
          <cell r="M12">
            <v>7</v>
          </cell>
        </row>
        <row r="13">
          <cell r="D13">
            <v>1</v>
          </cell>
          <cell r="H13" t="str">
            <v>Otros</v>
          </cell>
          <cell r="I13">
            <v>5</v>
          </cell>
          <cell r="J13">
            <v>0</v>
          </cell>
          <cell r="K13">
            <v>0</v>
          </cell>
          <cell r="L13">
            <v>0</v>
          </cell>
          <cell r="M13">
            <v>5</v>
          </cell>
        </row>
        <row r="14">
          <cell r="C14">
            <v>1</v>
          </cell>
        </row>
        <row r="15">
          <cell r="C15">
            <v>1</v>
          </cell>
        </row>
        <row r="16">
          <cell r="D16">
            <v>1</v>
          </cell>
        </row>
        <row r="17">
          <cell r="C17">
            <v>1</v>
          </cell>
        </row>
        <row r="18">
          <cell r="C18">
            <v>1</v>
          </cell>
        </row>
        <row r="19">
          <cell r="C19">
            <v>1</v>
          </cell>
        </row>
        <row r="20">
          <cell r="D20">
            <v>1</v>
          </cell>
        </row>
        <row r="21">
          <cell r="C21">
            <v>1</v>
          </cell>
        </row>
        <row r="22">
          <cell r="C22">
            <v>1</v>
          </cell>
        </row>
        <row r="23">
          <cell r="C23">
            <v>1</v>
          </cell>
        </row>
        <row r="24">
          <cell r="E24">
            <v>1</v>
          </cell>
        </row>
        <row r="25">
          <cell r="D25">
            <v>1</v>
          </cell>
        </row>
        <row r="26">
          <cell r="C26">
            <v>1</v>
          </cell>
        </row>
        <row r="27">
          <cell r="C27">
            <v>1</v>
          </cell>
        </row>
        <row r="28">
          <cell r="C28">
            <v>1</v>
          </cell>
        </row>
        <row r="29">
          <cell r="C29">
            <v>1</v>
          </cell>
        </row>
        <row r="30">
          <cell r="C30">
            <v>1</v>
          </cell>
        </row>
        <row r="31">
          <cell r="D31">
            <v>1</v>
          </cell>
        </row>
        <row r="32">
          <cell r="C32">
            <v>1</v>
          </cell>
        </row>
        <row r="33">
          <cell r="C33">
            <v>1</v>
          </cell>
        </row>
        <row r="34">
          <cell r="C34">
            <v>1</v>
          </cell>
        </row>
        <row r="35">
          <cell r="D35">
            <v>1</v>
          </cell>
        </row>
        <row r="36">
          <cell r="C36">
            <v>1</v>
          </cell>
        </row>
        <row r="37">
          <cell r="C37">
            <v>1</v>
          </cell>
        </row>
        <row r="38">
          <cell r="E38">
            <v>1</v>
          </cell>
        </row>
        <row r="39">
          <cell r="C39">
            <v>1</v>
          </cell>
        </row>
        <row r="40">
          <cell r="E40">
            <v>1</v>
          </cell>
        </row>
        <row r="41">
          <cell r="C41">
            <v>1</v>
          </cell>
        </row>
        <row r="42">
          <cell r="E42">
            <v>1</v>
          </cell>
        </row>
        <row r="43">
          <cell r="D43">
            <v>1</v>
          </cell>
        </row>
        <row r="44">
          <cell r="D44">
            <v>1</v>
          </cell>
        </row>
        <row r="45">
          <cell r="D45">
            <v>1</v>
          </cell>
        </row>
        <row r="46">
          <cell r="C46">
            <v>1</v>
          </cell>
          <cell r="H46" t="str">
            <v>Chile Digno</v>
          </cell>
          <cell r="I46">
            <v>1</v>
          </cell>
          <cell r="J46">
            <v>0</v>
          </cell>
          <cell r="K46">
            <v>0</v>
          </cell>
          <cell r="L46">
            <v>0</v>
          </cell>
        </row>
        <row r="47">
          <cell r="D47">
            <v>1</v>
          </cell>
          <cell r="H47" t="str">
            <v>Mov. Sociales Const.</v>
          </cell>
          <cell r="I47">
            <v>1</v>
          </cell>
          <cell r="J47">
            <v>0</v>
          </cell>
          <cell r="K47">
            <v>0</v>
          </cell>
          <cell r="L47">
            <v>0</v>
          </cell>
        </row>
        <row r="48">
          <cell r="C48">
            <v>1</v>
          </cell>
          <cell r="H48" t="str">
            <v>Pueblo Constituyente</v>
          </cell>
          <cell r="I48">
            <v>0.8</v>
          </cell>
          <cell r="J48">
            <v>0</v>
          </cell>
          <cell r="K48">
            <v>0</v>
          </cell>
          <cell r="L48">
            <v>0.2</v>
          </cell>
        </row>
        <row r="49">
          <cell r="C49">
            <v>1</v>
          </cell>
          <cell r="H49" t="str">
            <v xml:space="preserve">Escaños Reservados </v>
          </cell>
          <cell r="I49">
            <v>0.88888888888888884</v>
          </cell>
          <cell r="J49">
            <v>0</v>
          </cell>
          <cell r="K49">
            <v>0</v>
          </cell>
          <cell r="L49">
            <v>0.1111111111111111</v>
          </cell>
        </row>
        <row r="50">
          <cell r="C50">
            <v>1</v>
          </cell>
          <cell r="H50" t="str">
            <v>Coord. Plurinacional</v>
          </cell>
          <cell r="I50">
            <v>1</v>
          </cell>
          <cell r="J50">
            <v>0</v>
          </cell>
          <cell r="K50">
            <v>0</v>
          </cell>
          <cell r="L50">
            <v>0</v>
          </cell>
        </row>
        <row r="51">
          <cell r="C51">
            <v>1</v>
          </cell>
          <cell r="H51" t="str">
            <v>Ind. Por Nueva Const.</v>
          </cell>
          <cell r="I51">
            <v>0.58333333333333337</v>
          </cell>
          <cell r="J51">
            <v>0.16666666666666666</v>
          </cell>
          <cell r="K51">
            <v>0.25</v>
          </cell>
          <cell r="L51">
            <v>0</v>
          </cell>
        </row>
        <row r="52">
          <cell r="C52">
            <v>1</v>
          </cell>
          <cell r="H52" t="str">
            <v>Colectivo Socialista</v>
          </cell>
          <cell r="I52">
            <v>0.66666666666666663</v>
          </cell>
          <cell r="J52">
            <v>0.13333333333333333</v>
          </cell>
          <cell r="K52">
            <v>0.2</v>
          </cell>
          <cell r="L52">
            <v>0</v>
          </cell>
        </row>
        <row r="53">
          <cell r="D53">
            <v>1</v>
          </cell>
          <cell r="H53" t="str">
            <v>Frente Amplio</v>
          </cell>
          <cell r="I53">
            <v>1</v>
          </cell>
          <cell r="J53">
            <v>0</v>
          </cell>
          <cell r="K53">
            <v>0</v>
          </cell>
          <cell r="L53">
            <v>0</v>
          </cell>
        </row>
        <row r="54">
          <cell r="E54">
            <v>1</v>
          </cell>
          <cell r="H54" t="str">
            <v>Ind. + UDI</v>
          </cell>
          <cell r="I54">
            <v>0</v>
          </cell>
          <cell r="J54">
            <v>1</v>
          </cell>
          <cell r="K54">
            <v>0</v>
          </cell>
          <cell r="L54">
            <v>0</v>
          </cell>
        </row>
        <row r="55">
          <cell r="C55">
            <v>1</v>
          </cell>
          <cell r="H55" t="str">
            <v>Ind. RN - Evópoli</v>
          </cell>
          <cell r="I55">
            <v>0</v>
          </cell>
          <cell r="J55">
            <v>0.6</v>
          </cell>
          <cell r="K55">
            <v>0.4</v>
          </cell>
          <cell r="L55">
            <v>0</v>
          </cell>
        </row>
        <row r="56">
          <cell r="C56">
            <v>1</v>
          </cell>
          <cell r="H56" t="str">
            <v>Colectivo del Apruebo</v>
          </cell>
          <cell r="I56">
            <v>0.2857142857142857</v>
          </cell>
          <cell r="J56">
            <v>0.14285714285714285</v>
          </cell>
          <cell r="K56">
            <v>0.5714285714285714</v>
          </cell>
          <cell r="L56">
            <v>0</v>
          </cell>
        </row>
        <row r="57">
          <cell r="C57">
            <v>1</v>
          </cell>
          <cell r="H57" t="str">
            <v>Otros</v>
          </cell>
          <cell r="I57">
            <v>1</v>
          </cell>
          <cell r="J57">
            <v>0</v>
          </cell>
          <cell r="K57">
            <v>0</v>
          </cell>
          <cell r="L57">
            <v>0</v>
          </cell>
        </row>
        <row r="58">
          <cell r="C58">
            <v>1</v>
          </cell>
        </row>
        <row r="59">
          <cell r="C59">
            <v>1</v>
          </cell>
        </row>
        <row r="60">
          <cell r="C60">
            <v>1</v>
          </cell>
        </row>
        <row r="61">
          <cell r="C61">
            <v>1</v>
          </cell>
        </row>
        <row r="62">
          <cell r="C62">
            <v>1</v>
          </cell>
        </row>
        <row r="63">
          <cell r="F63">
            <v>1</v>
          </cell>
        </row>
        <row r="64">
          <cell r="C64">
            <v>1</v>
          </cell>
        </row>
        <row r="65">
          <cell r="C65">
            <v>1</v>
          </cell>
        </row>
        <row r="66">
          <cell r="C66">
            <v>1</v>
          </cell>
        </row>
        <row r="67">
          <cell r="E67">
            <v>1</v>
          </cell>
        </row>
        <row r="68">
          <cell r="C68">
            <v>1</v>
          </cell>
        </row>
        <row r="69">
          <cell r="C69">
            <v>1</v>
          </cell>
        </row>
        <row r="70">
          <cell r="D70">
            <v>1</v>
          </cell>
        </row>
        <row r="71">
          <cell r="D71">
            <v>1</v>
          </cell>
        </row>
        <row r="72">
          <cell r="D72">
            <v>1</v>
          </cell>
        </row>
        <row r="73">
          <cell r="C73">
            <v>1</v>
          </cell>
        </row>
        <row r="74">
          <cell r="D74">
            <v>1</v>
          </cell>
        </row>
        <row r="75">
          <cell r="D75">
            <v>1</v>
          </cell>
        </row>
        <row r="76">
          <cell r="C76">
            <v>1</v>
          </cell>
        </row>
        <row r="77">
          <cell r="E77">
            <v>1</v>
          </cell>
        </row>
        <row r="78">
          <cell r="C78">
            <v>1</v>
          </cell>
        </row>
        <row r="79">
          <cell r="C79">
            <v>1</v>
          </cell>
        </row>
        <row r="80">
          <cell r="D80">
            <v>1</v>
          </cell>
        </row>
        <row r="81">
          <cell r="D81">
            <v>1</v>
          </cell>
        </row>
        <row r="82">
          <cell r="C82">
            <v>1</v>
          </cell>
        </row>
        <row r="83">
          <cell r="C83">
            <v>1</v>
          </cell>
        </row>
        <row r="84">
          <cell r="E84">
            <v>1</v>
          </cell>
        </row>
        <row r="85">
          <cell r="C85">
            <v>1</v>
          </cell>
        </row>
        <row r="86">
          <cell r="C86">
            <v>1</v>
          </cell>
        </row>
        <row r="87">
          <cell r="C87">
            <v>1</v>
          </cell>
        </row>
        <row r="88">
          <cell r="D88">
            <v>1</v>
          </cell>
        </row>
        <row r="89">
          <cell r="C89">
            <v>1</v>
          </cell>
        </row>
        <row r="90">
          <cell r="E90">
            <v>1</v>
          </cell>
        </row>
        <row r="91">
          <cell r="D91">
            <v>1</v>
          </cell>
        </row>
        <row r="92">
          <cell r="C92">
            <v>1</v>
          </cell>
        </row>
        <row r="93">
          <cell r="D93">
            <v>1</v>
          </cell>
        </row>
        <row r="94">
          <cell r="C94">
            <v>1</v>
          </cell>
        </row>
        <row r="95">
          <cell r="C95">
            <v>1</v>
          </cell>
        </row>
        <row r="96">
          <cell r="C96">
            <v>1</v>
          </cell>
        </row>
        <row r="97">
          <cell r="D97">
            <v>1</v>
          </cell>
        </row>
        <row r="98">
          <cell r="D98">
            <v>1</v>
          </cell>
        </row>
        <row r="99">
          <cell r="E99">
            <v>1</v>
          </cell>
        </row>
        <row r="100">
          <cell r="D100">
            <v>1</v>
          </cell>
        </row>
        <row r="101">
          <cell r="E101">
            <v>1</v>
          </cell>
        </row>
        <row r="102">
          <cell r="C102">
            <v>1</v>
          </cell>
        </row>
        <row r="103">
          <cell r="E103">
            <v>1</v>
          </cell>
        </row>
        <row r="104">
          <cell r="D104">
            <v>1</v>
          </cell>
        </row>
        <row r="105">
          <cell r="C105">
            <v>1</v>
          </cell>
        </row>
        <row r="106">
          <cell r="C106">
            <v>1</v>
          </cell>
        </row>
        <row r="107">
          <cell r="C107">
            <v>1</v>
          </cell>
        </row>
        <row r="108">
          <cell r="D108">
            <v>1</v>
          </cell>
        </row>
        <row r="109">
          <cell r="C109">
            <v>1</v>
          </cell>
        </row>
        <row r="110">
          <cell r="C110">
            <v>1</v>
          </cell>
        </row>
        <row r="111">
          <cell r="C111">
            <v>1</v>
          </cell>
        </row>
        <row r="112">
          <cell r="E112">
            <v>1</v>
          </cell>
        </row>
        <row r="113">
          <cell r="C113">
            <v>1</v>
          </cell>
        </row>
        <row r="114">
          <cell r="D114">
            <v>1</v>
          </cell>
        </row>
        <row r="115">
          <cell r="C115">
            <v>1</v>
          </cell>
        </row>
        <row r="116">
          <cell r="D116">
            <v>1</v>
          </cell>
        </row>
        <row r="117">
          <cell r="C117">
            <v>1</v>
          </cell>
        </row>
        <row r="118">
          <cell r="D118">
            <v>1</v>
          </cell>
        </row>
        <row r="119">
          <cell r="C119">
            <v>1</v>
          </cell>
        </row>
        <row r="120">
          <cell r="C120">
            <v>1</v>
          </cell>
        </row>
        <row r="121">
          <cell r="F121">
            <v>1</v>
          </cell>
        </row>
        <row r="122">
          <cell r="C122">
            <v>1</v>
          </cell>
        </row>
        <row r="123">
          <cell r="C123">
            <v>1</v>
          </cell>
        </row>
        <row r="124">
          <cell r="C124">
            <v>1</v>
          </cell>
        </row>
        <row r="125">
          <cell r="C125">
            <v>1</v>
          </cell>
        </row>
        <row r="126">
          <cell r="C126">
            <v>1</v>
          </cell>
        </row>
        <row r="127">
          <cell r="C127">
            <v>1</v>
          </cell>
        </row>
        <row r="128">
          <cell r="C128">
            <v>1</v>
          </cell>
        </row>
        <row r="129">
          <cell r="C129">
            <v>1</v>
          </cell>
        </row>
        <row r="130">
          <cell r="C130">
            <v>1</v>
          </cell>
        </row>
        <row r="131">
          <cell r="E131">
            <v>1</v>
          </cell>
        </row>
        <row r="132">
          <cell r="D132">
            <v>1</v>
          </cell>
        </row>
        <row r="133">
          <cell r="C133">
            <v>1</v>
          </cell>
        </row>
        <row r="134">
          <cell r="D134">
            <v>1</v>
          </cell>
        </row>
        <row r="135">
          <cell r="C135">
            <v>1</v>
          </cell>
        </row>
        <row r="136">
          <cell r="D136">
            <v>1</v>
          </cell>
        </row>
        <row r="137">
          <cell r="D137">
            <v>1</v>
          </cell>
        </row>
        <row r="138">
          <cell r="C138">
            <v>1</v>
          </cell>
        </row>
        <row r="139">
          <cell r="C139">
            <v>1</v>
          </cell>
        </row>
        <row r="140">
          <cell r="E140">
            <v>1</v>
          </cell>
        </row>
        <row r="141">
          <cell r="C141">
            <v>1</v>
          </cell>
        </row>
        <row r="142">
          <cell r="F142">
            <v>1</v>
          </cell>
        </row>
        <row r="143">
          <cell r="C143">
            <v>1</v>
          </cell>
        </row>
        <row r="144">
          <cell r="C144">
            <v>1</v>
          </cell>
        </row>
        <row r="145">
          <cell r="D145">
            <v>1</v>
          </cell>
        </row>
        <row r="146">
          <cell r="C146">
            <v>1</v>
          </cell>
        </row>
        <row r="147">
          <cell r="E147">
            <v>1</v>
          </cell>
        </row>
        <row r="148">
          <cell r="C148">
            <v>1</v>
          </cell>
        </row>
        <row r="149">
          <cell r="C149">
            <v>1</v>
          </cell>
        </row>
        <row r="150">
          <cell r="C150">
            <v>1</v>
          </cell>
        </row>
        <row r="151">
          <cell r="C151">
            <v>1</v>
          </cell>
        </row>
        <row r="152">
          <cell r="C152">
            <v>1</v>
          </cell>
        </row>
        <row r="153">
          <cell r="C153">
            <v>1</v>
          </cell>
        </row>
        <row r="154">
          <cell r="C154">
            <v>1</v>
          </cell>
        </row>
        <row r="155">
          <cell r="F155">
            <v>1</v>
          </cell>
        </row>
        <row r="156">
          <cell r="D156">
            <v>1</v>
          </cell>
        </row>
      </sheetData>
      <sheetData sheetId="28">
        <row r="2">
          <cell r="D2">
            <v>1</v>
          </cell>
          <cell r="H2" t="str">
            <v>Chile Digno</v>
          </cell>
          <cell r="I2">
            <v>10</v>
          </cell>
          <cell r="J2">
            <v>0</v>
          </cell>
          <cell r="K2">
            <v>1</v>
          </cell>
          <cell r="L2">
            <v>0</v>
          </cell>
          <cell r="M2">
            <v>11</v>
          </cell>
        </row>
        <row r="3">
          <cell r="C3">
            <v>1</v>
          </cell>
          <cell r="H3" t="str">
            <v>Mov. Sociales Const.</v>
          </cell>
          <cell r="I3">
            <v>6</v>
          </cell>
          <cell r="J3">
            <v>5</v>
          </cell>
          <cell r="K3">
            <v>1</v>
          </cell>
          <cell r="L3">
            <v>0</v>
          </cell>
          <cell r="M3">
            <v>12</v>
          </cell>
        </row>
        <row r="4">
          <cell r="C4">
            <v>1</v>
          </cell>
          <cell r="H4" t="str">
            <v>Pueblo Constituyente</v>
          </cell>
          <cell r="I4">
            <v>10</v>
          </cell>
          <cell r="J4">
            <v>0</v>
          </cell>
          <cell r="K4">
            <v>0</v>
          </cell>
          <cell r="L4">
            <v>0</v>
          </cell>
          <cell r="M4">
            <v>10</v>
          </cell>
        </row>
        <row r="5">
          <cell r="E5">
            <v>1</v>
          </cell>
          <cell r="H5" t="str">
            <v xml:space="preserve">Escaños Reservados </v>
          </cell>
          <cell r="I5">
            <v>0</v>
          </cell>
          <cell r="J5">
            <v>1</v>
          </cell>
          <cell r="K5">
            <v>7</v>
          </cell>
          <cell r="L5">
            <v>1</v>
          </cell>
          <cell r="M5">
            <v>9</v>
          </cell>
        </row>
        <row r="6">
          <cell r="C6">
            <v>1</v>
          </cell>
          <cell r="H6" t="str">
            <v>Coord. Plurinacional</v>
          </cell>
          <cell r="I6">
            <v>15</v>
          </cell>
          <cell r="J6">
            <v>0</v>
          </cell>
          <cell r="K6">
            <v>0</v>
          </cell>
          <cell r="L6">
            <v>1</v>
          </cell>
          <cell r="M6">
            <v>16</v>
          </cell>
        </row>
        <row r="7">
          <cell r="C7">
            <v>1</v>
          </cell>
          <cell r="H7" t="str">
            <v>Ind. Por Nueva Const.</v>
          </cell>
          <cell r="I7">
            <v>7</v>
          </cell>
          <cell r="J7">
            <v>1</v>
          </cell>
          <cell r="K7">
            <v>4</v>
          </cell>
          <cell r="L7">
            <v>0</v>
          </cell>
          <cell r="M7">
            <v>12</v>
          </cell>
        </row>
        <row r="8">
          <cell r="E8">
            <v>1</v>
          </cell>
          <cell r="H8" t="str">
            <v>Colectivo Socialista</v>
          </cell>
          <cell r="I8">
            <v>14</v>
          </cell>
          <cell r="J8">
            <v>1</v>
          </cell>
          <cell r="K8">
            <v>0</v>
          </cell>
          <cell r="L8">
            <v>0</v>
          </cell>
          <cell r="M8">
            <v>15</v>
          </cell>
        </row>
        <row r="9">
          <cell r="C9">
            <v>1</v>
          </cell>
          <cell r="H9" t="str">
            <v>Frente Amplio</v>
          </cell>
          <cell r="I9">
            <v>5</v>
          </cell>
          <cell r="J9">
            <v>7</v>
          </cell>
          <cell r="K9">
            <v>7</v>
          </cell>
          <cell r="L9">
            <v>0</v>
          </cell>
          <cell r="M9">
            <v>19</v>
          </cell>
        </row>
        <row r="10">
          <cell r="C10">
            <v>1</v>
          </cell>
          <cell r="H10" t="str">
            <v>Ind. + UDI</v>
          </cell>
          <cell r="I10">
            <v>0</v>
          </cell>
          <cell r="J10">
            <v>6</v>
          </cell>
          <cell r="K10">
            <v>15</v>
          </cell>
          <cell r="L10">
            <v>0</v>
          </cell>
          <cell r="M10">
            <v>21</v>
          </cell>
        </row>
        <row r="11">
          <cell r="C11">
            <v>1</v>
          </cell>
          <cell r="H11" t="str">
            <v>Ind. RN - Evópoli</v>
          </cell>
          <cell r="I11">
            <v>3</v>
          </cell>
          <cell r="J11">
            <v>3</v>
          </cell>
          <cell r="K11">
            <v>9</v>
          </cell>
          <cell r="L11">
            <v>0</v>
          </cell>
          <cell r="M11">
            <v>15</v>
          </cell>
        </row>
        <row r="12">
          <cell r="C12">
            <v>1</v>
          </cell>
          <cell r="H12" t="str">
            <v>Colectivo del Apruebo</v>
          </cell>
          <cell r="I12">
            <v>3</v>
          </cell>
          <cell r="J12">
            <v>2</v>
          </cell>
          <cell r="K12">
            <v>2</v>
          </cell>
          <cell r="L12">
            <v>0</v>
          </cell>
          <cell r="M12">
            <v>7</v>
          </cell>
        </row>
        <row r="13">
          <cell r="E13">
            <v>1</v>
          </cell>
          <cell r="H13" t="str">
            <v>Otros</v>
          </cell>
          <cell r="I13">
            <v>4</v>
          </cell>
          <cell r="J13">
            <v>1</v>
          </cell>
          <cell r="K13">
            <v>0</v>
          </cell>
          <cell r="L13">
            <v>0</v>
          </cell>
          <cell r="M13">
            <v>5</v>
          </cell>
        </row>
        <row r="14">
          <cell r="C14">
            <v>1</v>
          </cell>
        </row>
        <row r="15">
          <cell r="C15">
            <v>1</v>
          </cell>
        </row>
        <row r="16">
          <cell r="D16">
            <v>1</v>
          </cell>
        </row>
        <row r="17">
          <cell r="D17">
            <v>1</v>
          </cell>
        </row>
        <row r="18">
          <cell r="C18">
            <v>1</v>
          </cell>
        </row>
        <row r="19">
          <cell r="D19">
            <v>1</v>
          </cell>
        </row>
        <row r="20">
          <cell r="C20">
            <v>1</v>
          </cell>
        </row>
        <row r="21">
          <cell r="C21">
            <v>1</v>
          </cell>
        </row>
        <row r="22">
          <cell r="C22">
            <v>1</v>
          </cell>
        </row>
        <row r="23">
          <cell r="D23">
            <v>1</v>
          </cell>
        </row>
        <row r="24">
          <cell r="E24">
            <v>1</v>
          </cell>
        </row>
        <row r="25">
          <cell r="D25">
            <v>1</v>
          </cell>
        </row>
        <row r="26">
          <cell r="C26">
            <v>1</v>
          </cell>
        </row>
        <row r="27">
          <cell r="C27">
            <v>1</v>
          </cell>
        </row>
        <row r="28">
          <cell r="C28">
            <v>1</v>
          </cell>
        </row>
        <row r="29">
          <cell r="C29">
            <v>1</v>
          </cell>
        </row>
        <row r="30">
          <cell r="C30">
            <v>1</v>
          </cell>
        </row>
        <row r="31">
          <cell r="D31">
            <v>1</v>
          </cell>
        </row>
        <row r="32">
          <cell r="D32">
            <v>1</v>
          </cell>
        </row>
        <row r="33">
          <cell r="C33">
            <v>1</v>
          </cell>
        </row>
        <row r="34">
          <cell r="C34">
            <v>1</v>
          </cell>
        </row>
        <row r="35">
          <cell r="E35">
            <v>1</v>
          </cell>
        </row>
        <row r="36">
          <cell r="E36">
            <v>1</v>
          </cell>
        </row>
        <row r="37">
          <cell r="E37">
            <v>1</v>
          </cell>
        </row>
        <row r="38">
          <cell r="E38">
            <v>1</v>
          </cell>
        </row>
        <row r="39">
          <cell r="C39">
            <v>1</v>
          </cell>
        </row>
        <row r="40">
          <cell r="D40">
            <v>1</v>
          </cell>
        </row>
        <row r="41">
          <cell r="C41">
            <v>1</v>
          </cell>
        </row>
        <row r="42">
          <cell r="D42">
            <v>1</v>
          </cell>
        </row>
        <row r="43">
          <cell r="E43">
            <v>1</v>
          </cell>
        </row>
        <row r="44">
          <cell r="C44">
            <v>1</v>
          </cell>
        </row>
        <row r="45">
          <cell r="E45">
            <v>1</v>
          </cell>
        </row>
        <row r="46">
          <cell r="D46">
            <v>1</v>
          </cell>
          <cell r="H46" t="str">
            <v>Chile Digno</v>
          </cell>
          <cell r="I46">
            <v>0.90909090909090906</v>
          </cell>
          <cell r="J46">
            <v>0</v>
          </cell>
          <cell r="K46">
            <v>9.0909090909090912E-2</v>
          </cell>
          <cell r="L46">
            <v>0</v>
          </cell>
        </row>
        <row r="47">
          <cell r="C47">
            <v>1</v>
          </cell>
          <cell r="H47" t="str">
            <v>Mov. Sociales Const.</v>
          </cell>
          <cell r="I47">
            <v>0.5</v>
          </cell>
          <cell r="J47">
            <v>0.41666666666666669</v>
          </cell>
          <cell r="K47">
            <v>8.3333333333333329E-2</v>
          </cell>
          <cell r="L47">
            <v>0</v>
          </cell>
        </row>
        <row r="48">
          <cell r="C48">
            <v>1</v>
          </cell>
          <cell r="H48" t="str">
            <v>Pueblo Constituyente</v>
          </cell>
          <cell r="I48">
            <v>1</v>
          </cell>
          <cell r="J48">
            <v>0</v>
          </cell>
          <cell r="K48">
            <v>0</v>
          </cell>
          <cell r="L48">
            <v>0</v>
          </cell>
        </row>
        <row r="49">
          <cell r="C49">
            <v>1</v>
          </cell>
          <cell r="H49" t="str">
            <v xml:space="preserve">Escaños Reservados </v>
          </cell>
          <cell r="I49">
            <v>0</v>
          </cell>
          <cell r="J49">
            <v>0.1111111111111111</v>
          </cell>
          <cell r="K49">
            <v>0.77777777777777779</v>
          </cell>
          <cell r="L49">
            <v>0.1111111111111111</v>
          </cell>
        </row>
        <row r="50">
          <cell r="C50">
            <v>1</v>
          </cell>
          <cell r="H50" t="str">
            <v>Coord. Plurinacional</v>
          </cell>
          <cell r="I50">
            <v>0.9375</v>
          </cell>
          <cell r="J50">
            <v>0</v>
          </cell>
          <cell r="K50">
            <v>0</v>
          </cell>
          <cell r="L50">
            <v>6.25E-2</v>
          </cell>
        </row>
        <row r="51">
          <cell r="D51">
            <v>1</v>
          </cell>
          <cell r="H51" t="str">
            <v>Ind. Por Nueva Const.</v>
          </cell>
          <cell r="I51">
            <v>0.58333333333333337</v>
          </cell>
          <cell r="J51">
            <v>8.3333333333333329E-2</v>
          </cell>
          <cell r="K51">
            <v>0.33333333333333331</v>
          </cell>
          <cell r="L51">
            <v>0</v>
          </cell>
        </row>
        <row r="52">
          <cell r="D52">
            <v>1</v>
          </cell>
          <cell r="H52" t="str">
            <v>Colectivo Socialista</v>
          </cell>
          <cell r="I52">
            <v>0.93333333333333335</v>
          </cell>
          <cell r="J52">
            <v>6.6666666666666666E-2</v>
          </cell>
          <cell r="K52">
            <v>0</v>
          </cell>
          <cell r="L52">
            <v>0</v>
          </cell>
        </row>
        <row r="53">
          <cell r="E53">
            <v>1</v>
          </cell>
          <cell r="H53" t="str">
            <v>Frente Amplio</v>
          </cell>
          <cell r="I53">
            <v>0.26315789473684209</v>
          </cell>
          <cell r="J53">
            <v>0.36842105263157893</v>
          </cell>
          <cell r="K53">
            <v>0.36842105263157893</v>
          </cell>
          <cell r="L53">
            <v>0</v>
          </cell>
        </row>
        <row r="54">
          <cell r="E54">
            <v>1</v>
          </cell>
          <cell r="H54" t="str">
            <v>Ind. + UDI</v>
          </cell>
          <cell r="I54">
            <v>0</v>
          </cell>
          <cell r="J54">
            <v>0.2857142857142857</v>
          </cell>
          <cell r="K54">
            <v>0.7142857142857143</v>
          </cell>
          <cell r="L54">
            <v>0</v>
          </cell>
        </row>
        <row r="55">
          <cell r="C55">
            <v>1</v>
          </cell>
          <cell r="H55" t="str">
            <v>Ind. RN - Evópoli</v>
          </cell>
          <cell r="I55">
            <v>0.2</v>
          </cell>
          <cell r="J55">
            <v>0.2</v>
          </cell>
          <cell r="K55">
            <v>0.6</v>
          </cell>
          <cell r="L55">
            <v>0</v>
          </cell>
        </row>
        <row r="56">
          <cell r="E56">
            <v>1</v>
          </cell>
          <cell r="H56" t="str">
            <v>Colectivo del Apruebo</v>
          </cell>
          <cell r="I56">
            <v>0.42857142857142855</v>
          </cell>
          <cell r="J56">
            <v>0.2857142857142857</v>
          </cell>
          <cell r="K56">
            <v>0.2857142857142857</v>
          </cell>
          <cell r="L56">
            <v>0</v>
          </cell>
        </row>
        <row r="57">
          <cell r="D57">
            <v>1</v>
          </cell>
          <cell r="H57" t="str">
            <v>Otros</v>
          </cell>
          <cell r="I57">
            <v>0.8</v>
          </cell>
          <cell r="J57">
            <v>0.2</v>
          </cell>
          <cell r="K57">
            <v>0</v>
          </cell>
          <cell r="L57">
            <v>0</v>
          </cell>
        </row>
        <row r="58">
          <cell r="D58">
            <v>1</v>
          </cell>
        </row>
        <row r="59">
          <cell r="C59">
            <v>1</v>
          </cell>
        </row>
        <row r="60">
          <cell r="C60">
            <v>1</v>
          </cell>
        </row>
        <row r="61">
          <cell r="C61">
            <v>1</v>
          </cell>
        </row>
        <row r="62">
          <cell r="C62">
            <v>1</v>
          </cell>
        </row>
        <row r="63">
          <cell r="F63">
            <v>1</v>
          </cell>
        </row>
        <row r="64">
          <cell r="C64">
            <v>1</v>
          </cell>
        </row>
        <row r="65">
          <cell r="C65">
            <v>1</v>
          </cell>
        </row>
        <row r="66">
          <cell r="C66">
            <v>1</v>
          </cell>
        </row>
        <row r="67">
          <cell r="E67">
            <v>1</v>
          </cell>
        </row>
        <row r="68">
          <cell r="C68">
            <v>1</v>
          </cell>
        </row>
        <row r="69">
          <cell r="C69">
            <v>1</v>
          </cell>
        </row>
        <row r="70">
          <cell r="D70">
            <v>1</v>
          </cell>
        </row>
        <row r="71">
          <cell r="D71">
            <v>1</v>
          </cell>
        </row>
        <row r="72">
          <cell r="C72">
            <v>1</v>
          </cell>
        </row>
        <row r="73">
          <cell r="E73">
            <v>1</v>
          </cell>
        </row>
        <row r="74">
          <cell r="E74">
            <v>1</v>
          </cell>
        </row>
        <row r="75">
          <cell r="E75">
            <v>1</v>
          </cell>
        </row>
        <row r="76">
          <cell r="C76">
            <v>1</v>
          </cell>
        </row>
        <row r="77">
          <cell r="E77">
            <v>1</v>
          </cell>
        </row>
        <row r="78">
          <cell r="C78">
            <v>1</v>
          </cell>
        </row>
        <row r="79">
          <cell r="C79">
            <v>1</v>
          </cell>
        </row>
        <row r="80">
          <cell r="E80">
            <v>1</v>
          </cell>
        </row>
        <row r="81">
          <cell r="E81">
            <v>1</v>
          </cell>
        </row>
        <row r="82">
          <cell r="C82">
            <v>1</v>
          </cell>
        </row>
        <row r="83">
          <cell r="C83">
            <v>1</v>
          </cell>
        </row>
        <row r="84">
          <cell r="C84">
            <v>1</v>
          </cell>
        </row>
        <row r="85">
          <cell r="E85">
            <v>1</v>
          </cell>
        </row>
        <row r="86">
          <cell r="C86">
            <v>1</v>
          </cell>
        </row>
        <row r="87">
          <cell r="E87">
            <v>1</v>
          </cell>
        </row>
        <row r="88">
          <cell r="D88">
            <v>1</v>
          </cell>
        </row>
        <row r="89">
          <cell r="C89">
            <v>1</v>
          </cell>
        </row>
        <row r="90">
          <cell r="E90">
            <v>1</v>
          </cell>
        </row>
        <row r="91">
          <cell r="D91">
            <v>1</v>
          </cell>
        </row>
        <row r="92">
          <cell r="E92">
            <v>1</v>
          </cell>
        </row>
        <row r="93">
          <cell r="E93">
            <v>1</v>
          </cell>
        </row>
        <row r="94">
          <cell r="D94">
            <v>1</v>
          </cell>
        </row>
        <row r="95">
          <cell r="E95">
            <v>1</v>
          </cell>
        </row>
        <row r="96">
          <cell r="C96">
            <v>1</v>
          </cell>
        </row>
        <row r="97">
          <cell r="C97">
            <v>1</v>
          </cell>
        </row>
        <row r="98">
          <cell r="E98">
            <v>1</v>
          </cell>
        </row>
        <row r="99">
          <cell r="C99">
            <v>1</v>
          </cell>
        </row>
        <row r="100">
          <cell r="E100">
            <v>1</v>
          </cell>
        </row>
        <row r="101">
          <cell r="C101">
            <v>1</v>
          </cell>
        </row>
        <row r="102">
          <cell r="C102">
            <v>1</v>
          </cell>
        </row>
        <row r="103">
          <cell r="E103">
            <v>1</v>
          </cell>
        </row>
        <row r="104">
          <cell r="E104">
            <v>1</v>
          </cell>
        </row>
        <row r="105">
          <cell r="C105">
            <v>1</v>
          </cell>
        </row>
        <row r="106">
          <cell r="C106">
            <v>1</v>
          </cell>
        </row>
        <row r="107">
          <cell r="C107">
            <v>1</v>
          </cell>
        </row>
        <row r="108">
          <cell r="E108">
            <v>1</v>
          </cell>
        </row>
        <row r="109">
          <cell r="D109">
            <v>1</v>
          </cell>
        </row>
        <row r="110">
          <cell r="C110">
            <v>1</v>
          </cell>
        </row>
        <row r="111">
          <cell r="C111">
            <v>1</v>
          </cell>
        </row>
        <row r="112">
          <cell r="E112">
            <v>1</v>
          </cell>
        </row>
        <row r="113">
          <cell r="C113">
            <v>1</v>
          </cell>
        </row>
        <row r="114">
          <cell r="E114">
            <v>1</v>
          </cell>
        </row>
        <row r="115">
          <cell r="D115">
            <v>1</v>
          </cell>
        </row>
        <row r="116">
          <cell r="E116">
            <v>1</v>
          </cell>
        </row>
        <row r="117">
          <cell r="C117">
            <v>1</v>
          </cell>
        </row>
        <row r="118">
          <cell r="E118">
            <v>1</v>
          </cell>
        </row>
        <row r="119">
          <cell r="C119">
            <v>1</v>
          </cell>
        </row>
        <row r="120">
          <cell r="C120">
            <v>1</v>
          </cell>
        </row>
        <row r="121">
          <cell r="F121">
            <v>1</v>
          </cell>
        </row>
        <row r="122">
          <cell r="C122">
            <v>1</v>
          </cell>
        </row>
        <row r="123">
          <cell r="C123">
            <v>1</v>
          </cell>
        </row>
        <row r="124">
          <cell r="C124">
            <v>1</v>
          </cell>
        </row>
        <row r="125">
          <cell r="C125">
            <v>1</v>
          </cell>
        </row>
        <row r="126">
          <cell r="D126">
            <v>1</v>
          </cell>
        </row>
        <row r="127">
          <cell r="C127">
            <v>1</v>
          </cell>
        </row>
        <row r="128">
          <cell r="C128">
            <v>1</v>
          </cell>
        </row>
        <row r="129">
          <cell r="C129">
            <v>1</v>
          </cell>
        </row>
        <row r="130">
          <cell r="D130">
            <v>1</v>
          </cell>
        </row>
        <row r="131">
          <cell r="C131">
            <v>1</v>
          </cell>
        </row>
        <row r="132">
          <cell r="D132">
            <v>1</v>
          </cell>
        </row>
        <row r="133">
          <cell r="D133">
            <v>1</v>
          </cell>
        </row>
        <row r="134">
          <cell r="E134">
            <v>1</v>
          </cell>
        </row>
        <row r="135">
          <cell r="D135">
            <v>1</v>
          </cell>
        </row>
        <row r="136">
          <cell r="E136">
            <v>1</v>
          </cell>
        </row>
        <row r="137">
          <cell r="E137">
            <v>1</v>
          </cell>
        </row>
        <row r="138">
          <cell r="C138">
            <v>1</v>
          </cell>
        </row>
        <row r="139">
          <cell r="C139">
            <v>1</v>
          </cell>
        </row>
        <row r="140">
          <cell r="C140">
            <v>1</v>
          </cell>
        </row>
        <row r="141">
          <cell r="C141">
            <v>1</v>
          </cell>
        </row>
        <row r="142">
          <cell r="C142">
            <v>1</v>
          </cell>
        </row>
        <row r="143">
          <cell r="F143">
            <v>1</v>
          </cell>
        </row>
        <row r="144">
          <cell r="C144">
            <v>1</v>
          </cell>
        </row>
        <row r="145">
          <cell r="D145">
            <v>1</v>
          </cell>
        </row>
        <row r="146">
          <cell r="C146">
            <v>1</v>
          </cell>
        </row>
        <row r="147">
          <cell r="E147">
            <v>1</v>
          </cell>
        </row>
        <row r="148">
          <cell r="C148">
            <v>1</v>
          </cell>
        </row>
        <row r="149">
          <cell r="C149">
            <v>1</v>
          </cell>
        </row>
        <row r="150">
          <cell r="C150">
            <v>1</v>
          </cell>
        </row>
        <row r="151">
          <cell r="D151">
            <v>1</v>
          </cell>
        </row>
        <row r="152">
          <cell r="E152">
            <v>1</v>
          </cell>
        </row>
        <row r="153">
          <cell r="C153">
            <v>1</v>
          </cell>
        </row>
        <row r="154">
          <cell r="C154">
            <v>1</v>
          </cell>
        </row>
        <row r="155">
          <cell r="C155">
            <v>1</v>
          </cell>
        </row>
        <row r="156">
          <cell r="E156">
            <v>1</v>
          </cell>
        </row>
      </sheetData>
      <sheetData sheetId="29">
        <row r="2">
          <cell r="E2">
            <v>1</v>
          </cell>
          <cell r="H2" t="str">
            <v>Chile Digno</v>
          </cell>
          <cell r="I2">
            <v>11</v>
          </cell>
          <cell r="J2">
            <v>0</v>
          </cell>
          <cell r="K2">
            <v>0</v>
          </cell>
          <cell r="L2">
            <v>0</v>
          </cell>
          <cell r="M2">
            <v>11</v>
          </cell>
        </row>
        <row r="3">
          <cell r="C3">
            <v>1</v>
          </cell>
          <cell r="H3" t="str">
            <v>Mov. Sociales Const.</v>
          </cell>
          <cell r="I3">
            <v>12</v>
          </cell>
          <cell r="J3">
            <v>0</v>
          </cell>
          <cell r="K3">
            <v>0</v>
          </cell>
          <cell r="L3">
            <v>0</v>
          </cell>
          <cell r="M3">
            <v>12</v>
          </cell>
        </row>
        <row r="4">
          <cell r="D4">
            <v>1</v>
          </cell>
          <cell r="H4" t="str">
            <v>Pueblo Constituyente</v>
          </cell>
          <cell r="I4">
            <v>10</v>
          </cell>
          <cell r="J4">
            <v>0</v>
          </cell>
          <cell r="K4">
            <v>0</v>
          </cell>
          <cell r="L4">
            <v>0</v>
          </cell>
          <cell r="M4">
            <v>10</v>
          </cell>
        </row>
        <row r="5">
          <cell r="C5">
            <v>1</v>
          </cell>
          <cell r="H5" t="str">
            <v xml:space="preserve">Escaños Reservados </v>
          </cell>
          <cell r="I5">
            <v>8</v>
          </cell>
          <cell r="J5">
            <v>0</v>
          </cell>
          <cell r="K5">
            <v>0</v>
          </cell>
          <cell r="L5">
            <v>1</v>
          </cell>
          <cell r="M5">
            <v>9</v>
          </cell>
        </row>
        <row r="6">
          <cell r="C6">
            <v>1</v>
          </cell>
          <cell r="H6" t="str">
            <v>Coord. Plurinacional</v>
          </cell>
          <cell r="I6">
            <v>13</v>
          </cell>
          <cell r="J6">
            <v>3</v>
          </cell>
          <cell r="K6">
            <v>0</v>
          </cell>
          <cell r="L6">
            <v>0</v>
          </cell>
          <cell r="M6">
            <v>16</v>
          </cell>
        </row>
        <row r="7">
          <cell r="C7">
            <v>1</v>
          </cell>
          <cell r="H7" t="str">
            <v>Ind. Por Nueva Const.</v>
          </cell>
          <cell r="I7">
            <v>10</v>
          </cell>
          <cell r="J7">
            <v>2</v>
          </cell>
          <cell r="K7">
            <v>0</v>
          </cell>
          <cell r="L7">
            <v>0</v>
          </cell>
          <cell r="M7">
            <v>12</v>
          </cell>
        </row>
        <row r="8">
          <cell r="D8">
            <v>1</v>
          </cell>
          <cell r="H8" t="str">
            <v>Colectivo Socialista</v>
          </cell>
          <cell r="I8">
            <v>5</v>
          </cell>
          <cell r="J8">
            <v>9</v>
          </cell>
          <cell r="K8">
            <v>1</v>
          </cell>
          <cell r="L8">
            <v>0</v>
          </cell>
          <cell r="M8">
            <v>15</v>
          </cell>
        </row>
        <row r="9">
          <cell r="D9">
            <v>1</v>
          </cell>
          <cell r="H9" t="str">
            <v>Frente Amplio</v>
          </cell>
          <cell r="I9">
            <v>1</v>
          </cell>
          <cell r="J9">
            <v>10</v>
          </cell>
          <cell r="K9">
            <v>10</v>
          </cell>
          <cell r="L9">
            <v>0</v>
          </cell>
          <cell r="M9">
            <v>21</v>
          </cell>
        </row>
        <row r="10">
          <cell r="C10">
            <v>1</v>
          </cell>
          <cell r="H10" t="str">
            <v>Ind. + UDI</v>
          </cell>
          <cell r="I10">
            <v>0</v>
          </cell>
          <cell r="J10">
            <v>20</v>
          </cell>
          <cell r="K10">
            <v>1</v>
          </cell>
          <cell r="L10">
            <v>0</v>
          </cell>
          <cell r="M10">
            <v>21</v>
          </cell>
        </row>
        <row r="11">
          <cell r="C11">
            <v>1</v>
          </cell>
          <cell r="H11" t="str">
            <v>Ind. RN - Evópoli</v>
          </cell>
          <cell r="I11">
            <v>0</v>
          </cell>
          <cell r="J11">
            <v>14</v>
          </cell>
          <cell r="K11">
            <v>1</v>
          </cell>
          <cell r="L11">
            <v>0</v>
          </cell>
          <cell r="M11">
            <v>15</v>
          </cell>
        </row>
        <row r="12">
          <cell r="C12">
            <v>1</v>
          </cell>
          <cell r="H12" t="str">
            <v>Colectivo del Apruebo</v>
          </cell>
          <cell r="I12">
            <v>0</v>
          </cell>
          <cell r="J12">
            <v>6</v>
          </cell>
          <cell r="K12">
            <v>1</v>
          </cell>
          <cell r="L12">
            <v>0</v>
          </cell>
          <cell r="M12">
            <v>7</v>
          </cell>
        </row>
        <row r="13">
          <cell r="D13">
            <v>1</v>
          </cell>
          <cell r="H13" t="str">
            <v>Otros</v>
          </cell>
          <cell r="I13">
            <v>4</v>
          </cell>
          <cell r="J13">
            <v>1</v>
          </cell>
          <cell r="K13">
            <v>0</v>
          </cell>
          <cell r="L13">
            <v>0</v>
          </cell>
          <cell r="M13">
            <v>5</v>
          </cell>
        </row>
        <row r="14">
          <cell r="C14">
            <v>1</v>
          </cell>
        </row>
        <row r="15">
          <cell r="C15">
            <v>1</v>
          </cell>
        </row>
        <row r="16">
          <cell r="D16">
            <v>1</v>
          </cell>
        </row>
        <row r="17">
          <cell r="D17">
            <v>1</v>
          </cell>
        </row>
        <row r="18">
          <cell r="C18">
            <v>1</v>
          </cell>
        </row>
        <row r="19">
          <cell r="D19">
            <v>1</v>
          </cell>
        </row>
        <row r="20">
          <cell r="C20">
            <v>1</v>
          </cell>
        </row>
        <row r="21">
          <cell r="D21">
            <v>1</v>
          </cell>
        </row>
        <row r="22">
          <cell r="C22">
            <v>1</v>
          </cell>
        </row>
        <row r="23">
          <cell r="F23">
            <v>1</v>
          </cell>
        </row>
        <row r="24">
          <cell r="E24">
            <v>1</v>
          </cell>
        </row>
        <row r="25">
          <cell r="D25">
            <v>1</v>
          </cell>
        </row>
        <row r="26">
          <cell r="C26">
            <v>1</v>
          </cell>
        </row>
        <row r="27">
          <cell r="C27">
            <v>1</v>
          </cell>
        </row>
        <row r="28">
          <cell r="D28">
            <v>1</v>
          </cell>
        </row>
        <row r="29">
          <cell r="D29">
            <v>1</v>
          </cell>
        </row>
        <row r="30">
          <cell r="C30">
            <v>1</v>
          </cell>
        </row>
        <row r="31">
          <cell r="D31">
            <v>1</v>
          </cell>
        </row>
        <row r="32">
          <cell r="C32">
            <v>1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1</v>
          </cell>
        </row>
        <row r="36">
          <cell r="C36">
            <v>1</v>
          </cell>
        </row>
        <row r="37">
          <cell r="C37">
            <v>1</v>
          </cell>
        </row>
        <row r="38">
          <cell r="D38">
            <v>1</v>
          </cell>
        </row>
        <row r="39">
          <cell r="C39">
            <v>1</v>
          </cell>
        </row>
        <row r="40">
          <cell r="D40">
            <v>1</v>
          </cell>
        </row>
        <row r="41">
          <cell r="C41">
            <v>1</v>
          </cell>
        </row>
        <row r="42">
          <cell r="D42">
            <v>1</v>
          </cell>
        </row>
        <row r="43">
          <cell r="D43">
            <v>1</v>
          </cell>
        </row>
        <row r="44">
          <cell r="D44">
            <v>1</v>
          </cell>
        </row>
        <row r="45">
          <cell r="D45">
            <v>1</v>
          </cell>
        </row>
        <row r="46">
          <cell r="D46">
            <v>1</v>
          </cell>
          <cell r="H46" t="str">
            <v>Chile Digno</v>
          </cell>
          <cell r="I46">
            <v>1</v>
          </cell>
          <cell r="J46">
            <v>0</v>
          </cell>
          <cell r="K46">
            <v>0</v>
          </cell>
          <cell r="L46">
            <v>0</v>
          </cell>
        </row>
        <row r="47">
          <cell r="D47">
            <v>1</v>
          </cell>
          <cell r="H47" t="str">
            <v>Mov. Sociales Const.</v>
          </cell>
          <cell r="I47">
            <v>1</v>
          </cell>
          <cell r="J47">
            <v>0</v>
          </cell>
          <cell r="K47">
            <v>0</v>
          </cell>
          <cell r="L47">
            <v>0</v>
          </cell>
        </row>
        <row r="48">
          <cell r="D48">
            <v>1</v>
          </cell>
          <cell r="H48" t="str">
            <v>Pueblo Constituyente</v>
          </cell>
          <cell r="I48">
            <v>1</v>
          </cell>
          <cell r="J48">
            <v>0</v>
          </cell>
          <cell r="K48">
            <v>0</v>
          </cell>
          <cell r="L48">
            <v>0</v>
          </cell>
        </row>
        <row r="49">
          <cell r="C49">
            <v>1</v>
          </cell>
          <cell r="H49" t="str">
            <v xml:space="preserve">Escaños Reservados </v>
          </cell>
          <cell r="I49">
            <v>0.88888888888888884</v>
          </cell>
          <cell r="J49">
            <v>0</v>
          </cell>
          <cell r="K49">
            <v>0</v>
          </cell>
          <cell r="L49">
            <v>0.1111111111111111</v>
          </cell>
        </row>
        <row r="50">
          <cell r="C50">
            <v>1</v>
          </cell>
          <cell r="H50" t="str">
            <v>Coord. Plurinacional</v>
          </cell>
          <cell r="I50">
            <v>0.8125</v>
          </cell>
          <cell r="J50">
            <v>0.1875</v>
          </cell>
          <cell r="K50">
            <v>0</v>
          </cell>
          <cell r="L50">
            <v>0</v>
          </cell>
        </row>
        <row r="51">
          <cell r="D51">
            <v>1</v>
          </cell>
          <cell r="H51" t="str">
            <v>Ind. Por Nueva Const.</v>
          </cell>
          <cell r="I51">
            <v>0.83333333333333337</v>
          </cell>
          <cell r="J51">
            <v>0.16666666666666666</v>
          </cell>
          <cell r="K51">
            <v>0</v>
          </cell>
          <cell r="L51">
            <v>0</v>
          </cell>
        </row>
        <row r="52">
          <cell r="C52">
            <v>1</v>
          </cell>
          <cell r="H52" t="str">
            <v>Colectivo Socialista</v>
          </cell>
          <cell r="I52">
            <v>0.33333333333333331</v>
          </cell>
          <cell r="J52">
            <v>0.6</v>
          </cell>
          <cell r="K52">
            <v>6.6666666666666666E-2</v>
          </cell>
          <cell r="L52">
            <v>0</v>
          </cell>
        </row>
        <row r="53">
          <cell r="D53">
            <v>1</v>
          </cell>
          <cell r="H53" t="str">
            <v>Frente Amplio</v>
          </cell>
          <cell r="I53">
            <v>4.7619047619047616E-2</v>
          </cell>
          <cell r="J53">
            <v>0.47619047619047616</v>
          </cell>
          <cell r="K53">
            <v>0.47619047619047616</v>
          </cell>
          <cell r="L53">
            <v>0</v>
          </cell>
        </row>
        <row r="54">
          <cell r="C54">
            <v>1</v>
          </cell>
          <cell r="H54" t="str">
            <v>Ind. + UDI</v>
          </cell>
          <cell r="I54">
            <v>0</v>
          </cell>
          <cell r="J54">
            <v>0.95238095238095233</v>
          </cell>
          <cell r="K54">
            <v>4.7619047619047616E-2</v>
          </cell>
          <cell r="L54">
            <v>0</v>
          </cell>
        </row>
        <row r="55">
          <cell r="C55">
            <v>1</v>
          </cell>
          <cell r="H55" t="str">
            <v>Ind. RN - Evópoli</v>
          </cell>
          <cell r="I55">
            <v>0</v>
          </cell>
          <cell r="J55">
            <v>0.93333333333333335</v>
          </cell>
          <cell r="K55">
            <v>6.6666666666666666E-2</v>
          </cell>
          <cell r="L55">
            <v>0</v>
          </cell>
        </row>
        <row r="56">
          <cell r="C56">
            <v>1</v>
          </cell>
          <cell r="H56" t="str">
            <v>Colectivo del Apruebo</v>
          </cell>
          <cell r="I56">
            <v>0</v>
          </cell>
          <cell r="J56">
            <v>0.8571428571428571</v>
          </cell>
          <cell r="K56">
            <v>0.14285714285714285</v>
          </cell>
          <cell r="L56">
            <v>0</v>
          </cell>
        </row>
        <row r="57">
          <cell r="D57">
            <v>1</v>
          </cell>
          <cell r="H57" t="str">
            <v>Otros</v>
          </cell>
          <cell r="I57">
            <v>0.8</v>
          </cell>
          <cell r="J57">
            <v>0.2</v>
          </cell>
          <cell r="K57">
            <v>0</v>
          </cell>
          <cell r="L57">
            <v>0</v>
          </cell>
        </row>
        <row r="58">
          <cell r="C58">
            <v>1</v>
          </cell>
        </row>
        <row r="59">
          <cell r="C59">
            <v>1</v>
          </cell>
        </row>
        <row r="60">
          <cell r="C60">
            <v>1</v>
          </cell>
        </row>
        <row r="61">
          <cell r="E61">
            <v>1</v>
          </cell>
        </row>
        <row r="62">
          <cell r="C62">
            <v>1</v>
          </cell>
        </row>
        <row r="63">
          <cell r="F63">
            <v>1</v>
          </cell>
        </row>
        <row r="64">
          <cell r="C64">
            <v>1</v>
          </cell>
        </row>
        <row r="65">
          <cell r="C65">
            <v>1</v>
          </cell>
        </row>
        <row r="66">
          <cell r="C66">
            <v>1</v>
          </cell>
        </row>
        <row r="67">
          <cell r="D67">
            <v>1</v>
          </cell>
        </row>
        <row r="68">
          <cell r="C68">
            <v>1</v>
          </cell>
        </row>
        <row r="69">
          <cell r="C69">
            <v>1</v>
          </cell>
        </row>
        <row r="70">
          <cell r="D70">
            <v>1</v>
          </cell>
        </row>
        <row r="71">
          <cell r="D71">
            <v>1</v>
          </cell>
        </row>
        <row r="72">
          <cell r="D72">
            <v>1</v>
          </cell>
        </row>
        <row r="73">
          <cell r="C73">
            <v>1</v>
          </cell>
        </row>
        <row r="74">
          <cell r="D74">
            <v>1</v>
          </cell>
        </row>
        <row r="75">
          <cell r="D75">
            <v>1</v>
          </cell>
        </row>
        <row r="76">
          <cell r="C76">
            <v>1</v>
          </cell>
        </row>
        <row r="77">
          <cell r="D77">
            <v>1</v>
          </cell>
        </row>
        <row r="78">
          <cell r="C78">
            <v>1</v>
          </cell>
        </row>
        <row r="79">
          <cell r="D79">
            <v>1</v>
          </cell>
        </row>
        <row r="80">
          <cell r="D80">
            <v>1</v>
          </cell>
        </row>
        <row r="81">
          <cell r="D81">
            <v>1</v>
          </cell>
        </row>
        <row r="82">
          <cell r="C82">
            <v>1</v>
          </cell>
        </row>
        <row r="83">
          <cell r="C83">
            <v>1</v>
          </cell>
        </row>
        <row r="84">
          <cell r="D84">
            <v>1</v>
          </cell>
        </row>
        <row r="85">
          <cell r="C85">
            <v>1</v>
          </cell>
        </row>
        <row r="86">
          <cell r="D86">
            <v>1</v>
          </cell>
        </row>
        <row r="87">
          <cell r="C87">
            <v>1</v>
          </cell>
        </row>
        <row r="88">
          <cell r="D88">
            <v>1</v>
          </cell>
        </row>
        <row r="89">
          <cell r="C89">
            <v>1</v>
          </cell>
        </row>
        <row r="90">
          <cell r="C90">
            <v>1</v>
          </cell>
        </row>
        <row r="91">
          <cell r="D91">
            <v>1</v>
          </cell>
        </row>
        <row r="92">
          <cell r="E92">
            <v>1</v>
          </cell>
        </row>
        <row r="93">
          <cell r="D93">
            <v>1</v>
          </cell>
        </row>
        <row r="94">
          <cell r="C94">
            <v>1</v>
          </cell>
        </row>
        <row r="95">
          <cell r="C95">
            <v>1</v>
          </cell>
        </row>
        <row r="96">
          <cell r="C96">
            <v>1</v>
          </cell>
        </row>
        <row r="97">
          <cell r="D97">
            <v>1</v>
          </cell>
        </row>
        <row r="98">
          <cell r="D98">
            <v>1</v>
          </cell>
        </row>
        <row r="99">
          <cell r="D99">
            <v>1</v>
          </cell>
        </row>
        <row r="100">
          <cell r="D100">
            <v>1</v>
          </cell>
        </row>
        <row r="101">
          <cell r="D101">
            <v>1</v>
          </cell>
        </row>
        <row r="102">
          <cell r="C102">
            <v>1</v>
          </cell>
        </row>
        <row r="103">
          <cell r="D103">
            <v>1</v>
          </cell>
        </row>
        <row r="104">
          <cell r="D104">
            <v>1</v>
          </cell>
        </row>
        <row r="105">
          <cell r="C105">
            <v>1</v>
          </cell>
        </row>
        <row r="106">
          <cell r="C106">
            <v>1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</v>
          </cell>
        </row>
        <row r="110">
          <cell r="D110">
            <v>1</v>
          </cell>
        </row>
        <row r="111">
          <cell r="E111">
            <v>1</v>
          </cell>
        </row>
        <row r="112">
          <cell r="C112">
            <v>1</v>
          </cell>
        </row>
        <row r="113">
          <cell r="C113">
            <v>1</v>
          </cell>
        </row>
        <row r="114">
          <cell r="D114">
            <v>1</v>
          </cell>
        </row>
        <row r="115">
          <cell r="C115">
            <v>1</v>
          </cell>
        </row>
        <row r="116">
          <cell r="D116">
            <v>1</v>
          </cell>
        </row>
        <row r="117">
          <cell r="C117">
            <v>1</v>
          </cell>
        </row>
        <row r="118">
          <cell r="E118">
            <v>1</v>
          </cell>
        </row>
        <row r="119">
          <cell r="C119">
            <v>1</v>
          </cell>
        </row>
        <row r="120">
          <cell r="D120">
            <v>1</v>
          </cell>
        </row>
        <row r="121">
          <cell r="F121">
            <v>1</v>
          </cell>
        </row>
        <row r="122">
          <cell r="C122">
            <v>1</v>
          </cell>
        </row>
        <row r="123">
          <cell r="C123">
            <v>1</v>
          </cell>
        </row>
        <row r="124">
          <cell r="C124">
            <v>1</v>
          </cell>
        </row>
        <row r="125">
          <cell r="C125">
            <v>1</v>
          </cell>
        </row>
        <row r="126">
          <cell r="D126">
            <v>1</v>
          </cell>
        </row>
        <row r="127">
          <cell r="D127">
            <v>1</v>
          </cell>
        </row>
        <row r="128">
          <cell r="C128">
            <v>1</v>
          </cell>
        </row>
        <row r="129">
          <cell r="C129">
            <v>1</v>
          </cell>
        </row>
        <row r="130">
          <cell r="C130">
            <v>1</v>
          </cell>
        </row>
        <row r="131">
          <cell r="E131">
            <v>1</v>
          </cell>
        </row>
        <row r="132">
          <cell r="D132">
            <v>1</v>
          </cell>
        </row>
        <row r="133">
          <cell r="D133">
            <v>1</v>
          </cell>
        </row>
        <row r="134">
          <cell r="D134">
            <v>1</v>
          </cell>
        </row>
        <row r="135">
          <cell r="C135">
            <v>1</v>
          </cell>
        </row>
        <row r="136">
          <cell r="D136">
            <v>1</v>
          </cell>
        </row>
        <row r="137">
          <cell r="D137">
            <v>1</v>
          </cell>
        </row>
        <row r="138">
          <cell r="C138">
            <v>1</v>
          </cell>
        </row>
        <row r="139">
          <cell r="D139">
            <v>1</v>
          </cell>
        </row>
        <row r="140">
          <cell r="D140">
            <v>1</v>
          </cell>
        </row>
        <row r="141">
          <cell r="C141">
            <v>1</v>
          </cell>
        </row>
        <row r="142">
          <cell r="C142">
            <v>1</v>
          </cell>
        </row>
        <row r="143">
          <cell r="C143">
            <v>1</v>
          </cell>
        </row>
        <row r="144">
          <cell r="C144">
            <v>1</v>
          </cell>
        </row>
        <row r="145">
          <cell r="D145">
            <v>1</v>
          </cell>
        </row>
        <row r="146">
          <cell r="C146">
            <v>1</v>
          </cell>
        </row>
        <row r="147">
          <cell r="D147">
            <v>1</v>
          </cell>
        </row>
        <row r="148">
          <cell r="C148">
            <v>1</v>
          </cell>
        </row>
        <row r="149">
          <cell r="C149">
            <v>1</v>
          </cell>
        </row>
        <row r="150">
          <cell r="C150">
            <v>1</v>
          </cell>
        </row>
        <row r="151">
          <cell r="D151">
            <v>1</v>
          </cell>
        </row>
        <row r="152">
          <cell r="C152">
            <v>1</v>
          </cell>
        </row>
        <row r="153">
          <cell r="C153">
            <v>1</v>
          </cell>
        </row>
        <row r="154">
          <cell r="D154">
            <v>1</v>
          </cell>
        </row>
        <row r="155">
          <cell r="C155">
            <v>1</v>
          </cell>
        </row>
        <row r="156">
          <cell r="D156">
            <v>1</v>
          </cell>
        </row>
      </sheetData>
      <sheetData sheetId="30">
        <row r="2">
          <cell r="D2">
            <v>1</v>
          </cell>
          <cell r="H2" t="str">
            <v>Chile Digno</v>
          </cell>
          <cell r="I2">
            <v>11</v>
          </cell>
          <cell r="J2">
            <v>0</v>
          </cell>
          <cell r="K2">
            <v>0</v>
          </cell>
          <cell r="L2">
            <v>0</v>
          </cell>
          <cell r="M2">
            <v>11</v>
          </cell>
        </row>
        <row r="3">
          <cell r="C3">
            <v>1</v>
          </cell>
          <cell r="H3" t="str">
            <v>Mov. Sociales Const.</v>
          </cell>
          <cell r="I3">
            <v>6</v>
          </cell>
          <cell r="J3">
            <v>6</v>
          </cell>
          <cell r="K3">
            <v>0</v>
          </cell>
          <cell r="L3">
            <v>0</v>
          </cell>
          <cell r="M3">
            <v>12</v>
          </cell>
        </row>
        <row r="4">
          <cell r="D4">
            <v>1</v>
          </cell>
          <cell r="H4" t="str">
            <v>Pueblo Constituyente</v>
          </cell>
          <cell r="I4">
            <v>10</v>
          </cell>
          <cell r="J4">
            <v>0</v>
          </cell>
          <cell r="K4">
            <v>0</v>
          </cell>
          <cell r="L4">
            <v>0</v>
          </cell>
          <cell r="M4">
            <v>10</v>
          </cell>
        </row>
        <row r="5">
          <cell r="D5">
            <v>1</v>
          </cell>
          <cell r="H5" t="str">
            <v xml:space="preserve">Escaños Reservados </v>
          </cell>
          <cell r="I5">
            <v>0</v>
          </cell>
          <cell r="J5">
            <v>8</v>
          </cell>
          <cell r="K5">
            <v>0</v>
          </cell>
          <cell r="L5">
            <v>1</v>
          </cell>
          <cell r="M5">
            <v>9</v>
          </cell>
        </row>
        <row r="6">
          <cell r="C6">
            <v>1</v>
          </cell>
          <cell r="H6" t="str">
            <v>Coord. Plurinacional</v>
          </cell>
          <cell r="I6">
            <v>15</v>
          </cell>
          <cell r="J6">
            <v>0</v>
          </cell>
          <cell r="K6">
            <v>0</v>
          </cell>
          <cell r="L6">
            <v>1</v>
          </cell>
          <cell r="M6">
            <v>16</v>
          </cell>
        </row>
        <row r="7">
          <cell r="C7">
            <v>1</v>
          </cell>
          <cell r="H7" t="str">
            <v>Ind. Por Nueva Const.</v>
          </cell>
          <cell r="I7">
            <v>6</v>
          </cell>
          <cell r="J7">
            <v>4</v>
          </cell>
          <cell r="K7">
            <v>2</v>
          </cell>
          <cell r="L7">
            <v>0</v>
          </cell>
          <cell r="M7">
            <v>12</v>
          </cell>
        </row>
        <row r="8">
          <cell r="E8">
            <v>1</v>
          </cell>
          <cell r="H8" t="str">
            <v>Colectivo Socialista</v>
          </cell>
          <cell r="I8">
            <v>3</v>
          </cell>
          <cell r="J8">
            <v>9</v>
          </cell>
          <cell r="K8">
            <v>3</v>
          </cell>
          <cell r="L8">
            <v>0</v>
          </cell>
          <cell r="M8">
            <v>15</v>
          </cell>
        </row>
        <row r="9">
          <cell r="D9">
            <v>1</v>
          </cell>
          <cell r="H9" t="str">
            <v>Frente Amplio</v>
          </cell>
          <cell r="I9">
            <v>1</v>
          </cell>
          <cell r="J9">
            <v>11</v>
          </cell>
          <cell r="K9">
            <v>11</v>
          </cell>
          <cell r="L9">
            <v>0</v>
          </cell>
          <cell r="M9">
            <v>23</v>
          </cell>
        </row>
        <row r="10">
          <cell r="C10">
            <v>1</v>
          </cell>
          <cell r="H10" t="str">
            <v>Ind. + UDI</v>
          </cell>
          <cell r="I10">
            <v>0</v>
          </cell>
          <cell r="J10">
            <v>6</v>
          </cell>
          <cell r="K10">
            <v>15</v>
          </cell>
          <cell r="L10">
            <v>0</v>
          </cell>
          <cell r="M10">
            <v>21</v>
          </cell>
        </row>
        <row r="11">
          <cell r="C11">
            <v>1</v>
          </cell>
          <cell r="H11" t="str">
            <v>Ind. RN - Evópoli</v>
          </cell>
          <cell r="I11">
            <v>2</v>
          </cell>
          <cell r="J11">
            <v>5</v>
          </cell>
          <cell r="K11">
            <v>8</v>
          </cell>
          <cell r="L11">
            <v>0</v>
          </cell>
          <cell r="M11">
            <v>15</v>
          </cell>
        </row>
        <row r="12">
          <cell r="C12">
            <v>1</v>
          </cell>
          <cell r="H12" t="str">
            <v>Colectivo del Apruebo</v>
          </cell>
          <cell r="I12">
            <v>2</v>
          </cell>
          <cell r="J12">
            <v>4</v>
          </cell>
          <cell r="K12">
            <v>1</v>
          </cell>
          <cell r="L12">
            <v>0</v>
          </cell>
          <cell r="M12">
            <v>7</v>
          </cell>
        </row>
        <row r="13">
          <cell r="E13">
            <v>1</v>
          </cell>
          <cell r="H13" t="str">
            <v>Otros</v>
          </cell>
          <cell r="I13">
            <v>4</v>
          </cell>
          <cell r="J13">
            <v>1</v>
          </cell>
          <cell r="K13">
            <v>0</v>
          </cell>
          <cell r="L13">
            <v>0</v>
          </cell>
          <cell r="M13">
            <v>5</v>
          </cell>
        </row>
        <row r="14">
          <cell r="C14">
            <v>1</v>
          </cell>
        </row>
        <row r="15">
          <cell r="C15">
            <v>1</v>
          </cell>
        </row>
        <row r="16">
          <cell r="E16">
            <v>1</v>
          </cell>
        </row>
        <row r="17">
          <cell r="D17">
            <v>1</v>
          </cell>
        </row>
        <row r="18">
          <cell r="C18">
            <v>1</v>
          </cell>
        </row>
        <row r="19">
          <cell r="D19">
            <v>1</v>
          </cell>
        </row>
        <row r="20">
          <cell r="C20">
            <v>1</v>
          </cell>
        </row>
        <row r="21">
          <cell r="D21">
            <v>1</v>
          </cell>
        </row>
        <row r="22">
          <cell r="C22">
            <v>1</v>
          </cell>
        </row>
        <row r="23">
          <cell r="C23">
            <v>1</v>
          </cell>
        </row>
        <row r="24">
          <cell r="C24">
            <v>1</v>
          </cell>
        </row>
        <row r="25">
          <cell r="D25">
            <v>1</v>
          </cell>
        </row>
        <row r="26">
          <cell r="C26">
            <v>1</v>
          </cell>
        </row>
        <row r="27">
          <cell r="C27">
            <v>1</v>
          </cell>
        </row>
        <row r="28">
          <cell r="C28">
            <v>1</v>
          </cell>
        </row>
        <row r="29">
          <cell r="D29">
            <v>1</v>
          </cell>
        </row>
        <row r="30">
          <cell r="C30">
            <v>1</v>
          </cell>
        </row>
        <row r="31">
          <cell r="D31">
            <v>1</v>
          </cell>
        </row>
        <row r="32">
          <cell r="C32">
            <v>1</v>
          </cell>
        </row>
        <row r="33">
          <cell r="D33">
            <v>1</v>
          </cell>
        </row>
        <row r="34">
          <cell r="D34">
            <v>1</v>
          </cell>
        </row>
        <row r="35">
          <cell r="E35">
            <v>1</v>
          </cell>
        </row>
        <row r="36">
          <cell r="D36">
            <v>1</v>
          </cell>
        </row>
        <row r="37">
          <cell r="C37">
            <v>1</v>
          </cell>
        </row>
        <row r="38">
          <cell r="E38">
            <v>1</v>
          </cell>
        </row>
        <row r="39">
          <cell r="D39">
            <v>1</v>
          </cell>
        </row>
        <row r="40">
          <cell r="C40">
            <v>1</v>
          </cell>
        </row>
        <row r="41">
          <cell r="C41">
            <v>1</v>
          </cell>
        </row>
        <row r="42">
          <cell r="D42">
            <v>1</v>
          </cell>
        </row>
        <row r="43">
          <cell r="E43">
            <v>1</v>
          </cell>
        </row>
        <row r="44">
          <cell r="D44">
            <v>1</v>
          </cell>
        </row>
        <row r="45">
          <cell r="E45">
            <v>1</v>
          </cell>
        </row>
        <row r="46">
          <cell r="E46">
            <v>1</v>
          </cell>
          <cell r="H46" t="str">
            <v>Chile Digno</v>
          </cell>
          <cell r="I46">
            <v>1</v>
          </cell>
          <cell r="J46">
            <v>0</v>
          </cell>
          <cell r="K46">
            <v>0</v>
          </cell>
          <cell r="L46">
            <v>0</v>
          </cell>
        </row>
        <row r="47">
          <cell r="C47">
            <v>1</v>
          </cell>
          <cell r="H47" t="str">
            <v>Mov. Sociales Const.</v>
          </cell>
          <cell r="I47">
            <v>0.5</v>
          </cell>
          <cell r="J47">
            <v>0.5</v>
          </cell>
          <cell r="K47">
            <v>0</v>
          </cell>
          <cell r="L47">
            <v>0</v>
          </cell>
        </row>
        <row r="48">
          <cell r="D48">
            <v>1</v>
          </cell>
          <cell r="H48" t="str">
            <v>Pueblo Constituyente</v>
          </cell>
          <cell r="I48">
            <v>1</v>
          </cell>
          <cell r="J48">
            <v>0</v>
          </cell>
          <cell r="K48">
            <v>0</v>
          </cell>
          <cell r="L48">
            <v>0</v>
          </cell>
        </row>
        <row r="49">
          <cell r="D49">
            <v>1</v>
          </cell>
          <cell r="H49" t="str">
            <v xml:space="preserve">Escaños Reservados </v>
          </cell>
          <cell r="I49">
            <v>0</v>
          </cell>
          <cell r="J49">
            <v>0.88888888888888884</v>
          </cell>
          <cell r="K49">
            <v>0</v>
          </cell>
          <cell r="L49">
            <v>0.1111111111111111</v>
          </cell>
        </row>
        <row r="50">
          <cell r="D50">
            <v>1</v>
          </cell>
          <cell r="H50" t="str">
            <v>Coord. Plurinacional</v>
          </cell>
          <cell r="I50">
            <v>0.9375</v>
          </cell>
          <cell r="J50">
            <v>0</v>
          </cell>
          <cell r="K50">
            <v>0</v>
          </cell>
          <cell r="L50">
            <v>6.25E-2</v>
          </cell>
        </row>
        <row r="51">
          <cell r="D51">
            <v>1</v>
          </cell>
          <cell r="H51" t="str">
            <v>Ind. Por Nueva Const.</v>
          </cell>
          <cell r="I51">
            <v>0.5</v>
          </cell>
          <cell r="J51">
            <v>0.33333333333333331</v>
          </cell>
          <cell r="K51">
            <v>0.16666666666666666</v>
          </cell>
          <cell r="L51">
            <v>0</v>
          </cell>
        </row>
        <row r="52">
          <cell r="D52">
            <v>1</v>
          </cell>
          <cell r="H52" t="str">
            <v>Colectivo Socialista</v>
          </cell>
          <cell r="I52">
            <v>0.2</v>
          </cell>
          <cell r="J52">
            <v>0.6</v>
          </cell>
          <cell r="K52">
            <v>0.2</v>
          </cell>
          <cell r="L52">
            <v>0</v>
          </cell>
        </row>
        <row r="53">
          <cell r="D53">
            <v>1</v>
          </cell>
          <cell r="H53" t="str">
            <v>Frente Amplio</v>
          </cell>
          <cell r="I53">
            <v>4.3478260869565216E-2</v>
          </cell>
          <cell r="J53">
            <v>0.47826086956521741</v>
          </cell>
          <cell r="K53">
            <v>0.47826086956521741</v>
          </cell>
          <cell r="L53">
            <v>0</v>
          </cell>
        </row>
        <row r="54">
          <cell r="C54">
            <v>1</v>
          </cell>
          <cell r="H54" t="str">
            <v>Ind. + UDI</v>
          </cell>
          <cell r="I54">
            <v>0</v>
          </cell>
          <cell r="J54">
            <v>0.2857142857142857</v>
          </cell>
          <cell r="K54">
            <v>0.7142857142857143</v>
          </cell>
          <cell r="L54">
            <v>0</v>
          </cell>
        </row>
        <row r="55">
          <cell r="C55">
            <v>1</v>
          </cell>
          <cell r="H55" t="str">
            <v>Ind. RN - Evópoli</v>
          </cell>
          <cell r="I55">
            <v>0.13333333333333333</v>
          </cell>
          <cell r="J55">
            <v>0.33333333333333331</v>
          </cell>
          <cell r="K55">
            <v>0.53333333333333333</v>
          </cell>
          <cell r="L55">
            <v>0</v>
          </cell>
        </row>
        <row r="56">
          <cell r="D56">
            <v>1</v>
          </cell>
          <cell r="H56" t="str">
            <v>Colectivo del Apruebo</v>
          </cell>
          <cell r="I56">
            <v>0.2857142857142857</v>
          </cell>
          <cell r="J56">
            <v>0.5714285714285714</v>
          </cell>
          <cell r="K56">
            <v>0.14285714285714285</v>
          </cell>
          <cell r="L56">
            <v>0</v>
          </cell>
        </row>
        <row r="57">
          <cell r="C57">
            <v>1</v>
          </cell>
          <cell r="H57" t="str">
            <v>Otros</v>
          </cell>
          <cell r="I57">
            <v>0.8</v>
          </cell>
          <cell r="J57">
            <v>0.2</v>
          </cell>
          <cell r="K57">
            <v>0</v>
          </cell>
          <cell r="L57">
            <v>0</v>
          </cell>
        </row>
        <row r="58">
          <cell r="D58">
            <v>1</v>
          </cell>
        </row>
        <row r="59">
          <cell r="C59">
            <v>1</v>
          </cell>
        </row>
        <row r="60">
          <cell r="E60">
            <v>1</v>
          </cell>
        </row>
        <row r="61">
          <cell r="E61">
            <v>1</v>
          </cell>
        </row>
        <row r="62">
          <cell r="C62">
            <v>1</v>
          </cell>
        </row>
        <row r="63">
          <cell r="F63">
            <v>1</v>
          </cell>
        </row>
        <row r="64">
          <cell r="C64">
            <v>1</v>
          </cell>
        </row>
        <row r="65">
          <cell r="C65">
            <v>1</v>
          </cell>
        </row>
        <row r="66">
          <cell r="C66">
            <v>1</v>
          </cell>
        </row>
        <row r="67">
          <cell r="D67">
            <v>1</v>
          </cell>
        </row>
        <row r="68">
          <cell r="C68">
            <v>1</v>
          </cell>
        </row>
        <row r="69">
          <cell r="C69">
            <v>1</v>
          </cell>
        </row>
        <row r="70">
          <cell r="E70">
            <v>1</v>
          </cell>
        </row>
        <row r="71">
          <cell r="D71">
            <v>1</v>
          </cell>
        </row>
        <row r="72">
          <cell r="D72">
            <v>1</v>
          </cell>
        </row>
        <row r="73">
          <cell r="D73">
            <v>1</v>
          </cell>
        </row>
        <row r="74">
          <cell r="E74">
            <v>1</v>
          </cell>
        </row>
        <row r="75">
          <cell r="E75">
            <v>1</v>
          </cell>
        </row>
        <row r="76">
          <cell r="D76">
            <v>1</v>
          </cell>
        </row>
        <row r="77">
          <cell r="E77">
            <v>1</v>
          </cell>
        </row>
        <row r="78">
          <cell r="C78">
            <v>1</v>
          </cell>
        </row>
        <row r="79">
          <cell r="D79">
            <v>1</v>
          </cell>
        </row>
        <row r="80">
          <cell r="E80">
            <v>1</v>
          </cell>
        </row>
        <row r="81">
          <cell r="D81">
            <v>1</v>
          </cell>
        </row>
        <row r="82">
          <cell r="C82">
            <v>1</v>
          </cell>
        </row>
        <row r="83">
          <cell r="C83">
            <v>1</v>
          </cell>
        </row>
        <row r="84">
          <cell r="E84">
            <v>1</v>
          </cell>
        </row>
        <row r="85">
          <cell r="D85">
            <v>1</v>
          </cell>
        </row>
        <row r="86">
          <cell r="C86">
            <v>1</v>
          </cell>
        </row>
        <row r="87">
          <cell r="D87">
            <v>1</v>
          </cell>
        </row>
        <row r="88">
          <cell r="D88">
            <v>1</v>
          </cell>
        </row>
        <row r="89">
          <cell r="C89">
            <v>1</v>
          </cell>
        </row>
        <row r="90">
          <cell r="D90">
            <v>1</v>
          </cell>
        </row>
        <row r="91">
          <cell r="D91">
            <v>1</v>
          </cell>
        </row>
        <row r="92">
          <cell r="E92">
            <v>1</v>
          </cell>
        </row>
        <row r="93">
          <cell r="E93">
            <v>1</v>
          </cell>
        </row>
        <row r="94">
          <cell r="D94">
            <v>1</v>
          </cell>
        </row>
        <row r="95">
          <cell r="D95">
            <v>1</v>
          </cell>
        </row>
        <row r="96">
          <cell r="C96">
            <v>1</v>
          </cell>
        </row>
        <row r="97">
          <cell r="E97">
            <v>1</v>
          </cell>
        </row>
        <row r="98">
          <cell r="E98">
            <v>1</v>
          </cell>
        </row>
        <row r="99">
          <cell r="E99">
            <v>1</v>
          </cell>
        </row>
        <row r="100">
          <cell r="E100">
            <v>1</v>
          </cell>
        </row>
        <row r="101">
          <cell r="D101">
            <v>1</v>
          </cell>
        </row>
        <row r="102">
          <cell r="C102">
            <v>1</v>
          </cell>
        </row>
        <row r="103">
          <cell r="E103">
            <v>1</v>
          </cell>
        </row>
        <row r="104">
          <cell r="E104">
            <v>1</v>
          </cell>
        </row>
        <row r="105">
          <cell r="C105">
            <v>1</v>
          </cell>
        </row>
        <row r="106">
          <cell r="C106">
            <v>1</v>
          </cell>
        </row>
        <row r="107">
          <cell r="D107">
            <v>1</v>
          </cell>
        </row>
        <row r="108">
          <cell r="E108">
            <v>1</v>
          </cell>
        </row>
        <row r="109">
          <cell r="D109">
            <v>1</v>
          </cell>
        </row>
        <row r="110">
          <cell r="C110">
            <v>1</v>
          </cell>
        </row>
        <row r="111">
          <cell r="E111">
            <v>1</v>
          </cell>
        </row>
        <row r="112">
          <cell r="D112">
            <v>1</v>
          </cell>
        </row>
        <row r="113">
          <cell r="C113">
            <v>1</v>
          </cell>
        </row>
        <row r="114">
          <cell r="D114">
            <v>1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1</v>
          </cell>
        </row>
        <row r="118">
          <cell r="D118">
            <v>1</v>
          </cell>
        </row>
        <row r="119">
          <cell r="C119">
            <v>1</v>
          </cell>
        </row>
        <row r="120">
          <cell r="D120">
            <v>1</v>
          </cell>
        </row>
        <row r="121">
          <cell r="F121">
            <v>1</v>
          </cell>
        </row>
        <row r="122">
          <cell r="C122">
            <v>1</v>
          </cell>
        </row>
        <row r="123">
          <cell r="C123">
            <v>1</v>
          </cell>
        </row>
        <row r="124">
          <cell r="C124">
            <v>1</v>
          </cell>
        </row>
        <row r="125">
          <cell r="C125">
            <v>1</v>
          </cell>
        </row>
        <row r="126">
          <cell r="D126">
            <v>1</v>
          </cell>
        </row>
        <row r="127">
          <cell r="D127">
            <v>1</v>
          </cell>
        </row>
        <row r="128">
          <cell r="C128">
            <v>1</v>
          </cell>
        </row>
        <row r="129">
          <cell r="C129">
            <v>1</v>
          </cell>
        </row>
        <row r="130">
          <cell r="C130">
            <v>1</v>
          </cell>
        </row>
        <row r="131">
          <cell r="C131">
            <v>1</v>
          </cell>
        </row>
        <row r="132">
          <cell r="D132">
            <v>1</v>
          </cell>
        </row>
        <row r="133">
          <cell r="D133">
            <v>1</v>
          </cell>
        </row>
        <row r="134">
          <cell r="D134">
            <v>1</v>
          </cell>
        </row>
        <row r="135">
          <cell r="D135">
            <v>1</v>
          </cell>
        </row>
        <row r="136">
          <cell r="E136">
            <v>1</v>
          </cell>
        </row>
        <row r="137">
          <cell r="E137">
            <v>1</v>
          </cell>
        </row>
        <row r="138">
          <cell r="C138">
            <v>1</v>
          </cell>
        </row>
        <row r="139">
          <cell r="D139">
            <v>1</v>
          </cell>
        </row>
        <row r="140">
          <cell r="D140">
            <v>1</v>
          </cell>
        </row>
        <row r="141">
          <cell r="E141">
            <v>1</v>
          </cell>
        </row>
        <row r="142">
          <cell r="C142">
            <v>1</v>
          </cell>
        </row>
        <row r="143">
          <cell r="F143">
            <v>1</v>
          </cell>
        </row>
        <row r="144">
          <cell r="C144">
            <v>1</v>
          </cell>
        </row>
        <row r="145">
          <cell r="D145">
            <v>1</v>
          </cell>
        </row>
        <row r="146">
          <cell r="C146">
            <v>1</v>
          </cell>
        </row>
        <row r="147">
          <cell r="E147">
            <v>1</v>
          </cell>
        </row>
        <row r="148">
          <cell r="C148">
            <v>1</v>
          </cell>
        </row>
        <row r="149">
          <cell r="D149">
            <v>1</v>
          </cell>
        </row>
        <row r="150">
          <cell r="C150">
            <v>1</v>
          </cell>
        </row>
        <row r="151">
          <cell r="D151">
            <v>1</v>
          </cell>
        </row>
        <row r="152">
          <cell r="C152">
            <v>1</v>
          </cell>
        </row>
        <row r="153">
          <cell r="C153">
            <v>1</v>
          </cell>
        </row>
        <row r="154">
          <cell r="C154">
            <v>1</v>
          </cell>
        </row>
        <row r="155">
          <cell r="C155">
            <v>1</v>
          </cell>
        </row>
        <row r="156">
          <cell r="E156">
            <v>1</v>
          </cell>
        </row>
      </sheetData>
      <sheetData sheetId="31">
        <row r="2">
          <cell r="D2">
            <v>1</v>
          </cell>
          <cell r="H2" t="str">
            <v>Chile Digno</v>
          </cell>
          <cell r="I2">
            <v>11</v>
          </cell>
          <cell r="J2">
            <v>0</v>
          </cell>
          <cell r="K2">
            <v>0</v>
          </cell>
          <cell r="L2">
            <v>0</v>
          </cell>
          <cell r="M2">
            <v>11</v>
          </cell>
        </row>
        <row r="3">
          <cell r="C3">
            <v>1</v>
          </cell>
          <cell r="H3" t="str">
            <v>Mov. Sociales Const.</v>
          </cell>
          <cell r="I3">
            <v>12</v>
          </cell>
          <cell r="J3">
            <v>0</v>
          </cell>
          <cell r="K3">
            <v>0</v>
          </cell>
          <cell r="L3">
            <v>0</v>
          </cell>
          <cell r="M3">
            <v>12</v>
          </cell>
        </row>
        <row r="4">
          <cell r="D4">
            <v>1</v>
          </cell>
          <cell r="H4" t="str">
            <v>Pueblo Constituyente</v>
          </cell>
          <cell r="I4">
            <v>10</v>
          </cell>
          <cell r="J4">
            <v>0</v>
          </cell>
          <cell r="K4">
            <v>0</v>
          </cell>
          <cell r="L4">
            <v>0</v>
          </cell>
          <cell r="M4">
            <v>10</v>
          </cell>
        </row>
        <row r="5">
          <cell r="C5">
            <v>1</v>
          </cell>
          <cell r="H5" t="str">
            <v xml:space="preserve">Escaños Reservados </v>
          </cell>
          <cell r="I5">
            <v>8</v>
          </cell>
          <cell r="J5">
            <v>0</v>
          </cell>
          <cell r="K5">
            <v>0</v>
          </cell>
          <cell r="L5">
            <v>1</v>
          </cell>
          <cell r="M5">
            <v>9</v>
          </cell>
        </row>
        <row r="6">
          <cell r="C6">
            <v>1</v>
          </cell>
          <cell r="H6" t="str">
            <v>Coord. Plurinacional</v>
          </cell>
          <cell r="I6">
            <v>15</v>
          </cell>
          <cell r="J6">
            <v>0</v>
          </cell>
          <cell r="K6">
            <v>0</v>
          </cell>
          <cell r="L6">
            <v>1</v>
          </cell>
          <cell r="M6">
            <v>16</v>
          </cell>
        </row>
        <row r="7">
          <cell r="D7">
            <v>1</v>
          </cell>
          <cell r="H7" t="str">
            <v>Ind. Por Nueva Const.</v>
          </cell>
          <cell r="I7">
            <v>3</v>
          </cell>
          <cell r="J7">
            <v>5</v>
          </cell>
          <cell r="K7">
            <v>4</v>
          </cell>
          <cell r="L7">
            <v>0</v>
          </cell>
          <cell r="M7">
            <v>12</v>
          </cell>
        </row>
        <row r="8">
          <cell r="E8">
            <v>1</v>
          </cell>
          <cell r="H8" t="str">
            <v>Colectivo Socialista</v>
          </cell>
          <cell r="I8">
            <v>2</v>
          </cell>
          <cell r="J8">
            <v>12</v>
          </cell>
          <cell r="K8">
            <v>1</v>
          </cell>
          <cell r="L8">
            <v>0</v>
          </cell>
          <cell r="M8">
            <v>15</v>
          </cell>
        </row>
        <row r="9">
          <cell r="D9">
            <v>1</v>
          </cell>
          <cell r="H9" t="str">
            <v>Frente Amplio</v>
          </cell>
          <cell r="I9">
            <v>0</v>
          </cell>
          <cell r="J9">
            <v>12</v>
          </cell>
          <cell r="K9">
            <v>12</v>
          </cell>
          <cell r="L9">
            <v>0</v>
          </cell>
          <cell r="M9">
            <v>24</v>
          </cell>
        </row>
        <row r="10">
          <cell r="C10">
            <v>1</v>
          </cell>
          <cell r="H10" t="str">
            <v>Ind. + UDI</v>
          </cell>
          <cell r="I10">
            <v>0</v>
          </cell>
          <cell r="J10">
            <v>4</v>
          </cell>
          <cell r="K10">
            <v>17</v>
          </cell>
          <cell r="L10">
            <v>0</v>
          </cell>
          <cell r="M10">
            <v>21</v>
          </cell>
        </row>
        <row r="11">
          <cell r="C11">
            <v>1</v>
          </cell>
          <cell r="H11" t="str">
            <v>Ind. RN - Evópoli</v>
          </cell>
          <cell r="I11">
            <v>1</v>
          </cell>
          <cell r="J11">
            <v>10</v>
          </cell>
          <cell r="K11">
            <v>4</v>
          </cell>
          <cell r="L11">
            <v>0</v>
          </cell>
          <cell r="M11">
            <v>15</v>
          </cell>
        </row>
        <row r="12">
          <cell r="C12">
            <v>1</v>
          </cell>
          <cell r="H12" t="str">
            <v>Colectivo del Apruebo</v>
          </cell>
          <cell r="I12">
            <v>0</v>
          </cell>
          <cell r="J12">
            <v>6</v>
          </cell>
          <cell r="K12">
            <v>1</v>
          </cell>
          <cell r="L12">
            <v>0</v>
          </cell>
          <cell r="M12">
            <v>7</v>
          </cell>
        </row>
        <row r="13">
          <cell r="E13">
            <v>1</v>
          </cell>
          <cell r="H13" t="str">
            <v>Otros</v>
          </cell>
          <cell r="I13">
            <v>4</v>
          </cell>
          <cell r="J13">
            <v>1</v>
          </cell>
          <cell r="K13">
            <v>0</v>
          </cell>
          <cell r="L13">
            <v>0</v>
          </cell>
          <cell r="M13">
            <v>5</v>
          </cell>
        </row>
        <row r="14">
          <cell r="C14">
            <v>1</v>
          </cell>
        </row>
        <row r="15">
          <cell r="C15">
            <v>1</v>
          </cell>
        </row>
        <row r="16">
          <cell r="D16">
            <v>1</v>
          </cell>
        </row>
        <row r="17">
          <cell r="D17">
            <v>1</v>
          </cell>
        </row>
        <row r="18">
          <cell r="C18">
            <v>1</v>
          </cell>
        </row>
        <row r="19">
          <cell r="D19">
            <v>1</v>
          </cell>
        </row>
        <row r="20">
          <cell r="D20">
            <v>1</v>
          </cell>
        </row>
        <row r="21">
          <cell r="D21">
            <v>1</v>
          </cell>
        </row>
        <row r="22">
          <cell r="C22">
            <v>1</v>
          </cell>
        </row>
        <row r="23">
          <cell r="D23">
            <v>1</v>
          </cell>
        </row>
        <row r="24">
          <cell r="E24">
            <v>1</v>
          </cell>
        </row>
        <row r="25">
          <cell r="E25">
            <v>1</v>
          </cell>
        </row>
        <row r="26">
          <cell r="C26">
            <v>1</v>
          </cell>
        </row>
        <row r="27">
          <cell r="C27">
            <v>1</v>
          </cell>
        </row>
        <row r="28">
          <cell r="C28">
            <v>1</v>
          </cell>
        </row>
        <row r="29">
          <cell r="D29">
            <v>1</v>
          </cell>
        </row>
        <row r="30">
          <cell r="D30">
            <v>1</v>
          </cell>
        </row>
        <row r="31">
          <cell r="D31">
            <v>1</v>
          </cell>
        </row>
        <row r="32">
          <cell r="C32">
            <v>1</v>
          </cell>
        </row>
        <row r="33">
          <cell r="D33">
            <v>1</v>
          </cell>
        </row>
        <row r="34">
          <cell r="D34">
            <v>1</v>
          </cell>
        </row>
        <row r="35">
          <cell r="E35">
            <v>1</v>
          </cell>
        </row>
        <row r="36">
          <cell r="C36">
            <v>1</v>
          </cell>
        </row>
        <row r="37">
          <cell r="C37">
            <v>1</v>
          </cell>
        </row>
        <row r="38">
          <cell r="D38">
            <v>1</v>
          </cell>
        </row>
        <row r="39">
          <cell r="E39">
            <v>1</v>
          </cell>
        </row>
        <row r="40">
          <cell r="D40">
            <v>1</v>
          </cell>
        </row>
        <row r="41">
          <cell r="C41">
            <v>1</v>
          </cell>
        </row>
        <row r="42">
          <cell r="D42">
            <v>1</v>
          </cell>
        </row>
        <row r="43">
          <cell r="E43">
            <v>1</v>
          </cell>
        </row>
        <row r="44">
          <cell r="D44">
            <v>1</v>
          </cell>
        </row>
        <row r="45">
          <cell r="E45">
            <v>1</v>
          </cell>
        </row>
        <row r="46">
          <cell r="C46">
            <v>1</v>
          </cell>
          <cell r="H46" t="str">
            <v>Chile Digno</v>
          </cell>
          <cell r="I46">
            <v>1</v>
          </cell>
          <cell r="J46">
            <v>0</v>
          </cell>
          <cell r="K46">
            <v>0</v>
          </cell>
          <cell r="L46">
            <v>0</v>
          </cell>
        </row>
        <row r="47">
          <cell r="D47">
            <v>1</v>
          </cell>
          <cell r="H47" t="str">
            <v>Mov. Sociales Const.</v>
          </cell>
          <cell r="I47">
            <v>1</v>
          </cell>
          <cell r="J47">
            <v>0</v>
          </cell>
          <cell r="K47">
            <v>0</v>
          </cell>
          <cell r="L47">
            <v>0</v>
          </cell>
        </row>
        <row r="48">
          <cell r="D48">
            <v>1</v>
          </cell>
          <cell r="H48" t="str">
            <v>Pueblo Constituyente</v>
          </cell>
          <cell r="I48">
            <v>1</v>
          </cell>
          <cell r="J48">
            <v>0</v>
          </cell>
          <cell r="K48">
            <v>0</v>
          </cell>
          <cell r="L48">
            <v>0</v>
          </cell>
        </row>
        <row r="49">
          <cell r="D49">
            <v>1</v>
          </cell>
          <cell r="H49" t="str">
            <v xml:space="preserve">Escaños Reservados </v>
          </cell>
          <cell r="I49">
            <v>0.88888888888888884</v>
          </cell>
          <cell r="J49">
            <v>0</v>
          </cell>
          <cell r="K49">
            <v>0</v>
          </cell>
          <cell r="L49">
            <v>0.1111111111111111</v>
          </cell>
        </row>
        <row r="50">
          <cell r="C50">
            <v>1</v>
          </cell>
          <cell r="H50" t="str">
            <v>Coord. Plurinacional</v>
          </cell>
          <cell r="I50">
            <v>0.9375</v>
          </cell>
          <cell r="J50">
            <v>0</v>
          </cell>
          <cell r="K50">
            <v>0</v>
          </cell>
          <cell r="L50">
            <v>6.25E-2</v>
          </cell>
        </row>
        <row r="51">
          <cell r="D51">
            <v>1</v>
          </cell>
          <cell r="H51" t="str">
            <v>Ind. Por Nueva Const.</v>
          </cell>
          <cell r="I51">
            <v>0.25</v>
          </cell>
          <cell r="J51">
            <v>0.41666666666666669</v>
          </cell>
          <cell r="K51">
            <v>0.33333333333333331</v>
          </cell>
          <cell r="L51">
            <v>0</v>
          </cell>
        </row>
        <row r="52">
          <cell r="C52">
            <v>1</v>
          </cell>
          <cell r="H52" t="str">
            <v>Colectivo Socialista</v>
          </cell>
          <cell r="I52">
            <v>0.13333333333333333</v>
          </cell>
          <cell r="J52">
            <v>0.8</v>
          </cell>
          <cell r="K52">
            <v>6.6666666666666666E-2</v>
          </cell>
          <cell r="L52">
            <v>0</v>
          </cell>
        </row>
        <row r="53">
          <cell r="D53">
            <v>1</v>
          </cell>
          <cell r="H53" t="str">
            <v>Frente Amplio</v>
          </cell>
          <cell r="I53">
            <v>0</v>
          </cell>
          <cell r="J53">
            <v>0.5</v>
          </cell>
          <cell r="K53">
            <v>0.5</v>
          </cell>
          <cell r="L53">
            <v>0</v>
          </cell>
        </row>
        <row r="54">
          <cell r="E54">
            <v>1</v>
          </cell>
          <cell r="H54" t="str">
            <v>Ind. + UDI</v>
          </cell>
          <cell r="I54">
            <v>0</v>
          </cell>
          <cell r="J54">
            <v>0.19047619047619047</v>
          </cell>
          <cell r="K54">
            <v>0.80952380952380953</v>
          </cell>
          <cell r="L54">
            <v>0</v>
          </cell>
        </row>
        <row r="55">
          <cell r="C55">
            <v>1</v>
          </cell>
          <cell r="H55" t="str">
            <v>Ind. RN - Evópoli</v>
          </cell>
          <cell r="I55">
            <v>6.6666666666666666E-2</v>
          </cell>
          <cell r="J55">
            <v>0.66666666666666663</v>
          </cell>
          <cell r="K55">
            <v>0.26666666666666666</v>
          </cell>
          <cell r="L55">
            <v>0</v>
          </cell>
        </row>
        <row r="56">
          <cell r="C56">
            <v>1</v>
          </cell>
          <cell r="H56" t="str">
            <v>Colectivo del Apruebo</v>
          </cell>
          <cell r="I56">
            <v>0</v>
          </cell>
          <cell r="J56">
            <v>0.8571428571428571</v>
          </cell>
          <cell r="K56">
            <v>0.14285714285714285</v>
          </cell>
          <cell r="L56">
            <v>0</v>
          </cell>
        </row>
        <row r="57">
          <cell r="D57">
            <v>1</v>
          </cell>
          <cell r="H57" t="str">
            <v>Otros</v>
          </cell>
          <cell r="I57">
            <v>0.8</v>
          </cell>
          <cell r="J57">
            <v>0.2</v>
          </cell>
          <cell r="K57">
            <v>0</v>
          </cell>
          <cell r="L57">
            <v>0</v>
          </cell>
        </row>
        <row r="58">
          <cell r="C58">
            <v>1</v>
          </cell>
        </row>
        <row r="59">
          <cell r="C59">
            <v>1</v>
          </cell>
        </row>
        <row r="60">
          <cell r="C60">
            <v>1</v>
          </cell>
        </row>
        <row r="61">
          <cell r="E61">
            <v>1</v>
          </cell>
        </row>
        <row r="62">
          <cell r="C62">
            <v>1</v>
          </cell>
        </row>
        <row r="63">
          <cell r="F63">
            <v>1</v>
          </cell>
        </row>
        <row r="64">
          <cell r="C64">
            <v>1</v>
          </cell>
        </row>
        <row r="65">
          <cell r="C65">
            <v>1</v>
          </cell>
        </row>
        <row r="66">
          <cell r="C66">
            <v>1</v>
          </cell>
        </row>
        <row r="67">
          <cell r="D67">
            <v>1</v>
          </cell>
        </row>
        <row r="68">
          <cell r="C68">
            <v>1</v>
          </cell>
        </row>
        <row r="69">
          <cell r="C69">
            <v>1</v>
          </cell>
        </row>
        <row r="70">
          <cell r="E70">
            <v>1</v>
          </cell>
        </row>
        <row r="71">
          <cell r="D71">
            <v>1</v>
          </cell>
        </row>
        <row r="72">
          <cell r="D72">
            <v>1</v>
          </cell>
        </row>
        <row r="73">
          <cell r="C73">
            <v>1</v>
          </cell>
        </row>
        <row r="74">
          <cell r="D74">
            <v>1</v>
          </cell>
        </row>
        <row r="75">
          <cell r="E75">
            <v>1</v>
          </cell>
        </row>
        <row r="76">
          <cell r="C76">
            <v>1</v>
          </cell>
        </row>
        <row r="77">
          <cell r="C77">
            <v>1</v>
          </cell>
        </row>
        <row r="78">
          <cell r="C78">
            <v>1</v>
          </cell>
        </row>
        <row r="79">
          <cell r="D79">
            <v>1</v>
          </cell>
        </row>
        <row r="80">
          <cell r="D80">
            <v>1</v>
          </cell>
        </row>
        <row r="81">
          <cell r="E81">
            <v>1</v>
          </cell>
        </row>
        <row r="82">
          <cell r="C82">
            <v>1</v>
          </cell>
        </row>
        <row r="83">
          <cell r="F83">
            <v>1</v>
          </cell>
        </row>
        <row r="84">
          <cell r="D84">
            <v>1</v>
          </cell>
        </row>
        <row r="85">
          <cell r="C85">
            <v>1</v>
          </cell>
        </row>
        <row r="86">
          <cell r="C86">
            <v>1</v>
          </cell>
        </row>
        <row r="87">
          <cell r="C87">
            <v>1</v>
          </cell>
        </row>
        <row r="88">
          <cell r="D88">
            <v>1</v>
          </cell>
        </row>
        <row r="89">
          <cell r="C89">
            <v>1</v>
          </cell>
        </row>
        <row r="90">
          <cell r="E90">
            <v>1</v>
          </cell>
        </row>
        <row r="91">
          <cell r="D91">
            <v>1</v>
          </cell>
        </row>
        <row r="92">
          <cell r="E92">
            <v>1</v>
          </cell>
        </row>
        <row r="93">
          <cell r="E93">
            <v>1</v>
          </cell>
        </row>
        <row r="94">
          <cell r="C94">
            <v>1</v>
          </cell>
        </row>
        <row r="95">
          <cell r="C95">
            <v>1</v>
          </cell>
        </row>
        <row r="96">
          <cell r="C96">
            <v>1</v>
          </cell>
        </row>
        <row r="97">
          <cell r="D97">
            <v>1</v>
          </cell>
        </row>
        <row r="98">
          <cell r="E98">
            <v>1</v>
          </cell>
        </row>
        <row r="99">
          <cell r="D99">
            <v>1</v>
          </cell>
        </row>
        <row r="100">
          <cell r="E100">
            <v>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E103">
            <v>1</v>
          </cell>
        </row>
        <row r="104">
          <cell r="E104">
            <v>1</v>
          </cell>
        </row>
        <row r="105">
          <cell r="C105">
            <v>1</v>
          </cell>
        </row>
        <row r="106">
          <cell r="C106">
            <v>1</v>
          </cell>
        </row>
        <row r="107">
          <cell r="D107">
            <v>1</v>
          </cell>
        </row>
        <row r="108">
          <cell r="E108">
            <v>1</v>
          </cell>
        </row>
        <row r="109">
          <cell r="D109">
            <v>1</v>
          </cell>
        </row>
        <row r="110">
          <cell r="C110">
            <v>1</v>
          </cell>
        </row>
        <row r="111">
          <cell r="E111">
            <v>1</v>
          </cell>
        </row>
        <row r="112">
          <cell r="D112">
            <v>1</v>
          </cell>
        </row>
        <row r="113">
          <cell r="C113">
            <v>1</v>
          </cell>
        </row>
        <row r="114">
          <cell r="D114">
            <v>1</v>
          </cell>
        </row>
        <row r="115">
          <cell r="C115">
            <v>1</v>
          </cell>
        </row>
        <row r="116">
          <cell r="D116">
            <v>1</v>
          </cell>
        </row>
        <row r="117">
          <cell r="D117">
            <v>1</v>
          </cell>
        </row>
        <row r="118">
          <cell r="E118">
            <v>1</v>
          </cell>
        </row>
        <row r="119">
          <cell r="C119">
            <v>1</v>
          </cell>
        </row>
        <row r="120">
          <cell r="D120">
            <v>1</v>
          </cell>
        </row>
        <row r="121">
          <cell r="F121">
            <v>1</v>
          </cell>
        </row>
        <row r="122">
          <cell r="C122">
            <v>1</v>
          </cell>
        </row>
        <row r="123">
          <cell r="C123">
            <v>1</v>
          </cell>
        </row>
        <row r="124">
          <cell r="C124">
            <v>1</v>
          </cell>
        </row>
        <row r="125">
          <cell r="C125">
            <v>1</v>
          </cell>
        </row>
        <row r="126">
          <cell r="D126">
            <v>1</v>
          </cell>
        </row>
        <row r="127">
          <cell r="D127">
            <v>1</v>
          </cell>
        </row>
        <row r="128">
          <cell r="C128">
            <v>1</v>
          </cell>
        </row>
        <row r="129">
          <cell r="E129">
            <v>1</v>
          </cell>
        </row>
        <row r="130">
          <cell r="D130">
            <v>1</v>
          </cell>
        </row>
        <row r="131">
          <cell r="E131">
            <v>1</v>
          </cell>
        </row>
        <row r="132">
          <cell r="D132">
            <v>1</v>
          </cell>
        </row>
        <row r="133">
          <cell r="D133">
            <v>1</v>
          </cell>
        </row>
        <row r="134">
          <cell r="D134">
            <v>1</v>
          </cell>
        </row>
        <row r="135">
          <cell r="C135">
            <v>1</v>
          </cell>
        </row>
        <row r="136">
          <cell r="E136">
            <v>1</v>
          </cell>
        </row>
        <row r="137">
          <cell r="E137">
            <v>1</v>
          </cell>
        </row>
        <row r="138">
          <cell r="C138">
            <v>1</v>
          </cell>
        </row>
        <row r="139">
          <cell r="D139">
            <v>1</v>
          </cell>
        </row>
        <row r="140">
          <cell r="D140">
            <v>1</v>
          </cell>
        </row>
        <row r="141">
          <cell r="E141">
            <v>1</v>
          </cell>
        </row>
        <row r="142">
          <cell r="C142">
            <v>1</v>
          </cell>
        </row>
        <row r="143">
          <cell r="C143">
            <v>1</v>
          </cell>
        </row>
        <row r="144">
          <cell r="C144">
            <v>1</v>
          </cell>
        </row>
        <row r="145">
          <cell r="D145">
            <v>1</v>
          </cell>
        </row>
        <row r="146">
          <cell r="C146">
            <v>1</v>
          </cell>
        </row>
        <row r="147">
          <cell r="E147">
            <v>1</v>
          </cell>
        </row>
        <row r="148">
          <cell r="C148">
            <v>1</v>
          </cell>
        </row>
        <row r="149">
          <cell r="C149">
            <v>1</v>
          </cell>
        </row>
        <row r="150">
          <cell r="C150">
            <v>1</v>
          </cell>
        </row>
        <row r="151">
          <cell r="D151">
            <v>1</v>
          </cell>
        </row>
        <row r="152">
          <cell r="C152">
            <v>1</v>
          </cell>
        </row>
        <row r="153">
          <cell r="C153">
            <v>1</v>
          </cell>
        </row>
        <row r="154">
          <cell r="C154">
            <v>1</v>
          </cell>
        </row>
        <row r="155">
          <cell r="C155">
            <v>1</v>
          </cell>
        </row>
        <row r="156">
          <cell r="E156">
            <v>1</v>
          </cell>
        </row>
      </sheetData>
      <sheetData sheetId="32">
        <row r="2">
          <cell r="C2">
            <v>1</v>
          </cell>
          <cell r="H2" t="str">
            <v>Chile Digno</v>
          </cell>
          <cell r="I2">
            <v>9</v>
          </cell>
          <cell r="J2">
            <v>0</v>
          </cell>
          <cell r="K2">
            <v>1</v>
          </cell>
          <cell r="L2">
            <v>1</v>
          </cell>
          <cell r="M2">
            <v>11</v>
          </cell>
        </row>
        <row r="3">
          <cell r="C3">
            <v>1</v>
          </cell>
          <cell r="H3" t="str">
            <v>Mov. Sociales Const.</v>
          </cell>
          <cell r="I3">
            <v>12</v>
          </cell>
          <cell r="J3">
            <v>0</v>
          </cell>
          <cell r="K3">
            <v>0</v>
          </cell>
          <cell r="L3">
            <v>0</v>
          </cell>
          <cell r="M3">
            <v>12</v>
          </cell>
        </row>
        <row r="4">
          <cell r="C4">
            <v>1</v>
          </cell>
          <cell r="H4" t="str">
            <v>Pueblo Constituyente</v>
          </cell>
          <cell r="I4">
            <v>10</v>
          </cell>
          <cell r="J4">
            <v>0</v>
          </cell>
          <cell r="K4">
            <v>0</v>
          </cell>
          <cell r="L4">
            <v>0</v>
          </cell>
          <cell r="M4">
            <v>10</v>
          </cell>
        </row>
        <row r="5">
          <cell r="C5">
            <v>1</v>
          </cell>
          <cell r="H5" t="str">
            <v xml:space="preserve">Escaños Reservados </v>
          </cell>
          <cell r="I5">
            <v>8</v>
          </cell>
          <cell r="J5">
            <v>0</v>
          </cell>
          <cell r="K5">
            <v>0</v>
          </cell>
          <cell r="L5">
            <v>1</v>
          </cell>
          <cell r="M5">
            <v>9</v>
          </cell>
        </row>
        <row r="6">
          <cell r="C6">
            <v>1</v>
          </cell>
          <cell r="H6" t="str">
            <v>Coord. Plurinacional</v>
          </cell>
          <cell r="I6">
            <v>16</v>
          </cell>
          <cell r="J6">
            <v>0</v>
          </cell>
          <cell r="K6">
            <v>0</v>
          </cell>
          <cell r="L6">
            <v>0</v>
          </cell>
          <cell r="M6">
            <v>16</v>
          </cell>
        </row>
        <row r="7">
          <cell r="D7">
            <v>1</v>
          </cell>
          <cell r="H7" t="str">
            <v>Ind. Por Nueva Const.</v>
          </cell>
          <cell r="I7">
            <v>11</v>
          </cell>
          <cell r="J7">
            <v>0</v>
          </cell>
          <cell r="K7">
            <v>1</v>
          </cell>
          <cell r="L7">
            <v>0</v>
          </cell>
          <cell r="M7">
            <v>12</v>
          </cell>
        </row>
        <row r="8">
          <cell r="E8">
            <v>1</v>
          </cell>
          <cell r="H8" t="str">
            <v>Colectivo Socialista</v>
          </cell>
          <cell r="I8">
            <v>3</v>
          </cell>
          <cell r="J8">
            <v>12</v>
          </cell>
          <cell r="K8">
            <v>0</v>
          </cell>
          <cell r="L8">
            <v>0</v>
          </cell>
          <cell r="M8">
            <v>15</v>
          </cell>
        </row>
        <row r="9">
          <cell r="C9">
            <v>1</v>
          </cell>
          <cell r="H9" t="str">
            <v>Frente Amplio</v>
          </cell>
          <cell r="I9">
            <v>7</v>
          </cell>
          <cell r="J9">
            <v>5</v>
          </cell>
          <cell r="K9">
            <v>5</v>
          </cell>
          <cell r="L9">
            <v>0</v>
          </cell>
          <cell r="M9">
            <v>17</v>
          </cell>
        </row>
        <row r="10">
          <cell r="C10">
            <v>1</v>
          </cell>
          <cell r="H10" t="str">
            <v>Ind. + UDI</v>
          </cell>
          <cell r="I10">
            <v>1</v>
          </cell>
          <cell r="J10">
            <v>5</v>
          </cell>
          <cell r="K10">
            <v>15</v>
          </cell>
          <cell r="L10">
            <v>0</v>
          </cell>
          <cell r="M10">
            <v>21</v>
          </cell>
        </row>
        <row r="11">
          <cell r="C11">
            <v>1</v>
          </cell>
          <cell r="H11" t="str">
            <v>Ind. RN - Evópoli</v>
          </cell>
          <cell r="I11">
            <v>1</v>
          </cell>
          <cell r="J11">
            <v>3</v>
          </cell>
          <cell r="K11">
            <v>11</v>
          </cell>
          <cell r="L11">
            <v>0</v>
          </cell>
          <cell r="M11">
            <v>15</v>
          </cell>
        </row>
        <row r="12">
          <cell r="C12">
            <v>1</v>
          </cell>
          <cell r="H12" t="str">
            <v>Colectivo del Apruebo</v>
          </cell>
          <cell r="I12">
            <v>3</v>
          </cell>
          <cell r="J12">
            <v>2</v>
          </cell>
          <cell r="K12">
            <v>2</v>
          </cell>
          <cell r="L12">
            <v>0</v>
          </cell>
          <cell r="M12">
            <v>7</v>
          </cell>
        </row>
        <row r="13">
          <cell r="E13">
            <v>1</v>
          </cell>
          <cell r="H13" t="str">
            <v>Otros</v>
          </cell>
          <cell r="I13">
            <v>5</v>
          </cell>
          <cell r="J13">
            <v>0</v>
          </cell>
          <cell r="K13">
            <v>0</v>
          </cell>
          <cell r="L13">
            <v>0</v>
          </cell>
          <cell r="M13">
            <v>5</v>
          </cell>
        </row>
        <row r="14">
          <cell r="C14">
            <v>1</v>
          </cell>
        </row>
        <row r="15">
          <cell r="C15">
            <v>1</v>
          </cell>
        </row>
        <row r="16">
          <cell r="E16">
            <v>1</v>
          </cell>
        </row>
        <row r="17">
          <cell r="D17">
            <v>1</v>
          </cell>
        </row>
        <row r="18">
          <cell r="C18">
            <v>1</v>
          </cell>
        </row>
        <row r="19">
          <cell r="C19">
            <v>1</v>
          </cell>
        </row>
        <row r="20">
          <cell r="C20">
            <v>1</v>
          </cell>
        </row>
        <row r="21">
          <cell r="C21">
            <v>1</v>
          </cell>
        </row>
        <row r="22">
          <cell r="C22">
            <v>1</v>
          </cell>
        </row>
        <row r="23">
          <cell r="D23">
            <v>1</v>
          </cell>
        </row>
        <row r="24">
          <cell r="E24">
            <v>1</v>
          </cell>
        </row>
        <row r="25">
          <cell r="D25">
            <v>1</v>
          </cell>
        </row>
        <row r="26">
          <cell r="C26">
            <v>1</v>
          </cell>
        </row>
        <row r="27">
          <cell r="C27">
            <v>1</v>
          </cell>
        </row>
        <row r="28">
          <cell r="C28">
            <v>1</v>
          </cell>
        </row>
        <row r="29">
          <cell r="D29">
            <v>1</v>
          </cell>
        </row>
        <row r="30">
          <cell r="D30">
            <v>1</v>
          </cell>
        </row>
        <row r="31">
          <cell r="D31">
            <v>1</v>
          </cell>
        </row>
        <row r="32">
          <cell r="C32">
            <v>1</v>
          </cell>
        </row>
        <row r="33">
          <cell r="D33">
            <v>1</v>
          </cell>
        </row>
        <row r="34">
          <cell r="D34">
            <v>1</v>
          </cell>
        </row>
        <row r="35">
          <cell r="E35">
            <v>1</v>
          </cell>
        </row>
        <row r="36">
          <cell r="C36">
            <v>1</v>
          </cell>
        </row>
        <row r="37">
          <cell r="E37">
            <v>1</v>
          </cell>
        </row>
        <row r="38">
          <cell r="E38">
            <v>1</v>
          </cell>
        </row>
        <row r="39">
          <cell r="C39">
            <v>1</v>
          </cell>
        </row>
        <row r="40">
          <cell r="C40">
            <v>1</v>
          </cell>
        </row>
        <row r="41">
          <cell r="C41">
            <v>1</v>
          </cell>
        </row>
        <row r="42">
          <cell r="E42">
            <v>1</v>
          </cell>
        </row>
        <row r="43">
          <cell r="E43">
            <v>1</v>
          </cell>
        </row>
        <row r="44">
          <cell r="D44">
            <v>1</v>
          </cell>
        </row>
        <row r="45">
          <cell r="E45">
            <v>1</v>
          </cell>
        </row>
        <row r="46">
          <cell r="C46">
            <v>1</v>
          </cell>
          <cell r="H46" t="str">
            <v>Chile Digno</v>
          </cell>
          <cell r="I46">
            <v>0.81818181818181823</v>
          </cell>
          <cell r="J46">
            <v>0</v>
          </cell>
          <cell r="K46">
            <v>9.0909090909090912E-2</v>
          </cell>
          <cell r="L46">
            <v>9.0909090909090912E-2</v>
          </cell>
        </row>
        <row r="47">
          <cell r="E47">
            <v>1</v>
          </cell>
          <cell r="H47" t="str">
            <v>Mov. Sociales Const.</v>
          </cell>
          <cell r="I47">
            <v>1</v>
          </cell>
          <cell r="J47">
            <v>0</v>
          </cell>
          <cell r="K47">
            <v>0</v>
          </cell>
          <cell r="L47">
            <v>0</v>
          </cell>
        </row>
        <row r="48">
          <cell r="C48">
            <v>1</v>
          </cell>
          <cell r="H48" t="str">
            <v>Pueblo Constituyente</v>
          </cell>
          <cell r="I48">
            <v>1</v>
          </cell>
          <cell r="J48">
            <v>0</v>
          </cell>
          <cell r="K48">
            <v>0</v>
          </cell>
          <cell r="L48">
            <v>0</v>
          </cell>
        </row>
        <row r="49">
          <cell r="C49">
            <v>1</v>
          </cell>
          <cell r="H49" t="str">
            <v xml:space="preserve">Escaños Reservados </v>
          </cell>
          <cell r="I49">
            <v>0.88888888888888884</v>
          </cell>
          <cell r="J49">
            <v>0</v>
          </cell>
          <cell r="K49">
            <v>0</v>
          </cell>
          <cell r="L49">
            <v>0.1111111111111111</v>
          </cell>
        </row>
        <row r="50">
          <cell r="C50">
            <v>1</v>
          </cell>
          <cell r="H50" t="str">
            <v>Coord. Plurinacional</v>
          </cell>
          <cell r="I50">
            <v>1</v>
          </cell>
          <cell r="J50">
            <v>0</v>
          </cell>
          <cell r="K50">
            <v>0</v>
          </cell>
          <cell r="L50">
            <v>0</v>
          </cell>
        </row>
        <row r="51">
          <cell r="D51">
            <v>1</v>
          </cell>
          <cell r="H51" t="str">
            <v>Ind. Por Nueva Const.</v>
          </cell>
          <cell r="I51">
            <v>0.91666666666666663</v>
          </cell>
          <cell r="J51">
            <v>0</v>
          </cell>
          <cell r="K51">
            <v>8.3333333333333329E-2</v>
          </cell>
          <cell r="L51">
            <v>0</v>
          </cell>
        </row>
        <row r="52">
          <cell r="C52">
            <v>1</v>
          </cell>
          <cell r="H52" t="str">
            <v>Colectivo Socialista</v>
          </cell>
          <cell r="I52">
            <v>0.2</v>
          </cell>
          <cell r="J52">
            <v>0.8</v>
          </cell>
          <cell r="K52">
            <v>0</v>
          </cell>
          <cell r="L52">
            <v>0</v>
          </cell>
        </row>
        <row r="53">
          <cell r="E53">
            <v>1</v>
          </cell>
          <cell r="H53" t="str">
            <v>Frente Amplio</v>
          </cell>
          <cell r="I53">
            <v>0.41176470588235292</v>
          </cell>
          <cell r="J53">
            <v>0.29411764705882354</v>
          </cell>
          <cell r="K53">
            <v>0.29411764705882354</v>
          </cell>
          <cell r="L53">
            <v>0</v>
          </cell>
        </row>
        <row r="54">
          <cell r="C54">
            <v>1</v>
          </cell>
          <cell r="H54" t="str">
            <v>Ind. + UDI</v>
          </cell>
          <cell r="I54">
            <v>4.7619047619047616E-2</v>
          </cell>
          <cell r="J54">
            <v>0.23809523809523808</v>
          </cell>
          <cell r="K54">
            <v>0.7142857142857143</v>
          </cell>
          <cell r="L54">
            <v>0</v>
          </cell>
        </row>
        <row r="55">
          <cell r="C55">
            <v>1</v>
          </cell>
          <cell r="H55" t="str">
            <v>Ind. RN - Evópoli</v>
          </cell>
          <cell r="I55">
            <v>6.6666666666666666E-2</v>
          </cell>
          <cell r="J55">
            <v>0.2</v>
          </cell>
          <cell r="K55">
            <v>0.73333333333333328</v>
          </cell>
          <cell r="L55">
            <v>0</v>
          </cell>
        </row>
        <row r="56">
          <cell r="C56">
            <v>1</v>
          </cell>
          <cell r="H56" t="str">
            <v>Colectivo del Apruebo</v>
          </cell>
          <cell r="I56">
            <v>0.42857142857142855</v>
          </cell>
          <cell r="J56">
            <v>0.2857142857142857</v>
          </cell>
          <cell r="K56">
            <v>0.2857142857142857</v>
          </cell>
          <cell r="L56">
            <v>0</v>
          </cell>
        </row>
        <row r="57">
          <cell r="C57">
            <v>1</v>
          </cell>
          <cell r="H57" t="str">
            <v>Otros</v>
          </cell>
          <cell r="I57">
            <v>1</v>
          </cell>
          <cell r="J57">
            <v>0</v>
          </cell>
          <cell r="K57">
            <v>0</v>
          </cell>
          <cell r="L57">
            <v>0</v>
          </cell>
        </row>
        <row r="58">
          <cell r="C58">
            <v>1</v>
          </cell>
        </row>
        <row r="59">
          <cell r="C59">
            <v>1</v>
          </cell>
        </row>
        <row r="60">
          <cell r="C60">
            <v>1</v>
          </cell>
        </row>
        <row r="61">
          <cell r="C61">
            <v>1</v>
          </cell>
        </row>
        <row r="62">
          <cell r="C62">
            <v>1</v>
          </cell>
        </row>
        <row r="63">
          <cell r="F63">
            <v>1</v>
          </cell>
        </row>
        <row r="64">
          <cell r="C64">
            <v>1</v>
          </cell>
        </row>
        <row r="65">
          <cell r="C65">
            <v>1</v>
          </cell>
        </row>
        <row r="66">
          <cell r="C66">
            <v>1</v>
          </cell>
        </row>
        <row r="67">
          <cell r="D67">
            <v>1</v>
          </cell>
        </row>
        <row r="68">
          <cell r="C68">
            <v>1</v>
          </cell>
        </row>
        <row r="69">
          <cell r="C69">
            <v>1</v>
          </cell>
        </row>
        <row r="70">
          <cell r="D70">
            <v>1</v>
          </cell>
        </row>
        <row r="71">
          <cell r="D71">
            <v>1</v>
          </cell>
        </row>
        <row r="72">
          <cell r="D72">
            <v>1</v>
          </cell>
        </row>
        <row r="73">
          <cell r="C73">
            <v>1</v>
          </cell>
        </row>
        <row r="74">
          <cell r="E74">
            <v>1</v>
          </cell>
        </row>
        <row r="75">
          <cell r="E75">
            <v>1</v>
          </cell>
        </row>
        <row r="76">
          <cell r="C76">
            <v>1</v>
          </cell>
        </row>
        <row r="77">
          <cell r="E77">
            <v>1</v>
          </cell>
        </row>
        <row r="78">
          <cell r="C78">
            <v>1</v>
          </cell>
        </row>
        <row r="79">
          <cell r="D79">
            <v>1</v>
          </cell>
        </row>
        <row r="80">
          <cell r="E80">
            <v>1</v>
          </cell>
        </row>
        <row r="81">
          <cell r="E81">
            <v>1</v>
          </cell>
        </row>
        <row r="82">
          <cell r="C82">
            <v>1</v>
          </cell>
        </row>
        <row r="83">
          <cell r="C83">
            <v>1</v>
          </cell>
        </row>
        <row r="84">
          <cell r="C84">
            <v>1</v>
          </cell>
        </row>
        <row r="85">
          <cell r="C85">
            <v>1</v>
          </cell>
        </row>
        <row r="86">
          <cell r="C86">
            <v>1</v>
          </cell>
        </row>
        <row r="87">
          <cell r="C87">
            <v>1</v>
          </cell>
        </row>
        <row r="88">
          <cell r="D88">
            <v>1</v>
          </cell>
        </row>
        <row r="89">
          <cell r="C89">
            <v>1</v>
          </cell>
        </row>
        <row r="90">
          <cell r="E90">
            <v>1</v>
          </cell>
        </row>
        <row r="91">
          <cell r="D91">
            <v>1</v>
          </cell>
        </row>
        <row r="92">
          <cell r="E92">
            <v>1</v>
          </cell>
        </row>
        <row r="93">
          <cell r="E93">
            <v>1</v>
          </cell>
        </row>
        <row r="94">
          <cell r="C94">
            <v>1</v>
          </cell>
        </row>
        <row r="95">
          <cell r="C95">
            <v>1</v>
          </cell>
        </row>
        <row r="96">
          <cell r="C96">
            <v>1</v>
          </cell>
        </row>
        <row r="97">
          <cell r="E97">
            <v>1</v>
          </cell>
        </row>
        <row r="98">
          <cell r="E98">
            <v>1</v>
          </cell>
        </row>
        <row r="99">
          <cell r="D99">
            <v>1</v>
          </cell>
        </row>
        <row r="100">
          <cell r="E100">
            <v>1</v>
          </cell>
        </row>
        <row r="101">
          <cell r="D101">
            <v>1</v>
          </cell>
        </row>
        <row r="102">
          <cell r="C102">
            <v>1</v>
          </cell>
        </row>
        <row r="103">
          <cell r="E103">
            <v>1</v>
          </cell>
        </row>
        <row r="104">
          <cell r="E104">
            <v>1</v>
          </cell>
        </row>
        <row r="105">
          <cell r="C105">
            <v>1</v>
          </cell>
        </row>
        <row r="106">
          <cell r="C106">
            <v>1</v>
          </cell>
        </row>
        <row r="107">
          <cell r="D107">
            <v>1</v>
          </cell>
        </row>
        <row r="108">
          <cell r="E108">
            <v>1</v>
          </cell>
        </row>
        <row r="109">
          <cell r="C109">
            <v>1</v>
          </cell>
        </row>
        <row r="110">
          <cell r="C110">
            <v>1</v>
          </cell>
        </row>
        <row r="111">
          <cell r="C111">
            <v>1</v>
          </cell>
        </row>
        <row r="112">
          <cell r="C112">
            <v>1</v>
          </cell>
        </row>
        <row r="113">
          <cell r="C113">
            <v>1</v>
          </cell>
        </row>
        <row r="114">
          <cell r="C114">
            <v>1</v>
          </cell>
        </row>
        <row r="115">
          <cell r="C115">
            <v>1</v>
          </cell>
        </row>
        <row r="116">
          <cell r="D116">
            <v>1</v>
          </cell>
        </row>
        <row r="117">
          <cell r="C117">
            <v>1</v>
          </cell>
        </row>
        <row r="118">
          <cell r="C118">
            <v>1</v>
          </cell>
        </row>
        <row r="119">
          <cell r="C119">
            <v>1</v>
          </cell>
        </row>
        <row r="120">
          <cell r="C120">
            <v>1</v>
          </cell>
        </row>
        <row r="121">
          <cell r="F121">
            <v>1</v>
          </cell>
        </row>
        <row r="122">
          <cell r="C122">
            <v>1</v>
          </cell>
        </row>
        <row r="123">
          <cell r="C123">
            <v>1</v>
          </cell>
        </row>
        <row r="124">
          <cell r="C124">
            <v>1</v>
          </cell>
        </row>
        <row r="125">
          <cell r="C125">
            <v>1</v>
          </cell>
        </row>
        <row r="126">
          <cell r="D126">
            <v>1</v>
          </cell>
        </row>
        <row r="127">
          <cell r="C127">
            <v>1</v>
          </cell>
        </row>
        <row r="128">
          <cell r="F128">
            <v>1</v>
          </cell>
        </row>
        <row r="129">
          <cell r="C129">
            <v>1</v>
          </cell>
        </row>
        <row r="130">
          <cell r="D130">
            <v>1</v>
          </cell>
        </row>
        <row r="131">
          <cell r="C131">
            <v>1</v>
          </cell>
        </row>
        <row r="132">
          <cell r="E132">
            <v>1</v>
          </cell>
        </row>
        <row r="133">
          <cell r="D133">
            <v>1</v>
          </cell>
        </row>
        <row r="134">
          <cell r="D134">
            <v>1</v>
          </cell>
        </row>
        <row r="135">
          <cell r="C135">
            <v>1</v>
          </cell>
        </row>
        <row r="136">
          <cell r="E136">
            <v>1</v>
          </cell>
        </row>
        <row r="137">
          <cell r="E137">
            <v>1</v>
          </cell>
        </row>
        <row r="138">
          <cell r="C138">
            <v>1</v>
          </cell>
        </row>
        <row r="139">
          <cell r="C139">
            <v>1</v>
          </cell>
        </row>
        <row r="140">
          <cell r="D140">
            <v>1</v>
          </cell>
        </row>
        <row r="141">
          <cell r="C141">
            <v>1</v>
          </cell>
        </row>
        <row r="142">
          <cell r="C142">
            <v>1</v>
          </cell>
        </row>
        <row r="143">
          <cell r="C143">
            <v>1</v>
          </cell>
        </row>
        <row r="144">
          <cell r="D144">
            <v>1</v>
          </cell>
        </row>
        <row r="145">
          <cell r="D145">
            <v>1</v>
          </cell>
        </row>
        <row r="146">
          <cell r="C146">
            <v>1</v>
          </cell>
        </row>
        <row r="147">
          <cell r="E147">
            <v>1</v>
          </cell>
        </row>
        <row r="148">
          <cell r="C148">
            <v>1</v>
          </cell>
        </row>
        <row r="149">
          <cell r="C149">
            <v>1</v>
          </cell>
        </row>
        <row r="150">
          <cell r="C150">
            <v>1</v>
          </cell>
        </row>
        <row r="151">
          <cell r="D151">
            <v>1</v>
          </cell>
        </row>
        <row r="152">
          <cell r="C152">
            <v>1</v>
          </cell>
        </row>
        <row r="153">
          <cell r="C153">
            <v>1</v>
          </cell>
        </row>
        <row r="154">
          <cell r="C154">
            <v>1</v>
          </cell>
        </row>
        <row r="155">
          <cell r="C155">
            <v>1</v>
          </cell>
        </row>
        <row r="156">
          <cell r="E156">
            <v>1</v>
          </cell>
        </row>
      </sheetData>
      <sheetData sheetId="33">
        <row r="2">
          <cell r="C2">
            <v>1</v>
          </cell>
          <cell r="H2" t="str">
            <v>Chile Digno</v>
          </cell>
          <cell r="I2">
            <v>11</v>
          </cell>
          <cell r="J2">
            <v>0</v>
          </cell>
          <cell r="K2">
            <v>0</v>
          </cell>
          <cell r="L2">
            <v>0</v>
          </cell>
          <cell r="M2">
            <v>11</v>
          </cell>
        </row>
        <row r="3">
          <cell r="C3">
            <v>1</v>
          </cell>
          <cell r="H3" t="str">
            <v>Mov. Sociales Const.</v>
          </cell>
          <cell r="I3">
            <v>12</v>
          </cell>
          <cell r="J3">
            <v>0</v>
          </cell>
          <cell r="K3">
            <v>0</v>
          </cell>
          <cell r="L3">
            <v>0</v>
          </cell>
          <cell r="M3">
            <v>12</v>
          </cell>
        </row>
        <row r="4">
          <cell r="C4">
            <v>1</v>
          </cell>
          <cell r="H4" t="str">
            <v>Pueblo Constituyente</v>
          </cell>
          <cell r="I4">
            <v>10</v>
          </cell>
          <cell r="J4">
            <v>0</v>
          </cell>
          <cell r="K4">
            <v>0</v>
          </cell>
          <cell r="L4">
            <v>0</v>
          </cell>
          <cell r="M4">
            <v>10</v>
          </cell>
        </row>
        <row r="5">
          <cell r="C5">
            <v>1</v>
          </cell>
          <cell r="H5" t="str">
            <v xml:space="preserve">Escaños Reservados </v>
          </cell>
          <cell r="I5">
            <v>8</v>
          </cell>
          <cell r="J5">
            <v>0</v>
          </cell>
          <cell r="K5">
            <v>0</v>
          </cell>
          <cell r="L5">
            <v>1</v>
          </cell>
          <cell r="M5">
            <v>9</v>
          </cell>
        </row>
        <row r="6">
          <cell r="C6">
            <v>1</v>
          </cell>
          <cell r="H6" t="str">
            <v>Coord. Plurinacional</v>
          </cell>
          <cell r="I6">
            <v>16</v>
          </cell>
          <cell r="J6">
            <v>0</v>
          </cell>
          <cell r="K6">
            <v>0</v>
          </cell>
          <cell r="L6">
            <v>0</v>
          </cell>
          <cell r="M6">
            <v>16</v>
          </cell>
        </row>
        <row r="7">
          <cell r="C7">
            <v>1</v>
          </cell>
          <cell r="H7" t="str">
            <v>Ind. Por Nueva Const.</v>
          </cell>
          <cell r="I7">
            <v>8</v>
          </cell>
          <cell r="J7">
            <v>0</v>
          </cell>
          <cell r="K7">
            <v>4</v>
          </cell>
          <cell r="L7">
            <v>0</v>
          </cell>
          <cell r="M7">
            <v>12</v>
          </cell>
        </row>
        <row r="8">
          <cell r="D8">
            <v>1</v>
          </cell>
          <cell r="H8" t="str">
            <v>Colectivo Socialista</v>
          </cell>
          <cell r="I8">
            <v>13</v>
          </cell>
          <cell r="J8">
            <v>0</v>
          </cell>
          <cell r="K8">
            <v>2</v>
          </cell>
          <cell r="L8">
            <v>0</v>
          </cell>
          <cell r="M8">
            <v>15</v>
          </cell>
        </row>
        <row r="9">
          <cell r="C9">
            <v>1</v>
          </cell>
          <cell r="H9" t="str">
            <v>Frente Amplio</v>
          </cell>
          <cell r="I9">
            <v>13</v>
          </cell>
          <cell r="J9">
            <v>0</v>
          </cell>
          <cell r="K9">
            <v>0</v>
          </cell>
          <cell r="L9">
            <v>0</v>
          </cell>
          <cell r="M9">
            <v>13</v>
          </cell>
        </row>
        <row r="10">
          <cell r="C10">
            <v>1</v>
          </cell>
          <cell r="H10" t="str">
            <v>Ind. + UDI</v>
          </cell>
          <cell r="I10">
            <v>0</v>
          </cell>
          <cell r="J10">
            <v>19</v>
          </cell>
          <cell r="K10">
            <v>2</v>
          </cell>
          <cell r="L10">
            <v>0</v>
          </cell>
          <cell r="M10">
            <v>21</v>
          </cell>
        </row>
        <row r="11">
          <cell r="C11">
            <v>1</v>
          </cell>
          <cell r="H11" t="str">
            <v>Ind. RN - Evópoli</v>
          </cell>
          <cell r="I11">
            <v>0</v>
          </cell>
          <cell r="J11">
            <v>9</v>
          </cell>
          <cell r="K11">
            <v>6</v>
          </cell>
          <cell r="L11">
            <v>0</v>
          </cell>
          <cell r="M11">
            <v>15</v>
          </cell>
        </row>
        <row r="12">
          <cell r="C12">
            <v>1</v>
          </cell>
          <cell r="H12" t="str">
            <v>Colectivo del Apruebo</v>
          </cell>
          <cell r="I12">
            <v>2</v>
          </cell>
          <cell r="J12">
            <v>4</v>
          </cell>
          <cell r="K12">
            <v>1</v>
          </cell>
          <cell r="L12">
            <v>0</v>
          </cell>
          <cell r="M12">
            <v>7</v>
          </cell>
        </row>
        <row r="13">
          <cell r="D13">
            <v>1</v>
          </cell>
          <cell r="H13" t="str">
            <v>Otros</v>
          </cell>
          <cell r="I13">
            <v>4</v>
          </cell>
          <cell r="J13">
            <v>1</v>
          </cell>
          <cell r="K13">
            <v>0</v>
          </cell>
          <cell r="L13">
            <v>0</v>
          </cell>
          <cell r="M13">
            <v>5</v>
          </cell>
        </row>
        <row r="14">
          <cell r="C14">
            <v>1</v>
          </cell>
        </row>
        <row r="15">
          <cell r="C15">
            <v>1</v>
          </cell>
        </row>
        <row r="16">
          <cell r="D16">
            <v>1</v>
          </cell>
        </row>
        <row r="17">
          <cell r="C17">
            <v>1</v>
          </cell>
        </row>
        <row r="18">
          <cell r="C18">
            <v>1</v>
          </cell>
        </row>
        <row r="19">
          <cell r="C19">
            <v>1</v>
          </cell>
        </row>
        <row r="20">
          <cell r="C20">
            <v>1</v>
          </cell>
        </row>
        <row r="21">
          <cell r="C21">
            <v>1</v>
          </cell>
        </row>
        <row r="22">
          <cell r="C22">
            <v>1</v>
          </cell>
        </row>
        <row r="23">
          <cell r="C23">
            <v>1</v>
          </cell>
        </row>
        <row r="24">
          <cell r="D24">
            <v>1</v>
          </cell>
        </row>
        <row r="25">
          <cell r="D25">
            <v>1</v>
          </cell>
        </row>
        <row r="26">
          <cell r="C26">
            <v>1</v>
          </cell>
        </row>
        <row r="27">
          <cell r="C27">
            <v>1</v>
          </cell>
        </row>
        <row r="28">
          <cell r="C28">
            <v>1</v>
          </cell>
        </row>
        <row r="29">
          <cell r="C29">
            <v>1</v>
          </cell>
        </row>
        <row r="30">
          <cell r="C30">
            <v>1</v>
          </cell>
        </row>
        <row r="31">
          <cell r="D31">
            <v>1</v>
          </cell>
        </row>
        <row r="32">
          <cell r="C32">
            <v>1</v>
          </cell>
        </row>
        <row r="33">
          <cell r="C33">
            <v>1</v>
          </cell>
        </row>
        <row r="34">
          <cell r="D34">
            <v>1</v>
          </cell>
        </row>
        <row r="35">
          <cell r="E35">
            <v>1</v>
          </cell>
        </row>
        <row r="36">
          <cell r="C36">
            <v>1</v>
          </cell>
        </row>
        <row r="37">
          <cell r="C37">
            <v>1</v>
          </cell>
        </row>
        <row r="38">
          <cell r="E38">
            <v>1</v>
          </cell>
        </row>
        <row r="39">
          <cell r="E39">
            <v>1</v>
          </cell>
        </row>
        <row r="40">
          <cell r="C40">
            <v>1</v>
          </cell>
        </row>
        <row r="41">
          <cell r="C41">
            <v>1</v>
          </cell>
        </row>
        <row r="42">
          <cell r="D42">
            <v>1</v>
          </cell>
        </row>
        <row r="43">
          <cell r="D43">
            <v>1</v>
          </cell>
        </row>
        <row r="44">
          <cell r="C44">
            <v>1</v>
          </cell>
        </row>
        <row r="45">
          <cell r="D45">
            <v>1</v>
          </cell>
        </row>
        <row r="46">
          <cell r="E46">
            <v>1</v>
          </cell>
          <cell r="H46" t="str">
            <v>Chile Digno</v>
          </cell>
          <cell r="I46">
            <v>1</v>
          </cell>
          <cell r="J46">
            <v>0</v>
          </cell>
          <cell r="K46">
            <v>0</v>
          </cell>
          <cell r="L46">
            <v>0</v>
          </cell>
        </row>
        <row r="47">
          <cell r="D47">
            <v>1</v>
          </cell>
          <cell r="H47" t="str">
            <v>Mov. Sociales Const.</v>
          </cell>
          <cell r="I47">
            <v>1</v>
          </cell>
          <cell r="J47">
            <v>0</v>
          </cell>
          <cell r="K47">
            <v>0</v>
          </cell>
          <cell r="L47">
            <v>0</v>
          </cell>
        </row>
        <row r="48">
          <cell r="C48">
            <v>1</v>
          </cell>
          <cell r="H48" t="str">
            <v>Pueblo Constituyente</v>
          </cell>
          <cell r="I48">
            <v>1</v>
          </cell>
          <cell r="J48">
            <v>0</v>
          </cell>
          <cell r="K48">
            <v>0</v>
          </cell>
          <cell r="L48">
            <v>0</v>
          </cell>
        </row>
        <row r="49">
          <cell r="C49">
            <v>1</v>
          </cell>
          <cell r="H49" t="str">
            <v xml:space="preserve">Escaños Reservados </v>
          </cell>
          <cell r="I49">
            <v>0.88888888888888884</v>
          </cell>
          <cell r="J49">
            <v>0</v>
          </cell>
          <cell r="K49">
            <v>0</v>
          </cell>
          <cell r="L49">
            <v>0.1111111111111111</v>
          </cell>
        </row>
        <row r="50">
          <cell r="C50">
            <v>1</v>
          </cell>
          <cell r="H50" t="str">
            <v>Coord. Plurinacional</v>
          </cell>
          <cell r="I50">
            <v>1</v>
          </cell>
          <cell r="J50">
            <v>0</v>
          </cell>
          <cell r="K50">
            <v>0</v>
          </cell>
          <cell r="L50">
            <v>0</v>
          </cell>
        </row>
        <row r="51">
          <cell r="E51">
            <v>1</v>
          </cell>
          <cell r="H51" t="str">
            <v>Ind. Por Nueva Const.</v>
          </cell>
          <cell r="I51">
            <v>0.66666666666666663</v>
          </cell>
          <cell r="J51">
            <v>0</v>
          </cell>
          <cell r="K51">
            <v>0.33333333333333331</v>
          </cell>
          <cell r="L51">
            <v>0</v>
          </cell>
        </row>
        <row r="52">
          <cell r="C52">
            <v>1</v>
          </cell>
          <cell r="H52" t="str">
            <v>Colectivo Socialista</v>
          </cell>
          <cell r="I52">
            <v>0.8666666666666667</v>
          </cell>
          <cell r="J52">
            <v>0</v>
          </cell>
          <cell r="K52">
            <v>0.13333333333333333</v>
          </cell>
          <cell r="L52">
            <v>0</v>
          </cell>
        </row>
        <row r="53">
          <cell r="D53">
            <v>1</v>
          </cell>
          <cell r="H53" t="str">
            <v>Frente Amplio</v>
          </cell>
          <cell r="I53">
            <v>1</v>
          </cell>
          <cell r="J53">
            <v>0</v>
          </cell>
          <cell r="K53">
            <v>0</v>
          </cell>
          <cell r="L53">
            <v>0</v>
          </cell>
        </row>
        <row r="54">
          <cell r="C54">
            <v>1</v>
          </cell>
          <cell r="H54" t="str">
            <v>Ind. + UDI</v>
          </cell>
          <cell r="I54">
            <v>0</v>
          </cell>
          <cell r="J54">
            <v>0.90476190476190477</v>
          </cell>
          <cell r="K54">
            <v>9.5238095238095233E-2</v>
          </cell>
          <cell r="L54">
            <v>0</v>
          </cell>
        </row>
        <row r="55">
          <cell r="C55">
            <v>1</v>
          </cell>
          <cell r="H55" t="str">
            <v>Ind. RN - Evópoli</v>
          </cell>
          <cell r="I55">
            <v>0</v>
          </cell>
          <cell r="J55">
            <v>0.6</v>
          </cell>
          <cell r="K55">
            <v>0.4</v>
          </cell>
          <cell r="L55">
            <v>0</v>
          </cell>
        </row>
        <row r="56">
          <cell r="C56">
            <v>1</v>
          </cell>
          <cell r="H56" t="str">
            <v>Colectivo del Apruebo</v>
          </cell>
          <cell r="I56">
            <v>0.2857142857142857</v>
          </cell>
          <cell r="J56">
            <v>0.5714285714285714</v>
          </cell>
          <cell r="K56">
            <v>0.14285714285714285</v>
          </cell>
          <cell r="L56">
            <v>0</v>
          </cell>
        </row>
        <row r="57">
          <cell r="D57">
            <v>1</v>
          </cell>
          <cell r="H57" t="str">
            <v>Otros</v>
          </cell>
          <cell r="I57">
            <v>0.8</v>
          </cell>
          <cell r="J57">
            <v>0.2</v>
          </cell>
          <cell r="K57">
            <v>0</v>
          </cell>
          <cell r="L57">
            <v>0</v>
          </cell>
        </row>
        <row r="58">
          <cell r="C58">
            <v>1</v>
          </cell>
        </row>
        <row r="59">
          <cell r="C59">
            <v>1</v>
          </cell>
        </row>
        <row r="60">
          <cell r="C60">
            <v>1</v>
          </cell>
        </row>
        <row r="61">
          <cell r="C61">
            <v>1</v>
          </cell>
        </row>
        <row r="62">
          <cell r="C62">
            <v>1</v>
          </cell>
        </row>
        <row r="63">
          <cell r="F63">
            <v>1</v>
          </cell>
        </row>
        <row r="64">
          <cell r="C64">
            <v>1</v>
          </cell>
        </row>
        <row r="65">
          <cell r="C65">
            <v>1</v>
          </cell>
        </row>
        <row r="66">
          <cell r="C66">
            <v>1</v>
          </cell>
        </row>
        <row r="67">
          <cell r="D67">
            <v>1</v>
          </cell>
        </row>
        <row r="68">
          <cell r="C68">
            <v>1</v>
          </cell>
        </row>
        <row r="69">
          <cell r="C69">
            <v>1</v>
          </cell>
        </row>
        <row r="70">
          <cell r="D70">
            <v>1</v>
          </cell>
        </row>
        <row r="71">
          <cell r="D71">
            <v>1</v>
          </cell>
        </row>
        <row r="72">
          <cell r="E72">
            <v>1</v>
          </cell>
        </row>
        <row r="73">
          <cell r="C73">
            <v>1</v>
          </cell>
        </row>
        <row r="74">
          <cell r="D74">
            <v>1</v>
          </cell>
        </row>
        <row r="75">
          <cell r="D75">
            <v>1</v>
          </cell>
        </row>
        <row r="76">
          <cell r="C76">
            <v>1</v>
          </cell>
        </row>
        <row r="77">
          <cell r="E77">
            <v>1</v>
          </cell>
        </row>
        <row r="78">
          <cell r="C78">
            <v>1</v>
          </cell>
        </row>
        <row r="79">
          <cell r="C79">
            <v>1</v>
          </cell>
        </row>
        <row r="80">
          <cell r="D80">
            <v>1</v>
          </cell>
        </row>
        <row r="81">
          <cell r="D81">
            <v>1</v>
          </cell>
        </row>
        <row r="82">
          <cell r="C82">
            <v>1</v>
          </cell>
        </row>
        <row r="83">
          <cell r="C83">
            <v>1</v>
          </cell>
        </row>
        <row r="84">
          <cell r="D84">
            <v>1</v>
          </cell>
        </row>
        <row r="85">
          <cell r="C85">
            <v>1</v>
          </cell>
        </row>
        <row r="86">
          <cell r="C86">
            <v>1</v>
          </cell>
        </row>
        <row r="87">
          <cell r="C87">
            <v>1</v>
          </cell>
        </row>
        <row r="88">
          <cell r="D88">
            <v>1</v>
          </cell>
        </row>
        <row r="89">
          <cell r="C89">
            <v>1</v>
          </cell>
        </row>
        <row r="90">
          <cell r="E90">
            <v>1</v>
          </cell>
        </row>
        <row r="91">
          <cell r="D91">
            <v>1</v>
          </cell>
        </row>
        <row r="92">
          <cell r="C92">
            <v>1</v>
          </cell>
        </row>
        <row r="93">
          <cell r="D93">
            <v>1</v>
          </cell>
        </row>
        <row r="94">
          <cell r="C94">
            <v>1</v>
          </cell>
        </row>
        <row r="95">
          <cell r="C95">
            <v>1</v>
          </cell>
        </row>
        <row r="96">
          <cell r="C96">
            <v>1</v>
          </cell>
        </row>
        <row r="97">
          <cell r="E97">
            <v>1</v>
          </cell>
        </row>
        <row r="98">
          <cell r="D98">
            <v>1</v>
          </cell>
        </row>
        <row r="99">
          <cell r="C99">
            <v>1</v>
          </cell>
        </row>
        <row r="100">
          <cell r="D100">
            <v>1</v>
          </cell>
        </row>
        <row r="101">
          <cell r="C101">
            <v>1</v>
          </cell>
        </row>
        <row r="102">
          <cell r="C102">
            <v>1</v>
          </cell>
        </row>
        <row r="103">
          <cell r="E103">
            <v>1</v>
          </cell>
        </row>
        <row r="104">
          <cell r="D104">
            <v>1</v>
          </cell>
        </row>
        <row r="105">
          <cell r="C105">
            <v>1</v>
          </cell>
        </row>
        <row r="106">
          <cell r="C106">
            <v>1</v>
          </cell>
        </row>
        <row r="107">
          <cell r="C107">
            <v>1</v>
          </cell>
        </row>
        <row r="108">
          <cell r="D108">
            <v>1</v>
          </cell>
        </row>
        <row r="109">
          <cell r="C109">
            <v>1</v>
          </cell>
        </row>
        <row r="110">
          <cell r="C110">
            <v>1</v>
          </cell>
        </row>
        <row r="111">
          <cell r="C111">
            <v>1</v>
          </cell>
        </row>
        <row r="112">
          <cell r="E112">
            <v>1</v>
          </cell>
        </row>
        <row r="113">
          <cell r="C113">
            <v>1</v>
          </cell>
        </row>
        <row r="114">
          <cell r="E114">
            <v>1</v>
          </cell>
        </row>
        <row r="115">
          <cell r="C115">
            <v>1</v>
          </cell>
        </row>
        <row r="116">
          <cell r="D116">
            <v>1</v>
          </cell>
        </row>
        <row r="117">
          <cell r="C117">
            <v>1</v>
          </cell>
        </row>
        <row r="118">
          <cell r="D118">
            <v>1</v>
          </cell>
        </row>
        <row r="119">
          <cell r="C119">
            <v>1</v>
          </cell>
        </row>
        <row r="120">
          <cell r="C120">
            <v>1</v>
          </cell>
        </row>
        <row r="121">
          <cell r="F121">
            <v>1</v>
          </cell>
        </row>
        <row r="122">
          <cell r="C122">
            <v>1</v>
          </cell>
        </row>
        <row r="123">
          <cell r="C123">
            <v>1</v>
          </cell>
        </row>
        <row r="124">
          <cell r="C124">
            <v>1</v>
          </cell>
        </row>
        <row r="125">
          <cell r="C125">
            <v>1</v>
          </cell>
        </row>
        <row r="126">
          <cell r="C126">
            <v>1</v>
          </cell>
        </row>
        <row r="127">
          <cell r="C127">
            <v>1</v>
          </cell>
        </row>
        <row r="128">
          <cell r="C128">
            <v>1</v>
          </cell>
        </row>
        <row r="129">
          <cell r="C129">
            <v>1</v>
          </cell>
        </row>
        <row r="130">
          <cell r="C130">
            <v>1</v>
          </cell>
        </row>
        <row r="131">
          <cell r="E131">
            <v>1</v>
          </cell>
        </row>
        <row r="132">
          <cell r="E132">
            <v>1</v>
          </cell>
        </row>
        <row r="133">
          <cell r="C133">
            <v>1</v>
          </cell>
        </row>
        <row r="134">
          <cell r="D134">
            <v>1</v>
          </cell>
        </row>
        <row r="135">
          <cell r="C135">
            <v>1</v>
          </cell>
        </row>
        <row r="136">
          <cell r="D136">
            <v>1</v>
          </cell>
        </row>
        <row r="137">
          <cell r="D137">
            <v>1</v>
          </cell>
        </row>
        <row r="138">
          <cell r="C138">
            <v>1</v>
          </cell>
        </row>
        <row r="139">
          <cell r="C139">
            <v>1</v>
          </cell>
        </row>
        <row r="140">
          <cell r="C140">
            <v>1</v>
          </cell>
        </row>
        <row r="141">
          <cell r="C141">
            <v>1</v>
          </cell>
        </row>
        <row r="142">
          <cell r="C142">
            <v>1</v>
          </cell>
        </row>
        <row r="143">
          <cell r="C143">
            <v>1</v>
          </cell>
        </row>
        <row r="144">
          <cell r="C144">
            <v>1</v>
          </cell>
        </row>
        <row r="145">
          <cell r="D145">
            <v>1</v>
          </cell>
        </row>
        <row r="146">
          <cell r="C146">
            <v>1</v>
          </cell>
        </row>
        <row r="147">
          <cell r="E147">
            <v>1</v>
          </cell>
        </row>
        <row r="148">
          <cell r="C148">
            <v>1</v>
          </cell>
        </row>
        <row r="149">
          <cell r="C149">
            <v>1</v>
          </cell>
        </row>
        <row r="150">
          <cell r="C150">
            <v>1</v>
          </cell>
        </row>
        <row r="151">
          <cell r="C151">
            <v>1</v>
          </cell>
        </row>
        <row r="152">
          <cell r="C152">
            <v>1</v>
          </cell>
        </row>
        <row r="153">
          <cell r="C153">
            <v>1</v>
          </cell>
        </row>
        <row r="154">
          <cell r="C154">
            <v>1</v>
          </cell>
        </row>
        <row r="155">
          <cell r="C155">
            <v>1</v>
          </cell>
        </row>
        <row r="156">
          <cell r="E156">
            <v>1</v>
          </cell>
        </row>
      </sheetData>
      <sheetData sheetId="34">
        <row r="2">
          <cell r="D2">
            <v>1</v>
          </cell>
          <cell r="H2" t="str">
            <v>Chile Digno</v>
          </cell>
          <cell r="I2">
            <v>11</v>
          </cell>
          <cell r="J2">
            <v>0</v>
          </cell>
          <cell r="K2">
            <v>0</v>
          </cell>
          <cell r="L2">
            <v>0</v>
          </cell>
          <cell r="M2">
            <v>11</v>
          </cell>
        </row>
        <row r="3">
          <cell r="C3">
            <v>1</v>
          </cell>
          <cell r="H3" t="str">
            <v>Mov. Sociales Const.</v>
          </cell>
          <cell r="I3">
            <v>12</v>
          </cell>
          <cell r="J3">
            <v>0</v>
          </cell>
          <cell r="K3">
            <v>0</v>
          </cell>
          <cell r="L3">
            <v>0</v>
          </cell>
          <cell r="M3">
            <v>12</v>
          </cell>
        </row>
        <row r="4">
          <cell r="E4">
            <v>1</v>
          </cell>
          <cell r="H4" t="str">
            <v>Pueblo Constituyente</v>
          </cell>
          <cell r="I4">
            <v>10</v>
          </cell>
          <cell r="J4">
            <v>0</v>
          </cell>
          <cell r="K4">
            <v>0</v>
          </cell>
          <cell r="L4">
            <v>0</v>
          </cell>
          <cell r="M4">
            <v>10</v>
          </cell>
        </row>
        <row r="5">
          <cell r="E5">
            <v>1</v>
          </cell>
          <cell r="H5" t="str">
            <v xml:space="preserve">Escaños Reservados </v>
          </cell>
          <cell r="I5">
            <v>1</v>
          </cell>
          <cell r="J5">
            <v>0</v>
          </cell>
          <cell r="K5">
            <v>7</v>
          </cell>
          <cell r="L5">
            <v>1</v>
          </cell>
          <cell r="M5">
            <v>9</v>
          </cell>
        </row>
        <row r="6">
          <cell r="C6">
            <v>1</v>
          </cell>
          <cell r="H6" t="str">
            <v>Coord. Plurinacional</v>
          </cell>
          <cell r="I6">
            <v>15</v>
          </cell>
          <cell r="J6">
            <v>0</v>
          </cell>
          <cell r="K6">
            <v>0</v>
          </cell>
          <cell r="L6">
            <v>1</v>
          </cell>
          <cell r="M6">
            <v>16</v>
          </cell>
        </row>
        <row r="7">
          <cell r="D7">
            <v>1</v>
          </cell>
          <cell r="H7" t="str">
            <v>Ind. Por Nueva Const.</v>
          </cell>
          <cell r="I7">
            <v>8</v>
          </cell>
          <cell r="J7">
            <v>2</v>
          </cell>
          <cell r="K7">
            <v>2</v>
          </cell>
          <cell r="L7">
            <v>0</v>
          </cell>
          <cell r="M7">
            <v>12</v>
          </cell>
        </row>
        <row r="8">
          <cell r="D8">
            <v>1</v>
          </cell>
          <cell r="H8" t="str">
            <v>Colectivo Socialista</v>
          </cell>
          <cell r="I8">
            <v>4</v>
          </cell>
          <cell r="J8">
            <v>11</v>
          </cell>
          <cell r="K8">
            <v>0</v>
          </cell>
          <cell r="L8">
            <v>0</v>
          </cell>
          <cell r="M8">
            <v>15</v>
          </cell>
        </row>
        <row r="9">
          <cell r="D9">
            <v>1</v>
          </cell>
          <cell r="H9" t="str">
            <v>Frente Amplio</v>
          </cell>
          <cell r="I9">
            <v>0</v>
          </cell>
          <cell r="J9">
            <v>8</v>
          </cell>
          <cell r="K9">
            <v>8</v>
          </cell>
          <cell r="L9">
            <v>0</v>
          </cell>
          <cell r="M9">
            <v>16</v>
          </cell>
        </row>
        <row r="10">
          <cell r="C10">
            <v>1</v>
          </cell>
          <cell r="H10" t="str">
            <v>Ind. + UDI</v>
          </cell>
          <cell r="I10">
            <v>0</v>
          </cell>
          <cell r="J10">
            <v>21</v>
          </cell>
          <cell r="K10">
            <v>0</v>
          </cell>
          <cell r="L10">
            <v>0</v>
          </cell>
          <cell r="M10">
            <v>21</v>
          </cell>
        </row>
        <row r="11">
          <cell r="C11">
            <v>1</v>
          </cell>
          <cell r="H11" t="str">
            <v>Ind. RN - Evópoli</v>
          </cell>
          <cell r="I11">
            <v>1</v>
          </cell>
          <cell r="J11">
            <v>12</v>
          </cell>
          <cell r="K11">
            <v>2</v>
          </cell>
          <cell r="L11">
            <v>0</v>
          </cell>
          <cell r="M11">
            <v>15</v>
          </cell>
        </row>
        <row r="12">
          <cell r="C12">
            <v>1</v>
          </cell>
          <cell r="H12" t="str">
            <v>Colectivo del Apruebo</v>
          </cell>
          <cell r="I12">
            <v>1</v>
          </cell>
          <cell r="J12">
            <v>5</v>
          </cell>
          <cell r="K12">
            <v>1</v>
          </cell>
          <cell r="L12">
            <v>0</v>
          </cell>
          <cell r="M12">
            <v>7</v>
          </cell>
        </row>
        <row r="13">
          <cell r="D13">
            <v>1</v>
          </cell>
          <cell r="H13" t="str">
            <v>Otros</v>
          </cell>
          <cell r="I13">
            <v>3</v>
          </cell>
          <cell r="J13">
            <v>2</v>
          </cell>
          <cell r="K13">
            <v>0</v>
          </cell>
          <cell r="L13">
            <v>0</v>
          </cell>
          <cell r="M13">
            <v>5</v>
          </cell>
        </row>
        <row r="14">
          <cell r="C14">
            <v>1</v>
          </cell>
        </row>
        <row r="15">
          <cell r="C15">
            <v>1</v>
          </cell>
        </row>
        <row r="16">
          <cell r="D16">
            <v>1</v>
          </cell>
        </row>
        <row r="17">
          <cell r="D17">
            <v>1</v>
          </cell>
        </row>
        <row r="18">
          <cell r="C18">
            <v>1</v>
          </cell>
        </row>
        <row r="19">
          <cell r="D19">
            <v>1</v>
          </cell>
        </row>
        <row r="20">
          <cell r="C20">
            <v>1</v>
          </cell>
        </row>
        <row r="21">
          <cell r="D21">
            <v>1</v>
          </cell>
        </row>
        <row r="22">
          <cell r="C22">
            <v>1</v>
          </cell>
        </row>
        <row r="23">
          <cell r="E23">
            <v>1</v>
          </cell>
        </row>
        <row r="24">
          <cell r="C24">
            <v>1</v>
          </cell>
        </row>
        <row r="25">
          <cell r="D25">
            <v>1</v>
          </cell>
        </row>
        <row r="26">
          <cell r="C26">
            <v>1</v>
          </cell>
        </row>
        <row r="27">
          <cell r="C27">
            <v>1</v>
          </cell>
        </row>
        <row r="28">
          <cell r="C28">
            <v>1</v>
          </cell>
        </row>
        <row r="29">
          <cell r="D29">
            <v>1</v>
          </cell>
        </row>
        <row r="30">
          <cell r="D30">
            <v>1</v>
          </cell>
        </row>
        <row r="31">
          <cell r="D31">
            <v>1</v>
          </cell>
        </row>
        <row r="32">
          <cell r="C32">
            <v>1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1</v>
          </cell>
        </row>
        <row r="36">
          <cell r="E36">
            <v>1</v>
          </cell>
        </row>
        <row r="37">
          <cell r="C37">
            <v>1</v>
          </cell>
        </row>
        <row r="38">
          <cell r="D38">
            <v>1</v>
          </cell>
        </row>
        <row r="39">
          <cell r="E39">
            <v>1</v>
          </cell>
        </row>
        <row r="40">
          <cell r="D40">
            <v>1</v>
          </cell>
        </row>
        <row r="41">
          <cell r="C41">
            <v>1</v>
          </cell>
        </row>
        <row r="42">
          <cell r="D42">
            <v>1</v>
          </cell>
        </row>
        <row r="43">
          <cell r="D43">
            <v>1</v>
          </cell>
        </row>
        <row r="44">
          <cell r="C44">
            <v>1</v>
          </cell>
        </row>
        <row r="45">
          <cell r="D45">
            <v>1</v>
          </cell>
        </row>
        <row r="46">
          <cell r="E46">
            <v>1</v>
          </cell>
          <cell r="H46" t="str">
            <v>Chile Digno</v>
          </cell>
          <cell r="I46">
            <v>1</v>
          </cell>
          <cell r="J46">
            <v>0</v>
          </cell>
          <cell r="K46">
            <v>0</v>
          </cell>
          <cell r="L46">
            <v>0</v>
          </cell>
        </row>
        <row r="47">
          <cell r="D47">
            <v>1</v>
          </cell>
          <cell r="H47" t="str">
            <v>Mov. Sociales Const.</v>
          </cell>
          <cell r="I47">
            <v>1</v>
          </cell>
          <cell r="J47">
            <v>0</v>
          </cell>
          <cell r="K47">
            <v>0</v>
          </cell>
          <cell r="L47">
            <v>0</v>
          </cell>
        </row>
        <row r="48">
          <cell r="E48">
            <v>1</v>
          </cell>
          <cell r="H48" t="str">
            <v>Pueblo Constituyente</v>
          </cell>
          <cell r="I48">
            <v>1</v>
          </cell>
          <cell r="J48">
            <v>0</v>
          </cell>
          <cell r="K48">
            <v>0</v>
          </cell>
          <cell r="L48">
            <v>0</v>
          </cell>
        </row>
        <row r="49">
          <cell r="C49">
            <v>1</v>
          </cell>
          <cell r="H49" t="str">
            <v xml:space="preserve">Escaños Reservados </v>
          </cell>
          <cell r="I49">
            <v>0.1111111111111111</v>
          </cell>
          <cell r="J49">
            <v>0</v>
          </cell>
          <cell r="K49">
            <v>0.77777777777777779</v>
          </cell>
          <cell r="L49">
            <v>0.1111111111111111</v>
          </cell>
        </row>
        <row r="50">
          <cell r="C50">
            <v>1</v>
          </cell>
          <cell r="H50" t="str">
            <v>Coord. Plurinacional</v>
          </cell>
          <cell r="I50">
            <v>0.9375</v>
          </cell>
          <cell r="J50">
            <v>0</v>
          </cell>
          <cell r="K50">
            <v>0</v>
          </cell>
          <cell r="L50">
            <v>6.25E-2</v>
          </cell>
        </row>
        <row r="51">
          <cell r="D51">
            <v>1</v>
          </cell>
          <cell r="H51" t="str">
            <v>Ind. Por Nueva Const.</v>
          </cell>
          <cell r="I51">
            <v>0.66666666666666663</v>
          </cell>
          <cell r="J51">
            <v>0.16666666666666666</v>
          </cell>
          <cell r="K51">
            <v>0.16666666666666666</v>
          </cell>
          <cell r="L51">
            <v>0</v>
          </cell>
        </row>
        <row r="52">
          <cell r="C52">
            <v>1</v>
          </cell>
          <cell r="H52" t="str">
            <v>Colectivo Socialista</v>
          </cell>
          <cell r="I52">
            <v>0.26666666666666666</v>
          </cell>
          <cell r="J52">
            <v>0.73333333333333328</v>
          </cell>
          <cell r="K52">
            <v>0</v>
          </cell>
          <cell r="L52">
            <v>0</v>
          </cell>
        </row>
        <row r="53">
          <cell r="D53">
            <v>1</v>
          </cell>
          <cell r="H53" t="str">
            <v>Frente Amplio</v>
          </cell>
          <cell r="I53">
            <v>0</v>
          </cell>
          <cell r="J53">
            <v>0.5</v>
          </cell>
          <cell r="K53">
            <v>0.5</v>
          </cell>
          <cell r="L53">
            <v>0</v>
          </cell>
        </row>
        <row r="54">
          <cell r="E54">
            <v>1</v>
          </cell>
          <cell r="H54" t="str">
            <v>Ind. + UDI</v>
          </cell>
          <cell r="I54">
            <v>0</v>
          </cell>
          <cell r="J54">
            <v>1</v>
          </cell>
          <cell r="K54">
            <v>0</v>
          </cell>
          <cell r="L54">
            <v>0</v>
          </cell>
        </row>
        <row r="55">
          <cell r="C55">
            <v>1</v>
          </cell>
          <cell r="H55" t="str">
            <v>Ind. RN - Evópoli</v>
          </cell>
          <cell r="I55">
            <v>6.6666666666666666E-2</v>
          </cell>
          <cell r="J55">
            <v>0.8</v>
          </cell>
          <cell r="K55">
            <v>0.13333333333333333</v>
          </cell>
          <cell r="L55">
            <v>0</v>
          </cell>
        </row>
        <row r="56">
          <cell r="E56">
            <v>1</v>
          </cell>
          <cell r="H56" t="str">
            <v>Colectivo del Apruebo</v>
          </cell>
          <cell r="I56">
            <v>0.14285714285714285</v>
          </cell>
          <cell r="J56">
            <v>0.7142857142857143</v>
          </cell>
          <cell r="K56">
            <v>0.14285714285714285</v>
          </cell>
          <cell r="L56">
            <v>0</v>
          </cell>
        </row>
        <row r="57">
          <cell r="D57">
            <v>1</v>
          </cell>
          <cell r="H57" t="str">
            <v>Otros</v>
          </cell>
          <cell r="I57">
            <v>0.6</v>
          </cell>
          <cell r="J57">
            <v>0.4</v>
          </cell>
          <cell r="K57">
            <v>0</v>
          </cell>
          <cell r="L57">
            <v>0</v>
          </cell>
        </row>
        <row r="58">
          <cell r="C58">
            <v>1</v>
          </cell>
        </row>
        <row r="59">
          <cell r="C59">
            <v>1</v>
          </cell>
        </row>
        <row r="60">
          <cell r="C60">
            <v>1</v>
          </cell>
        </row>
        <row r="61">
          <cell r="E61">
            <v>1</v>
          </cell>
        </row>
        <row r="62">
          <cell r="C62">
            <v>1</v>
          </cell>
        </row>
        <row r="63">
          <cell r="F63">
            <v>1</v>
          </cell>
        </row>
        <row r="64">
          <cell r="C64">
            <v>1</v>
          </cell>
        </row>
        <row r="65">
          <cell r="C65">
            <v>1</v>
          </cell>
        </row>
        <row r="66">
          <cell r="C66">
            <v>1</v>
          </cell>
        </row>
        <row r="67">
          <cell r="D67">
            <v>1</v>
          </cell>
        </row>
        <row r="68">
          <cell r="C68">
            <v>1</v>
          </cell>
        </row>
        <row r="69">
          <cell r="C69">
            <v>1</v>
          </cell>
        </row>
        <row r="70">
          <cell r="D70">
            <v>1</v>
          </cell>
        </row>
        <row r="71">
          <cell r="D71">
            <v>1</v>
          </cell>
        </row>
        <row r="72">
          <cell r="D72">
            <v>1</v>
          </cell>
        </row>
        <row r="73">
          <cell r="E73">
            <v>1</v>
          </cell>
        </row>
        <row r="74">
          <cell r="D74">
            <v>1</v>
          </cell>
        </row>
        <row r="75">
          <cell r="D75">
            <v>1</v>
          </cell>
        </row>
        <row r="76">
          <cell r="C76">
            <v>1</v>
          </cell>
        </row>
        <row r="77">
          <cell r="D77">
            <v>1</v>
          </cell>
        </row>
        <row r="78">
          <cell r="C78">
            <v>1</v>
          </cell>
        </row>
        <row r="79">
          <cell r="D79">
            <v>1</v>
          </cell>
        </row>
        <row r="80">
          <cell r="D80">
            <v>1</v>
          </cell>
        </row>
        <row r="81">
          <cell r="D81">
            <v>1</v>
          </cell>
        </row>
        <row r="82">
          <cell r="C82">
            <v>1</v>
          </cell>
        </row>
        <row r="83">
          <cell r="C83">
            <v>1</v>
          </cell>
        </row>
        <row r="84">
          <cell r="E84">
            <v>1</v>
          </cell>
        </row>
        <row r="85">
          <cell r="E85">
            <v>1</v>
          </cell>
        </row>
        <row r="86">
          <cell r="C86">
            <v>1</v>
          </cell>
        </row>
        <row r="87">
          <cell r="E87">
            <v>1</v>
          </cell>
        </row>
        <row r="88">
          <cell r="D88">
            <v>1</v>
          </cell>
        </row>
        <row r="89">
          <cell r="C89">
            <v>1</v>
          </cell>
        </row>
        <row r="90">
          <cell r="C90">
            <v>1</v>
          </cell>
        </row>
        <row r="91">
          <cell r="D91">
            <v>1</v>
          </cell>
        </row>
        <row r="92">
          <cell r="E92">
            <v>1</v>
          </cell>
        </row>
        <row r="93">
          <cell r="D93">
            <v>1</v>
          </cell>
        </row>
        <row r="94">
          <cell r="C94">
            <v>1</v>
          </cell>
        </row>
        <row r="95">
          <cell r="E95">
            <v>1</v>
          </cell>
        </row>
        <row r="96">
          <cell r="C96">
            <v>1</v>
          </cell>
        </row>
        <row r="97">
          <cell r="D97">
            <v>1</v>
          </cell>
        </row>
        <row r="98">
          <cell r="D98">
            <v>1</v>
          </cell>
        </row>
        <row r="99">
          <cell r="D99">
            <v>1</v>
          </cell>
        </row>
        <row r="100">
          <cell r="D100">
            <v>1</v>
          </cell>
        </row>
        <row r="101">
          <cell r="D101">
            <v>1</v>
          </cell>
        </row>
        <row r="102">
          <cell r="C102">
            <v>1</v>
          </cell>
        </row>
        <row r="103">
          <cell r="E103">
            <v>1</v>
          </cell>
        </row>
        <row r="104">
          <cell r="D104">
            <v>1</v>
          </cell>
        </row>
        <row r="105">
          <cell r="C105">
            <v>1</v>
          </cell>
        </row>
        <row r="106">
          <cell r="C106">
            <v>1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</v>
          </cell>
        </row>
        <row r="110">
          <cell r="C110">
            <v>1</v>
          </cell>
        </row>
        <row r="111">
          <cell r="C111">
            <v>1</v>
          </cell>
        </row>
        <row r="112">
          <cell r="D112">
            <v>1</v>
          </cell>
        </row>
        <row r="113">
          <cell r="C113">
            <v>1</v>
          </cell>
        </row>
        <row r="114">
          <cell r="D114">
            <v>1</v>
          </cell>
        </row>
        <row r="115">
          <cell r="C115">
            <v>1</v>
          </cell>
        </row>
        <row r="116">
          <cell r="D116">
            <v>1</v>
          </cell>
        </row>
        <row r="117">
          <cell r="D117">
            <v>1</v>
          </cell>
        </row>
        <row r="118">
          <cell r="D118">
            <v>1</v>
          </cell>
        </row>
        <row r="119">
          <cell r="C119">
            <v>1</v>
          </cell>
        </row>
        <row r="120">
          <cell r="E120">
            <v>1</v>
          </cell>
        </row>
        <row r="121">
          <cell r="F121">
            <v>1</v>
          </cell>
        </row>
        <row r="122">
          <cell r="C122">
            <v>1</v>
          </cell>
        </row>
        <row r="123">
          <cell r="C123">
            <v>1</v>
          </cell>
        </row>
        <row r="124">
          <cell r="C124">
            <v>1</v>
          </cell>
        </row>
        <row r="125">
          <cell r="C125">
            <v>1</v>
          </cell>
        </row>
        <row r="126">
          <cell r="D126">
            <v>1</v>
          </cell>
        </row>
        <row r="127">
          <cell r="E127">
            <v>1</v>
          </cell>
        </row>
        <row r="128">
          <cell r="C128">
            <v>1</v>
          </cell>
        </row>
        <row r="129">
          <cell r="C129">
            <v>1</v>
          </cell>
        </row>
        <row r="130">
          <cell r="D130">
            <v>1</v>
          </cell>
        </row>
        <row r="131">
          <cell r="C131">
            <v>1</v>
          </cell>
        </row>
        <row r="132">
          <cell r="D132">
            <v>1</v>
          </cell>
        </row>
        <row r="133">
          <cell r="D133">
            <v>1</v>
          </cell>
        </row>
        <row r="134">
          <cell r="E134">
            <v>1</v>
          </cell>
        </row>
        <row r="135">
          <cell r="C135">
            <v>1</v>
          </cell>
        </row>
        <row r="136">
          <cell r="D136">
            <v>1</v>
          </cell>
        </row>
        <row r="137">
          <cell r="D137">
            <v>1</v>
          </cell>
        </row>
        <row r="138">
          <cell r="C138">
            <v>1</v>
          </cell>
        </row>
        <row r="139">
          <cell r="D139">
            <v>1</v>
          </cell>
        </row>
        <row r="140">
          <cell r="D140">
            <v>1</v>
          </cell>
        </row>
        <row r="141">
          <cell r="C141">
            <v>1</v>
          </cell>
        </row>
        <row r="142">
          <cell r="C142">
            <v>1</v>
          </cell>
        </row>
        <row r="143">
          <cell r="F143">
            <v>1</v>
          </cell>
        </row>
        <row r="144">
          <cell r="C144">
            <v>1</v>
          </cell>
        </row>
        <row r="145">
          <cell r="D145">
            <v>1</v>
          </cell>
        </row>
        <row r="146">
          <cell r="C146">
            <v>1</v>
          </cell>
        </row>
        <row r="147">
          <cell r="E147">
            <v>1</v>
          </cell>
        </row>
        <row r="148">
          <cell r="C148">
            <v>1</v>
          </cell>
        </row>
        <row r="149">
          <cell r="D149">
            <v>1</v>
          </cell>
        </row>
        <row r="150">
          <cell r="C150">
            <v>1</v>
          </cell>
        </row>
        <row r="151">
          <cell r="D151">
            <v>1</v>
          </cell>
        </row>
        <row r="152">
          <cell r="C152">
            <v>1</v>
          </cell>
        </row>
        <row r="153">
          <cell r="C153">
            <v>1</v>
          </cell>
        </row>
        <row r="154">
          <cell r="C154">
            <v>1</v>
          </cell>
        </row>
        <row r="155">
          <cell r="C155">
            <v>1</v>
          </cell>
        </row>
        <row r="156">
          <cell r="D156">
            <v>1</v>
          </cell>
        </row>
      </sheetData>
      <sheetData sheetId="35">
        <row r="2">
          <cell r="E2">
            <v>1</v>
          </cell>
          <cell r="H2" t="str">
            <v>Chile Digno</v>
          </cell>
          <cell r="I2">
            <v>11</v>
          </cell>
          <cell r="J2">
            <v>0</v>
          </cell>
          <cell r="K2">
            <v>0</v>
          </cell>
          <cell r="L2">
            <v>0</v>
          </cell>
          <cell r="M2">
            <v>11</v>
          </cell>
        </row>
        <row r="3">
          <cell r="C3">
            <v>1</v>
          </cell>
          <cell r="H3" t="str">
            <v>Mov. Sociales Const.</v>
          </cell>
          <cell r="I3">
            <v>11</v>
          </cell>
          <cell r="J3">
            <v>1</v>
          </cell>
          <cell r="K3">
            <v>0</v>
          </cell>
          <cell r="L3">
            <v>0</v>
          </cell>
          <cell r="M3">
            <v>12</v>
          </cell>
        </row>
        <row r="4">
          <cell r="D4">
            <v>1</v>
          </cell>
          <cell r="H4" t="str">
            <v>Pueblo Constituyente</v>
          </cell>
          <cell r="I4">
            <v>10</v>
          </cell>
          <cell r="J4">
            <v>0</v>
          </cell>
          <cell r="K4">
            <v>0</v>
          </cell>
          <cell r="L4">
            <v>0</v>
          </cell>
          <cell r="M4">
            <v>10</v>
          </cell>
        </row>
        <row r="5">
          <cell r="E5">
            <v>1</v>
          </cell>
          <cell r="H5" t="str">
            <v xml:space="preserve">Escaños Reservados </v>
          </cell>
          <cell r="I5">
            <v>1</v>
          </cell>
          <cell r="J5">
            <v>0</v>
          </cell>
          <cell r="K5">
            <v>7</v>
          </cell>
          <cell r="L5">
            <v>1</v>
          </cell>
          <cell r="M5">
            <v>9</v>
          </cell>
        </row>
        <row r="6">
          <cell r="C6">
            <v>1</v>
          </cell>
          <cell r="H6" t="str">
            <v>Coord. Plurinacional</v>
          </cell>
          <cell r="I6">
            <v>16</v>
          </cell>
          <cell r="J6">
            <v>0</v>
          </cell>
          <cell r="K6">
            <v>0</v>
          </cell>
          <cell r="L6">
            <v>0</v>
          </cell>
          <cell r="M6">
            <v>16</v>
          </cell>
        </row>
        <row r="7">
          <cell r="D7">
            <v>1</v>
          </cell>
          <cell r="H7" t="str">
            <v>Ind. Por Nueva Const.</v>
          </cell>
          <cell r="I7">
            <v>5</v>
          </cell>
          <cell r="J7">
            <v>5</v>
          </cell>
          <cell r="K7">
            <v>2</v>
          </cell>
          <cell r="L7">
            <v>0</v>
          </cell>
          <cell r="M7">
            <v>12</v>
          </cell>
        </row>
        <row r="8">
          <cell r="D8">
            <v>1</v>
          </cell>
          <cell r="H8" t="str">
            <v>Colectivo Socialista</v>
          </cell>
          <cell r="I8">
            <v>3</v>
          </cell>
          <cell r="J8">
            <v>9</v>
          </cell>
          <cell r="K8">
            <v>2</v>
          </cell>
          <cell r="L8">
            <v>1</v>
          </cell>
          <cell r="M8">
            <v>15</v>
          </cell>
        </row>
        <row r="9">
          <cell r="E9">
            <v>1</v>
          </cell>
          <cell r="H9" t="str">
            <v>Frente Amplio</v>
          </cell>
          <cell r="I9">
            <v>0</v>
          </cell>
          <cell r="J9">
            <v>7</v>
          </cell>
          <cell r="K9">
            <v>7</v>
          </cell>
          <cell r="L9">
            <v>0</v>
          </cell>
          <cell r="M9">
            <v>14</v>
          </cell>
        </row>
        <row r="10">
          <cell r="C10">
            <v>1</v>
          </cell>
          <cell r="H10" t="str">
            <v>Ind. + UDI</v>
          </cell>
          <cell r="I10">
            <v>0</v>
          </cell>
          <cell r="J10">
            <v>20</v>
          </cell>
          <cell r="K10">
            <v>1</v>
          </cell>
          <cell r="L10">
            <v>0</v>
          </cell>
          <cell r="M10">
            <v>21</v>
          </cell>
        </row>
        <row r="11">
          <cell r="C11">
            <v>1</v>
          </cell>
          <cell r="H11" t="str">
            <v>Ind. RN - Evópoli</v>
          </cell>
          <cell r="I11">
            <v>0</v>
          </cell>
          <cell r="J11">
            <v>14</v>
          </cell>
          <cell r="K11">
            <v>1</v>
          </cell>
          <cell r="L11">
            <v>0</v>
          </cell>
          <cell r="M11">
            <v>15</v>
          </cell>
        </row>
        <row r="12">
          <cell r="C12">
            <v>1</v>
          </cell>
          <cell r="H12" t="str">
            <v>Colectivo del Apruebo</v>
          </cell>
          <cell r="I12">
            <v>0</v>
          </cell>
          <cell r="J12">
            <v>7</v>
          </cell>
          <cell r="K12">
            <v>0</v>
          </cell>
          <cell r="L12">
            <v>0</v>
          </cell>
          <cell r="M12">
            <v>7</v>
          </cell>
        </row>
        <row r="13">
          <cell r="D13">
            <v>1</v>
          </cell>
          <cell r="H13" t="str">
            <v>Otros</v>
          </cell>
          <cell r="I13">
            <v>4</v>
          </cell>
          <cell r="J13">
            <v>1</v>
          </cell>
          <cell r="K13">
            <v>0</v>
          </cell>
          <cell r="L13">
            <v>0</v>
          </cell>
          <cell r="M13">
            <v>5</v>
          </cell>
        </row>
        <row r="14">
          <cell r="C14">
            <v>1</v>
          </cell>
        </row>
        <row r="15">
          <cell r="C15">
            <v>1</v>
          </cell>
        </row>
        <row r="16">
          <cell r="D16">
            <v>1</v>
          </cell>
        </row>
        <row r="17">
          <cell r="D17">
            <v>1</v>
          </cell>
        </row>
        <row r="18">
          <cell r="C18">
            <v>1</v>
          </cell>
        </row>
        <row r="19">
          <cell r="D19">
            <v>1</v>
          </cell>
        </row>
        <row r="20">
          <cell r="C20">
            <v>1</v>
          </cell>
        </row>
        <row r="21">
          <cell r="D21">
            <v>1</v>
          </cell>
        </row>
        <row r="22">
          <cell r="C22">
            <v>1</v>
          </cell>
        </row>
        <row r="23">
          <cell r="E23">
            <v>1</v>
          </cell>
        </row>
        <row r="24">
          <cell r="D24">
            <v>1</v>
          </cell>
        </row>
        <row r="25">
          <cell r="D25">
            <v>1</v>
          </cell>
        </row>
        <row r="26">
          <cell r="C26">
            <v>1</v>
          </cell>
        </row>
        <row r="27">
          <cell r="C27">
            <v>1</v>
          </cell>
        </row>
        <row r="28">
          <cell r="C28">
            <v>1</v>
          </cell>
        </row>
        <row r="29">
          <cell r="C29">
            <v>1</v>
          </cell>
        </row>
        <row r="30">
          <cell r="E30">
            <v>1</v>
          </cell>
        </row>
        <row r="31">
          <cell r="D31">
            <v>1</v>
          </cell>
        </row>
        <row r="32">
          <cell r="C32">
            <v>1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1</v>
          </cell>
        </row>
        <row r="36">
          <cell r="E36">
            <v>1</v>
          </cell>
        </row>
        <row r="37">
          <cell r="C37">
            <v>1</v>
          </cell>
        </row>
        <row r="38">
          <cell r="D38">
            <v>1</v>
          </cell>
        </row>
        <row r="39">
          <cell r="D39">
            <v>1</v>
          </cell>
        </row>
        <row r="40">
          <cell r="D40">
            <v>1</v>
          </cell>
        </row>
        <row r="41">
          <cell r="C41">
            <v>1</v>
          </cell>
        </row>
        <row r="42">
          <cell r="D42">
            <v>1</v>
          </cell>
        </row>
        <row r="43">
          <cell r="E43">
            <v>1</v>
          </cell>
        </row>
        <row r="44">
          <cell r="D44">
            <v>1</v>
          </cell>
        </row>
        <row r="45">
          <cell r="D45">
            <v>1</v>
          </cell>
        </row>
        <row r="46">
          <cell r="D46">
            <v>1</v>
          </cell>
          <cell r="H46" t="str">
            <v>Chile Digno</v>
          </cell>
          <cell r="I46">
            <v>1</v>
          </cell>
          <cell r="J46">
            <v>0</v>
          </cell>
          <cell r="K46">
            <v>0</v>
          </cell>
          <cell r="L46">
            <v>0</v>
          </cell>
        </row>
        <row r="47">
          <cell r="D47">
            <v>1</v>
          </cell>
          <cell r="H47" t="str">
            <v>Mov. Sociales Const.</v>
          </cell>
          <cell r="I47">
            <v>0.91666666666666663</v>
          </cell>
          <cell r="J47">
            <v>8.3333333333333329E-2</v>
          </cell>
          <cell r="K47">
            <v>0</v>
          </cell>
          <cell r="L47">
            <v>0</v>
          </cell>
        </row>
        <row r="48">
          <cell r="E48">
            <v>1</v>
          </cell>
          <cell r="H48" t="str">
            <v>Pueblo Constituyente</v>
          </cell>
          <cell r="I48">
            <v>1</v>
          </cell>
          <cell r="J48">
            <v>0</v>
          </cell>
          <cell r="K48">
            <v>0</v>
          </cell>
          <cell r="L48">
            <v>0</v>
          </cell>
        </row>
        <row r="49">
          <cell r="D49">
            <v>1</v>
          </cell>
          <cell r="H49" t="str">
            <v xml:space="preserve">Escaños Reservados </v>
          </cell>
          <cell r="I49">
            <v>0.1111111111111111</v>
          </cell>
          <cell r="J49">
            <v>0</v>
          </cell>
          <cell r="K49">
            <v>0.77777777777777779</v>
          </cell>
          <cell r="L49">
            <v>0.1111111111111111</v>
          </cell>
        </row>
        <row r="50">
          <cell r="C50">
            <v>1</v>
          </cell>
          <cell r="H50" t="str">
            <v>Coord. Plurinacional</v>
          </cell>
          <cell r="I50">
            <v>1</v>
          </cell>
          <cell r="J50">
            <v>0</v>
          </cell>
          <cell r="K50">
            <v>0</v>
          </cell>
          <cell r="L50">
            <v>0</v>
          </cell>
        </row>
        <row r="51">
          <cell r="D51">
            <v>1</v>
          </cell>
          <cell r="H51" t="str">
            <v>Ind. Por Nueva Const.</v>
          </cell>
          <cell r="I51">
            <v>0.41666666666666669</v>
          </cell>
          <cell r="J51">
            <v>0.41666666666666669</v>
          </cell>
          <cell r="K51">
            <v>0.16666666666666666</v>
          </cell>
          <cell r="L51">
            <v>0</v>
          </cell>
        </row>
        <row r="52">
          <cell r="C52">
            <v>1</v>
          </cell>
          <cell r="H52" t="str">
            <v>Colectivo Socialista</v>
          </cell>
          <cell r="I52">
            <v>0.2</v>
          </cell>
          <cell r="J52">
            <v>0.6</v>
          </cell>
          <cell r="K52">
            <v>0.13333333333333333</v>
          </cell>
          <cell r="L52">
            <v>6.6666666666666666E-2</v>
          </cell>
        </row>
        <row r="53">
          <cell r="D53">
            <v>1</v>
          </cell>
          <cell r="H53" t="str">
            <v>Frente Amplio</v>
          </cell>
          <cell r="I53">
            <v>0</v>
          </cell>
          <cell r="J53">
            <v>0.5</v>
          </cell>
          <cell r="K53">
            <v>0.5</v>
          </cell>
          <cell r="L53">
            <v>0</v>
          </cell>
        </row>
        <row r="54">
          <cell r="D54">
            <v>1</v>
          </cell>
          <cell r="H54" t="str">
            <v>Ind. + UDI</v>
          </cell>
          <cell r="I54">
            <v>0</v>
          </cell>
          <cell r="J54">
            <v>0.95238095238095233</v>
          </cell>
          <cell r="K54">
            <v>4.7619047619047616E-2</v>
          </cell>
          <cell r="L54">
            <v>0</v>
          </cell>
        </row>
        <row r="55">
          <cell r="C55">
            <v>1</v>
          </cell>
          <cell r="H55" t="str">
            <v>Ind. RN - Evópoli</v>
          </cell>
          <cell r="I55">
            <v>0</v>
          </cell>
          <cell r="J55">
            <v>0.93333333333333335</v>
          </cell>
          <cell r="K55">
            <v>6.6666666666666666E-2</v>
          </cell>
          <cell r="L55">
            <v>0</v>
          </cell>
        </row>
        <row r="56">
          <cell r="E56">
            <v>1</v>
          </cell>
          <cell r="H56" t="str">
            <v>Colectivo del Apruebo</v>
          </cell>
          <cell r="I56">
            <v>0</v>
          </cell>
          <cell r="J56">
            <v>1</v>
          </cell>
          <cell r="K56">
            <v>0</v>
          </cell>
          <cell r="L56">
            <v>0</v>
          </cell>
        </row>
        <row r="57">
          <cell r="D57">
            <v>1</v>
          </cell>
          <cell r="H57" t="str">
            <v>Otros</v>
          </cell>
          <cell r="I57">
            <v>0.8</v>
          </cell>
          <cell r="J57">
            <v>0.2</v>
          </cell>
          <cell r="K57">
            <v>0</v>
          </cell>
          <cell r="L57">
            <v>0</v>
          </cell>
        </row>
        <row r="58">
          <cell r="C58">
            <v>1</v>
          </cell>
        </row>
        <row r="59">
          <cell r="C59">
            <v>1</v>
          </cell>
        </row>
        <row r="60">
          <cell r="C60">
            <v>1</v>
          </cell>
        </row>
        <row r="61">
          <cell r="E61">
            <v>1</v>
          </cell>
        </row>
        <row r="62">
          <cell r="C62">
            <v>1</v>
          </cell>
        </row>
        <row r="63">
          <cell r="F63">
            <v>1</v>
          </cell>
        </row>
        <row r="64">
          <cell r="C64">
            <v>1</v>
          </cell>
        </row>
        <row r="65">
          <cell r="C65">
            <v>1</v>
          </cell>
        </row>
        <row r="66">
          <cell r="C66">
            <v>1</v>
          </cell>
        </row>
        <row r="67">
          <cell r="D67">
            <v>1</v>
          </cell>
        </row>
        <row r="68">
          <cell r="C68">
            <v>1</v>
          </cell>
        </row>
        <row r="69">
          <cell r="C69">
            <v>1</v>
          </cell>
        </row>
        <row r="70">
          <cell r="D70">
            <v>1</v>
          </cell>
        </row>
        <row r="71">
          <cell r="D71">
            <v>1</v>
          </cell>
        </row>
        <row r="72">
          <cell r="F72">
            <v>1</v>
          </cell>
        </row>
        <row r="73">
          <cell r="E73">
            <v>1</v>
          </cell>
        </row>
        <row r="74">
          <cell r="D74">
            <v>1</v>
          </cell>
        </row>
        <row r="75">
          <cell r="D75">
            <v>1</v>
          </cell>
        </row>
        <row r="76">
          <cell r="C76">
            <v>1</v>
          </cell>
        </row>
        <row r="77">
          <cell r="D77">
            <v>1</v>
          </cell>
        </row>
        <row r="78">
          <cell r="C78">
            <v>1</v>
          </cell>
        </row>
        <row r="79">
          <cell r="D79">
            <v>1</v>
          </cell>
        </row>
        <row r="80">
          <cell r="D80">
            <v>1</v>
          </cell>
        </row>
        <row r="81">
          <cell r="D81">
            <v>1</v>
          </cell>
        </row>
        <row r="82">
          <cell r="C82">
            <v>1</v>
          </cell>
        </row>
        <row r="83">
          <cell r="C83">
            <v>1</v>
          </cell>
        </row>
        <row r="84">
          <cell r="D84">
            <v>1</v>
          </cell>
        </row>
        <row r="85">
          <cell r="E85">
            <v>1</v>
          </cell>
        </row>
        <row r="86">
          <cell r="C86">
            <v>1</v>
          </cell>
        </row>
        <row r="87">
          <cell r="E87">
            <v>1</v>
          </cell>
        </row>
        <row r="88">
          <cell r="D88">
            <v>1</v>
          </cell>
        </row>
        <row r="89">
          <cell r="C89">
            <v>1</v>
          </cell>
        </row>
        <row r="90">
          <cell r="C90">
            <v>1</v>
          </cell>
        </row>
        <row r="91">
          <cell r="D91">
            <v>1</v>
          </cell>
        </row>
        <row r="92">
          <cell r="E92">
            <v>1</v>
          </cell>
        </row>
        <row r="93">
          <cell r="D93">
            <v>1</v>
          </cell>
        </row>
        <row r="94">
          <cell r="C94">
            <v>1</v>
          </cell>
        </row>
        <row r="95">
          <cell r="E95">
            <v>1</v>
          </cell>
        </row>
        <row r="96">
          <cell r="C96">
            <v>1</v>
          </cell>
        </row>
        <row r="97">
          <cell r="D97">
            <v>1</v>
          </cell>
        </row>
        <row r="98">
          <cell r="D98">
            <v>1</v>
          </cell>
        </row>
        <row r="99">
          <cell r="D99">
            <v>1</v>
          </cell>
        </row>
        <row r="100">
          <cell r="D100">
            <v>1</v>
          </cell>
        </row>
        <row r="101">
          <cell r="D101">
            <v>1</v>
          </cell>
        </row>
        <row r="102">
          <cell r="E102">
            <v>1</v>
          </cell>
        </row>
        <row r="103">
          <cell r="D103">
            <v>1</v>
          </cell>
        </row>
        <row r="104">
          <cell r="D104">
            <v>1</v>
          </cell>
        </row>
        <row r="105">
          <cell r="C105">
            <v>1</v>
          </cell>
        </row>
        <row r="106">
          <cell r="C106">
            <v>1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</v>
          </cell>
        </row>
        <row r="110">
          <cell r="C110">
            <v>1</v>
          </cell>
        </row>
        <row r="111">
          <cell r="E111">
            <v>1</v>
          </cell>
        </row>
        <row r="112">
          <cell r="D112">
            <v>1</v>
          </cell>
        </row>
        <row r="113">
          <cell r="C113">
            <v>1</v>
          </cell>
        </row>
        <row r="114">
          <cell r="D114">
            <v>1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C117">
            <v>1</v>
          </cell>
        </row>
        <row r="118">
          <cell r="D118">
            <v>1</v>
          </cell>
        </row>
        <row r="119">
          <cell r="C119">
            <v>1</v>
          </cell>
        </row>
        <row r="120">
          <cell r="E120">
            <v>1</v>
          </cell>
        </row>
        <row r="121">
          <cell r="F121">
            <v>1</v>
          </cell>
        </row>
        <row r="122">
          <cell r="C122">
            <v>1</v>
          </cell>
        </row>
        <row r="123">
          <cell r="C123">
            <v>1</v>
          </cell>
        </row>
        <row r="124">
          <cell r="C124">
            <v>1</v>
          </cell>
        </row>
        <row r="125">
          <cell r="C125">
            <v>1</v>
          </cell>
        </row>
        <row r="126">
          <cell r="D126">
            <v>1</v>
          </cell>
        </row>
        <row r="127">
          <cell r="E127">
            <v>1</v>
          </cell>
        </row>
        <row r="128">
          <cell r="C128">
            <v>1</v>
          </cell>
        </row>
        <row r="129">
          <cell r="C129">
            <v>1</v>
          </cell>
        </row>
        <row r="130">
          <cell r="D130">
            <v>1</v>
          </cell>
        </row>
        <row r="131">
          <cell r="E131">
            <v>1</v>
          </cell>
        </row>
        <row r="132">
          <cell r="D132">
            <v>1</v>
          </cell>
        </row>
        <row r="133">
          <cell r="D133">
            <v>1</v>
          </cell>
        </row>
        <row r="134">
          <cell r="D134">
            <v>1</v>
          </cell>
        </row>
        <row r="135">
          <cell r="C135">
            <v>1</v>
          </cell>
        </row>
        <row r="136">
          <cell r="D136">
            <v>1</v>
          </cell>
        </row>
        <row r="137">
          <cell r="D137">
            <v>1</v>
          </cell>
        </row>
        <row r="138">
          <cell r="C138">
            <v>1</v>
          </cell>
        </row>
        <row r="139">
          <cell r="E139">
            <v>1</v>
          </cell>
        </row>
        <row r="140">
          <cell r="D140">
            <v>1</v>
          </cell>
        </row>
        <row r="141">
          <cell r="E141">
            <v>1</v>
          </cell>
        </row>
        <row r="142">
          <cell r="C142">
            <v>1</v>
          </cell>
        </row>
        <row r="143">
          <cell r="C143">
            <v>1</v>
          </cell>
        </row>
        <row r="144">
          <cell r="D144">
            <v>1</v>
          </cell>
        </row>
        <row r="145">
          <cell r="D145">
            <v>1</v>
          </cell>
        </row>
        <row r="146">
          <cell r="C146">
            <v>1</v>
          </cell>
        </row>
        <row r="147">
          <cell r="D147">
            <v>1</v>
          </cell>
        </row>
        <row r="148">
          <cell r="C148">
            <v>1</v>
          </cell>
        </row>
        <row r="149">
          <cell r="C149">
            <v>1</v>
          </cell>
        </row>
        <row r="150">
          <cell r="C150">
            <v>1</v>
          </cell>
        </row>
        <row r="151">
          <cell r="D151">
            <v>1</v>
          </cell>
        </row>
        <row r="152">
          <cell r="C152">
            <v>1</v>
          </cell>
        </row>
        <row r="153">
          <cell r="C153">
            <v>1</v>
          </cell>
        </row>
        <row r="154">
          <cell r="C154">
            <v>1</v>
          </cell>
        </row>
        <row r="155">
          <cell r="C155">
            <v>1</v>
          </cell>
        </row>
        <row r="156">
          <cell r="D156">
            <v>1</v>
          </cell>
        </row>
      </sheetData>
      <sheetData sheetId="36">
        <row r="2">
          <cell r="D2">
            <v>1</v>
          </cell>
          <cell r="H2" t="str">
            <v>Chile Digno</v>
          </cell>
          <cell r="I2">
            <v>10</v>
          </cell>
          <cell r="J2">
            <v>0</v>
          </cell>
          <cell r="K2">
            <v>1</v>
          </cell>
          <cell r="L2">
            <v>0</v>
          </cell>
          <cell r="M2">
            <v>11</v>
          </cell>
        </row>
        <row r="3">
          <cell r="C3">
            <v>1</v>
          </cell>
          <cell r="H3" t="str">
            <v>Mov. Sociales Const.</v>
          </cell>
          <cell r="I3">
            <v>12</v>
          </cell>
          <cell r="J3">
            <v>0</v>
          </cell>
          <cell r="K3">
            <v>0</v>
          </cell>
          <cell r="L3">
            <v>0</v>
          </cell>
          <cell r="M3">
            <v>12</v>
          </cell>
        </row>
        <row r="4">
          <cell r="D4">
            <v>1</v>
          </cell>
          <cell r="H4" t="str">
            <v>Pueblo Constituyente</v>
          </cell>
          <cell r="I4">
            <v>9</v>
          </cell>
          <cell r="J4">
            <v>0</v>
          </cell>
          <cell r="K4">
            <v>0</v>
          </cell>
          <cell r="L4">
            <v>1</v>
          </cell>
          <cell r="M4">
            <v>10</v>
          </cell>
        </row>
        <row r="5">
          <cell r="E5">
            <v>1</v>
          </cell>
          <cell r="H5" t="str">
            <v xml:space="preserve">Escaños Reservados </v>
          </cell>
          <cell r="I5">
            <v>1</v>
          </cell>
          <cell r="J5">
            <v>0</v>
          </cell>
          <cell r="K5">
            <v>7</v>
          </cell>
          <cell r="L5">
            <v>1</v>
          </cell>
          <cell r="M5">
            <v>9</v>
          </cell>
        </row>
        <row r="6">
          <cell r="C6">
            <v>1</v>
          </cell>
          <cell r="H6" t="str">
            <v>Coord. Plurinacional</v>
          </cell>
          <cell r="I6">
            <v>16</v>
          </cell>
          <cell r="J6">
            <v>0</v>
          </cell>
          <cell r="K6">
            <v>0</v>
          </cell>
          <cell r="L6">
            <v>0</v>
          </cell>
          <cell r="M6">
            <v>16</v>
          </cell>
        </row>
        <row r="7">
          <cell r="D7">
            <v>1</v>
          </cell>
          <cell r="H7" t="str">
            <v>Ind. Por Nueva Const.</v>
          </cell>
          <cell r="I7">
            <v>4</v>
          </cell>
          <cell r="J7">
            <v>5</v>
          </cell>
          <cell r="K7">
            <v>3</v>
          </cell>
          <cell r="L7">
            <v>0</v>
          </cell>
          <cell r="M7">
            <v>12</v>
          </cell>
        </row>
        <row r="8">
          <cell r="D8">
            <v>1</v>
          </cell>
          <cell r="H8" t="str">
            <v>Colectivo Socialista</v>
          </cell>
          <cell r="I8">
            <v>3</v>
          </cell>
          <cell r="J8">
            <v>9</v>
          </cell>
          <cell r="K8">
            <v>2</v>
          </cell>
          <cell r="L8">
            <v>1</v>
          </cell>
          <cell r="M8">
            <v>15</v>
          </cell>
        </row>
        <row r="9">
          <cell r="E9">
            <v>1</v>
          </cell>
          <cell r="H9" t="str">
            <v>Frente Amplio</v>
          </cell>
          <cell r="I9">
            <v>0</v>
          </cell>
          <cell r="J9">
            <v>11</v>
          </cell>
          <cell r="K9">
            <v>11</v>
          </cell>
          <cell r="L9">
            <v>0</v>
          </cell>
          <cell r="M9">
            <v>22</v>
          </cell>
        </row>
        <row r="10">
          <cell r="C10">
            <v>1</v>
          </cell>
          <cell r="H10" t="str">
            <v>Ind. + UDI</v>
          </cell>
          <cell r="I10">
            <v>0</v>
          </cell>
          <cell r="J10">
            <v>21</v>
          </cell>
          <cell r="K10">
            <v>0</v>
          </cell>
          <cell r="L10">
            <v>0</v>
          </cell>
          <cell r="M10">
            <v>21</v>
          </cell>
        </row>
        <row r="11">
          <cell r="C11">
            <v>1</v>
          </cell>
          <cell r="H11" t="str">
            <v>Ind. RN - Evópoli</v>
          </cell>
          <cell r="I11">
            <v>0</v>
          </cell>
          <cell r="J11">
            <v>13</v>
          </cell>
          <cell r="K11">
            <v>2</v>
          </cell>
          <cell r="L11">
            <v>0</v>
          </cell>
          <cell r="M11">
            <v>15</v>
          </cell>
        </row>
        <row r="12">
          <cell r="C12">
            <v>1</v>
          </cell>
          <cell r="H12" t="str">
            <v>Colectivo del Apruebo</v>
          </cell>
          <cell r="I12">
            <v>1</v>
          </cell>
          <cell r="J12">
            <v>5</v>
          </cell>
          <cell r="K12">
            <v>1</v>
          </cell>
          <cell r="L12">
            <v>0</v>
          </cell>
          <cell r="M12">
            <v>7</v>
          </cell>
        </row>
        <row r="13">
          <cell r="D13">
            <v>1</v>
          </cell>
          <cell r="H13" t="str">
            <v>Otros</v>
          </cell>
          <cell r="I13">
            <v>4</v>
          </cell>
          <cell r="J13">
            <v>1</v>
          </cell>
          <cell r="K13">
            <v>0</v>
          </cell>
          <cell r="L13">
            <v>0</v>
          </cell>
          <cell r="M13">
            <v>5</v>
          </cell>
        </row>
        <row r="14">
          <cell r="C14">
            <v>1</v>
          </cell>
        </row>
        <row r="15">
          <cell r="C15">
            <v>1</v>
          </cell>
        </row>
        <row r="16">
          <cell r="D16">
            <v>1</v>
          </cell>
        </row>
        <row r="17">
          <cell r="D17">
            <v>1</v>
          </cell>
        </row>
        <row r="18">
          <cell r="C18">
            <v>1</v>
          </cell>
        </row>
        <row r="19">
          <cell r="D19">
            <v>1</v>
          </cell>
        </row>
        <row r="20">
          <cell r="C20">
            <v>1</v>
          </cell>
        </row>
        <row r="21">
          <cell r="C21">
            <v>1</v>
          </cell>
        </row>
        <row r="22">
          <cell r="C22">
            <v>1</v>
          </cell>
        </row>
        <row r="23">
          <cell r="E23">
            <v>1</v>
          </cell>
        </row>
        <row r="24">
          <cell r="E24">
            <v>1</v>
          </cell>
        </row>
        <row r="25">
          <cell r="D25">
            <v>1</v>
          </cell>
        </row>
        <row r="26">
          <cell r="C26">
            <v>1</v>
          </cell>
        </row>
        <row r="27">
          <cell r="C27">
            <v>1</v>
          </cell>
        </row>
        <row r="28">
          <cell r="C28">
            <v>1</v>
          </cell>
        </row>
        <row r="29">
          <cell r="C29">
            <v>1</v>
          </cell>
        </row>
        <row r="30">
          <cell r="F30">
            <v>1</v>
          </cell>
        </row>
        <row r="31">
          <cell r="D31">
            <v>1</v>
          </cell>
        </row>
        <row r="32">
          <cell r="C32">
            <v>1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1</v>
          </cell>
        </row>
        <row r="36">
          <cell r="E36">
            <v>1</v>
          </cell>
        </row>
        <row r="37">
          <cell r="E37">
            <v>1</v>
          </cell>
        </row>
        <row r="38">
          <cell r="D38">
            <v>1</v>
          </cell>
        </row>
        <row r="39">
          <cell r="E39">
            <v>1</v>
          </cell>
        </row>
        <row r="40">
          <cell r="D40">
            <v>1</v>
          </cell>
        </row>
        <row r="41">
          <cell r="C41">
            <v>1</v>
          </cell>
        </row>
        <row r="42">
          <cell r="D42">
            <v>1</v>
          </cell>
        </row>
        <row r="43">
          <cell r="D43">
            <v>1</v>
          </cell>
        </row>
        <row r="44">
          <cell r="D44">
            <v>1</v>
          </cell>
        </row>
        <row r="45">
          <cell r="D45">
            <v>1</v>
          </cell>
        </row>
        <row r="46">
          <cell r="E46">
            <v>1</v>
          </cell>
          <cell r="H46" t="str">
            <v>Chile Digno</v>
          </cell>
          <cell r="I46">
            <v>0.90909090909090906</v>
          </cell>
          <cell r="J46">
            <v>0</v>
          </cell>
          <cell r="K46">
            <v>9.0909090909090912E-2</v>
          </cell>
          <cell r="L46">
            <v>0</v>
          </cell>
        </row>
        <row r="47">
          <cell r="D47">
            <v>1</v>
          </cell>
          <cell r="H47" t="str">
            <v>Mov. Sociales Const.</v>
          </cell>
          <cell r="I47">
            <v>1</v>
          </cell>
          <cell r="J47">
            <v>0</v>
          </cell>
          <cell r="K47">
            <v>0</v>
          </cell>
          <cell r="L47">
            <v>0</v>
          </cell>
        </row>
        <row r="48">
          <cell r="D48">
            <v>1</v>
          </cell>
          <cell r="H48" t="str">
            <v>Pueblo Constituyente</v>
          </cell>
          <cell r="I48">
            <v>0.9</v>
          </cell>
          <cell r="J48">
            <v>0</v>
          </cell>
          <cell r="K48">
            <v>0</v>
          </cell>
          <cell r="L48">
            <v>0.1</v>
          </cell>
        </row>
        <row r="49">
          <cell r="D49">
            <v>1</v>
          </cell>
          <cell r="H49" t="str">
            <v xml:space="preserve">Escaños Reservados </v>
          </cell>
          <cell r="I49">
            <v>0.1111111111111111</v>
          </cell>
          <cell r="J49">
            <v>0</v>
          </cell>
          <cell r="K49">
            <v>0.77777777777777779</v>
          </cell>
          <cell r="L49">
            <v>0.1111111111111111</v>
          </cell>
        </row>
        <row r="50">
          <cell r="C50">
            <v>1</v>
          </cell>
          <cell r="H50" t="str">
            <v>Coord. Plurinacional</v>
          </cell>
          <cell r="I50">
            <v>1</v>
          </cell>
          <cell r="J50">
            <v>0</v>
          </cell>
          <cell r="K50">
            <v>0</v>
          </cell>
          <cell r="L50">
            <v>0</v>
          </cell>
        </row>
        <row r="51">
          <cell r="D51">
            <v>1</v>
          </cell>
          <cell r="H51" t="str">
            <v>Ind. Por Nueva Const.</v>
          </cell>
          <cell r="I51">
            <v>0.33333333333333331</v>
          </cell>
          <cell r="J51">
            <v>0.41666666666666669</v>
          </cell>
          <cell r="K51">
            <v>0.25</v>
          </cell>
          <cell r="L51">
            <v>0</v>
          </cell>
        </row>
        <row r="52">
          <cell r="C52">
            <v>1</v>
          </cell>
          <cell r="H52" t="str">
            <v>Colectivo Socialista</v>
          </cell>
          <cell r="I52">
            <v>0.2</v>
          </cell>
          <cell r="J52">
            <v>0.6</v>
          </cell>
          <cell r="K52">
            <v>0.13333333333333333</v>
          </cell>
          <cell r="L52">
            <v>6.6666666666666666E-2</v>
          </cell>
        </row>
        <row r="53">
          <cell r="D53">
            <v>1</v>
          </cell>
          <cell r="H53" t="str">
            <v>Frente Amplio</v>
          </cell>
          <cell r="I53">
            <v>0</v>
          </cell>
          <cell r="J53">
            <v>0.5</v>
          </cell>
          <cell r="K53">
            <v>0.5</v>
          </cell>
          <cell r="L53">
            <v>0</v>
          </cell>
        </row>
        <row r="54">
          <cell r="D54">
            <v>1</v>
          </cell>
          <cell r="H54" t="str">
            <v>Ind. + UDI</v>
          </cell>
          <cell r="I54">
            <v>0</v>
          </cell>
          <cell r="J54">
            <v>1</v>
          </cell>
          <cell r="K54">
            <v>0</v>
          </cell>
          <cell r="L54">
            <v>0</v>
          </cell>
        </row>
        <row r="55">
          <cell r="C55">
            <v>1</v>
          </cell>
          <cell r="H55" t="str">
            <v>Ind. RN - Evópoli</v>
          </cell>
          <cell r="I55">
            <v>0</v>
          </cell>
          <cell r="J55">
            <v>0.8666666666666667</v>
          </cell>
          <cell r="K55">
            <v>0.13333333333333333</v>
          </cell>
          <cell r="L55">
            <v>0</v>
          </cell>
        </row>
        <row r="56">
          <cell r="E56">
            <v>1</v>
          </cell>
          <cell r="H56" t="str">
            <v>Colectivo del Apruebo</v>
          </cell>
          <cell r="I56">
            <v>0.14285714285714285</v>
          </cell>
          <cell r="J56">
            <v>0.7142857142857143</v>
          </cell>
          <cell r="K56">
            <v>0.14285714285714285</v>
          </cell>
          <cell r="L56">
            <v>0</v>
          </cell>
        </row>
        <row r="57">
          <cell r="D57">
            <v>1</v>
          </cell>
          <cell r="H57" t="str">
            <v>Otros</v>
          </cell>
          <cell r="I57">
            <v>0.8</v>
          </cell>
          <cell r="J57">
            <v>0.2</v>
          </cell>
          <cell r="K57">
            <v>0</v>
          </cell>
          <cell r="L57">
            <v>0</v>
          </cell>
        </row>
        <row r="58">
          <cell r="C58">
            <v>1</v>
          </cell>
        </row>
        <row r="59">
          <cell r="C59">
            <v>1</v>
          </cell>
        </row>
        <row r="60">
          <cell r="E60">
            <v>1</v>
          </cell>
        </row>
        <row r="61">
          <cell r="E61">
            <v>1</v>
          </cell>
        </row>
        <row r="62">
          <cell r="C62">
            <v>1</v>
          </cell>
        </row>
        <row r="63">
          <cell r="F63">
            <v>1</v>
          </cell>
        </row>
        <row r="64">
          <cell r="C64">
            <v>1</v>
          </cell>
        </row>
        <row r="65">
          <cell r="C65">
            <v>1</v>
          </cell>
        </row>
        <row r="66">
          <cell r="C66">
            <v>1</v>
          </cell>
        </row>
        <row r="67">
          <cell r="D67">
            <v>1</v>
          </cell>
        </row>
        <row r="68">
          <cell r="C68">
            <v>1</v>
          </cell>
        </row>
        <row r="69">
          <cell r="C69">
            <v>1</v>
          </cell>
        </row>
        <row r="70">
          <cell r="D70">
            <v>1</v>
          </cell>
        </row>
        <row r="71">
          <cell r="D71">
            <v>1</v>
          </cell>
        </row>
        <row r="72">
          <cell r="D72">
            <v>1</v>
          </cell>
        </row>
        <row r="73">
          <cell r="E73">
            <v>1</v>
          </cell>
        </row>
        <row r="74">
          <cell r="D74">
            <v>1</v>
          </cell>
        </row>
        <row r="75">
          <cell r="D75">
            <v>1</v>
          </cell>
        </row>
        <row r="76">
          <cell r="C76">
            <v>1</v>
          </cell>
        </row>
        <row r="77">
          <cell r="D77">
            <v>1</v>
          </cell>
        </row>
        <row r="78">
          <cell r="C78">
            <v>1</v>
          </cell>
        </row>
        <row r="79">
          <cell r="D79">
            <v>1</v>
          </cell>
        </row>
        <row r="80">
          <cell r="D80">
            <v>1</v>
          </cell>
        </row>
        <row r="81">
          <cell r="D81">
            <v>1</v>
          </cell>
        </row>
        <row r="82">
          <cell r="C82">
            <v>1</v>
          </cell>
        </row>
        <row r="83">
          <cell r="C83">
            <v>1</v>
          </cell>
        </row>
        <row r="84">
          <cell r="D84">
            <v>1</v>
          </cell>
        </row>
        <row r="85">
          <cell r="E85">
            <v>1</v>
          </cell>
        </row>
        <row r="86">
          <cell r="C86">
            <v>1</v>
          </cell>
        </row>
        <row r="87">
          <cell r="E87">
            <v>1</v>
          </cell>
        </row>
        <row r="88">
          <cell r="D88">
            <v>1</v>
          </cell>
        </row>
        <row r="89">
          <cell r="C89">
            <v>1</v>
          </cell>
        </row>
        <row r="90">
          <cell r="D90">
            <v>1</v>
          </cell>
        </row>
        <row r="91">
          <cell r="D91">
            <v>1</v>
          </cell>
        </row>
        <row r="92">
          <cell r="E92">
            <v>1</v>
          </cell>
        </row>
        <row r="93">
          <cell r="D93">
            <v>1</v>
          </cell>
        </row>
        <row r="94">
          <cell r="C94">
            <v>1</v>
          </cell>
        </row>
        <row r="95">
          <cell r="E95">
            <v>1</v>
          </cell>
        </row>
        <row r="96">
          <cell r="C96">
            <v>1</v>
          </cell>
        </row>
        <row r="97">
          <cell r="D97">
            <v>1</v>
          </cell>
        </row>
        <row r="98">
          <cell r="D98">
            <v>1</v>
          </cell>
        </row>
        <row r="99">
          <cell r="D99">
            <v>1</v>
          </cell>
        </row>
        <row r="100">
          <cell r="D100">
            <v>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1</v>
          </cell>
        </row>
        <row r="104">
          <cell r="D104">
            <v>1</v>
          </cell>
        </row>
        <row r="105">
          <cell r="C105">
            <v>1</v>
          </cell>
        </row>
        <row r="106">
          <cell r="C106">
            <v>1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</v>
          </cell>
        </row>
        <row r="110">
          <cell r="C110">
            <v>1</v>
          </cell>
        </row>
        <row r="111">
          <cell r="E111">
            <v>1</v>
          </cell>
        </row>
        <row r="112">
          <cell r="E112">
            <v>1</v>
          </cell>
        </row>
        <row r="113">
          <cell r="C113">
            <v>1</v>
          </cell>
        </row>
        <row r="114">
          <cell r="D114">
            <v>1</v>
          </cell>
        </row>
        <row r="115">
          <cell r="C115">
            <v>1</v>
          </cell>
        </row>
        <row r="116">
          <cell r="D116">
            <v>1</v>
          </cell>
        </row>
        <row r="117">
          <cell r="C117">
            <v>1</v>
          </cell>
        </row>
        <row r="118">
          <cell r="D118">
            <v>1</v>
          </cell>
        </row>
        <row r="119">
          <cell r="C119">
            <v>1</v>
          </cell>
        </row>
        <row r="120">
          <cell r="D120">
            <v>1</v>
          </cell>
        </row>
        <row r="121">
          <cell r="F121">
            <v>1</v>
          </cell>
        </row>
        <row r="122">
          <cell r="C122">
            <v>1</v>
          </cell>
        </row>
        <row r="123">
          <cell r="C123">
            <v>1</v>
          </cell>
        </row>
        <row r="124">
          <cell r="F124">
            <v>1</v>
          </cell>
        </row>
        <row r="125">
          <cell r="C125">
            <v>1</v>
          </cell>
        </row>
        <row r="126">
          <cell r="D126">
            <v>1</v>
          </cell>
        </row>
        <row r="127">
          <cell r="D127">
            <v>1</v>
          </cell>
        </row>
        <row r="128">
          <cell r="C128">
            <v>1</v>
          </cell>
        </row>
        <row r="129">
          <cell r="C129">
            <v>1</v>
          </cell>
        </row>
        <row r="130">
          <cell r="D130">
            <v>1</v>
          </cell>
        </row>
        <row r="131">
          <cell r="E131">
            <v>1</v>
          </cell>
        </row>
        <row r="132">
          <cell r="D132">
            <v>1</v>
          </cell>
        </row>
        <row r="133">
          <cell r="D133">
            <v>1</v>
          </cell>
        </row>
        <row r="134">
          <cell r="D134">
            <v>1</v>
          </cell>
        </row>
        <row r="135">
          <cell r="C135">
            <v>1</v>
          </cell>
        </row>
        <row r="136">
          <cell r="D136">
            <v>1</v>
          </cell>
        </row>
        <row r="137">
          <cell r="D137">
            <v>1</v>
          </cell>
        </row>
        <row r="138">
          <cell r="C138">
            <v>1</v>
          </cell>
        </row>
        <row r="139">
          <cell r="D139">
            <v>1</v>
          </cell>
        </row>
        <row r="140">
          <cell r="D140">
            <v>1</v>
          </cell>
        </row>
        <row r="141">
          <cell r="E141">
            <v>1</v>
          </cell>
        </row>
        <row r="142">
          <cell r="C142">
            <v>1</v>
          </cell>
        </row>
        <row r="143">
          <cell r="C143">
            <v>1</v>
          </cell>
        </row>
        <row r="144">
          <cell r="C144">
            <v>1</v>
          </cell>
        </row>
        <row r="145">
          <cell r="D145">
            <v>1</v>
          </cell>
        </row>
        <row r="146">
          <cell r="C146">
            <v>1</v>
          </cell>
        </row>
        <row r="147">
          <cell r="E147">
            <v>1</v>
          </cell>
        </row>
        <row r="148">
          <cell r="C148">
            <v>1</v>
          </cell>
        </row>
        <row r="149">
          <cell r="C149">
            <v>1</v>
          </cell>
        </row>
        <row r="150">
          <cell r="C150">
            <v>1</v>
          </cell>
        </row>
        <row r="151">
          <cell r="D151">
            <v>1</v>
          </cell>
        </row>
        <row r="152">
          <cell r="C152">
            <v>1</v>
          </cell>
        </row>
        <row r="153">
          <cell r="C153">
            <v>1</v>
          </cell>
        </row>
        <row r="154">
          <cell r="C154">
            <v>1</v>
          </cell>
        </row>
        <row r="155">
          <cell r="C155">
            <v>1</v>
          </cell>
        </row>
        <row r="156">
          <cell r="D156">
            <v>1</v>
          </cell>
        </row>
      </sheetData>
      <sheetData sheetId="37">
        <row r="2">
          <cell r="C2">
            <v>1</v>
          </cell>
          <cell r="H2" t="str">
            <v>Chile Digno</v>
          </cell>
          <cell r="I2">
            <v>11</v>
          </cell>
          <cell r="J2">
            <v>0</v>
          </cell>
          <cell r="K2">
            <v>0</v>
          </cell>
          <cell r="L2">
            <v>0</v>
          </cell>
          <cell r="M2">
            <v>11</v>
          </cell>
        </row>
        <row r="3">
          <cell r="C3">
            <v>1</v>
          </cell>
          <cell r="H3" t="str">
            <v>Mov. Sociales Const.</v>
          </cell>
          <cell r="I3">
            <v>12</v>
          </cell>
          <cell r="J3">
            <v>0</v>
          </cell>
          <cell r="K3">
            <v>0</v>
          </cell>
          <cell r="L3">
            <v>0</v>
          </cell>
          <cell r="M3">
            <v>12</v>
          </cell>
        </row>
        <row r="4">
          <cell r="C4">
            <v>1</v>
          </cell>
          <cell r="H4" t="str">
            <v>Pueblo Constituyente</v>
          </cell>
          <cell r="I4">
            <v>10</v>
          </cell>
          <cell r="J4">
            <v>0</v>
          </cell>
          <cell r="K4">
            <v>0</v>
          </cell>
          <cell r="L4">
            <v>0</v>
          </cell>
          <cell r="M4">
            <v>10</v>
          </cell>
        </row>
        <row r="5">
          <cell r="C5">
            <v>1</v>
          </cell>
          <cell r="H5" t="str">
            <v xml:space="preserve">Escaños Reservados </v>
          </cell>
          <cell r="I5">
            <v>8</v>
          </cell>
          <cell r="J5">
            <v>0</v>
          </cell>
          <cell r="K5">
            <v>0</v>
          </cell>
          <cell r="L5">
            <v>1</v>
          </cell>
          <cell r="M5">
            <v>9</v>
          </cell>
        </row>
        <row r="6">
          <cell r="C6">
            <v>1</v>
          </cell>
          <cell r="H6" t="str">
            <v>Coord. Plurinacional</v>
          </cell>
          <cell r="I6">
            <v>16</v>
          </cell>
          <cell r="J6">
            <v>0</v>
          </cell>
          <cell r="K6">
            <v>0</v>
          </cell>
          <cell r="L6">
            <v>0</v>
          </cell>
          <cell r="M6">
            <v>16</v>
          </cell>
        </row>
        <row r="7">
          <cell r="C7">
            <v>1</v>
          </cell>
          <cell r="H7" t="str">
            <v>Ind. Por Nueva Const.</v>
          </cell>
          <cell r="I7">
            <v>10</v>
          </cell>
          <cell r="J7">
            <v>0</v>
          </cell>
          <cell r="K7">
            <v>2</v>
          </cell>
          <cell r="L7">
            <v>0</v>
          </cell>
          <cell r="M7">
            <v>12</v>
          </cell>
        </row>
        <row r="8">
          <cell r="D8">
            <v>1</v>
          </cell>
          <cell r="H8" t="str">
            <v>Colectivo Socialista</v>
          </cell>
          <cell r="I8">
            <v>13</v>
          </cell>
          <cell r="J8">
            <v>1</v>
          </cell>
          <cell r="K8">
            <v>1</v>
          </cell>
          <cell r="L8">
            <v>0</v>
          </cell>
          <cell r="M8">
            <v>15</v>
          </cell>
        </row>
        <row r="9">
          <cell r="C9">
            <v>1</v>
          </cell>
          <cell r="H9" t="str">
            <v>Frente Amplio</v>
          </cell>
          <cell r="I9">
            <v>10</v>
          </cell>
          <cell r="J9">
            <v>2</v>
          </cell>
          <cell r="K9">
            <v>2</v>
          </cell>
          <cell r="L9">
            <v>0</v>
          </cell>
          <cell r="M9">
            <v>14</v>
          </cell>
        </row>
        <row r="10">
          <cell r="C10">
            <v>1</v>
          </cell>
          <cell r="H10" t="str">
            <v>Ind. + UDI</v>
          </cell>
          <cell r="I10">
            <v>0</v>
          </cell>
          <cell r="J10">
            <v>20</v>
          </cell>
          <cell r="K10">
            <v>1</v>
          </cell>
          <cell r="L10">
            <v>0</v>
          </cell>
          <cell r="M10">
            <v>21</v>
          </cell>
        </row>
        <row r="11">
          <cell r="C11">
            <v>1</v>
          </cell>
          <cell r="H11" t="str">
            <v>Ind. RN - Evópoli</v>
          </cell>
          <cell r="I11">
            <v>1</v>
          </cell>
          <cell r="J11">
            <v>7</v>
          </cell>
          <cell r="K11">
            <v>7</v>
          </cell>
          <cell r="L11">
            <v>0</v>
          </cell>
          <cell r="M11">
            <v>15</v>
          </cell>
        </row>
        <row r="12">
          <cell r="C12">
            <v>1</v>
          </cell>
          <cell r="H12" t="str">
            <v>Colectivo del Apruebo</v>
          </cell>
          <cell r="I12">
            <v>5</v>
          </cell>
          <cell r="J12">
            <v>1</v>
          </cell>
          <cell r="K12">
            <v>1</v>
          </cell>
          <cell r="L12">
            <v>0</v>
          </cell>
          <cell r="M12">
            <v>7</v>
          </cell>
        </row>
        <row r="13">
          <cell r="D13">
            <v>1</v>
          </cell>
          <cell r="H13" t="str">
            <v>Otros</v>
          </cell>
          <cell r="I13">
            <v>5</v>
          </cell>
          <cell r="J13">
            <v>0</v>
          </cell>
          <cell r="K13">
            <v>0</v>
          </cell>
          <cell r="L13">
            <v>0</v>
          </cell>
          <cell r="M13">
            <v>5</v>
          </cell>
        </row>
        <row r="14">
          <cell r="C14">
            <v>1</v>
          </cell>
        </row>
        <row r="15">
          <cell r="C15">
            <v>1</v>
          </cell>
        </row>
        <row r="16">
          <cell r="D16">
            <v>1</v>
          </cell>
        </row>
        <row r="17">
          <cell r="D17">
            <v>1</v>
          </cell>
        </row>
        <row r="18">
          <cell r="C18">
            <v>1</v>
          </cell>
        </row>
        <row r="19">
          <cell r="D19">
            <v>1</v>
          </cell>
        </row>
        <row r="20">
          <cell r="C20">
            <v>1</v>
          </cell>
        </row>
        <row r="21">
          <cell r="C21">
            <v>1</v>
          </cell>
        </row>
        <row r="22">
          <cell r="C22">
            <v>1</v>
          </cell>
        </row>
        <row r="23">
          <cell r="C23">
            <v>1</v>
          </cell>
        </row>
        <row r="24">
          <cell r="C24">
            <v>1</v>
          </cell>
        </row>
        <row r="25">
          <cell r="D25">
            <v>1</v>
          </cell>
        </row>
        <row r="26">
          <cell r="C26">
            <v>1</v>
          </cell>
        </row>
        <row r="27">
          <cell r="C27">
            <v>1</v>
          </cell>
        </row>
        <row r="28">
          <cell r="C28">
            <v>1</v>
          </cell>
        </row>
        <row r="29">
          <cell r="C29">
            <v>1</v>
          </cell>
        </row>
        <row r="30">
          <cell r="C30">
            <v>1</v>
          </cell>
        </row>
        <row r="31">
          <cell r="D31">
            <v>1</v>
          </cell>
        </row>
        <row r="32">
          <cell r="C32">
            <v>1</v>
          </cell>
        </row>
        <row r="33">
          <cell r="C33">
            <v>1</v>
          </cell>
        </row>
        <row r="34">
          <cell r="E34">
            <v>1</v>
          </cell>
        </row>
        <row r="35">
          <cell r="D35">
            <v>1</v>
          </cell>
        </row>
        <row r="36">
          <cell r="C36">
            <v>1</v>
          </cell>
        </row>
        <row r="37">
          <cell r="C37">
            <v>1</v>
          </cell>
        </row>
        <row r="38">
          <cell r="E38">
            <v>1</v>
          </cell>
        </row>
        <row r="39">
          <cell r="D39">
            <v>1</v>
          </cell>
        </row>
        <row r="40">
          <cell r="C40">
            <v>1</v>
          </cell>
        </row>
        <row r="41">
          <cell r="C41">
            <v>1</v>
          </cell>
        </row>
        <row r="42">
          <cell r="E42">
            <v>1</v>
          </cell>
        </row>
        <row r="43">
          <cell r="D43">
            <v>1</v>
          </cell>
        </row>
        <row r="44">
          <cell r="C44">
            <v>1</v>
          </cell>
        </row>
        <row r="45">
          <cell r="D45">
            <v>1</v>
          </cell>
        </row>
        <row r="46">
          <cell r="C46">
            <v>1</v>
          </cell>
          <cell r="H46" t="str">
            <v>Chile Digno</v>
          </cell>
          <cell r="I46">
            <v>1</v>
          </cell>
          <cell r="J46">
            <v>0</v>
          </cell>
          <cell r="K46">
            <v>0</v>
          </cell>
          <cell r="L46">
            <v>0</v>
          </cell>
        </row>
        <row r="47">
          <cell r="D47">
            <v>1</v>
          </cell>
          <cell r="H47" t="str">
            <v>Mov. Sociales Const.</v>
          </cell>
          <cell r="I47">
            <v>1</v>
          </cell>
          <cell r="J47">
            <v>0</v>
          </cell>
          <cell r="K47">
            <v>0</v>
          </cell>
          <cell r="L47">
            <v>0</v>
          </cell>
        </row>
        <row r="48">
          <cell r="C48">
            <v>1</v>
          </cell>
          <cell r="H48" t="str">
            <v>Pueblo Constituyente</v>
          </cell>
          <cell r="I48">
            <v>1</v>
          </cell>
          <cell r="J48">
            <v>0</v>
          </cell>
          <cell r="K48">
            <v>0</v>
          </cell>
          <cell r="L48">
            <v>0</v>
          </cell>
        </row>
        <row r="49">
          <cell r="C49">
            <v>1</v>
          </cell>
          <cell r="H49" t="str">
            <v xml:space="preserve">Escaños Reservados </v>
          </cell>
          <cell r="I49">
            <v>0.88888888888888884</v>
          </cell>
          <cell r="J49">
            <v>0</v>
          </cell>
          <cell r="K49">
            <v>0</v>
          </cell>
          <cell r="L49">
            <v>0.1111111111111111</v>
          </cell>
        </row>
        <row r="50">
          <cell r="C50">
            <v>1</v>
          </cell>
          <cell r="H50" t="str">
            <v>Coord. Plurinacional</v>
          </cell>
          <cell r="I50">
            <v>1</v>
          </cell>
          <cell r="J50">
            <v>0</v>
          </cell>
          <cell r="K50">
            <v>0</v>
          </cell>
          <cell r="L50">
            <v>0</v>
          </cell>
        </row>
        <row r="51">
          <cell r="E51">
            <v>1</v>
          </cell>
          <cell r="H51" t="str">
            <v>Ind. Por Nueva Const.</v>
          </cell>
          <cell r="I51">
            <v>0.83333333333333337</v>
          </cell>
          <cell r="J51">
            <v>0</v>
          </cell>
          <cell r="K51">
            <v>0.16666666666666666</v>
          </cell>
          <cell r="L51">
            <v>0</v>
          </cell>
        </row>
        <row r="52">
          <cell r="C52">
            <v>1</v>
          </cell>
          <cell r="H52" t="str">
            <v>Colectivo Socialista</v>
          </cell>
          <cell r="I52">
            <v>0.8666666666666667</v>
          </cell>
          <cell r="J52">
            <v>6.6666666666666666E-2</v>
          </cell>
          <cell r="K52">
            <v>6.6666666666666666E-2</v>
          </cell>
          <cell r="L52">
            <v>0</v>
          </cell>
        </row>
        <row r="53">
          <cell r="D53">
            <v>1</v>
          </cell>
          <cell r="H53" t="str">
            <v>Frente Amplio</v>
          </cell>
          <cell r="I53">
            <v>0.7142857142857143</v>
          </cell>
          <cell r="J53">
            <v>0.14285714285714285</v>
          </cell>
          <cell r="K53">
            <v>0.14285714285714285</v>
          </cell>
          <cell r="L53">
            <v>0</v>
          </cell>
        </row>
        <row r="54">
          <cell r="E54">
            <v>1</v>
          </cell>
          <cell r="H54" t="str">
            <v>Ind. + UDI</v>
          </cell>
          <cell r="I54">
            <v>0</v>
          </cell>
          <cell r="J54">
            <v>0.95238095238095233</v>
          </cell>
          <cell r="K54">
            <v>4.7619047619047616E-2</v>
          </cell>
          <cell r="L54">
            <v>0</v>
          </cell>
        </row>
        <row r="55">
          <cell r="C55">
            <v>1</v>
          </cell>
          <cell r="H55" t="str">
            <v>Ind. RN - Evópoli</v>
          </cell>
          <cell r="I55">
            <v>6.6666666666666666E-2</v>
          </cell>
          <cell r="J55">
            <v>0.46666666666666667</v>
          </cell>
          <cell r="K55">
            <v>0.46666666666666667</v>
          </cell>
          <cell r="L55">
            <v>0</v>
          </cell>
        </row>
        <row r="56">
          <cell r="C56">
            <v>1</v>
          </cell>
          <cell r="H56" t="str">
            <v>Colectivo del Apruebo</v>
          </cell>
          <cell r="I56">
            <v>0.7142857142857143</v>
          </cell>
          <cell r="J56">
            <v>0.14285714285714285</v>
          </cell>
          <cell r="K56">
            <v>0.14285714285714285</v>
          </cell>
          <cell r="L56">
            <v>0</v>
          </cell>
        </row>
        <row r="57">
          <cell r="C57">
            <v>1</v>
          </cell>
          <cell r="H57" t="str">
            <v>Otros</v>
          </cell>
          <cell r="I57">
            <v>1</v>
          </cell>
          <cell r="J57">
            <v>0</v>
          </cell>
          <cell r="K57">
            <v>0</v>
          </cell>
          <cell r="L57">
            <v>0</v>
          </cell>
        </row>
        <row r="58">
          <cell r="C58">
            <v>1</v>
          </cell>
        </row>
        <row r="59">
          <cell r="C59">
            <v>1</v>
          </cell>
        </row>
        <row r="60">
          <cell r="C60">
            <v>1</v>
          </cell>
        </row>
        <row r="61">
          <cell r="C61">
            <v>1</v>
          </cell>
        </row>
        <row r="62">
          <cell r="C62">
            <v>1</v>
          </cell>
        </row>
        <row r="63">
          <cell r="F63">
            <v>1</v>
          </cell>
        </row>
        <row r="64">
          <cell r="C64">
            <v>1</v>
          </cell>
        </row>
        <row r="65">
          <cell r="C65">
            <v>1</v>
          </cell>
        </row>
        <row r="66">
          <cell r="C66">
            <v>1</v>
          </cell>
        </row>
        <row r="67">
          <cell r="D67">
            <v>1</v>
          </cell>
        </row>
        <row r="68">
          <cell r="C68">
            <v>1</v>
          </cell>
        </row>
        <row r="69">
          <cell r="C69">
            <v>1</v>
          </cell>
        </row>
        <row r="70">
          <cell r="D70">
            <v>1</v>
          </cell>
        </row>
        <row r="71">
          <cell r="D71">
            <v>1</v>
          </cell>
        </row>
        <row r="72">
          <cell r="D72">
            <v>1</v>
          </cell>
        </row>
        <row r="73">
          <cell r="C73">
            <v>1</v>
          </cell>
        </row>
        <row r="74">
          <cell r="D74">
            <v>1</v>
          </cell>
        </row>
        <row r="75">
          <cell r="D75">
            <v>1</v>
          </cell>
        </row>
        <row r="76">
          <cell r="C76">
            <v>1</v>
          </cell>
        </row>
        <row r="77">
          <cell r="E77">
            <v>1</v>
          </cell>
        </row>
        <row r="78">
          <cell r="C78">
            <v>1</v>
          </cell>
        </row>
        <row r="79">
          <cell r="C79">
            <v>1</v>
          </cell>
        </row>
        <row r="80">
          <cell r="D80">
            <v>1</v>
          </cell>
        </row>
        <row r="81">
          <cell r="D81">
            <v>1</v>
          </cell>
        </row>
        <row r="82">
          <cell r="C82">
            <v>1</v>
          </cell>
        </row>
        <row r="83">
          <cell r="C83">
            <v>1</v>
          </cell>
        </row>
        <row r="84">
          <cell r="C84">
            <v>1</v>
          </cell>
        </row>
        <row r="85">
          <cell r="C85">
            <v>1</v>
          </cell>
        </row>
        <row r="86">
          <cell r="C86">
            <v>1</v>
          </cell>
        </row>
        <row r="87">
          <cell r="C87">
            <v>1</v>
          </cell>
        </row>
        <row r="88">
          <cell r="D88">
            <v>1</v>
          </cell>
        </row>
        <row r="89">
          <cell r="C89">
            <v>1</v>
          </cell>
        </row>
        <row r="90">
          <cell r="C90">
            <v>1</v>
          </cell>
        </row>
        <row r="91">
          <cell r="D91">
            <v>1</v>
          </cell>
        </row>
        <row r="92">
          <cell r="C92">
            <v>1</v>
          </cell>
        </row>
        <row r="93">
          <cell r="D93">
            <v>1</v>
          </cell>
        </row>
        <row r="94">
          <cell r="C94">
            <v>1</v>
          </cell>
        </row>
        <row r="95">
          <cell r="C95">
            <v>1</v>
          </cell>
        </row>
        <row r="96">
          <cell r="C96">
            <v>1</v>
          </cell>
        </row>
        <row r="97">
          <cell r="E97">
            <v>1</v>
          </cell>
        </row>
        <row r="98">
          <cell r="D98">
            <v>1</v>
          </cell>
        </row>
        <row r="99">
          <cell r="C99">
            <v>1</v>
          </cell>
        </row>
        <row r="100">
          <cell r="D100">
            <v>1</v>
          </cell>
        </row>
        <row r="101">
          <cell r="C101">
            <v>1</v>
          </cell>
        </row>
        <row r="102">
          <cell r="C102">
            <v>1</v>
          </cell>
        </row>
        <row r="103">
          <cell r="E103">
            <v>1</v>
          </cell>
        </row>
        <row r="104">
          <cell r="D104">
            <v>1</v>
          </cell>
        </row>
        <row r="105">
          <cell r="C105">
            <v>1</v>
          </cell>
        </row>
        <row r="106">
          <cell r="C106">
            <v>1</v>
          </cell>
        </row>
        <row r="107">
          <cell r="C107">
            <v>1</v>
          </cell>
        </row>
        <row r="108">
          <cell r="D108">
            <v>1</v>
          </cell>
        </row>
        <row r="109">
          <cell r="D109">
            <v>1</v>
          </cell>
        </row>
        <row r="110">
          <cell r="C110">
            <v>1</v>
          </cell>
        </row>
        <row r="111">
          <cell r="C111">
            <v>1</v>
          </cell>
        </row>
        <row r="112">
          <cell r="C112">
            <v>1</v>
          </cell>
        </row>
        <row r="113">
          <cell r="C113">
            <v>1</v>
          </cell>
        </row>
        <row r="114">
          <cell r="E114">
            <v>1</v>
          </cell>
        </row>
        <row r="115">
          <cell r="C115">
            <v>1</v>
          </cell>
        </row>
        <row r="116">
          <cell r="E116">
            <v>1</v>
          </cell>
        </row>
        <row r="117">
          <cell r="C117">
            <v>1</v>
          </cell>
        </row>
        <row r="118">
          <cell r="E118">
            <v>1</v>
          </cell>
        </row>
        <row r="119">
          <cell r="C119">
            <v>1</v>
          </cell>
        </row>
        <row r="120">
          <cell r="C120">
            <v>1</v>
          </cell>
        </row>
        <row r="121">
          <cell r="F121">
            <v>1</v>
          </cell>
        </row>
        <row r="122">
          <cell r="C122">
            <v>1</v>
          </cell>
        </row>
        <row r="123">
          <cell r="C123">
            <v>1</v>
          </cell>
        </row>
        <row r="124">
          <cell r="C124">
            <v>1</v>
          </cell>
        </row>
        <row r="125">
          <cell r="C125">
            <v>1</v>
          </cell>
        </row>
        <row r="126">
          <cell r="C126">
            <v>1</v>
          </cell>
        </row>
        <row r="127">
          <cell r="C127">
            <v>1</v>
          </cell>
        </row>
        <row r="128">
          <cell r="C128">
            <v>1</v>
          </cell>
        </row>
        <row r="129">
          <cell r="C129">
            <v>1</v>
          </cell>
        </row>
        <row r="130">
          <cell r="C130">
            <v>1</v>
          </cell>
        </row>
        <row r="131">
          <cell r="C131">
            <v>1</v>
          </cell>
        </row>
        <row r="132">
          <cell r="C132">
            <v>1</v>
          </cell>
        </row>
        <row r="133">
          <cell r="C133">
            <v>1</v>
          </cell>
        </row>
        <row r="134">
          <cell r="E134">
            <v>1</v>
          </cell>
        </row>
        <row r="135">
          <cell r="C135">
            <v>1</v>
          </cell>
        </row>
        <row r="136">
          <cell r="D136">
            <v>1</v>
          </cell>
        </row>
        <row r="137">
          <cell r="D137">
            <v>1</v>
          </cell>
        </row>
        <row r="138">
          <cell r="C138">
            <v>1</v>
          </cell>
        </row>
        <row r="139">
          <cell r="C139">
            <v>1</v>
          </cell>
        </row>
        <row r="140">
          <cell r="C140">
            <v>1</v>
          </cell>
        </row>
        <row r="141">
          <cell r="C141">
            <v>1</v>
          </cell>
        </row>
        <row r="142">
          <cell r="C142">
            <v>1</v>
          </cell>
        </row>
        <row r="143">
          <cell r="C143">
            <v>1</v>
          </cell>
        </row>
        <row r="144">
          <cell r="C144">
            <v>1</v>
          </cell>
        </row>
        <row r="145">
          <cell r="D145">
            <v>1</v>
          </cell>
        </row>
        <row r="146">
          <cell r="C146">
            <v>1</v>
          </cell>
        </row>
        <row r="147">
          <cell r="E147">
            <v>1</v>
          </cell>
        </row>
        <row r="148">
          <cell r="C148">
            <v>1</v>
          </cell>
        </row>
        <row r="149">
          <cell r="C149">
            <v>1</v>
          </cell>
        </row>
        <row r="150">
          <cell r="C150">
            <v>1</v>
          </cell>
        </row>
        <row r="151">
          <cell r="E151">
            <v>1</v>
          </cell>
        </row>
        <row r="152">
          <cell r="C152">
            <v>1</v>
          </cell>
        </row>
        <row r="153">
          <cell r="C153">
            <v>1</v>
          </cell>
        </row>
        <row r="154">
          <cell r="C154">
            <v>1</v>
          </cell>
        </row>
        <row r="155">
          <cell r="C155">
            <v>1</v>
          </cell>
        </row>
        <row r="156">
          <cell r="D156">
            <v>1</v>
          </cell>
        </row>
      </sheetData>
      <sheetData sheetId="38">
        <row r="2">
          <cell r="E2">
            <v>1</v>
          </cell>
          <cell r="H2" t="str">
            <v>Chile Digno</v>
          </cell>
          <cell r="I2">
            <v>9</v>
          </cell>
          <cell r="J2">
            <v>0</v>
          </cell>
          <cell r="K2">
            <v>1</v>
          </cell>
          <cell r="L2">
            <v>1</v>
          </cell>
          <cell r="M2">
            <v>11</v>
          </cell>
        </row>
        <row r="3">
          <cell r="C3">
            <v>1</v>
          </cell>
          <cell r="H3" t="str">
            <v>Mov. Sociales Const.</v>
          </cell>
          <cell r="I3">
            <v>12</v>
          </cell>
          <cell r="J3">
            <v>0</v>
          </cell>
          <cell r="K3">
            <v>0</v>
          </cell>
          <cell r="L3">
            <v>0</v>
          </cell>
          <cell r="M3">
            <v>12</v>
          </cell>
        </row>
        <row r="4">
          <cell r="E4">
            <v>1</v>
          </cell>
          <cell r="H4" t="str">
            <v>Pueblo Constituyente</v>
          </cell>
          <cell r="I4">
            <v>9</v>
          </cell>
          <cell r="J4">
            <v>1</v>
          </cell>
          <cell r="K4">
            <v>0</v>
          </cell>
          <cell r="L4">
            <v>0</v>
          </cell>
          <cell r="M4">
            <v>10</v>
          </cell>
        </row>
        <row r="5">
          <cell r="D5">
            <v>1</v>
          </cell>
          <cell r="H5" t="str">
            <v xml:space="preserve">Escaños Reservados </v>
          </cell>
          <cell r="I5">
            <v>0</v>
          </cell>
          <cell r="J5">
            <v>8</v>
          </cell>
          <cell r="K5">
            <v>0</v>
          </cell>
          <cell r="L5">
            <v>1</v>
          </cell>
          <cell r="M5">
            <v>9</v>
          </cell>
        </row>
        <row r="6">
          <cell r="C6">
            <v>1</v>
          </cell>
          <cell r="H6" t="str">
            <v>Coord. Plurinacional</v>
          </cell>
          <cell r="I6">
            <v>15</v>
          </cell>
          <cell r="J6">
            <v>0</v>
          </cell>
          <cell r="K6">
            <v>0</v>
          </cell>
          <cell r="L6">
            <v>1</v>
          </cell>
          <cell r="M6">
            <v>16</v>
          </cell>
        </row>
        <row r="7">
          <cell r="C7">
            <v>1</v>
          </cell>
          <cell r="H7" t="str">
            <v>Ind. Por Nueva Const.</v>
          </cell>
          <cell r="I7">
            <v>9</v>
          </cell>
          <cell r="J7">
            <v>3</v>
          </cell>
          <cell r="K7">
            <v>0</v>
          </cell>
          <cell r="L7">
            <v>0</v>
          </cell>
          <cell r="M7">
            <v>12</v>
          </cell>
        </row>
        <row r="8">
          <cell r="E8">
            <v>1</v>
          </cell>
          <cell r="H8" t="str">
            <v>Colectivo Socialista</v>
          </cell>
          <cell r="I8">
            <v>7</v>
          </cell>
          <cell r="J8">
            <v>5</v>
          </cell>
          <cell r="K8">
            <v>3</v>
          </cell>
          <cell r="L8">
            <v>0</v>
          </cell>
          <cell r="M8">
            <v>15</v>
          </cell>
        </row>
        <row r="9">
          <cell r="D9">
            <v>1</v>
          </cell>
          <cell r="H9" t="str">
            <v>Frente Amplio</v>
          </cell>
          <cell r="I9">
            <v>1</v>
          </cell>
          <cell r="J9">
            <v>6</v>
          </cell>
          <cell r="K9">
            <v>6</v>
          </cell>
          <cell r="L9">
            <v>0</v>
          </cell>
          <cell r="M9">
            <v>13</v>
          </cell>
        </row>
        <row r="10">
          <cell r="E10">
            <v>1</v>
          </cell>
          <cell r="H10" t="str">
            <v>Ind. + UDI</v>
          </cell>
          <cell r="I10">
            <v>0</v>
          </cell>
          <cell r="J10">
            <v>5</v>
          </cell>
          <cell r="K10">
            <v>16</v>
          </cell>
          <cell r="L10">
            <v>0</v>
          </cell>
          <cell r="M10">
            <v>21</v>
          </cell>
        </row>
        <row r="11">
          <cell r="C11">
            <v>1</v>
          </cell>
          <cell r="H11" t="str">
            <v>Ind. RN - Evópoli</v>
          </cell>
          <cell r="I11">
            <v>1</v>
          </cell>
          <cell r="J11">
            <v>2</v>
          </cell>
          <cell r="K11">
            <v>12</v>
          </cell>
          <cell r="L11">
            <v>0</v>
          </cell>
          <cell r="M11">
            <v>15</v>
          </cell>
        </row>
        <row r="12">
          <cell r="C12">
            <v>1</v>
          </cell>
          <cell r="H12" t="str">
            <v>Colectivo del Apruebo</v>
          </cell>
          <cell r="I12">
            <v>2</v>
          </cell>
          <cell r="J12">
            <v>3</v>
          </cell>
          <cell r="K12">
            <v>2</v>
          </cell>
          <cell r="L12">
            <v>0</v>
          </cell>
          <cell r="M12">
            <v>7</v>
          </cell>
        </row>
        <row r="13">
          <cell r="E13">
            <v>1</v>
          </cell>
          <cell r="H13" t="str">
            <v>Otros</v>
          </cell>
          <cell r="I13">
            <v>3</v>
          </cell>
          <cell r="J13">
            <v>1</v>
          </cell>
          <cell r="K13">
            <v>1</v>
          </cell>
          <cell r="L13">
            <v>0</v>
          </cell>
          <cell r="M13">
            <v>5</v>
          </cell>
        </row>
        <row r="14">
          <cell r="C14">
            <v>1</v>
          </cell>
        </row>
        <row r="15">
          <cell r="C15">
            <v>1</v>
          </cell>
        </row>
        <row r="16">
          <cell r="E16">
            <v>1</v>
          </cell>
        </row>
        <row r="17">
          <cell r="D17">
            <v>1</v>
          </cell>
        </row>
        <row r="18">
          <cell r="C18">
            <v>1</v>
          </cell>
        </row>
        <row r="19">
          <cell r="D19">
            <v>1</v>
          </cell>
        </row>
        <row r="20">
          <cell r="C20">
            <v>1</v>
          </cell>
        </row>
        <row r="21">
          <cell r="C21">
            <v>1</v>
          </cell>
        </row>
        <row r="22">
          <cell r="C22">
            <v>1</v>
          </cell>
        </row>
        <row r="23">
          <cell r="E23">
            <v>1</v>
          </cell>
        </row>
        <row r="24">
          <cell r="C24">
            <v>1</v>
          </cell>
        </row>
        <row r="25">
          <cell r="E25">
            <v>1</v>
          </cell>
        </row>
        <row r="26">
          <cell r="D26">
            <v>1</v>
          </cell>
        </row>
        <row r="27">
          <cell r="C27">
            <v>1</v>
          </cell>
        </row>
        <row r="28">
          <cell r="C28">
            <v>1</v>
          </cell>
        </row>
        <row r="29">
          <cell r="D29">
            <v>1</v>
          </cell>
        </row>
        <row r="30">
          <cell r="C30">
            <v>1</v>
          </cell>
        </row>
        <row r="31">
          <cell r="D31">
            <v>1</v>
          </cell>
        </row>
        <row r="32">
          <cell r="C32">
            <v>1</v>
          </cell>
        </row>
        <row r="33">
          <cell r="C33">
            <v>1</v>
          </cell>
        </row>
        <row r="34">
          <cell r="D34">
            <v>1</v>
          </cell>
        </row>
        <row r="35">
          <cell r="E35">
            <v>1</v>
          </cell>
        </row>
        <row r="36">
          <cell r="D36">
            <v>1</v>
          </cell>
        </row>
        <row r="37">
          <cell r="E37">
            <v>1</v>
          </cell>
        </row>
        <row r="38">
          <cell r="E38">
            <v>1</v>
          </cell>
        </row>
        <row r="39">
          <cell r="D39">
            <v>1</v>
          </cell>
        </row>
        <row r="40">
          <cell r="D40">
            <v>1</v>
          </cell>
        </row>
        <row r="41">
          <cell r="C41">
            <v>1</v>
          </cell>
        </row>
        <row r="42">
          <cell r="E42">
            <v>1</v>
          </cell>
        </row>
        <row r="43">
          <cell r="E43">
            <v>1</v>
          </cell>
        </row>
        <row r="44">
          <cell r="D44">
            <v>1</v>
          </cell>
        </row>
        <row r="45">
          <cell r="E45">
            <v>1</v>
          </cell>
        </row>
        <row r="46">
          <cell r="D46">
            <v>1</v>
          </cell>
          <cell r="H46" t="str">
            <v>Chile Digno</v>
          </cell>
          <cell r="I46">
            <v>0.81818181818181823</v>
          </cell>
          <cell r="J46">
            <v>0</v>
          </cell>
          <cell r="K46">
            <v>9.0909090909090912E-2</v>
          </cell>
          <cell r="L46">
            <v>9.0909090909090912E-2</v>
          </cell>
        </row>
        <row r="47">
          <cell r="E47">
            <v>1</v>
          </cell>
          <cell r="H47" t="str">
            <v>Mov. Sociales Const.</v>
          </cell>
          <cell r="I47">
            <v>1</v>
          </cell>
          <cell r="J47">
            <v>0</v>
          </cell>
          <cell r="K47">
            <v>0</v>
          </cell>
          <cell r="L47">
            <v>0</v>
          </cell>
        </row>
        <row r="48">
          <cell r="E48">
            <v>1</v>
          </cell>
          <cell r="H48" t="str">
            <v>Pueblo Constituyente</v>
          </cell>
          <cell r="I48">
            <v>0.9</v>
          </cell>
          <cell r="J48">
            <v>0.1</v>
          </cell>
          <cell r="K48">
            <v>0</v>
          </cell>
          <cell r="L48">
            <v>0</v>
          </cell>
        </row>
        <row r="49">
          <cell r="C49">
            <v>1</v>
          </cell>
          <cell r="H49" t="str">
            <v xml:space="preserve">Escaños Reservados </v>
          </cell>
          <cell r="I49">
            <v>0</v>
          </cell>
          <cell r="J49">
            <v>0.88888888888888884</v>
          </cell>
          <cell r="K49">
            <v>0</v>
          </cell>
          <cell r="L49">
            <v>0.1111111111111111</v>
          </cell>
        </row>
        <row r="50">
          <cell r="C50">
            <v>1</v>
          </cell>
          <cell r="H50" t="str">
            <v>Coord. Plurinacional</v>
          </cell>
          <cell r="I50">
            <v>0.9375</v>
          </cell>
          <cell r="J50">
            <v>0</v>
          </cell>
          <cell r="K50">
            <v>0</v>
          </cell>
          <cell r="L50">
            <v>6.25E-2</v>
          </cell>
        </row>
        <row r="51">
          <cell r="E51">
            <v>1</v>
          </cell>
          <cell r="H51" t="str">
            <v>Ind. Por Nueva Const.</v>
          </cell>
          <cell r="I51">
            <v>0.75</v>
          </cell>
          <cell r="J51">
            <v>0.25</v>
          </cell>
          <cell r="K51">
            <v>0</v>
          </cell>
          <cell r="L51">
            <v>0</v>
          </cell>
        </row>
        <row r="52">
          <cell r="C52">
            <v>1</v>
          </cell>
          <cell r="H52" t="str">
            <v>Colectivo Socialista</v>
          </cell>
          <cell r="I52">
            <v>0.46666666666666667</v>
          </cell>
          <cell r="J52">
            <v>0.33333333333333331</v>
          </cell>
          <cell r="K52">
            <v>0.2</v>
          </cell>
          <cell r="L52">
            <v>0</v>
          </cell>
        </row>
        <row r="53">
          <cell r="E53">
            <v>1</v>
          </cell>
          <cell r="H53" t="str">
            <v>Frente Amplio</v>
          </cell>
          <cell r="I53">
            <v>7.6923076923076927E-2</v>
          </cell>
          <cell r="J53">
            <v>0.46153846153846156</v>
          </cell>
          <cell r="K53">
            <v>0.46153846153846156</v>
          </cell>
          <cell r="L53">
            <v>0</v>
          </cell>
        </row>
        <row r="54">
          <cell r="D54">
            <v>1</v>
          </cell>
          <cell r="H54" t="str">
            <v>Ind. + UDI</v>
          </cell>
          <cell r="I54">
            <v>0</v>
          </cell>
          <cell r="J54">
            <v>0.23809523809523808</v>
          </cell>
          <cell r="K54">
            <v>0.76190476190476186</v>
          </cell>
          <cell r="L54">
            <v>0</v>
          </cell>
        </row>
        <row r="55">
          <cell r="C55">
            <v>1</v>
          </cell>
          <cell r="H55" t="str">
            <v>Ind. RN - Evópoli</v>
          </cell>
          <cell r="I55">
            <v>6.6666666666666666E-2</v>
          </cell>
          <cell r="J55">
            <v>0.13333333333333333</v>
          </cell>
          <cell r="K55">
            <v>0.8</v>
          </cell>
          <cell r="L55">
            <v>0</v>
          </cell>
        </row>
        <row r="56">
          <cell r="D56">
            <v>1</v>
          </cell>
          <cell r="H56" t="str">
            <v>Colectivo del Apruebo</v>
          </cell>
          <cell r="I56">
            <v>0.2857142857142857</v>
          </cell>
          <cell r="J56">
            <v>0.42857142857142855</v>
          </cell>
          <cell r="K56">
            <v>0.2857142857142857</v>
          </cell>
          <cell r="L56">
            <v>0</v>
          </cell>
        </row>
        <row r="57">
          <cell r="D57">
            <v>1</v>
          </cell>
          <cell r="H57" t="str">
            <v>Otros</v>
          </cell>
          <cell r="I57">
            <v>0.6</v>
          </cell>
          <cell r="J57">
            <v>0.2</v>
          </cell>
          <cell r="K57">
            <v>0.2</v>
          </cell>
          <cell r="L57">
            <v>0</v>
          </cell>
        </row>
        <row r="58">
          <cell r="C58">
            <v>1</v>
          </cell>
        </row>
        <row r="59">
          <cell r="C59">
            <v>1</v>
          </cell>
        </row>
        <row r="60">
          <cell r="C60">
            <v>1</v>
          </cell>
        </row>
        <row r="61">
          <cell r="E61">
            <v>1</v>
          </cell>
        </row>
        <row r="62">
          <cell r="C62">
            <v>1</v>
          </cell>
        </row>
        <row r="63">
          <cell r="F63">
            <v>1</v>
          </cell>
        </row>
        <row r="64">
          <cell r="C64">
            <v>1</v>
          </cell>
        </row>
        <row r="65">
          <cell r="C65">
            <v>1</v>
          </cell>
        </row>
        <row r="66">
          <cell r="C66">
            <v>1</v>
          </cell>
        </row>
        <row r="67">
          <cell r="D67">
            <v>1</v>
          </cell>
        </row>
        <row r="68">
          <cell r="C68">
            <v>1</v>
          </cell>
        </row>
        <row r="69">
          <cell r="C69">
            <v>1</v>
          </cell>
        </row>
        <row r="70">
          <cell r="E70">
            <v>1</v>
          </cell>
        </row>
        <row r="71">
          <cell r="D71">
            <v>1</v>
          </cell>
        </row>
        <row r="72">
          <cell r="D72">
            <v>1</v>
          </cell>
        </row>
        <row r="73">
          <cell r="D73">
            <v>1</v>
          </cell>
        </row>
        <row r="74">
          <cell r="E74">
            <v>1</v>
          </cell>
        </row>
        <row r="75">
          <cell r="E75">
            <v>1</v>
          </cell>
        </row>
        <row r="76">
          <cell r="C76">
            <v>1</v>
          </cell>
        </row>
        <row r="77">
          <cell r="E77">
            <v>1</v>
          </cell>
        </row>
        <row r="78">
          <cell r="C78">
            <v>1</v>
          </cell>
        </row>
        <row r="79">
          <cell r="C79">
            <v>1</v>
          </cell>
        </row>
        <row r="80">
          <cell r="E80">
            <v>1</v>
          </cell>
        </row>
        <row r="81">
          <cell r="E81">
            <v>1</v>
          </cell>
        </row>
        <row r="82">
          <cell r="C82">
            <v>1</v>
          </cell>
        </row>
        <row r="83">
          <cell r="C83">
            <v>1</v>
          </cell>
        </row>
        <row r="84">
          <cell r="E84">
            <v>1</v>
          </cell>
        </row>
        <row r="85">
          <cell r="D85">
            <v>1</v>
          </cell>
        </row>
        <row r="86">
          <cell r="C86">
            <v>1</v>
          </cell>
        </row>
        <row r="87">
          <cell r="D87">
            <v>1</v>
          </cell>
        </row>
        <row r="88">
          <cell r="D88">
            <v>1</v>
          </cell>
        </row>
        <row r="89">
          <cell r="C89">
            <v>1</v>
          </cell>
        </row>
        <row r="90">
          <cell r="C90">
            <v>1</v>
          </cell>
        </row>
        <row r="91">
          <cell r="D91">
            <v>1</v>
          </cell>
        </row>
        <row r="92">
          <cell r="E92">
            <v>1</v>
          </cell>
        </row>
        <row r="93">
          <cell r="D93">
            <v>1</v>
          </cell>
        </row>
        <row r="94">
          <cell r="C94">
            <v>1</v>
          </cell>
        </row>
        <row r="95">
          <cell r="D95">
            <v>1</v>
          </cell>
        </row>
        <row r="96">
          <cell r="C96">
            <v>1</v>
          </cell>
        </row>
        <row r="97">
          <cell r="E97">
            <v>1</v>
          </cell>
        </row>
        <row r="98">
          <cell r="E98">
            <v>1</v>
          </cell>
        </row>
        <row r="99">
          <cell r="E99">
            <v>1</v>
          </cell>
        </row>
        <row r="100">
          <cell r="E100">
            <v>1</v>
          </cell>
        </row>
        <row r="101">
          <cell r="C101">
            <v>1</v>
          </cell>
        </row>
        <row r="102">
          <cell r="C102">
            <v>1</v>
          </cell>
        </row>
        <row r="103">
          <cell r="E103">
            <v>1</v>
          </cell>
        </row>
        <row r="104">
          <cell r="E104">
            <v>1</v>
          </cell>
        </row>
        <row r="105">
          <cell r="C105">
            <v>1</v>
          </cell>
        </row>
        <row r="106">
          <cell r="C106">
            <v>1</v>
          </cell>
        </row>
        <row r="107">
          <cell r="D107">
            <v>1</v>
          </cell>
        </row>
        <row r="108">
          <cell r="E108">
            <v>1</v>
          </cell>
        </row>
        <row r="109">
          <cell r="D109">
            <v>1</v>
          </cell>
        </row>
        <row r="110">
          <cell r="C110">
            <v>1</v>
          </cell>
        </row>
        <row r="111">
          <cell r="C111">
            <v>1</v>
          </cell>
        </row>
        <row r="112">
          <cell r="C112">
            <v>1</v>
          </cell>
        </row>
        <row r="113">
          <cell r="C113">
            <v>1</v>
          </cell>
        </row>
        <row r="114">
          <cell r="D114">
            <v>1</v>
          </cell>
        </row>
        <row r="115">
          <cell r="C115">
            <v>1</v>
          </cell>
        </row>
        <row r="116">
          <cell r="E116">
            <v>1</v>
          </cell>
        </row>
        <row r="117">
          <cell r="E117">
            <v>1</v>
          </cell>
        </row>
        <row r="118">
          <cell r="E118">
            <v>1</v>
          </cell>
        </row>
        <row r="119">
          <cell r="C119">
            <v>1</v>
          </cell>
        </row>
        <row r="120">
          <cell r="E120">
            <v>1</v>
          </cell>
        </row>
        <row r="121">
          <cell r="F121">
            <v>1</v>
          </cell>
        </row>
        <row r="122">
          <cell r="C122">
            <v>1</v>
          </cell>
        </row>
        <row r="123">
          <cell r="C123">
            <v>1</v>
          </cell>
        </row>
        <row r="124">
          <cell r="C124">
            <v>1</v>
          </cell>
        </row>
        <row r="125">
          <cell r="C125">
            <v>1</v>
          </cell>
        </row>
        <row r="126">
          <cell r="D126">
            <v>1</v>
          </cell>
        </row>
        <row r="127">
          <cell r="E127">
            <v>1</v>
          </cell>
        </row>
        <row r="128">
          <cell r="F128">
            <v>1</v>
          </cell>
        </row>
        <row r="129">
          <cell r="C129">
            <v>1</v>
          </cell>
        </row>
        <row r="130">
          <cell r="C130">
            <v>1</v>
          </cell>
        </row>
        <row r="131">
          <cell r="C131">
            <v>1</v>
          </cell>
        </row>
        <row r="132">
          <cell r="E132">
            <v>1</v>
          </cell>
        </row>
        <row r="133">
          <cell r="D133">
            <v>1</v>
          </cell>
        </row>
        <row r="134">
          <cell r="E134">
            <v>1</v>
          </cell>
        </row>
        <row r="135">
          <cell r="D135">
            <v>1</v>
          </cell>
        </row>
        <row r="136">
          <cell r="E136">
            <v>1</v>
          </cell>
        </row>
        <row r="137">
          <cell r="E137">
            <v>1</v>
          </cell>
        </row>
        <row r="138">
          <cell r="C138">
            <v>1</v>
          </cell>
        </row>
        <row r="139">
          <cell r="E139">
            <v>1</v>
          </cell>
        </row>
        <row r="140">
          <cell r="D140">
            <v>1</v>
          </cell>
        </row>
        <row r="141">
          <cell r="C141">
            <v>1</v>
          </cell>
        </row>
        <row r="142">
          <cell r="C142">
            <v>1</v>
          </cell>
        </row>
        <row r="143">
          <cell r="F143">
            <v>1</v>
          </cell>
        </row>
        <row r="144">
          <cell r="C144">
            <v>1</v>
          </cell>
        </row>
        <row r="145">
          <cell r="D145">
            <v>1</v>
          </cell>
        </row>
        <row r="146">
          <cell r="C146">
            <v>1</v>
          </cell>
        </row>
        <row r="147">
          <cell r="E147">
            <v>1</v>
          </cell>
        </row>
        <row r="148">
          <cell r="C148">
            <v>1</v>
          </cell>
        </row>
        <row r="149">
          <cell r="C149">
            <v>1</v>
          </cell>
        </row>
        <row r="150">
          <cell r="C150">
            <v>1</v>
          </cell>
        </row>
        <row r="151">
          <cell r="D151">
            <v>1</v>
          </cell>
        </row>
        <row r="152">
          <cell r="C152">
            <v>1</v>
          </cell>
        </row>
        <row r="153">
          <cell r="C153">
            <v>1</v>
          </cell>
        </row>
        <row r="154">
          <cell r="C154">
            <v>1</v>
          </cell>
        </row>
        <row r="155">
          <cell r="C155">
            <v>1</v>
          </cell>
        </row>
        <row r="156">
          <cell r="D156">
            <v>1</v>
          </cell>
        </row>
      </sheetData>
      <sheetData sheetId="39">
        <row r="2">
          <cell r="D2">
            <v>1</v>
          </cell>
          <cell r="H2" t="str">
            <v>Chile Digno</v>
          </cell>
          <cell r="I2">
            <v>9</v>
          </cell>
          <cell r="J2">
            <v>0</v>
          </cell>
          <cell r="K2">
            <v>1</v>
          </cell>
          <cell r="L2">
            <v>1</v>
          </cell>
          <cell r="M2">
            <v>11</v>
          </cell>
        </row>
        <row r="3">
          <cell r="C3">
            <v>1</v>
          </cell>
          <cell r="H3" t="str">
            <v>Mov. Sociales Const.</v>
          </cell>
          <cell r="I3">
            <v>5</v>
          </cell>
          <cell r="J3">
            <v>6</v>
          </cell>
          <cell r="K3">
            <v>0</v>
          </cell>
          <cell r="L3">
            <v>1</v>
          </cell>
          <cell r="M3">
            <v>12</v>
          </cell>
        </row>
        <row r="4">
          <cell r="D4">
            <v>1</v>
          </cell>
          <cell r="H4" t="str">
            <v>Pueblo Constituyente</v>
          </cell>
          <cell r="I4">
            <v>10</v>
          </cell>
          <cell r="J4">
            <v>0</v>
          </cell>
          <cell r="K4">
            <v>0</v>
          </cell>
          <cell r="L4">
            <v>0</v>
          </cell>
          <cell r="M4">
            <v>10</v>
          </cell>
        </row>
        <row r="5">
          <cell r="E5">
            <v>1</v>
          </cell>
          <cell r="H5" t="str">
            <v xml:space="preserve">Escaños Reservados </v>
          </cell>
          <cell r="I5">
            <v>0</v>
          </cell>
          <cell r="J5">
            <v>0</v>
          </cell>
          <cell r="K5">
            <v>8</v>
          </cell>
          <cell r="L5">
            <v>1</v>
          </cell>
          <cell r="M5">
            <v>9</v>
          </cell>
        </row>
        <row r="6">
          <cell r="C6">
            <v>1</v>
          </cell>
          <cell r="H6" t="str">
            <v>Coord. Plurinacional</v>
          </cell>
          <cell r="I6">
            <v>16</v>
          </cell>
          <cell r="J6">
            <v>0</v>
          </cell>
          <cell r="K6">
            <v>0</v>
          </cell>
          <cell r="L6">
            <v>0</v>
          </cell>
          <cell r="M6">
            <v>16</v>
          </cell>
        </row>
        <row r="7">
          <cell r="E7">
            <v>1</v>
          </cell>
          <cell r="H7" t="str">
            <v>Ind. Por Nueva Const.</v>
          </cell>
          <cell r="I7">
            <v>4</v>
          </cell>
          <cell r="J7">
            <v>3</v>
          </cell>
          <cell r="K7">
            <v>5</v>
          </cell>
          <cell r="L7">
            <v>0</v>
          </cell>
          <cell r="M7">
            <v>12</v>
          </cell>
        </row>
        <row r="8">
          <cell r="D8">
            <v>1</v>
          </cell>
          <cell r="H8" t="str">
            <v>Colectivo Socialista</v>
          </cell>
          <cell r="I8">
            <v>7</v>
          </cell>
          <cell r="J8">
            <v>7</v>
          </cell>
          <cell r="K8">
            <v>1</v>
          </cell>
          <cell r="L8">
            <v>0</v>
          </cell>
          <cell r="M8">
            <v>15</v>
          </cell>
        </row>
        <row r="9">
          <cell r="E9">
            <v>1</v>
          </cell>
          <cell r="H9" t="str">
            <v>Frente Amplio</v>
          </cell>
          <cell r="I9">
            <v>1</v>
          </cell>
          <cell r="J9">
            <v>9</v>
          </cell>
          <cell r="K9">
            <v>9</v>
          </cell>
          <cell r="L9">
            <v>0</v>
          </cell>
          <cell r="M9">
            <v>19</v>
          </cell>
        </row>
        <row r="10">
          <cell r="C10">
            <v>1</v>
          </cell>
          <cell r="H10" t="str">
            <v>Ind. + UDI</v>
          </cell>
          <cell r="I10">
            <v>0</v>
          </cell>
          <cell r="J10">
            <v>21</v>
          </cell>
          <cell r="K10">
            <v>0</v>
          </cell>
          <cell r="L10">
            <v>0</v>
          </cell>
          <cell r="M10">
            <v>21</v>
          </cell>
        </row>
        <row r="11">
          <cell r="C11">
            <v>1</v>
          </cell>
          <cell r="H11" t="str">
            <v>Ind. RN - Evópoli</v>
          </cell>
          <cell r="I11">
            <v>0</v>
          </cell>
          <cell r="J11">
            <v>11</v>
          </cell>
          <cell r="K11">
            <v>4</v>
          </cell>
          <cell r="L11">
            <v>0</v>
          </cell>
          <cell r="M11">
            <v>15</v>
          </cell>
        </row>
        <row r="12">
          <cell r="C12">
            <v>1</v>
          </cell>
          <cell r="H12" t="str">
            <v>Colectivo del Apruebo</v>
          </cell>
          <cell r="I12">
            <v>0</v>
          </cell>
          <cell r="J12">
            <v>5</v>
          </cell>
          <cell r="K12">
            <v>2</v>
          </cell>
          <cell r="L12">
            <v>0</v>
          </cell>
          <cell r="M12">
            <v>7</v>
          </cell>
        </row>
        <row r="13">
          <cell r="D13">
            <v>1</v>
          </cell>
          <cell r="H13" t="str">
            <v>Otros</v>
          </cell>
          <cell r="I13">
            <v>4</v>
          </cell>
          <cell r="J13">
            <v>1</v>
          </cell>
          <cell r="K13">
            <v>0</v>
          </cell>
          <cell r="L13">
            <v>0</v>
          </cell>
          <cell r="M13">
            <v>5</v>
          </cell>
        </row>
        <row r="14">
          <cell r="C14">
            <v>1</v>
          </cell>
        </row>
        <row r="15">
          <cell r="C15">
            <v>1</v>
          </cell>
        </row>
        <row r="16">
          <cell r="D16">
            <v>1</v>
          </cell>
        </row>
        <row r="17">
          <cell r="D17">
            <v>1</v>
          </cell>
        </row>
        <row r="18">
          <cell r="C18">
            <v>1</v>
          </cell>
        </row>
        <row r="19">
          <cell r="D19">
            <v>1</v>
          </cell>
        </row>
        <row r="20">
          <cell r="D20">
            <v>1</v>
          </cell>
        </row>
        <row r="21">
          <cell r="D21">
            <v>1</v>
          </cell>
        </row>
        <row r="22">
          <cell r="C22">
            <v>1</v>
          </cell>
        </row>
        <row r="23">
          <cell r="D23">
            <v>1</v>
          </cell>
        </row>
        <row r="24">
          <cell r="D24">
            <v>1</v>
          </cell>
        </row>
        <row r="25">
          <cell r="D25">
            <v>1</v>
          </cell>
        </row>
        <row r="26">
          <cell r="C26">
            <v>1</v>
          </cell>
        </row>
        <row r="27">
          <cell r="C27">
            <v>1</v>
          </cell>
        </row>
        <row r="28">
          <cell r="C28">
            <v>1</v>
          </cell>
        </row>
        <row r="29">
          <cell r="C29">
            <v>1</v>
          </cell>
        </row>
        <row r="30">
          <cell r="D30">
            <v>1</v>
          </cell>
        </row>
        <row r="31">
          <cell r="D31">
            <v>1</v>
          </cell>
        </row>
        <row r="32">
          <cell r="D32">
            <v>1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1</v>
          </cell>
        </row>
        <row r="36">
          <cell r="E36">
            <v>1</v>
          </cell>
        </row>
        <row r="37">
          <cell r="E37">
            <v>1</v>
          </cell>
        </row>
        <row r="38">
          <cell r="D38">
            <v>1</v>
          </cell>
        </row>
        <row r="39">
          <cell r="C39">
            <v>1</v>
          </cell>
        </row>
        <row r="40">
          <cell r="E40">
            <v>1</v>
          </cell>
        </row>
        <row r="41">
          <cell r="C41">
            <v>1</v>
          </cell>
        </row>
        <row r="42">
          <cell r="D42">
            <v>1</v>
          </cell>
        </row>
        <row r="43">
          <cell r="D43">
            <v>1</v>
          </cell>
        </row>
        <row r="44">
          <cell r="C44">
            <v>1</v>
          </cell>
        </row>
        <row r="45">
          <cell r="D45">
            <v>1</v>
          </cell>
        </row>
        <row r="46">
          <cell r="D46">
            <v>1</v>
          </cell>
          <cell r="H46" t="str">
            <v>Chile Digno</v>
          </cell>
          <cell r="I46">
            <v>0.81818181818181823</v>
          </cell>
          <cell r="J46">
            <v>0</v>
          </cell>
          <cell r="K46">
            <v>9.0909090909090912E-2</v>
          </cell>
          <cell r="L46">
            <v>9.0909090909090912E-2</v>
          </cell>
        </row>
        <row r="47">
          <cell r="E47">
            <v>1</v>
          </cell>
          <cell r="H47" t="str">
            <v>Mov. Sociales Const.</v>
          </cell>
          <cell r="I47">
            <v>0.41666666666666669</v>
          </cell>
          <cell r="J47">
            <v>0.5</v>
          </cell>
          <cell r="K47">
            <v>0</v>
          </cell>
          <cell r="L47">
            <v>8.3333333333333329E-2</v>
          </cell>
        </row>
        <row r="48">
          <cell r="D48">
            <v>1</v>
          </cell>
          <cell r="H48" t="str">
            <v>Pueblo Constituyente</v>
          </cell>
          <cell r="I48">
            <v>1</v>
          </cell>
          <cell r="J48">
            <v>0</v>
          </cell>
          <cell r="K48">
            <v>0</v>
          </cell>
          <cell r="L48">
            <v>0</v>
          </cell>
        </row>
        <row r="49">
          <cell r="C49">
            <v>1</v>
          </cell>
          <cell r="H49" t="str">
            <v xml:space="preserve">Escaños Reservados </v>
          </cell>
          <cell r="I49">
            <v>0</v>
          </cell>
          <cell r="J49">
            <v>0</v>
          </cell>
          <cell r="K49">
            <v>0.88888888888888884</v>
          </cell>
          <cell r="L49">
            <v>0.1111111111111111</v>
          </cell>
        </row>
        <row r="50">
          <cell r="D50">
            <v>1</v>
          </cell>
          <cell r="H50" t="str">
            <v>Coord. Plurinacional</v>
          </cell>
          <cell r="I50">
            <v>1</v>
          </cell>
          <cell r="J50">
            <v>0</v>
          </cell>
          <cell r="K50">
            <v>0</v>
          </cell>
          <cell r="L50">
            <v>0</v>
          </cell>
        </row>
        <row r="51">
          <cell r="C51">
            <v>1</v>
          </cell>
          <cell r="H51" t="str">
            <v>Ind. Por Nueva Const.</v>
          </cell>
          <cell r="I51">
            <v>0.33333333333333331</v>
          </cell>
          <cell r="J51">
            <v>0.25</v>
          </cell>
          <cell r="K51">
            <v>0.41666666666666669</v>
          </cell>
          <cell r="L51">
            <v>0</v>
          </cell>
        </row>
        <row r="52">
          <cell r="D52">
            <v>1</v>
          </cell>
          <cell r="H52" t="str">
            <v>Colectivo Socialista</v>
          </cell>
          <cell r="I52">
            <v>0.46666666666666667</v>
          </cell>
          <cell r="J52">
            <v>0.46666666666666667</v>
          </cell>
          <cell r="K52">
            <v>6.6666666666666666E-2</v>
          </cell>
          <cell r="L52">
            <v>0</v>
          </cell>
        </row>
        <row r="53">
          <cell r="D53">
            <v>1</v>
          </cell>
          <cell r="H53" t="str">
            <v>Frente Amplio</v>
          </cell>
          <cell r="I53">
            <v>5.2631578947368418E-2</v>
          </cell>
          <cell r="J53">
            <v>0.47368421052631576</v>
          </cell>
          <cell r="K53">
            <v>0.47368421052631576</v>
          </cell>
          <cell r="L53">
            <v>0</v>
          </cell>
        </row>
        <row r="54">
          <cell r="E54">
            <v>1</v>
          </cell>
          <cell r="H54" t="str">
            <v>Ind. + UDI</v>
          </cell>
          <cell r="I54">
            <v>0</v>
          </cell>
          <cell r="J54">
            <v>1</v>
          </cell>
          <cell r="K54">
            <v>0</v>
          </cell>
          <cell r="L54">
            <v>0</v>
          </cell>
        </row>
        <row r="55">
          <cell r="C55">
            <v>1</v>
          </cell>
          <cell r="H55" t="str">
            <v>Ind. RN - Evópoli</v>
          </cell>
          <cell r="I55">
            <v>0</v>
          </cell>
          <cell r="J55">
            <v>0.73333333333333328</v>
          </cell>
          <cell r="K55">
            <v>0.26666666666666666</v>
          </cell>
          <cell r="L55">
            <v>0</v>
          </cell>
        </row>
        <row r="56">
          <cell r="E56">
            <v>1</v>
          </cell>
          <cell r="H56" t="str">
            <v>Colectivo del Apruebo</v>
          </cell>
          <cell r="I56">
            <v>0</v>
          </cell>
          <cell r="J56">
            <v>0.7142857142857143</v>
          </cell>
          <cell r="K56">
            <v>0.2857142857142857</v>
          </cell>
          <cell r="L56">
            <v>0</v>
          </cell>
        </row>
        <row r="57">
          <cell r="D57">
            <v>1</v>
          </cell>
          <cell r="H57" t="str">
            <v>Otros</v>
          </cell>
          <cell r="I57">
            <v>0.8</v>
          </cell>
          <cell r="J57">
            <v>0.2</v>
          </cell>
          <cell r="K57">
            <v>0</v>
          </cell>
          <cell r="L57">
            <v>0</v>
          </cell>
        </row>
        <row r="58">
          <cell r="D58">
            <v>1</v>
          </cell>
        </row>
        <row r="59">
          <cell r="C59">
            <v>1</v>
          </cell>
        </row>
        <row r="60">
          <cell r="C60">
            <v>1</v>
          </cell>
        </row>
        <row r="61">
          <cell r="E61">
            <v>1</v>
          </cell>
        </row>
        <row r="62">
          <cell r="C62">
            <v>1</v>
          </cell>
        </row>
        <row r="63">
          <cell r="F63">
            <v>1</v>
          </cell>
        </row>
        <row r="64">
          <cell r="C64">
            <v>1</v>
          </cell>
        </row>
        <row r="65">
          <cell r="C65">
            <v>1</v>
          </cell>
        </row>
        <row r="66">
          <cell r="C66">
            <v>1</v>
          </cell>
        </row>
        <row r="67">
          <cell r="D67">
            <v>1</v>
          </cell>
        </row>
        <row r="68">
          <cell r="C68">
            <v>1</v>
          </cell>
        </row>
        <row r="69">
          <cell r="C69">
            <v>1</v>
          </cell>
        </row>
        <row r="70">
          <cell r="D70">
            <v>1</v>
          </cell>
        </row>
        <row r="71">
          <cell r="D71">
            <v>1</v>
          </cell>
        </row>
        <row r="72">
          <cell r="D72">
            <v>1</v>
          </cell>
        </row>
        <row r="73">
          <cell r="E73">
            <v>1</v>
          </cell>
        </row>
        <row r="74">
          <cell r="D74">
            <v>1</v>
          </cell>
        </row>
        <row r="75">
          <cell r="D75">
            <v>1</v>
          </cell>
        </row>
        <row r="76">
          <cell r="C76">
            <v>1</v>
          </cell>
        </row>
        <row r="77">
          <cell r="E77">
            <v>1</v>
          </cell>
        </row>
        <row r="78">
          <cell r="C78">
            <v>1</v>
          </cell>
        </row>
        <row r="79">
          <cell r="D79">
            <v>1</v>
          </cell>
        </row>
        <row r="80">
          <cell r="D80">
            <v>1</v>
          </cell>
        </row>
        <row r="81">
          <cell r="D81">
            <v>1</v>
          </cell>
        </row>
        <row r="82">
          <cell r="C82">
            <v>1</v>
          </cell>
        </row>
        <row r="83">
          <cell r="C83">
            <v>1</v>
          </cell>
        </row>
        <row r="84">
          <cell r="D84">
            <v>1</v>
          </cell>
        </row>
        <row r="85">
          <cell r="E85">
            <v>1</v>
          </cell>
        </row>
        <row r="86">
          <cell r="C86">
            <v>1</v>
          </cell>
        </row>
        <row r="87">
          <cell r="E87">
            <v>1</v>
          </cell>
        </row>
        <row r="88">
          <cell r="D88">
            <v>1</v>
          </cell>
        </row>
        <row r="89">
          <cell r="C89">
            <v>1</v>
          </cell>
        </row>
        <row r="90">
          <cell r="E90">
            <v>1</v>
          </cell>
        </row>
        <row r="91">
          <cell r="D91">
            <v>1</v>
          </cell>
        </row>
        <row r="92">
          <cell r="E92">
            <v>1</v>
          </cell>
        </row>
        <row r="93">
          <cell r="D93">
            <v>1</v>
          </cell>
        </row>
        <row r="94">
          <cell r="D94">
            <v>1</v>
          </cell>
        </row>
        <row r="95">
          <cell r="E95">
            <v>1</v>
          </cell>
        </row>
        <row r="96">
          <cell r="C96">
            <v>1</v>
          </cell>
        </row>
        <row r="97">
          <cell r="D97">
            <v>1</v>
          </cell>
        </row>
        <row r="98">
          <cell r="D98">
            <v>1</v>
          </cell>
        </row>
        <row r="99">
          <cell r="D99">
            <v>1</v>
          </cell>
        </row>
        <row r="100">
          <cell r="D100">
            <v>1</v>
          </cell>
        </row>
        <row r="101">
          <cell r="D101">
            <v>1</v>
          </cell>
        </row>
        <row r="102">
          <cell r="E102">
            <v>1</v>
          </cell>
        </row>
        <row r="103">
          <cell r="D103">
            <v>1</v>
          </cell>
        </row>
        <row r="104">
          <cell r="D104">
            <v>1</v>
          </cell>
        </row>
        <row r="105">
          <cell r="C105">
            <v>1</v>
          </cell>
        </row>
        <row r="106">
          <cell r="C106">
            <v>1</v>
          </cell>
        </row>
        <row r="107">
          <cell r="D107">
            <v>1</v>
          </cell>
        </row>
        <row r="108">
          <cell r="E108">
            <v>1</v>
          </cell>
        </row>
        <row r="109">
          <cell r="D109">
            <v>1</v>
          </cell>
        </row>
        <row r="110">
          <cell r="C110">
            <v>1</v>
          </cell>
        </row>
        <row r="111">
          <cell r="C111">
            <v>1</v>
          </cell>
        </row>
        <row r="112">
          <cell r="E112">
            <v>1</v>
          </cell>
        </row>
        <row r="113">
          <cell r="C113">
            <v>1</v>
          </cell>
        </row>
        <row r="114">
          <cell r="D114">
            <v>1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C117">
            <v>1</v>
          </cell>
        </row>
        <row r="118">
          <cell r="D118">
            <v>1</v>
          </cell>
        </row>
        <row r="119">
          <cell r="C119">
            <v>1</v>
          </cell>
        </row>
        <row r="120">
          <cell r="E120">
            <v>1</v>
          </cell>
        </row>
        <row r="121">
          <cell r="F121">
            <v>1</v>
          </cell>
        </row>
        <row r="122">
          <cell r="C122">
            <v>1</v>
          </cell>
        </row>
        <row r="123">
          <cell r="F123">
            <v>1</v>
          </cell>
        </row>
        <row r="124">
          <cell r="C124">
            <v>1</v>
          </cell>
        </row>
        <row r="125">
          <cell r="C125">
            <v>1</v>
          </cell>
        </row>
        <row r="126">
          <cell r="D126">
            <v>1</v>
          </cell>
        </row>
        <row r="127">
          <cell r="D127">
            <v>1</v>
          </cell>
        </row>
        <row r="128">
          <cell r="F128">
            <v>1</v>
          </cell>
        </row>
        <row r="129">
          <cell r="C129">
            <v>1</v>
          </cell>
        </row>
        <row r="130">
          <cell r="C130">
            <v>1</v>
          </cell>
        </row>
        <row r="131">
          <cell r="E131">
            <v>1</v>
          </cell>
        </row>
        <row r="132">
          <cell r="E132">
            <v>1</v>
          </cell>
        </row>
        <row r="133">
          <cell r="D133">
            <v>1</v>
          </cell>
        </row>
        <row r="134">
          <cell r="D134">
            <v>1</v>
          </cell>
        </row>
        <row r="135">
          <cell r="E135">
            <v>1</v>
          </cell>
        </row>
        <row r="136">
          <cell r="D136">
            <v>1</v>
          </cell>
        </row>
        <row r="137">
          <cell r="D137">
            <v>1</v>
          </cell>
        </row>
        <row r="138">
          <cell r="C138">
            <v>1</v>
          </cell>
        </row>
        <row r="139">
          <cell r="D139">
            <v>1</v>
          </cell>
        </row>
        <row r="140">
          <cell r="D140">
            <v>1</v>
          </cell>
        </row>
        <row r="141">
          <cell r="E141">
            <v>1</v>
          </cell>
        </row>
        <row r="142">
          <cell r="C142">
            <v>1</v>
          </cell>
        </row>
        <row r="143">
          <cell r="C143">
            <v>1</v>
          </cell>
        </row>
        <row r="144">
          <cell r="C144">
            <v>1</v>
          </cell>
        </row>
        <row r="145">
          <cell r="D145">
            <v>1</v>
          </cell>
        </row>
        <row r="146">
          <cell r="C146">
            <v>1</v>
          </cell>
        </row>
        <row r="147">
          <cell r="D147">
            <v>1</v>
          </cell>
        </row>
        <row r="148">
          <cell r="C148">
            <v>1</v>
          </cell>
        </row>
        <row r="149">
          <cell r="C149">
            <v>1</v>
          </cell>
        </row>
        <row r="150">
          <cell r="C150">
            <v>1</v>
          </cell>
        </row>
        <row r="151">
          <cell r="D151">
            <v>1</v>
          </cell>
        </row>
        <row r="152">
          <cell r="C152">
            <v>1</v>
          </cell>
        </row>
        <row r="153">
          <cell r="C153">
            <v>1</v>
          </cell>
        </row>
        <row r="154">
          <cell r="C154">
            <v>1</v>
          </cell>
        </row>
        <row r="155">
          <cell r="C155">
            <v>1</v>
          </cell>
        </row>
        <row r="156">
          <cell r="D156">
            <v>1</v>
          </cell>
        </row>
      </sheetData>
      <sheetData sheetId="40">
        <row r="2">
          <cell r="E2">
            <v>1</v>
          </cell>
          <cell r="H2" t="str">
            <v>Chile Digno</v>
          </cell>
          <cell r="I2">
            <v>10</v>
          </cell>
          <cell r="J2">
            <v>0</v>
          </cell>
          <cell r="K2">
            <v>1</v>
          </cell>
          <cell r="L2">
            <v>0</v>
          </cell>
          <cell r="M2">
            <v>11</v>
          </cell>
        </row>
        <row r="3">
          <cell r="C3">
            <v>1</v>
          </cell>
          <cell r="H3" t="str">
            <v>Mov. Sociales Const.</v>
          </cell>
          <cell r="I3">
            <v>7</v>
          </cell>
          <cell r="J3">
            <v>4</v>
          </cell>
          <cell r="K3">
            <v>0</v>
          </cell>
          <cell r="L3">
            <v>1</v>
          </cell>
          <cell r="M3">
            <v>12</v>
          </cell>
        </row>
        <row r="4">
          <cell r="D4">
            <v>1</v>
          </cell>
          <cell r="H4" t="str">
            <v>Pueblo Constituyente</v>
          </cell>
          <cell r="I4">
            <v>10</v>
          </cell>
          <cell r="J4">
            <v>0</v>
          </cell>
          <cell r="K4">
            <v>0</v>
          </cell>
          <cell r="L4">
            <v>0</v>
          </cell>
          <cell r="M4">
            <v>10</v>
          </cell>
        </row>
        <row r="5">
          <cell r="E5">
            <v>1</v>
          </cell>
          <cell r="H5" t="str">
            <v xml:space="preserve">Escaños Reservados </v>
          </cell>
          <cell r="I5">
            <v>0</v>
          </cell>
          <cell r="J5">
            <v>0</v>
          </cell>
          <cell r="K5">
            <v>8</v>
          </cell>
          <cell r="L5">
            <v>1</v>
          </cell>
          <cell r="M5">
            <v>9</v>
          </cell>
        </row>
        <row r="6">
          <cell r="C6">
            <v>1</v>
          </cell>
          <cell r="H6" t="str">
            <v>Coord. Plurinacional</v>
          </cell>
          <cell r="I6">
            <v>16</v>
          </cell>
          <cell r="J6">
            <v>0</v>
          </cell>
          <cell r="K6">
            <v>0</v>
          </cell>
          <cell r="L6">
            <v>0</v>
          </cell>
          <cell r="M6">
            <v>16</v>
          </cell>
        </row>
        <row r="7">
          <cell r="D7">
            <v>1</v>
          </cell>
          <cell r="H7" t="str">
            <v>Ind. Por Nueva Const.</v>
          </cell>
          <cell r="I7">
            <v>5</v>
          </cell>
          <cell r="J7">
            <v>5</v>
          </cell>
          <cell r="K7">
            <v>2</v>
          </cell>
          <cell r="L7">
            <v>0</v>
          </cell>
          <cell r="M7">
            <v>12</v>
          </cell>
        </row>
        <row r="8">
          <cell r="D8">
            <v>1</v>
          </cell>
          <cell r="H8" t="str">
            <v>Colectivo Socialista</v>
          </cell>
          <cell r="I8">
            <v>1</v>
          </cell>
          <cell r="J8">
            <v>13</v>
          </cell>
          <cell r="K8">
            <v>1</v>
          </cell>
          <cell r="L8">
            <v>0</v>
          </cell>
          <cell r="M8">
            <v>15</v>
          </cell>
        </row>
        <row r="9">
          <cell r="E9">
            <v>1</v>
          </cell>
          <cell r="H9" t="str">
            <v>Frente Amplio</v>
          </cell>
          <cell r="I9">
            <v>0</v>
          </cell>
          <cell r="J9">
            <v>8</v>
          </cell>
          <cell r="K9">
            <v>8</v>
          </cell>
          <cell r="L9">
            <v>0</v>
          </cell>
          <cell r="M9">
            <v>16</v>
          </cell>
        </row>
        <row r="10">
          <cell r="C10">
            <v>1</v>
          </cell>
          <cell r="H10" t="str">
            <v>Ind. + UDI</v>
          </cell>
          <cell r="I10">
            <v>0</v>
          </cell>
          <cell r="J10">
            <v>21</v>
          </cell>
          <cell r="K10">
            <v>0</v>
          </cell>
          <cell r="L10">
            <v>0</v>
          </cell>
          <cell r="M10">
            <v>21</v>
          </cell>
        </row>
        <row r="11">
          <cell r="C11">
            <v>1</v>
          </cell>
          <cell r="H11" t="str">
            <v>Ind. RN - Evópoli</v>
          </cell>
          <cell r="I11">
            <v>1</v>
          </cell>
          <cell r="J11">
            <v>13</v>
          </cell>
          <cell r="K11">
            <v>1</v>
          </cell>
          <cell r="L11">
            <v>0</v>
          </cell>
          <cell r="M11">
            <v>15</v>
          </cell>
        </row>
        <row r="12">
          <cell r="C12">
            <v>1</v>
          </cell>
          <cell r="H12" t="str">
            <v>Colectivo del Apruebo</v>
          </cell>
          <cell r="I12">
            <v>0</v>
          </cell>
          <cell r="J12">
            <v>6</v>
          </cell>
          <cell r="K12">
            <v>1</v>
          </cell>
          <cell r="L12">
            <v>0</v>
          </cell>
          <cell r="M12">
            <v>7</v>
          </cell>
        </row>
        <row r="13">
          <cell r="D13">
            <v>1</v>
          </cell>
          <cell r="H13" t="str">
            <v>Otros</v>
          </cell>
          <cell r="I13">
            <v>4</v>
          </cell>
          <cell r="J13">
            <v>1</v>
          </cell>
          <cell r="K13">
            <v>0</v>
          </cell>
          <cell r="L13">
            <v>0</v>
          </cell>
          <cell r="M13">
            <v>5</v>
          </cell>
        </row>
        <row r="14">
          <cell r="C14">
            <v>1</v>
          </cell>
        </row>
        <row r="15">
          <cell r="C15">
            <v>1</v>
          </cell>
        </row>
        <row r="16">
          <cell r="D16">
            <v>1</v>
          </cell>
        </row>
        <row r="17">
          <cell r="D17">
            <v>1</v>
          </cell>
        </row>
        <row r="18">
          <cell r="C18">
            <v>1</v>
          </cell>
        </row>
        <row r="19">
          <cell r="D19">
            <v>1</v>
          </cell>
        </row>
        <row r="20">
          <cell r="D20">
            <v>1</v>
          </cell>
        </row>
        <row r="21">
          <cell r="D21">
            <v>1</v>
          </cell>
        </row>
        <row r="22">
          <cell r="C22">
            <v>1</v>
          </cell>
        </row>
        <row r="23">
          <cell r="D23">
            <v>1</v>
          </cell>
        </row>
        <row r="24">
          <cell r="D24">
            <v>1</v>
          </cell>
        </row>
        <row r="25">
          <cell r="D25">
            <v>1</v>
          </cell>
        </row>
        <row r="26">
          <cell r="C26">
            <v>1</v>
          </cell>
        </row>
        <row r="27">
          <cell r="C27">
            <v>1</v>
          </cell>
        </row>
        <row r="28">
          <cell r="C28">
            <v>1</v>
          </cell>
        </row>
        <row r="29">
          <cell r="C29">
            <v>1</v>
          </cell>
        </row>
        <row r="30">
          <cell r="D30">
            <v>1</v>
          </cell>
        </row>
        <row r="31">
          <cell r="D31">
            <v>1</v>
          </cell>
        </row>
        <row r="32">
          <cell r="F32">
            <v>1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1</v>
          </cell>
        </row>
        <row r="36">
          <cell r="E36">
            <v>1</v>
          </cell>
        </row>
        <row r="37">
          <cell r="E37">
            <v>1</v>
          </cell>
        </row>
        <row r="38">
          <cell r="D38">
            <v>1</v>
          </cell>
        </row>
        <row r="39">
          <cell r="D39">
            <v>1</v>
          </cell>
        </row>
        <row r="40">
          <cell r="D40">
            <v>1</v>
          </cell>
        </row>
        <row r="41">
          <cell r="C41">
            <v>1</v>
          </cell>
        </row>
        <row r="42">
          <cell r="D42">
            <v>1</v>
          </cell>
        </row>
        <row r="43">
          <cell r="D43">
            <v>1</v>
          </cell>
        </row>
        <row r="44">
          <cell r="D44">
            <v>1</v>
          </cell>
        </row>
        <row r="45">
          <cell r="D45">
            <v>1</v>
          </cell>
        </row>
        <row r="46">
          <cell r="D46">
            <v>1</v>
          </cell>
          <cell r="H46" t="str">
            <v>Chile Digno</v>
          </cell>
          <cell r="I46">
            <v>0.90909090909090906</v>
          </cell>
          <cell r="J46">
            <v>0</v>
          </cell>
          <cell r="K46">
            <v>9.0909090909090912E-2</v>
          </cell>
          <cell r="L46">
            <v>0</v>
          </cell>
        </row>
        <row r="47">
          <cell r="D47">
            <v>1</v>
          </cell>
          <cell r="H47" t="str">
            <v>Mov. Sociales Const.</v>
          </cell>
          <cell r="I47">
            <v>0.58333333333333337</v>
          </cell>
          <cell r="J47">
            <v>0.33333333333333331</v>
          </cell>
          <cell r="K47">
            <v>0</v>
          </cell>
          <cell r="L47">
            <v>8.3333333333333329E-2</v>
          </cell>
        </row>
        <row r="48">
          <cell r="E48">
            <v>1</v>
          </cell>
          <cell r="H48" t="str">
            <v>Pueblo Constituyente</v>
          </cell>
          <cell r="I48">
            <v>1</v>
          </cell>
          <cell r="J48">
            <v>0</v>
          </cell>
          <cell r="K48">
            <v>0</v>
          </cell>
          <cell r="L48">
            <v>0</v>
          </cell>
        </row>
        <row r="49">
          <cell r="C49">
            <v>1</v>
          </cell>
          <cell r="H49" t="str">
            <v xml:space="preserve">Escaños Reservados </v>
          </cell>
          <cell r="I49">
            <v>0</v>
          </cell>
          <cell r="J49">
            <v>0</v>
          </cell>
          <cell r="K49">
            <v>0.88888888888888884</v>
          </cell>
          <cell r="L49">
            <v>0.1111111111111111</v>
          </cell>
        </row>
        <row r="50">
          <cell r="C50">
            <v>1</v>
          </cell>
          <cell r="H50" t="str">
            <v>Coord. Plurinacional</v>
          </cell>
          <cell r="I50">
            <v>1</v>
          </cell>
          <cell r="J50">
            <v>0</v>
          </cell>
          <cell r="K50">
            <v>0</v>
          </cell>
          <cell r="L50">
            <v>0</v>
          </cell>
        </row>
        <row r="51">
          <cell r="D51">
            <v>1</v>
          </cell>
          <cell r="H51" t="str">
            <v>Ind. Por Nueva Const.</v>
          </cell>
          <cell r="I51">
            <v>0.41666666666666669</v>
          </cell>
          <cell r="J51">
            <v>0.41666666666666669</v>
          </cell>
          <cell r="K51">
            <v>0.16666666666666666</v>
          </cell>
          <cell r="L51">
            <v>0</v>
          </cell>
        </row>
        <row r="52">
          <cell r="D52">
            <v>1</v>
          </cell>
          <cell r="H52" t="str">
            <v>Colectivo Socialista</v>
          </cell>
          <cell r="I52">
            <v>6.6666666666666666E-2</v>
          </cell>
          <cell r="J52">
            <v>0.8666666666666667</v>
          </cell>
          <cell r="K52">
            <v>6.6666666666666666E-2</v>
          </cell>
          <cell r="L52">
            <v>0</v>
          </cell>
        </row>
        <row r="53">
          <cell r="D53">
            <v>1</v>
          </cell>
          <cell r="H53" t="str">
            <v>Frente Amplio</v>
          </cell>
          <cell r="I53">
            <v>0</v>
          </cell>
          <cell r="J53">
            <v>0.5</v>
          </cell>
          <cell r="K53">
            <v>0.5</v>
          </cell>
          <cell r="L53">
            <v>0</v>
          </cell>
        </row>
        <row r="54">
          <cell r="D54">
            <v>1</v>
          </cell>
          <cell r="H54" t="str">
            <v>Ind. + UDI</v>
          </cell>
          <cell r="I54">
            <v>0</v>
          </cell>
          <cell r="J54">
            <v>1</v>
          </cell>
          <cell r="K54">
            <v>0</v>
          </cell>
          <cell r="L54">
            <v>0</v>
          </cell>
        </row>
        <row r="55">
          <cell r="C55">
            <v>1</v>
          </cell>
          <cell r="H55" t="str">
            <v>Ind. RN - Evópoli</v>
          </cell>
          <cell r="I55">
            <v>6.6666666666666666E-2</v>
          </cell>
          <cell r="J55">
            <v>0.8666666666666667</v>
          </cell>
          <cell r="K55">
            <v>6.6666666666666666E-2</v>
          </cell>
          <cell r="L55">
            <v>0</v>
          </cell>
        </row>
        <row r="56">
          <cell r="E56">
            <v>1</v>
          </cell>
          <cell r="H56" t="str">
            <v>Colectivo del Apruebo</v>
          </cell>
          <cell r="I56">
            <v>0</v>
          </cell>
          <cell r="J56">
            <v>0.8571428571428571</v>
          </cell>
          <cell r="K56">
            <v>0.14285714285714285</v>
          </cell>
          <cell r="L56">
            <v>0</v>
          </cell>
        </row>
        <row r="57">
          <cell r="C57">
            <v>1</v>
          </cell>
          <cell r="H57" t="str">
            <v>Otros</v>
          </cell>
          <cell r="I57">
            <v>0.8</v>
          </cell>
          <cell r="J57">
            <v>0.2</v>
          </cell>
          <cell r="K57">
            <v>0</v>
          </cell>
          <cell r="L57">
            <v>0</v>
          </cell>
        </row>
        <row r="58">
          <cell r="D58">
            <v>1</v>
          </cell>
        </row>
        <row r="59">
          <cell r="C59">
            <v>1</v>
          </cell>
        </row>
        <row r="60">
          <cell r="D60">
            <v>1</v>
          </cell>
        </row>
        <row r="61">
          <cell r="E61">
            <v>1</v>
          </cell>
        </row>
        <row r="62">
          <cell r="C62">
            <v>1</v>
          </cell>
        </row>
        <row r="63">
          <cell r="F63">
            <v>1</v>
          </cell>
        </row>
        <row r="64">
          <cell r="C64">
            <v>1</v>
          </cell>
        </row>
        <row r="65">
          <cell r="C65">
            <v>1</v>
          </cell>
        </row>
        <row r="66">
          <cell r="C66">
            <v>1</v>
          </cell>
        </row>
        <row r="67">
          <cell r="D67">
            <v>1</v>
          </cell>
        </row>
        <row r="68">
          <cell r="C68">
            <v>1</v>
          </cell>
        </row>
        <row r="69">
          <cell r="C69">
            <v>1</v>
          </cell>
        </row>
        <row r="70">
          <cell r="D70">
            <v>1</v>
          </cell>
        </row>
        <row r="71">
          <cell r="D71">
            <v>1</v>
          </cell>
        </row>
        <row r="72">
          <cell r="D72">
            <v>1</v>
          </cell>
        </row>
        <row r="73">
          <cell r="E73">
            <v>1</v>
          </cell>
        </row>
        <row r="74">
          <cell r="D74">
            <v>1</v>
          </cell>
        </row>
        <row r="75">
          <cell r="D75">
            <v>1</v>
          </cell>
        </row>
        <row r="76">
          <cell r="C76">
            <v>1</v>
          </cell>
        </row>
        <row r="77">
          <cell r="D77">
            <v>1</v>
          </cell>
        </row>
        <row r="78">
          <cell r="C78">
            <v>1</v>
          </cell>
        </row>
        <row r="79">
          <cell r="D79">
            <v>1</v>
          </cell>
        </row>
        <row r="80">
          <cell r="D80">
            <v>1</v>
          </cell>
        </row>
        <row r="81">
          <cell r="D81">
            <v>1</v>
          </cell>
        </row>
        <row r="82">
          <cell r="C82">
            <v>1</v>
          </cell>
        </row>
        <row r="83">
          <cell r="C83">
            <v>1</v>
          </cell>
        </row>
        <row r="84">
          <cell r="E84">
            <v>1</v>
          </cell>
        </row>
        <row r="85">
          <cell r="E85">
            <v>1</v>
          </cell>
        </row>
        <row r="86">
          <cell r="C86">
            <v>1</v>
          </cell>
        </row>
        <row r="87">
          <cell r="E87">
            <v>1</v>
          </cell>
        </row>
        <row r="88">
          <cell r="D88">
            <v>1</v>
          </cell>
        </row>
        <row r="89">
          <cell r="C89">
            <v>1</v>
          </cell>
        </row>
        <row r="90">
          <cell r="E90">
            <v>1</v>
          </cell>
        </row>
        <row r="91">
          <cell r="D91">
            <v>1</v>
          </cell>
        </row>
        <row r="92">
          <cell r="E92">
            <v>1</v>
          </cell>
        </row>
        <row r="93">
          <cell r="D93">
            <v>1</v>
          </cell>
        </row>
        <row r="94">
          <cell r="D94">
            <v>1</v>
          </cell>
        </row>
        <row r="95">
          <cell r="E95">
            <v>1</v>
          </cell>
        </row>
        <row r="96">
          <cell r="C96">
            <v>1</v>
          </cell>
        </row>
        <row r="97">
          <cell r="D97">
            <v>1</v>
          </cell>
        </row>
        <row r="98">
          <cell r="D98">
            <v>1</v>
          </cell>
        </row>
        <row r="99">
          <cell r="D99">
            <v>1</v>
          </cell>
        </row>
        <row r="100">
          <cell r="D100">
            <v>1</v>
          </cell>
        </row>
        <row r="101">
          <cell r="D101">
            <v>1</v>
          </cell>
        </row>
        <row r="102">
          <cell r="E102">
            <v>1</v>
          </cell>
        </row>
        <row r="103">
          <cell r="D103">
            <v>1</v>
          </cell>
        </row>
        <row r="104">
          <cell r="D104">
            <v>1</v>
          </cell>
        </row>
        <row r="105">
          <cell r="C105">
            <v>1</v>
          </cell>
        </row>
        <row r="106">
          <cell r="C106">
            <v>1</v>
          </cell>
        </row>
        <row r="107">
          <cell r="D107">
            <v>1</v>
          </cell>
        </row>
        <row r="108">
          <cell r="E108">
            <v>1</v>
          </cell>
        </row>
        <row r="109">
          <cell r="D109">
            <v>1</v>
          </cell>
        </row>
        <row r="110">
          <cell r="C110">
            <v>1</v>
          </cell>
        </row>
        <row r="111">
          <cell r="E111">
            <v>1</v>
          </cell>
        </row>
        <row r="112">
          <cell r="D112">
            <v>1</v>
          </cell>
        </row>
        <row r="113">
          <cell r="C113">
            <v>1</v>
          </cell>
        </row>
        <row r="114">
          <cell r="D114">
            <v>1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1</v>
          </cell>
        </row>
        <row r="118">
          <cell r="D118">
            <v>1</v>
          </cell>
        </row>
        <row r="119">
          <cell r="C119">
            <v>1</v>
          </cell>
        </row>
        <row r="120">
          <cell r="E120">
            <v>1</v>
          </cell>
        </row>
        <row r="121">
          <cell r="F121">
            <v>1</v>
          </cell>
        </row>
        <row r="122">
          <cell r="C122">
            <v>1</v>
          </cell>
        </row>
        <row r="123">
          <cell r="C123">
            <v>1</v>
          </cell>
        </row>
        <row r="124">
          <cell r="C124">
            <v>1</v>
          </cell>
        </row>
        <row r="125">
          <cell r="C125">
            <v>1</v>
          </cell>
        </row>
        <row r="126">
          <cell r="D126">
            <v>1</v>
          </cell>
        </row>
        <row r="127">
          <cell r="D127">
            <v>1</v>
          </cell>
        </row>
        <row r="128">
          <cell r="C128">
            <v>1</v>
          </cell>
        </row>
        <row r="129">
          <cell r="C129">
            <v>1</v>
          </cell>
        </row>
        <row r="130">
          <cell r="D130">
            <v>1</v>
          </cell>
        </row>
        <row r="131">
          <cell r="C131">
            <v>1</v>
          </cell>
        </row>
        <row r="132">
          <cell r="D132">
            <v>1</v>
          </cell>
        </row>
        <row r="133">
          <cell r="D133">
            <v>1</v>
          </cell>
        </row>
        <row r="134">
          <cell r="D134">
            <v>1</v>
          </cell>
        </row>
        <row r="135">
          <cell r="E135">
            <v>1</v>
          </cell>
        </row>
        <row r="136">
          <cell r="D136">
            <v>1</v>
          </cell>
        </row>
        <row r="137">
          <cell r="D137">
            <v>1</v>
          </cell>
        </row>
        <row r="138">
          <cell r="C138">
            <v>1</v>
          </cell>
        </row>
        <row r="139">
          <cell r="D139">
            <v>1</v>
          </cell>
        </row>
        <row r="140">
          <cell r="D140">
            <v>1</v>
          </cell>
        </row>
        <row r="141">
          <cell r="C141">
            <v>1</v>
          </cell>
        </row>
        <row r="142">
          <cell r="C142">
            <v>1</v>
          </cell>
        </row>
        <row r="143">
          <cell r="C143">
            <v>1</v>
          </cell>
        </row>
        <row r="144">
          <cell r="D144">
            <v>1</v>
          </cell>
        </row>
        <row r="145">
          <cell r="D145">
            <v>1</v>
          </cell>
        </row>
        <row r="146">
          <cell r="C146">
            <v>1</v>
          </cell>
        </row>
        <row r="147">
          <cell r="D147">
            <v>1</v>
          </cell>
        </row>
        <row r="148">
          <cell r="C148">
            <v>1</v>
          </cell>
        </row>
        <row r="149">
          <cell r="D149">
            <v>1</v>
          </cell>
        </row>
        <row r="150">
          <cell r="C150">
            <v>1</v>
          </cell>
        </row>
        <row r="151">
          <cell r="D151">
            <v>1</v>
          </cell>
        </row>
        <row r="152">
          <cell r="C152">
            <v>1</v>
          </cell>
        </row>
        <row r="153">
          <cell r="C153">
            <v>1</v>
          </cell>
        </row>
        <row r="154">
          <cell r="C154">
            <v>1</v>
          </cell>
        </row>
        <row r="155">
          <cell r="C155">
            <v>1</v>
          </cell>
        </row>
        <row r="156">
          <cell r="D156">
            <v>1</v>
          </cell>
        </row>
      </sheetData>
      <sheetData sheetId="41">
        <row r="3">
          <cell r="I3" t="str">
            <v>Chile Digno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</row>
        <row r="4">
          <cell r="I4" t="str">
            <v>Mov. Sociales Const.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</row>
        <row r="5">
          <cell r="I5" t="str">
            <v>Pueblo Constituyente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</row>
        <row r="6">
          <cell r="I6" t="str">
            <v xml:space="preserve">Escaños Reservados 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</row>
        <row r="7">
          <cell r="I7" t="str">
            <v>Coord. Plurinacional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</row>
        <row r="8">
          <cell r="I8" t="str">
            <v>Ind. Por Nueva Const.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</row>
        <row r="9">
          <cell r="I9" t="str">
            <v>Colectivo Socialista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I10" t="str">
            <v>Frente Amplio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</row>
        <row r="11">
          <cell r="I11" t="str">
            <v>Ind. + UDI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I12" t="str">
            <v>Ind. RN - Evópoli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</row>
        <row r="13">
          <cell r="I13" t="str">
            <v>Colectivo del Apruebo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</row>
        <row r="14">
          <cell r="I14" t="str">
            <v>Otros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46">
          <cell r="J46" t="str">
            <v>Aprueba</v>
          </cell>
          <cell r="K46" t="str">
            <v>Rechaza</v>
          </cell>
          <cell r="L46" t="str">
            <v>Abstiene</v>
          </cell>
          <cell r="M46" t="str">
            <v>No Vota</v>
          </cell>
        </row>
        <row r="47">
          <cell r="I47" t="str">
            <v>Chile Digno</v>
          </cell>
          <cell r="J47" t="e">
            <v>#DIV/0!</v>
          </cell>
          <cell r="K47" t="e">
            <v>#DIV/0!</v>
          </cell>
          <cell r="L47" t="e">
            <v>#DIV/0!</v>
          </cell>
          <cell r="M47" t="e">
            <v>#DIV/0!</v>
          </cell>
        </row>
        <row r="48">
          <cell r="I48" t="str">
            <v>Mov. Sociales Const.</v>
          </cell>
          <cell r="J48" t="e">
            <v>#DIV/0!</v>
          </cell>
          <cell r="K48" t="e">
            <v>#DIV/0!</v>
          </cell>
          <cell r="L48" t="e">
            <v>#DIV/0!</v>
          </cell>
          <cell r="M48" t="e">
            <v>#DIV/0!</v>
          </cell>
        </row>
        <row r="49">
          <cell r="I49" t="str">
            <v>Pueblo Constituyente</v>
          </cell>
          <cell r="J49" t="e">
            <v>#DIV/0!</v>
          </cell>
          <cell r="K49" t="e">
            <v>#DIV/0!</v>
          </cell>
          <cell r="L49" t="e">
            <v>#DIV/0!</v>
          </cell>
          <cell r="M49" t="e">
            <v>#DIV/0!</v>
          </cell>
        </row>
        <row r="50">
          <cell r="I50" t="str">
            <v xml:space="preserve">Escaños Reservados </v>
          </cell>
          <cell r="J50" t="e">
            <v>#DIV/0!</v>
          </cell>
          <cell r="K50" t="e">
            <v>#DIV/0!</v>
          </cell>
          <cell r="L50" t="e">
            <v>#DIV/0!</v>
          </cell>
          <cell r="M50" t="e">
            <v>#DIV/0!</v>
          </cell>
        </row>
        <row r="51">
          <cell r="I51" t="str">
            <v>Coord. Plurinacional</v>
          </cell>
          <cell r="J51" t="e">
            <v>#DIV/0!</v>
          </cell>
          <cell r="K51" t="e">
            <v>#DIV/0!</v>
          </cell>
          <cell r="L51" t="e">
            <v>#DIV/0!</v>
          </cell>
          <cell r="M51" t="e">
            <v>#DIV/0!</v>
          </cell>
        </row>
        <row r="52">
          <cell r="I52" t="str">
            <v>Ind. Por Nueva Const.</v>
          </cell>
          <cell r="J52" t="e">
            <v>#DIV/0!</v>
          </cell>
          <cell r="K52" t="e">
            <v>#DIV/0!</v>
          </cell>
          <cell r="L52" t="e">
            <v>#DIV/0!</v>
          </cell>
          <cell r="M52" t="e">
            <v>#DIV/0!</v>
          </cell>
        </row>
        <row r="53">
          <cell r="I53" t="str">
            <v>Colectivo Socialista</v>
          </cell>
          <cell r="J53" t="e">
            <v>#DIV/0!</v>
          </cell>
          <cell r="K53" t="e">
            <v>#DIV/0!</v>
          </cell>
          <cell r="L53" t="e">
            <v>#DIV/0!</v>
          </cell>
          <cell r="M53" t="e">
            <v>#DIV/0!</v>
          </cell>
        </row>
        <row r="54">
          <cell r="I54" t="str">
            <v>Frente Amplio</v>
          </cell>
          <cell r="J54" t="e">
            <v>#DIV/0!</v>
          </cell>
          <cell r="K54" t="e">
            <v>#DIV/0!</v>
          </cell>
          <cell r="L54" t="e">
            <v>#DIV/0!</v>
          </cell>
          <cell r="M54" t="e">
            <v>#DIV/0!</v>
          </cell>
        </row>
        <row r="55">
          <cell r="I55" t="str">
            <v>Ind. + UDI</v>
          </cell>
          <cell r="J55" t="e">
            <v>#DIV/0!</v>
          </cell>
          <cell r="K55" t="e">
            <v>#DIV/0!</v>
          </cell>
          <cell r="L55" t="e">
            <v>#DIV/0!</v>
          </cell>
          <cell r="M55" t="e">
            <v>#DIV/0!</v>
          </cell>
        </row>
        <row r="56">
          <cell r="I56" t="str">
            <v>Ind. RN - Evópoli</v>
          </cell>
          <cell r="J56" t="e">
            <v>#DIV/0!</v>
          </cell>
          <cell r="K56" t="e">
            <v>#DIV/0!</v>
          </cell>
          <cell r="L56" t="e">
            <v>#DIV/0!</v>
          </cell>
          <cell r="M56" t="e">
            <v>#DIV/0!</v>
          </cell>
        </row>
        <row r="57">
          <cell r="I57" t="str">
            <v>Colectivo del Apruebo</v>
          </cell>
          <cell r="J57" t="e">
            <v>#DIV/0!</v>
          </cell>
          <cell r="K57" t="e">
            <v>#DIV/0!</v>
          </cell>
          <cell r="L57" t="e">
            <v>#DIV/0!</v>
          </cell>
          <cell r="M57" t="e">
            <v>#DIV/0!</v>
          </cell>
        </row>
        <row r="58">
          <cell r="I58" t="str">
            <v>Otros</v>
          </cell>
          <cell r="J58" t="e">
            <v>#DIV/0!</v>
          </cell>
          <cell r="K58" t="e">
            <v>#DIV/0!</v>
          </cell>
          <cell r="L58" t="e">
            <v>#DIV/0!</v>
          </cell>
          <cell r="M58" t="e">
            <v>#DIV/0!</v>
          </cell>
        </row>
      </sheetData>
      <sheetData sheetId="42">
        <row r="2">
          <cell r="D2" t="str">
            <v>aprueba</v>
          </cell>
          <cell r="E2" t="str">
            <v>rechaza</v>
          </cell>
          <cell r="F2" t="str">
            <v>abstiene</v>
          </cell>
          <cell r="G2" t="str">
            <v>no voto</v>
          </cell>
        </row>
        <row r="18">
          <cell r="D18">
            <v>5</v>
          </cell>
          <cell r="E18">
            <v>35</v>
          </cell>
          <cell r="F18">
            <v>0</v>
          </cell>
          <cell r="G18">
            <v>0</v>
          </cell>
        </row>
        <row r="24">
          <cell r="D24">
            <v>9</v>
          </cell>
          <cell r="E24">
            <v>17</v>
          </cell>
          <cell r="F24">
            <v>12</v>
          </cell>
          <cell r="G24">
            <v>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09BA9-C96F-4FE0-B44D-888C266D7CDC}">
  <dimension ref="A1:M999"/>
  <sheetViews>
    <sheetView topLeftCell="A129" workbookViewId="0">
      <selection activeCell="F13" sqref="F13"/>
    </sheetView>
  </sheetViews>
  <sheetFormatPr baseColWidth="10" defaultColWidth="12.6328125" defaultRowHeight="15" customHeight="1" x14ac:dyDescent="0.3"/>
  <cols>
    <col min="1" max="1" width="15.7265625" style="1" customWidth="1"/>
    <col min="2" max="2" width="42.26953125" style="1" customWidth="1"/>
    <col min="3" max="7" width="10.6328125" style="1" customWidth="1"/>
    <col min="8" max="8" width="11.36328125" style="1" customWidth="1"/>
    <col min="9" max="25" width="10.6328125" style="1" customWidth="1"/>
    <col min="26" max="16384" width="12.6328125" style="1"/>
  </cols>
  <sheetData>
    <row r="1" spans="1:13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4.25" customHeight="1" x14ac:dyDescent="0.3">
      <c r="A2" s="1" t="s">
        <v>12</v>
      </c>
      <c r="B2" s="1" t="s">
        <v>13</v>
      </c>
      <c r="C2" s="1">
        <v>1</v>
      </c>
      <c r="H2" s="2" t="s">
        <v>14</v>
      </c>
      <c r="I2" s="3">
        <f t="shared" ref="I2:L2" si="0">SUM(C22+C37+C55+C65+C66+C96+C105+C113+C128+C146+C150)</f>
        <v>10</v>
      </c>
      <c r="J2" s="3">
        <f t="shared" si="0"/>
        <v>0</v>
      </c>
      <c r="K2" s="3">
        <f t="shared" si="0"/>
        <v>0</v>
      </c>
      <c r="L2" s="3">
        <f t="shared" si="0"/>
        <v>1</v>
      </c>
      <c r="M2" s="3">
        <f t="shared" ref="M2:M13" si="1">SUM(I2:L2)</f>
        <v>11</v>
      </c>
    </row>
    <row r="3" spans="1:13" ht="14.25" customHeight="1" x14ac:dyDescent="0.3">
      <c r="A3" s="1" t="s">
        <v>15</v>
      </c>
      <c r="B3" s="1" t="s">
        <v>16</v>
      </c>
      <c r="C3" s="1">
        <v>1</v>
      </c>
      <c r="H3" s="2" t="s">
        <v>17</v>
      </c>
      <c r="I3" s="3">
        <f t="shared" ref="I3:L3" si="2">SUM(C6+C32+C50+C52+C58+C69+C76+C94+C115+C122+C123+C152)</f>
        <v>11</v>
      </c>
      <c r="J3" s="3">
        <f t="shared" si="2"/>
        <v>0</v>
      </c>
      <c r="K3" s="3">
        <f t="shared" si="2"/>
        <v>0</v>
      </c>
      <c r="L3" s="3">
        <f t="shared" si="2"/>
        <v>1</v>
      </c>
      <c r="M3" s="3">
        <f t="shared" si="1"/>
        <v>12</v>
      </c>
    </row>
    <row r="4" spans="1:13" ht="14.25" customHeight="1" x14ac:dyDescent="0.3">
      <c r="A4" s="1" t="s">
        <v>18</v>
      </c>
      <c r="B4" s="1" t="s">
        <v>13</v>
      </c>
      <c r="C4" s="1">
        <v>1</v>
      </c>
      <c r="H4" s="2" t="s">
        <v>19</v>
      </c>
      <c r="I4" s="3">
        <f t="shared" ref="I4:L4" si="3">SUM(C26+C14+C27+C62+C68+C124+C138+C142+C153+C155)</f>
        <v>10</v>
      </c>
      <c r="J4" s="3">
        <f t="shared" si="3"/>
        <v>0</v>
      </c>
      <c r="K4" s="3">
        <f t="shared" si="3"/>
        <v>0</v>
      </c>
      <c r="L4" s="3">
        <f t="shared" si="3"/>
        <v>0</v>
      </c>
      <c r="M4" s="3">
        <f t="shared" si="1"/>
        <v>10</v>
      </c>
    </row>
    <row r="5" spans="1:13" ht="14.25" customHeight="1" x14ac:dyDescent="0.3">
      <c r="A5" s="1" t="s">
        <v>20</v>
      </c>
      <c r="B5" s="1" t="s">
        <v>21</v>
      </c>
      <c r="C5" s="1">
        <v>1</v>
      </c>
      <c r="H5" s="2" t="s">
        <v>22</v>
      </c>
      <c r="I5" s="3">
        <f t="shared" ref="I5:L5" si="4">SUM(C5+C36+C56+C63+C73+C85+C87+C95+C135)</f>
        <v>8</v>
      </c>
      <c r="J5" s="3">
        <f t="shared" si="4"/>
        <v>0</v>
      </c>
      <c r="K5" s="3">
        <f t="shared" si="4"/>
        <v>0</v>
      </c>
      <c r="L5" s="3">
        <f t="shared" si="4"/>
        <v>1</v>
      </c>
      <c r="M5" s="3">
        <f t="shared" si="1"/>
        <v>9</v>
      </c>
    </row>
    <row r="6" spans="1:13" ht="14.25" customHeight="1" x14ac:dyDescent="0.3">
      <c r="A6" s="1" t="s">
        <v>23</v>
      </c>
      <c r="B6" s="1" t="s">
        <v>24</v>
      </c>
      <c r="C6" s="1">
        <v>1</v>
      </c>
      <c r="H6" s="2" t="s">
        <v>25</v>
      </c>
      <c r="I6" s="3">
        <f t="shared" ref="I6:L6" si="5">SUM(C12+C15+C18+C28+C41+C59+C78+C64+C82+C83+C86+C106+C119+C143+C148+C154)</f>
        <v>14</v>
      </c>
      <c r="J6" s="3">
        <f t="shared" si="5"/>
        <v>0</v>
      </c>
      <c r="K6" s="3">
        <f t="shared" si="5"/>
        <v>1</v>
      </c>
      <c r="L6" s="3">
        <f t="shared" si="5"/>
        <v>1</v>
      </c>
      <c r="M6" s="3">
        <f t="shared" si="1"/>
        <v>16</v>
      </c>
    </row>
    <row r="7" spans="1:13" ht="14.25" customHeight="1" x14ac:dyDescent="0.3">
      <c r="A7" s="1" t="s">
        <v>26</v>
      </c>
      <c r="B7" s="1" t="s">
        <v>27</v>
      </c>
      <c r="C7" s="1">
        <v>1</v>
      </c>
      <c r="H7" s="2" t="s">
        <v>28</v>
      </c>
      <c r="I7" s="3">
        <f t="shared" ref="I7:L7" si="6">SUM(C3+C20+C46+C49+C54+C89+C90+C102+C112+C114+C129+C141)</f>
        <v>12</v>
      </c>
      <c r="J7" s="3">
        <f t="shared" si="6"/>
        <v>0</v>
      </c>
      <c r="K7" s="3">
        <f t="shared" si="6"/>
        <v>0</v>
      </c>
      <c r="L7" s="3">
        <f t="shared" si="6"/>
        <v>0</v>
      </c>
      <c r="M7" s="3">
        <f t="shared" si="1"/>
        <v>12</v>
      </c>
    </row>
    <row r="8" spans="1:13" ht="14.25" customHeight="1" x14ac:dyDescent="0.3">
      <c r="A8" s="1" t="s">
        <v>29</v>
      </c>
      <c r="B8" s="1" t="s">
        <v>30</v>
      </c>
      <c r="D8" s="1">
        <v>1</v>
      </c>
      <c r="H8" s="2" t="s">
        <v>27</v>
      </c>
      <c r="I8" s="3">
        <f t="shared" ref="I8:L8" si="7">SUM(C7+C30+C29+C44+C51+C60+C72+C79+C101+C99+C107+C111+C117+C140+C144)</f>
        <v>15</v>
      </c>
      <c r="J8" s="3">
        <f t="shared" si="7"/>
        <v>0</v>
      </c>
      <c r="K8" s="3">
        <f t="shared" si="7"/>
        <v>0</v>
      </c>
      <c r="L8" s="3">
        <f t="shared" si="7"/>
        <v>0</v>
      </c>
      <c r="M8" s="3">
        <f t="shared" si="1"/>
        <v>15</v>
      </c>
    </row>
    <row r="9" spans="1:13" ht="14.25" customHeight="1" x14ac:dyDescent="0.3">
      <c r="A9" s="1" t="s">
        <v>31</v>
      </c>
      <c r="B9" s="1" t="s">
        <v>13</v>
      </c>
      <c r="C9" s="1">
        <v>1</v>
      </c>
      <c r="H9" s="2" t="s">
        <v>13</v>
      </c>
      <c r="I9" s="3">
        <f t="shared" ref="I9:J9" si="8">SUM(C4+C9+C17+C19+C2+C48+C92+C120+C126+C127+C130+C133+C151)</f>
        <v>13</v>
      </c>
      <c r="J9" s="3">
        <f t="shared" si="8"/>
        <v>0</v>
      </c>
      <c r="K9" s="3">
        <f>SUM(D4+D9+D17+D19+D2+D48+D92+D120+D126+D127+D130+D133+D151)</f>
        <v>0</v>
      </c>
      <c r="L9" s="3">
        <f>SUM(F4+F9+F17+F19+F2+F48+F92+F120+F126+F127+F130+F133+F151)</f>
        <v>0</v>
      </c>
      <c r="M9" s="3">
        <f t="shared" si="1"/>
        <v>13</v>
      </c>
    </row>
    <row r="10" spans="1:13" ht="14.25" customHeight="1" x14ac:dyDescent="0.3">
      <c r="A10" s="1" t="s">
        <v>32</v>
      </c>
      <c r="B10" s="1" t="s">
        <v>33</v>
      </c>
      <c r="C10" s="1">
        <v>1</v>
      </c>
      <c r="H10" s="2" t="s">
        <v>30</v>
      </c>
      <c r="I10" s="3">
        <f t="shared" ref="I10:L10" si="9">SUM(C8+C13+C16+C25+C31+C35+C43+C45+C70+C71+C75+C81+C88+C93+C98+C100+C104+C118+C136+C137+C156)</f>
        <v>0</v>
      </c>
      <c r="J10" s="3">
        <f t="shared" si="9"/>
        <v>21</v>
      </c>
      <c r="K10" s="3">
        <f t="shared" si="9"/>
        <v>0</v>
      </c>
      <c r="L10" s="3">
        <f t="shared" si="9"/>
        <v>0</v>
      </c>
      <c r="M10" s="3">
        <f t="shared" si="1"/>
        <v>21</v>
      </c>
    </row>
    <row r="11" spans="1:13" ht="14.25" customHeight="1" x14ac:dyDescent="0.3">
      <c r="A11" s="1" t="s">
        <v>34</v>
      </c>
      <c r="B11" s="1" t="s">
        <v>33</v>
      </c>
      <c r="C11" s="1">
        <v>1</v>
      </c>
      <c r="H11" s="2" t="s">
        <v>35</v>
      </c>
      <c r="I11" s="3">
        <f t="shared" ref="I11:L11" si="10">SUM(C38+C42+C47+C53+C74+C77+C80+C91+C97+C103+C108+C116+C131+C145+C147)</f>
        <v>0</v>
      </c>
      <c r="J11" s="3">
        <f t="shared" si="10"/>
        <v>5</v>
      </c>
      <c r="K11" s="3">
        <f t="shared" si="10"/>
        <v>10</v>
      </c>
      <c r="L11" s="3">
        <f t="shared" si="10"/>
        <v>0</v>
      </c>
      <c r="M11" s="3">
        <f t="shared" si="1"/>
        <v>15</v>
      </c>
    </row>
    <row r="12" spans="1:13" ht="14.25" customHeight="1" x14ac:dyDescent="0.3">
      <c r="A12" s="1" t="s">
        <v>36</v>
      </c>
      <c r="B12" s="1" t="s">
        <v>37</v>
      </c>
      <c r="C12" s="1">
        <v>1</v>
      </c>
      <c r="H12" s="2" t="s">
        <v>38</v>
      </c>
      <c r="I12" s="3">
        <f t="shared" ref="I12:L12" si="11">SUM(C21+C24+C34+C40+C67+C84+C132)</f>
        <v>5</v>
      </c>
      <c r="J12" s="3">
        <f t="shared" si="11"/>
        <v>0</v>
      </c>
      <c r="K12" s="3">
        <f t="shared" si="11"/>
        <v>1</v>
      </c>
      <c r="L12" s="3">
        <f t="shared" si="11"/>
        <v>1</v>
      </c>
      <c r="M12" s="3">
        <f t="shared" si="1"/>
        <v>7</v>
      </c>
    </row>
    <row r="13" spans="1:13" ht="14.25" customHeight="1" x14ac:dyDescent="0.3">
      <c r="A13" s="1" t="s">
        <v>39</v>
      </c>
      <c r="B13" s="1" t="s">
        <v>30</v>
      </c>
      <c r="D13" s="1">
        <v>1</v>
      </c>
      <c r="H13" s="2" t="s">
        <v>33</v>
      </c>
      <c r="I13" s="3">
        <f t="shared" ref="I13:L13" si="12">SUM(C10+C11+C57+C125+C149)</f>
        <v>5</v>
      </c>
      <c r="J13" s="3">
        <f t="shared" si="12"/>
        <v>0</v>
      </c>
      <c r="K13" s="3">
        <f t="shared" si="12"/>
        <v>0</v>
      </c>
      <c r="L13" s="3">
        <f t="shared" si="12"/>
        <v>0</v>
      </c>
      <c r="M13" s="3">
        <f t="shared" si="1"/>
        <v>5</v>
      </c>
    </row>
    <row r="14" spans="1:13" ht="14.25" customHeight="1" x14ac:dyDescent="0.3">
      <c r="A14" s="1" t="s">
        <v>40</v>
      </c>
      <c r="B14" s="1" t="s">
        <v>19</v>
      </c>
      <c r="C14" s="1">
        <v>1</v>
      </c>
      <c r="I14" s="4"/>
      <c r="J14" s="4"/>
      <c r="K14" s="4"/>
      <c r="L14" s="4"/>
    </row>
    <row r="15" spans="1:13" ht="14.25" customHeight="1" x14ac:dyDescent="0.3">
      <c r="A15" s="1" t="s">
        <v>41</v>
      </c>
      <c r="B15" s="1" t="s">
        <v>42</v>
      </c>
      <c r="C15" s="1">
        <v>1</v>
      </c>
      <c r="I15" s="4"/>
      <c r="J15" s="4"/>
      <c r="K15" s="4"/>
      <c r="L15" s="4"/>
    </row>
    <row r="16" spans="1:13" ht="14.25" customHeight="1" x14ac:dyDescent="0.3">
      <c r="A16" s="1" t="s">
        <v>43</v>
      </c>
      <c r="B16" s="1" t="s">
        <v>30</v>
      </c>
      <c r="D16" s="1">
        <v>1</v>
      </c>
      <c r="I16" s="4"/>
      <c r="J16" s="4"/>
      <c r="K16" s="4"/>
      <c r="L16" s="4"/>
    </row>
    <row r="17" spans="1:12" ht="14.25" customHeight="1" x14ac:dyDescent="0.3">
      <c r="A17" s="1" t="s">
        <v>44</v>
      </c>
      <c r="B17" s="1" t="s">
        <v>13</v>
      </c>
      <c r="C17" s="1">
        <v>1</v>
      </c>
      <c r="I17" s="4"/>
      <c r="J17" s="4"/>
      <c r="K17" s="4"/>
      <c r="L17" s="4"/>
    </row>
    <row r="18" spans="1:12" ht="14.25" customHeight="1" x14ac:dyDescent="0.3">
      <c r="A18" s="1" t="s">
        <v>45</v>
      </c>
      <c r="B18" s="1" t="s">
        <v>37</v>
      </c>
      <c r="C18" s="1">
        <v>1</v>
      </c>
      <c r="I18" s="4"/>
      <c r="J18" s="4"/>
      <c r="K18" s="4"/>
      <c r="L18" s="4"/>
    </row>
    <row r="19" spans="1:12" ht="14.25" customHeight="1" x14ac:dyDescent="0.3">
      <c r="A19" s="1" t="s">
        <v>46</v>
      </c>
      <c r="B19" s="1" t="s">
        <v>13</v>
      </c>
      <c r="C19" s="1">
        <v>1</v>
      </c>
    </row>
    <row r="20" spans="1:12" ht="14.25" customHeight="1" x14ac:dyDescent="0.3">
      <c r="A20" s="1" t="s">
        <v>47</v>
      </c>
      <c r="B20" s="1" t="s">
        <v>16</v>
      </c>
      <c r="C20" s="1">
        <v>1</v>
      </c>
    </row>
    <row r="21" spans="1:12" ht="14.25" customHeight="1" x14ac:dyDescent="0.3">
      <c r="A21" s="1" t="s">
        <v>48</v>
      </c>
      <c r="B21" s="1" t="s">
        <v>38</v>
      </c>
      <c r="C21" s="1">
        <v>1</v>
      </c>
    </row>
    <row r="22" spans="1:12" ht="14.25" customHeight="1" x14ac:dyDescent="0.3">
      <c r="A22" s="1" t="s">
        <v>49</v>
      </c>
      <c r="B22" s="1" t="s">
        <v>14</v>
      </c>
      <c r="C22" s="1">
        <v>1</v>
      </c>
    </row>
    <row r="23" spans="1:12" ht="14.25" customHeight="1" x14ac:dyDescent="0.3">
      <c r="A23" s="1" t="s">
        <v>50</v>
      </c>
      <c r="B23" s="1" t="s">
        <v>13</v>
      </c>
      <c r="C23" s="1">
        <v>1</v>
      </c>
    </row>
    <row r="24" spans="1:12" ht="14.25" customHeight="1" x14ac:dyDescent="0.3">
      <c r="A24" s="1" t="s">
        <v>51</v>
      </c>
      <c r="B24" s="1" t="s">
        <v>38</v>
      </c>
      <c r="E24" s="1">
        <v>1</v>
      </c>
    </row>
    <row r="25" spans="1:12" ht="14.25" customHeight="1" x14ac:dyDescent="0.3">
      <c r="A25" s="1" t="s">
        <v>52</v>
      </c>
      <c r="B25" s="1" t="s">
        <v>30</v>
      </c>
      <c r="D25" s="1">
        <v>1</v>
      </c>
    </row>
    <row r="26" spans="1:12" ht="14.25" customHeight="1" x14ac:dyDescent="0.3">
      <c r="A26" s="1" t="s">
        <v>53</v>
      </c>
      <c r="B26" s="1" t="s">
        <v>19</v>
      </c>
      <c r="C26" s="1">
        <v>1</v>
      </c>
    </row>
    <row r="27" spans="1:12" ht="14.25" customHeight="1" x14ac:dyDescent="0.3">
      <c r="A27" s="1" t="s">
        <v>54</v>
      </c>
      <c r="B27" s="1" t="s">
        <v>19</v>
      </c>
      <c r="C27" s="1">
        <v>1</v>
      </c>
    </row>
    <row r="28" spans="1:12" ht="14.25" customHeight="1" x14ac:dyDescent="0.3">
      <c r="A28" s="1" t="s">
        <v>55</v>
      </c>
      <c r="B28" s="1" t="s">
        <v>37</v>
      </c>
      <c r="C28" s="1">
        <v>1</v>
      </c>
    </row>
    <row r="29" spans="1:12" ht="14.25" customHeight="1" x14ac:dyDescent="0.3">
      <c r="A29" s="1" t="s">
        <v>56</v>
      </c>
      <c r="B29" s="1" t="s">
        <v>27</v>
      </c>
      <c r="C29" s="1">
        <v>1</v>
      </c>
    </row>
    <row r="30" spans="1:12" ht="14.25" customHeight="1" x14ac:dyDescent="0.3">
      <c r="A30" s="1" t="s">
        <v>57</v>
      </c>
      <c r="B30" s="1" t="s">
        <v>27</v>
      </c>
      <c r="C30" s="1">
        <v>1</v>
      </c>
    </row>
    <row r="31" spans="1:12" ht="14.25" customHeight="1" x14ac:dyDescent="0.3">
      <c r="A31" s="1" t="s">
        <v>58</v>
      </c>
      <c r="B31" s="1" t="s">
        <v>30</v>
      </c>
      <c r="D31" s="1">
        <v>1</v>
      </c>
    </row>
    <row r="32" spans="1:12" ht="14.25" customHeight="1" x14ac:dyDescent="0.3">
      <c r="A32" s="1" t="s">
        <v>59</v>
      </c>
      <c r="B32" s="1" t="s">
        <v>24</v>
      </c>
      <c r="C32" s="1">
        <v>1</v>
      </c>
    </row>
    <row r="33" spans="1:12" ht="14.25" customHeight="1" x14ac:dyDescent="0.3">
      <c r="A33" s="1" t="s">
        <v>60</v>
      </c>
      <c r="B33" s="1" t="s">
        <v>27</v>
      </c>
      <c r="C33" s="1">
        <v>1</v>
      </c>
    </row>
    <row r="34" spans="1:12" ht="14.25" customHeight="1" x14ac:dyDescent="0.3">
      <c r="A34" s="1" t="s">
        <v>61</v>
      </c>
      <c r="B34" s="1" t="s">
        <v>38</v>
      </c>
      <c r="C34" s="1">
        <v>1</v>
      </c>
    </row>
    <row r="35" spans="1:12" ht="14.25" customHeight="1" x14ac:dyDescent="0.3">
      <c r="A35" s="1" t="s">
        <v>62</v>
      </c>
      <c r="B35" s="1" t="s">
        <v>30</v>
      </c>
      <c r="D35" s="1">
        <v>1</v>
      </c>
    </row>
    <row r="36" spans="1:12" ht="14.25" customHeight="1" x14ac:dyDescent="0.3">
      <c r="A36" s="1" t="s">
        <v>63</v>
      </c>
      <c r="B36" s="1" t="s">
        <v>21</v>
      </c>
      <c r="C36" s="1">
        <v>1</v>
      </c>
    </row>
    <row r="37" spans="1:12" ht="14.25" customHeight="1" x14ac:dyDescent="0.3">
      <c r="A37" s="1" t="s">
        <v>64</v>
      </c>
      <c r="B37" s="1" t="s">
        <v>14</v>
      </c>
      <c r="C37" s="1">
        <v>1</v>
      </c>
    </row>
    <row r="38" spans="1:12" ht="14.25" customHeight="1" x14ac:dyDescent="0.3">
      <c r="A38" s="1" t="s">
        <v>65</v>
      </c>
      <c r="B38" s="1" t="s">
        <v>66</v>
      </c>
      <c r="E38" s="1">
        <v>1</v>
      </c>
    </row>
    <row r="39" spans="1:12" ht="14.25" customHeight="1" x14ac:dyDescent="0.3">
      <c r="A39" s="1" t="s">
        <v>67</v>
      </c>
      <c r="B39" s="1" t="s">
        <v>16</v>
      </c>
      <c r="C39" s="1">
        <v>1</v>
      </c>
    </row>
    <row r="40" spans="1:12" ht="14.25" customHeight="1" x14ac:dyDescent="0.3">
      <c r="A40" s="1" t="s">
        <v>68</v>
      </c>
      <c r="B40" s="1" t="s">
        <v>38</v>
      </c>
      <c r="C40" s="1">
        <v>1</v>
      </c>
    </row>
    <row r="41" spans="1:12" ht="14.25" customHeight="1" x14ac:dyDescent="0.3">
      <c r="A41" s="1" t="s">
        <v>69</v>
      </c>
      <c r="B41" s="1" t="s">
        <v>37</v>
      </c>
      <c r="C41" s="1">
        <v>1</v>
      </c>
    </row>
    <row r="42" spans="1:12" ht="14.25" customHeight="1" x14ac:dyDescent="0.3">
      <c r="A42" s="1" t="s">
        <v>70</v>
      </c>
      <c r="B42" s="1" t="s">
        <v>66</v>
      </c>
      <c r="D42" s="1">
        <v>1</v>
      </c>
    </row>
    <row r="43" spans="1:12" ht="14.25" customHeight="1" x14ac:dyDescent="0.3">
      <c r="A43" s="1" t="s">
        <v>71</v>
      </c>
      <c r="B43" s="1" t="s">
        <v>30</v>
      </c>
      <c r="D43" s="1">
        <v>1</v>
      </c>
    </row>
    <row r="44" spans="1:12" ht="14.25" customHeight="1" x14ac:dyDescent="0.3">
      <c r="A44" s="1" t="s">
        <v>72</v>
      </c>
      <c r="B44" s="1" t="s">
        <v>27</v>
      </c>
      <c r="C44" s="1">
        <v>1</v>
      </c>
    </row>
    <row r="45" spans="1:12" ht="14.25" customHeight="1" x14ac:dyDescent="0.3">
      <c r="A45" s="1" t="s">
        <v>73</v>
      </c>
      <c r="B45" s="1" t="s">
        <v>30</v>
      </c>
      <c r="D45" s="1">
        <v>1</v>
      </c>
      <c r="H45" s="1" t="s">
        <v>6</v>
      </c>
      <c r="I45" s="1" t="s">
        <v>7</v>
      </c>
      <c r="J45" s="1" t="s">
        <v>8</v>
      </c>
      <c r="K45" s="1" t="s">
        <v>9</v>
      </c>
      <c r="L45" s="1" t="s">
        <v>10</v>
      </c>
    </row>
    <row r="46" spans="1:12" ht="14.25" customHeight="1" x14ac:dyDescent="0.3">
      <c r="A46" s="1" t="s">
        <v>74</v>
      </c>
      <c r="B46" s="1" t="s">
        <v>16</v>
      </c>
      <c r="C46" s="1">
        <v>1</v>
      </c>
      <c r="H46" s="2" t="s">
        <v>14</v>
      </c>
      <c r="I46" s="4">
        <f t="shared" ref="I46:I57" si="13">I2/M2</f>
        <v>0.90909090909090906</v>
      </c>
      <c r="J46" s="4">
        <f t="shared" ref="J46:J57" si="14">J2/M2</f>
        <v>0</v>
      </c>
      <c r="K46" s="4">
        <f t="shared" ref="K46:K57" si="15">K2/M2</f>
        <v>0</v>
      </c>
      <c r="L46" s="4">
        <f t="shared" ref="L46:L57" si="16">L2/M2</f>
        <v>9.0909090909090912E-2</v>
      </c>
    </row>
    <row r="47" spans="1:12" ht="14.25" customHeight="1" x14ac:dyDescent="0.3">
      <c r="A47" s="1" t="s">
        <v>75</v>
      </c>
      <c r="B47" s="1" t="s">
        <v>66</v>
      </c>
      <c r="E47" s="1">
        <v>1</v>
      </c>
      <c r="H47" s="2" t="s">
        <v>17</v>
      </c>
      <c r="I47" s="4">
        <f t="shared" si="13"/>
        <v>0.91666666666666663</v>
      </c>
      <c r="J47" s="4">
        <f t="shared" si="14"/>
        <v>0</v>
      </c>
      <c r="K47" s="4">
        <f t="shared" si="15"/>
        <v>0</v>
      </c>
      <c r="L47" s="4">
        <f t="shared" si="16"/>
        <v>8.3333333333333329E-2</v>
      </c>
    </row>
    <row r="48" spans="1:12" ht="14.25" customHeight="1" x14ac:dyDescent="0.3">
      <c r="A48" s="1" t="s">
        <v>76</v>
      </c>
      <c r="B48" s="1" t="s">
        <v>13</v>
      </c>
      <c r="C48" s="1">
        <v>1</v>
      </c>
      <c r="H48" s="2" t="s">
        <v>19</v>
      </c>
      <c r="I48" s="4">
        <f t="shared" si="13"/>
        <v>1</v>
      </c>
      <c r="J48" s="4">
        <f t="shared" si="14"/>
        <v>0</v>
      </c>
      <c r="K48" s="4">
        <f t="shared" si="15"/>
        <v>0</v>
      </c>
      <c r="L48" s="4">
        <f t="shared" si="16"/>
        <v>0</v>
      </c>
    </row>
    <row r="49" spans="1:12" ht="14.25" customHeight="1" x14ac:dyDescent="0.3">
      <c r="A49" s="1" t="s">
        <v>77</v>
      </c>
      <c r="B49" s="1" t="s">
        <v>16</v>
      </c>
      <c r="C49" s="1">
        <v>1</v>
      </c>
      <c r="H49" s="2" t="s">
        <v>22</v>
      </c>
      <c r="I49" s="4">
        <f t="shared" si="13"/>
        <v>0.88888888888888884</v>
      </c>
      <c r="J49" s="4">
        <f t="shared" si="14"/>
        <v>0</v>
      </c>
      <c r="K49" s="4">
        <f t="shared" si="15"/>
        <v>0</v>
      </c>
      <c r="L49" s="4">
        <f t="shared" si="16"/>
        <v>0.1111111111111111</v>
      </c>
    </row>
    <row r="50" spans="1:12" ht="14.25" customHeight="1" x14ac:dyDescent="0.3">
      <c r="A50" s="1" t="s">
        <v>78</v>
      </c>
      <c r="B50" s="1" t="s">
        <v>24</v>
      </c>
      <c r="F50" s="1">
        <v>1</v>
      </c>
      <c r="H50" s="2" t="s">
        <v>25</v>
      </c>
      <c r="I50" s="4">
        <f t="shared" si="13"/>
        <v>0.875</v>
      </c>
      <c r="J50" s="4">
        <f t="shared" si="14"/>
        <v>0</v>
      </c>
      <c r="K50" s="4">
        <f t="shared" si="15"/>
        <v>6.25E-2</v>
      </c>
      <c r="L50" s="4">
        <f t="shared" si="16"/>
        <v>6.25E-2</v>
      </c>
    </row>
    <row r="51" spans="1:12" ht="14.25" customHeight="1" x14ac:dyDescent="0.3">
      <c r="A51" s="1" t="s">
        <v>79</v>
      </c>
      <c r="B51" s="1" t="s">
        <v>27</v>
      </c>
      <c r="C51" s="1">
        <v>1</v>
      </c>
      <c r="H51" s="2" t="s">
        <v>28</v>
      </c>
      <c r="I51" s="4">
        <f t="shared" si="13"/>
        <v>1</v>
      </c>
      <c r="J51" s="4">
        <f t="shared" si="14"/>
        <v>0</v>
      </c>
      <c r="K51" s="4">
        <f t="shared" si="15"/>
        <v>0</v>
      </c>
      <c r="L51" s="4">
        <f t="shared" si="16"/>
        <v>0</v>
      </c>
    </row>
    <row r="52" spans="1:12" ht="14.25" customHeight="1" x14ac:dyDescent="0.3">
      <c r="A52" s="1" t="s">
        <v>80</v>
      </c>
      <c r="B52" s="1" t="s">
        <v>24</v>
      </c>
      <c r="C52" s="1">
        <v>1</v>
      </c>
      <c r="H52" s="2" t="s">
        <v>27</v>
      </c>
      <c r="I52" s="4">
        <f t="shared" si="13"/>
        <v>1</v>
      </c>
      <c r="J52" s="4">
        <f t="shared" si="14"/>
        <v>0</v>
      </c>
      <c r="K52" s="4">
        <f t="shared" si="15"/>
        <v>0</v>
      </c>
      <c r="L52" s="4">
        <f t="shared" si="16"/>
        <v>0</v>
      </c>
    </row>
    <row r="53" spans="1:12" ht="14.25" customHeight="1" x14ac:dyDescent="0.3">
      <c r="A53" s="1" t="s">
        <v>81</v>
      </c>
      <c r="B53" s="1" t="s">
        <v>66</v>
      </c>
      <c r="D53" s="1">
        <v>1</v>
      </c>
      <c r="H53" s="2" t="s">
        <v>13</v>
      </c>
      <c r="I53" s="4">
        <f t="shared" si="13"/>
        <v>1</v>
      </c>
      <c r="J53" s="4">
        <f t="shared" si="14"/>
        <v>0</v>
      </c>
      <c r="K53" s="4">
        <f t="shared" si="15"/>
        <v>0</v>
      </c>
      <c r="L53" s="4">
        <f t="shared" si="16"/>
        <v>0</v>
      </c>
    </row>
    <row r="54" spans="1:12" ht="14.25" customHeight="1" x14ac:dyDescent="0.3">
      <c r="A54" s="1" t="s">
        <v>82</v>
      </c>
      <c r="B54" s="1" t="s">
        <v>16</v>
      </c>
      <c r="C54" s="1">
        <v>1</v>
      </c>
      <c r="H54" s="2" t="s">
        <v>30</v>
      </c>
      <c r="I54" s="4">
        <f t="shared" si="13"/>
        <v>0</v>
      </c>
      <c r="J54" s="4">
        <f t="shared" si="14"/>
        <v>1</v>
      </c>
      <c r="K54" s="4">
        <f t="shared" si="15"/>
        <v>0</v>
      </c>
      <c r="L54" s="4">
        <f t="shared" si="16"/>
        <v>0</v>
      </c>
    </row>
    <row r="55" spans="1:12" ht="14.25" customHeight="1" x14ac:dyDescent="0.3">
      <c r="A55" s="1" t="s">
        <v>83</v>
      </c>
      <c r="B55" s="1" t="s">
        <v>14</v>
      </c>
      <c r="C55" s="1">
        <v>1</v>
      </c>
      <c r="H55" s="2" t="s">
        <v>35</v>
      </c>
      <c r="I55" s="4">
        <f t="shared" si="13"/>
        <v>0</v>
      </c>
      <c r="J55" s="4">
        <f t="shared" si="14"/>
        <v>0.33333333333333331</v>
      </c>
      <c r="K55" s="4">
        <f t="shared" si="15"/>
        <v>0.66666666666666663</v>
      </c>
      <c r="L55" s="4">
        <f t="shared" si="16"/>
        <v>0</v>
      </c>
    </row>
    <row r="56" spans="1:12" ht="14.25" customHeight="1" x14ac:dyDescent="0.3">
      <c r="A56" s="1" t="s">
        <v>84</v>
      </c>
      <c r="B56" s="1" t="s">
        <v>21</v>
      </c>
      <c r="C56" s="1">
        <v>1</v>
      </c>
      <c r="H56" s="2" t="s">
        <v>38</v>
      </c>
      <c r="I56" s="4">
        <f t="shared" si="13"/>
        <v>0.7142857142857143</v>
      </c>
      <c r="J56" s="4">
        <f t="shared" si="14"/>
        <v>0</v>
      </c>
      <c r="K56" s="4">
        <f t="shared" si="15"/>
        <v>0.14285714285714285</v>
      </c>
      <c r="L56" s="4">
        <f t="shared" si="16"/>
        <v>0.14285714285714285</v>
      </c>
    </row>
    <row r="57" spans="1:12" ht="14.25" customHeight="1" x14ac:dyDescent="0.3">
      <c r="A57" s="1" t="s">
        <v>85</v>
      </c>
      <c r="B57" s="1" t="s">
        <v>33</v>
      </c>
      <c r="C57" s="1">
        <v>1</v>
      </c>
      <c r="H57" s="2" t="s">
        <v>33</v>
      </c>
      <c r="I57" s="4">
        <f t="shared" si="13"/>
        <v>1</v>
      </c>
      <c r="J57" s="4">
        <f t="shared" si="14"/>
        <v>0</v>
      </c>
      <c r="K57" s="4">
        <f t="shared" si="15"/>
        <v>0</v>
      </c>
      <c r="L57" s="4">
        <f t="shared" si="16"/>
        <v>0</v>
      </c>
    </row>
    <row r="58" spans="1:12" ht="14.25" customHeight="1" x14ac:dyDescent="0.3">
      <c r="A58" s="1" t="s">
        <v>86</v>
      </c>
      <c r="B58" s="1" t="s">
        <v>24</v>
      </c>
      <c r="C58" s="1">
        <v>1</v>
      </c>
    </row>
    <row r="59" spans="1:12" ht="14.25" customHeight="1" x14ac:dyDescent="0.3">
      <c r="A59" s="1" t="s">
        <v>87</v>
      </c>
      <c r="B59" s="1" t="s">
        <v>37</v>
      </c>
      <c r="F59" s="1">
        <v>1</v>
      </c>
    </row>
    <row r="60" spans="1:12" ht="14.25" customHeight="1" x14ac:dyDescent="0.3">
      <c r="A60" s="1" t="s">
        <v>88</v>
      </c>
      <c r="B60" s="1" t="s">
        <v>27</v>
      </c>
      <c r="C60" s="1">
        <v>1</v>
      </c>
    </row>
    <row r="61" spans="1:12" ht="14.25" customHeight="1" x14ac:dyDescent="0.3">
      <c r="A61" s="1" t="s">
        <v>89</v>
      </c>
      <c r="B61" s="1" t="s">
        <v>13</v>
      </c>
      <c r="C61" s="1">
        <v>1</v>
      </c>
    </row>
    <row r="62" spans="1:12" ht="14.25" customHeight="1" x14ac:dyDescent="0.3">
      <c r="A62" s="1" t="s">
        <v>90</v>
      </c>
      <c r="B62" s="1" t="s">
        <v>19</v>
      </c>
      <c r="C62" s="1">
        <v>1</v>
      </c>
    </row>
    <row r="63" spans="1:12" ht="14.25" customHeight="1" x14ac:dyDescent="0.3">
      <c r="A63" s="1" t="s">
        <v>91</v>
      </c>
      <c r="B63" s="1" t="s">
        <v>21</v>
      </c>
      <c r="F63" s="1">
        <v>1</v>
      </c>
    </row>
    <row r="64" spans="1:12" ht="14.25" customHeight="1" x14ac:dyDescent="0.3">
      <c r="A64" s="1" t="s">
        <v>92</v>
      </c>
      <c r="B64" s="1" t="s">
        <v>42</v>
      </c>
      <c r="E64" s="1">
        <v>1</v>
      </c>
    </row>
    <row r="65" spans="1:6" ht="14.25" customHeight="1" x14ac:dyDescent="0.3">
      <c r="A65" s="1" t="s">
        <v>93</v>
      </c>
      <c r="B65" s="1" t="s">
        <v>14</v>
      </c>
      <c r="C65" s="1">
        <v>1</v>
      </c>
    </row>
    <row r="66" spans="1:6" ht="14.25" customHeight="1" x14ac:dyDescent="0.3">
      <c r="A66" s="1" t="s">
        <v>94</v>
      </c>
      <c r="B66" s="1" t="s">
        <v>14</v>
      </c>
      <c r="C66" s="1">
        <v>1</v>
      </c>
    </row>
    <row r="67" spans="1:6" ht="14.25" customHeight="1" x14ac:dyDescent="0.3">
      <c r="A67" s="1" t="s">
        <v>95</v>
      </c>
      <c r="B67" s="1" t="s">
        <v>38</v>
      </c>
      <c r="F67" s="1">
        <v>1</v>
      </c>
    </row>
    <row r="68" spans="1:6" ht="14.25" customHeight="1" x14ac:dyDescent="0.3">
      <c r="A68" s="1" t="s">
        <v>96</v>
      </c>
      <c r="B68" s="1" t="s">
        <v>19</v>
      </c>
      <c r="C68" s="1">
        <v>1</v>
      </c>
    </row>
    <row r="69" spans="1:6" ht="14.25" customHeight="1" x14ac:dyDescent="0.3">
      <c r="A69" s="1" t="s">
        <v>97</v>
      </c>
      <c r="B69" s="1" t="s">
        <v>24</v>
      </c>
      <c r="C69" s="1">
        <v>1</v>
      </c>
    </row>
    <row r="70" spans="1:6" ht="14.25" customHeight="1" x14ac:dyDescent="0.3">
      <c r="A70" s="1" t="s">
        <v>98</v>
      </c>
      <c r="B70" s="1" t="s">
        <v>30</v>
      </c>
      <c r="D70" s="1">
        <v>1</v>
      </c>
    </row>
    <row r="71" spans="1:6" ht="14.25" customHeight="1" x14ac:dyDescent="0.3">
      <c r="A71" s="1" t="s">
        <v>99</v>
      </c>
      <c r="B71" s="1" t="s">
        <v>30</v>
      </c>
      <c r="D71" s="1">
        <v>1</v>
      </c>
    </row>
    <row r="72" spans="1:6" ht="14.25" customHeight="1" x14ac:dyDescent="0.3">
      <c r="A72" s="1" t="s">
        <v>100</v>
      </c>
      <c r="B72" s="1" t="s">
        <v>27</v>
      </c>
      <c r="C72" s="1">
        <v>1</v>
      </c>
    </row>
    <row r="73" spans="1:6" ht="14.25" customHeight="1" x14ac:dyDescent="0.3">
      <c r="A73" s="1" t="s">
        <v>101</v>
      </c>
      <c r="B73" s="1" t="s">
        <v>21</v>
      </c>
      <c r="C73" s="1">
        <v>1</v>
      </c>
    </row>
    <row r="74" spans="1:6" ht="14.25" customHeight="1" x14ac:dyDescent="0.3">
      <c r="A74" s="1" t="s">
        <v>102</v>
      </c>
      <c r="B74" s="1" t="s">
        <v>66</v>
      </c>
      <c r="D74" s="1">
        <v>1</v>
      </c>
    </row>
    <row r="75" spans="1:6" ht="14.25" customHeight="1" x14ac:dyDescent="0.3">
      <c r="A75" s="1" t="s">
        <v>103</v>
      </c>
      <c r="B75" s="1" t="s">
        <v>30</v>
      </c>
      <c r="D75" s="1">
        <v>1</v>
      </c>
    </row>
    <row r="76" spans="1:6" ht="14.25" customHeight="1" x14ac:dyDescent="0.3">
      <c r="A76" s="1" t="s">
        <v>104</v>
      </c>
      <c r="B76" s="1" t="s">
        <v>24</v>
      </c>
      <c r="C76" s="1">
        <v>1</v>
      </c>
    </row>
    <row r="77" spans="1:6" ht="14.25" customHeight="1" x14ac:dyDescent="0.3">
      <c r="A77" s="1" t="s">
        <v>105</v>
      </c>
      <c r="B77" s="1" t="s">
        <v>66</v>
      </c>
      <c r="E77" s="1">
        <v>1</v>
      </c>
    </row>
    <row r="78" spans="1:6" ht="14.25" customHeight="1" x14ac:dyDescent="0.3">
      <c r="A78" s="1" t="s">
        <v>106</v>
      </c>
      <c r="B78" s="1" t="s">
        <v>42</v>
      </c>
      <c r="C78" s="1">
        <v>1</v>
      </c>
    </row>
    <row r="79" spans="1:6" ht="14.25" customHeight="1" x14ac:dyDescent="0.3">
      <c r="A79" s="1" t="s">
        <v>107</v>
      </c>
      <c r="B79" s="1" t="s">
        <v>27</v>
      </c>
      <c r="C79" s="1">
        <v>1</v>
      </c>
    </row>
    <row r="80" spans="1:6" ht="14.25" customHeight="1" x14ac:dyDescent="0.3">
      <c r="A80" s="1" t="s">
        <v>108</v>
      </c>
      <c r="B80" s="1" t="s">
        <v>66</v>
      </c>
      <c r="E80" s="1">
        <v>1</v>
      </c>
    </row>
    <row r="81" spans="1:4" ht="14.25" customHeight="1" x14ac:dyDescent="0.3">
      <c r="A81" s="1" t="s">
        <v>109</v>
      </c>
      <c r="B81" s="1" t="s">
        <v>30</v>
      </c>
      <c r="D81" s="1">
        <v>1</v>
      </c>
    </row>
    <row r="82" spans="1:4" ht="14.25" customHeight="1" x14ac:dyDescent="0.3">
      <c r="A82" s="1" t="s">
        <v>110</v>
      </c>
      <c r="B82" s="1" t="s">
        <v>37</v>
      </c>
      <c r="C82" s="1">
        <v>1</v>
      </c>
    </row>
    <row r="83" spans="1:4" ht="14.25" customHeight="1" x14ac:dyDescent="0.3">
      <c r="A83" s="1" t="s">
        <v>111</v>
      </c>
      <c r="B83" s="1" t="s">
        <v>37</v>
      </c>
      <c r="C83" s="1">
        <v>1</v>
      </c>
    </row>
    <row r="84" spans="1:4" ht="14.25" customHeight="1" x14ac:dyDescent="0.3">
      <c r="A84" s="1" t="s">
        <v>112</v>
      </c>
      <c r="B84" s="1" t="s">
        <v>38</v>
      </c>
      <c r="C84" s="1">
        <v>1</v>
      </c>
    </row>
    <row r="85" spans="1:4" ht="14.25" customHeight="1" x14ac:dyDescent="0.3">
      <c r="A85" s="1" t="s">
        <v>113</v>
      </c>
      <c r="B85" s="1" t="s">
        <v>21</v>
      </c>
      <c r="C85" s="1">
        <v>1</v>
      </c>
    </row>
    <row r="86" spans="1:4" ht="14.25" customHeight="1" x14ac:dyDescent="0.3">
      <c r="A86" s="1" t="s">
        <v>114</v>
      </c>
      <c r="B86" s="1" t="s">
        <v>42</v>
      </c>
      <c r="C86" s="1">
        <v>1</v>
      </c>
    </row>
    <row r="87" spans="1:4" ht="14.25" customHeight="1" x14ac:dyDescent="0.3">
      <c r="A87" s="1" t="s">
        <v>115</v>
      </c>
      <c r="B87" s="1" t="s">
        <v>21</v>
      </c>
      <c r="C87" s="1">
        <v>1</v>
      </c>
    </row>
    <row r="88" spans="1:4" ht="14.25" customHeight="1" x14ac:dyDescent="0.3">
      <c r="A88" s="1" t="s">
        <v>116</v>
      </c>
      <c r="B88" s="1" t="s">
        <v>30</v>
      </c>
      <c r="D88" s="1">
        <v>1</v>
      </c>
    </row>
    <row r="89" spans="1:4" ht="14.25" customHeight="1" x14ac:dyDescent="0.3">
      <c r="A89" s="1" t="s">
        <v>117</v>
      </c>
      <c r="B89" s="1" t="s">
        <v>16</v>
      </c>
      <c r="C89" s="1">
        <v>1</v>
      </c>
    </row>
    <row r="90" spans="1:4" ht="14.25" customHeight="1" x14ac:dyDescent="0.3">
      <c r="A90" s="1" t="s">
        <v>118</v>
      </c>
      <c r="B90" s="1" t="s">
        <v>16</v>
      </c>
      <c r="C90" s="1">
        <v>1</v>
      </c>
    </row>
    <row r="91" spans="1:4" ht="14.25" customHeight="1" x14ac:dyDescent="0.3">
      <c r="A91" s="1" t="s">
        <v>119</v>
      </c>
      <c r="B91" s="1" t="s">
        <v>66</v>
      </c>
      <c r="D91" s="1">
        <v>1</v>
      </c>
    </row>
    <row r="92" spans="1:4" ht="14.25" customHeight="1" x14ac:dyDescent="0.3">
      <c r="A92" s="1" t="s">
        <v>120</v>
      </c>
      <c r="B92" s="1" t="s">
        <v>13</v>
      </c>
      <c r="C92" s="1">
        <v>1</v>
      </c>
    </row>
    <row r="93" spans="1:4" ht="14.25" customHeight="1" x14ac:dyDescent="0.3">
      <c r="A93" s="1" t="s">
        <v>121</v>
      </c>
      <c r="B93" s="1" t="s">
        <v>30</v>
      </c>
      <c r="D93" s="1">
        <v>1</v>
      </c>
    </row>
    <row r="94" spans="1:4" ht="14.25" customHeight="1" x14ac:dyDescent="0.3">
      <c r="A94" s="1" t="s">
        <v>122</v>
      </c>
      <c r="B94" s="1" t="s">
        <v>24</v>
      </c>
      <c r="C94" s="1">
        <v>1</v>
      </c>
    </row>
    <row r="95" spans="1:4" ht="14.25" customHeight="1" x14ac:dyDescent="0.3">
      <c r="A95" s="1" t="s">
        <v>123</v>
      </c>
      <c r="B95" s="1" t="s">
        <v>21</v>
      </c>
      <c r="C95" s="1">
        <v>1</v>
      </c>
    </row>
    <row r="96" spans="1:4" ht="14.25" customHeight="1" x14ac:dyDescent="0.3">
      <c r="A96" s="1" t="s">
        <v>124</v>
      </c>
      <c r="B96" s="1" t="s">
        <v>14</v>
      </c>
      <c r="C96" s="1">
        <v>1</v>
      </c>
    </row>
    <row r="97" spans="1:6" ht="14.25" customHeight="1" x14ac:dyDescent="0.3">
      <c r="A97" s="1" t="s">
        <v>125</v>
      </c>
      <c r="B97" s="1" t="s">
        <v>66</v>
      </c>
      <c r="D97" s="1">
        <v>1</v>
      </c>
    </row>
    <row r="98" spans="1:6" ht="14.25" customHeight="1" x14ac:dyDescent="0.3">
      <c r="A98" s="1" t="s">
        <v>126</v>
      </c>
      <c r="B98" s="1" t="s">
        <v>30</v>
      </c>
      <c r="D98" s="1">
        <v>1</v>
      </c>
    </row>
    <row r="99" spans="1:6" ht="14.25" customHeight="1" x14ac:dyDescent="0.3">
      <c r="A99" s="1" t="s">
        <v>127</v>
      </c>
      <c r="B99" s="1" t="s">
        <v>27</v>
      </c>
      <c r="C99" s="1">
        <v>1</v>
      </c>
    </row>
    <row r="100" spans="1:6" ht="14.25" customHeight="1" x14ac:dyDescent="0.3">
      <c r="A100" s="1" t="s">
        <v>128</v>
      </c>
      <c r="B100" s="1" t="s">
        <v>30</v>
      </c>
      <c r="D100" s="1">
        <v>1</v>
      </c>
    </row>
    <row r="101" spans="1:6" ht="14.25" customHeight="1" x14ac:dyDescent="0.3">
      <c r="A101" s="1" t="s">
        <v>129</v>
      </c>
      <c r="B101" s="1" t="s">
        <v>27</v>
      </c>
      <c r="C101" s="1">
        <v>1</v>
      </c>
    </row>
    <row r="102" spans="1:6" ht="14.25" customHeight="1" x14ac:dyDescent="0.3">
      <c r="A102" s="1" t="s">
        <v>130</v>
      </c>
      <c r="B102" s="1" t="s">
        <v>16</v>
      </c>
      <c r="C102" s="1">
        <v>1</v>
      </c>
    </row>
    <row r="103" spans="1:6" ht="14.25" customHeight="1" x14ac:dyDescent="0.3">
      <c r="A103" s="1" t="s">
        <v>131</v>
      </c>
      <c r="B103" s="1" t="s">
        <v>66</v>
      </c>
      <c r="E103" s="1">
        <v>1</v>
      </c>
    </row>
    <row r="104" spans="1:6" ht="14.25" customHeight="1" x14ac:dyDescent="0.3">
      <c r="A104" s="1" t="s">
        <v>132</v>
      </c>
      <c r="B104" s="1" t="s">
        <v>30</v>
      </c>
      <c r="D104" s="1">
        <v>1</v>
      </c>
    </row>
    <row r="105" spans="1:6" ht="14.25" customHeight="1" x14ac:dyDescent="0.3">
      <c r="A105" s="1" t="s">
        <v>133</v>
      </c>
      <c r="B105" s="1" t="s">
        <v>14</v>
      </c>
      <c r="F105" s="1">
        <v>1</v>
      </c>
    </row>
    <row r="106" spans="1:6" ht="14.25" customHeight="1" x14ac:dyDescent="0.3">
      <c r="A106" s="1" t="s">
        <v>134</v>
      </c>
      <c r="B106" s="1" t="s">
        <v>42</v>
      </c>
      <c r="C106" s="1">
        <v>1</v>
      </c>
    </row>
    <row r="107" spans="1:6" ht="14.25" customHeight="1" x14ac:dyDescent="0.3">
      <c r="A107" s="1" t="s">
        <v>135</v>
      </c>
      <c r="B107" s="1" t="s">
        <v>27</v>
      </c>
      <c r="C107" s="1">
        <v>1</v>
      </c>
    </row>
    <row r="108" spans="1:6" ht="14.25" customHeight="1" x14ac:dyDescent="0.3">
      <c r="A108" s="1" t="s">
        <v>136</v>
      </c>
      <c r="B108" s="1" t="s">
        <v>66</v>
      </c>
      <c r="E108" s="1">
        <v>1</v>
      </c>
    </row>
    <row r="109" spans="1:6" ht="14.25" customHeight="1" x14ac:dyDescent="0.3">
      <c r="A109" s="1" t="s">
        <v>137</v>
      </c>
      <c r="B109" s="1" t="s">
        <v>13</v>
      </c>
      <c r="C109" s="1">
        <v>1</v>
      </c>
    </row>
    <row r="110" spans="1:6" ht="14.25" customHeight="1" x14ac:dyDescent="0.3">
      <c r="A110" s="1" t="s">
        <v>138</v>
      </c>
      <c r="B110" s="1" t="s">
        <v>42</v>
      </c>
      <c r="C110" s="1">
        <v>1</v>
      </c>
    </row>
    <row r="111" spans="1:6" ht="14.25" customHeight="1" x14ac:dyDescent="0.3">
      <c r="A111" s="1" t="s">
        <v>139</v>
      </c>
      <c r="B111" s="1" t="s">
        <v>27</v>
      </c>
      <c r="C111" s="1">
        <v>1</v>
      </c>
    </row>
    <row r="112" spans="1:6" ht="14.25" customHeight="1" x14ac:dyDescent="0.3">
      <c r="A112" s="1" t="s">
        <v>140</v>
      </c>
      <c r="B112" s="1" t="s">
        <v>16</v>
      </c>
      <c r="C112" s="1">
        <v>1</v>
      </c>
    </row>
    <row r="113" spans="1:6" ht="14.25" customHeight="1" x14ac:dyDescent="0.3">
      <c r="A113" s="1" t="s">
        <v>141</v>
      </c>
      <c r="B113" s="1" t="s">
        <v>14</v>
      </c>
      <c r="C113" s="1">
        <v>1</v>
      </c>
    </row>
    <row r="114" spans="1:6" ht="14.25" customHeight="1" x14ac:dyDescent="0.3">
      <c r="A114" s="1" t="s">
        <v>142</v>
      </c>
      <c r="B114" s="1" t="s">
        <v>16</v>
      </c>
      <c r="C114" s="1">
        <v>1</v>
      </c>
    </row>
    <row r="115" spans="1:6" ht="14.25" customHeight="1" x14ac:dyDescent="0.3">
      <c r="A115" s="1" t="s">
        <v>143</v>
      </c>
      <c r="B115" s="1" t="s">
        <v>24</v>
      </c>
      <c r="C115" s="1">
        <v>1</v>
      </c>
    </row>
    <row r="116" spans="1:6" ht="14.25" customHeight="1" x14ac:dyDescent="0.3">
      <c r="A116" s="1" t="s">
        <v>144</v>
      </c>
      <c r="B116" s="1" t="s">
        <v>66</v>
      </c>
      <c r="E116" s="1">
        <v>1</v>
      </c>
    </row>
    <row r="117" spans="1:6" ht="14.25" customHeight="1" x14ac:dyDescent="0.3">
      <c r="A117" s="1" t="s">
        <v>145</v>
      </c>
      <c r="B117" s="1" t="s">
        <v>27</v>
      </c>
      <c r="C117" s="1">
        <v>1</v>
      </c>
    </row>
    <row r="118" spans="1:6" ht="14.25" customHeight="1" x14ac:dyDescent="0.3">
      <c r="A118" s="1" t="s">
        <v>146</v>
      </c>
      <c r="B118" s="1" t="s">
        <v>30</v>
      </c>
      <c r="D118" s="1">
        <v>1</v>
      </c>
    </row>
    <row r="119" spans="1:6" ht="14.25" customHeight="1" x14ac:dyDescent="0.3">
      <c r="A119" s="1" t="s">
        <v>147</v>
      </c>
      <c r="B119" s="1" t="s">
        <v>42</v>
      </c>
      <c r="C119" s="1">
        <v>1</v>
      </c>
    </row>
    <row r="120" spans="1:6" ht="14.25" customHeight="1" x14ac:dyDescent="0.3">
      <c r="A120" s="1" t="s">
        <v>148</v>
      </c>
      <c r="B120" s="1" t="s">
        <v>13</v>
      </c>
      <c r="C120" s="1">
        <v>1</v>
      </c>
    </row>
    <row r="121" spans="1:6" ht="14.25" customHeight="1" x14ac:dyDescent="0.3">
      <c r="A121" s="1" t="s">
        <v>149</v>
      </c>
      <c r="B121" s="1" t="s">
        <v>150</v>
      </c>
      <c r="F121" s="1">
        <v>1</v>
      </c>
    </row>
    <row r="122" spans="1:6" ht="14.25" customHeight="1" x14ac:dyDescent="0.3">
      <c r="A122" s="1" t="s">
        <v>151</v>
      </c>
      <c r="B122" s="1" t="s">
        <v>24</v>
      </c>
      <c r="C122" s="1">
        <v>1</v>
      </c>
    </row>
    <row r="123" spans="1:6" ht="14.25" customHeight="1" x14ac:dyDescent="0.3">
      <c r="A123" s="1" t="s">
        <v>152</v>
      </c>
      <c r="B123" s="1" t="s">
        <v>24</v>
      </c>
      <c r="C123" s="1">
        <v>1</v>
      </c>
    </row>
    <row r="124" spans="1:6" ht="14.25" customHeight="1" x14ac:dyDescent="0.3">
      <c r="A124" s="1" t="s">
        <v>153</v>
      </c>
      <c r="B124" s="1" t="s">
        <v>19</v>
      </c>
      <c r="C124" s="1">
        <v>1</v>
      </c>
    </row>
    <row r="125" spans="1:6" ht="14.25" customHeight="1" x14ac:dyDescent="0.3">
      <c r="A125" s="1" t="s">
        <v>154</v>
      </c>
      <c r="B125" s="1" t="s">
        <v>33</v>
      </c>
      <c r="C125" s="1">
        <v>1</v>
      </c>
    </row>
    <row r="126" spans="1:6" ht="14.25" customHeight="1" x14ac:dyDescent="0.3">
      <c r="A126" s="1" t="s">
        <v>155</v>
      </c>
      <c r="B126" s="1" t="s">
        <v>13</v>
      </c>
      <c r="C126" s="1">
        <v>1</v>
      </c>
    </row>
    <row r="127" spans="1:6" ht="14.25" customHeight="1" x14ac:dyDescent="0.3">
      <c r="A127" s="1" t="s">
        <v>156</v>
      </c>
      <c r="B127" s="1" t="s">
        <v>13</v>
      </c>
      <c r="C127" s="1">
        <v>1</v>
      </c>
    </row>
    <row r="128" spans="1:6" ht="14.25" customHeight="1" x14ac:dyDescent="0.3">
      <c r="A128" s="1" t="s">
        <v>157</v>
      </c>
      <c r="B128" s="1" t="s">
        <v>14</v>
      </c>
      <c r="C128" s="1">
        <v>1</v>
      </c>
    </row>
    <row r="129" spans="1:5" ht="14.25" customHeight="1" x14ac:dyDescent="0.3">
      <c r="A129" s="1" t="s">
        <v>158</v>
      </c>
      <c r="B129" s="1" t="s">
        <v>16</v>
      </c>
      <c r="C129" s="1">
        <v>1</v>
      </c>
    </row>
    <row r="130" spans="1:5" ht="14.25" customHeight="1" x14ac:dyDescent="0.3">
      <c r="A130" s="1" t="s">
        <v>159</v>
      </c>
      <c r="B130" s="1" t="s">
        <v>13</v>
      </c>
      <c r="C130" s="1">
        <v>1</v>
      </c>
    </row>
    <row r="131" spans="1:5" ht="14.25" customHeight="1" x14ac:dyDescent="0.3">
      <c r="A131" s="1" t="s">
        <v>160</v>
      </c>
      <c r="B131" s="1" t="s">
        <v>66</v>
      </c>
      <c r="E131" s="1">
        <v>1</v>
      </c>
    </row>
    <row r="132" spans="1:5" ht="14.25" customHeight="1" x14ac:dyDescent="0.3">
      <c r="A132" s="1" t="s">
        <v>161</v>
      </c>
      <c r="B132" s="1" t="s">
        <v>38</v>
      </c>
      <c r="C132" s="1">
        <v>1</v>
      </c>
    </row>
    <row r="133" spans="1:5" ht="14.25" customHeight="1" x14ac:dyDescent="0.3">
      <c r="A133" s="1" t="s">
        <v>162</v>
      </c>
      <c r="B133" s="1" t="s">
        <v>13</v>
      </c>
      <c r="C133" s="1">
        <v>1</v>
      </c>
    </row>
    <row r="134" spans="1:5" ht="14.25" customHeight="1" x14ac:dyDescent="0.3">
      <c r="A134" s="1" t="s">
        <v>163</v>
      </c>
      <c r="B134" s="1" t="s">
        <v>66</v>
      </c>
      <c r="E134" s="1">
        <v>1</v>
      </c>
    </row>
    <row r="135" spans="1:5" ht="14.25" customHeight="1" x14ac:dyDescent="0.3">
      <c r="A135" s="1" t="s">
        <v>164</v>
      </c>
      <c r="B135" s="1" t="s">
        <v>21</v>
      </c>
      <c r="C135" s="1">
        <v>1</v>
      </c>
    </row>
    <row r="136" spans="1:5" ht="14.25" customHeight="1" x14ac:dyDescent="0.3">
      <c r="A136" s="1" t="s">
        <v>165</v>
      </c>
      <c r="B136" s="1" t="s">
        <v>30</v>
      </c>
      <c r="D136" s="1">
        <v>1</v>
      </c>
    </row>
    <row r="137" spans="1:5" ht="14.25" customHeight="1" x14ac:dyDescent="0.3">
      <c r="A137" s="1" t="s">
        <v>166</v>
      </c>
      <c r="B137" s="1" t="s">
        <v>30</v>
      </c>
      <c r="D137" s="1">
        <v>1</v>
      </c>
    </row>
    <row r="138" spans="1:5" ht="14.25" customHeight="1" x14ac:dyDescent="0.3">
      <c r="A138" s="1" t="s">
        <v>167</v>
      </c>
      <c r="B138" s="1" t="s">
        <v>19</v>
      </c>
      <c r="C138" s="1">
        <v>1</v>
      </c>
    </row>
    <row r="139" spans="1:5" ht="14.25" customHeight="1" x14ac:dyDescent="0.3">
      <c r="A139" s="1" t="s">
        <v>168</v>
      </c>
      <c r="B139" s="1" t="s">
        <v>13</v>
      </c>
      <c r="C139" s="1">
        <v>1</v>
      </c>
    </row>
    <row r="140" spans="1:5" ht="14.25" customHeight="1" x14ac:dyDescent="0.3">
      <c r="A140" s="1" t="s">
        <v>169</v>
      </c>
      <c r="B140" s="1" t="s">
        <v>27</v>
      </c>
      <c r="C140" s="1">
        <v>1</v>
      </c>
    </row>
    <row r="141" spans="1:5" ht="14.25" customHeight="1" x14ac:dyDescent="0.3">
      <c r="A141" s="1" t="s">
        <v>170</v>
      </c>
      <c r="B141" s="1" t="s">
        <v>16</v>
      </c>
      <c r="C141" s="1">
        <v>1</v>
      </c>
    </row>
    <row r="142" spans="1:5" ht="14.25" customHeight="1" x14ac:dyDescent="0.3">
      <c r="A142" s="1" t="s">
        <v>171</v>
      </c>
      <c r="B142" s="1" t="s">
        <v>19</v>
      </c>
      <c r="C142" s="1">
        <v>1</v>
      </c>
    </row>
    <row r="143" spans="1:5" ht="14.25" customHeight="1" x14ac:dyDescent="0.3">
      <c r="A143" s="1" t="s">
        <v>172</v>
      </c>
      <c r="B143" s="1" t="s">
        <v>37</v>
      </c>
      <c r="C143" s="1">
        <v>1</v>
      </c>
    </row>
    <row r="144" spans="1:5" ht="14.25" customHeight="1" x14ac:dyDescent="0.3">
      <c r="A144" s="1" t="s">
        <v>173</v>
      </c>
      <c r="B144" s="1" t="s">
        <v>27</v>
      </c>
      <c r="C144" s="1">
        <v>1</v>
      </c>
    </row>
    <row r="145" spans="1:5" ht="14.25" customHeight="1" x14ac:dyDescent="0.3">
      <c r="A145" s="1" t="s">
        <v>174</v>
      </c>
      <c r="B145" s="1" t="s">
        <v>66</v>
      </c>
      <c r="E145" s="1">
        <v>1</v>
      </c>
    </row>
    <row r="146" spans="1:5" ht="14.25" customHeight="1" x14ac:dyDescent="0.3">
      <c r="A146" s="1" t="s">
        <v>175</v>
      </c>
      <c r="B146" s="1" t="s">
        <v>14</v>
      </c>
      <c r="C146" s="1">
        <v>1</v>
      </c>
    </row>
    <row r="147" spans="1:5" ht="14.25" customHeight="1" x14ac:dyDescent="0.3">
      <c r="A147" s="1" t="s">
        <v>176</v>
      </c>
      <c r="B147" s="1" t="s">
        <v>66</v>
      </c>
      <c r="E147" s="1">
        <v>1</v>
      </c>
    </row>
    <row r="148" spans="1:5" ht="14.25" customHeight="1" x14ac:dyDescent="0.3">
      <c r="A148" s="1" t="s">
        <v>177</v>
      </c>
      <c r="B148" s="1" t="s">
        <v>42</v>
      </c>
      <c r="C148" s="1">
        <v>1</v>
      </c>
    </row>
    <row r="149" spans="1:5" ht="14.25" customHeight="1" x14ac:dyDescent="0.3">
      <c r="A149" s="1" t="s">
        <v>178</v>
      </c>
      <c r="B149" s="1" t="s">
        <v>33</v>
      </c>
      <c r="C149" s="1">
        <v>1</v>
      </c>
    </row>
    <row r="150" spans="1:5" ht="14.25" customHeight="1" x14ac:dyDescent="0.3">
      <c r="A150" s="1" t="s">
        <v>179</v>
      </c>
      <c r="B150" s="1" t="s">
        <v>14</v>
      </c>
      <c r="C150" s="1">
        <v>1</v>
      </c>
    </row>
    <row r="151" spans="1:5" ht="14.25" customHeight="1" x14ac:dyDescent="0.3">
      <c r="A151" s="1" t="s">
        <v>180</v>
      </c>
      <c r="B151" s="1" t="s">
        <v>13</v>
      </c>
      <c r="C151" s="1">
        <v>1</v>
      </c>
    </row>
    <row r="152" spans="1:5" ht="14.25" customHeight="1" x14ac:dyDescent="0.3">
      <c r="A152" s="1" t="s">
        <v>181</v>
      </c>
      <c r="B152" s="1" t="s">
        <v>24</v>
      </c>
      <c r="C152" s="1">
        <v>1</v>
      </c>
    </row>
    <row r="153" spans="1:5" ht="14.25" customHeight="1" x14ac:dyDescent="0.3">
      <c r="A153" s="1" t="s">
        <v>182</v>
      </c>
      <c r="B153" s="1" t="s">
        <v>19</v>
      </c>
      <c r="C153" s="1">
        <v>1</v>
      </c>
    </row>
    <row r="154" spans="1:5" ht="14.25" customHeight="1" x14ac:dyDescent="0.3">
      <c r="A154" s="1" t="s">
        <v>183</v>
      </c>
      <c r="B154" s="1" t="s">
        <v>42</v>
      </c>
      <c r="C154" s="1">
        <v>1</v>
      </c>
    </row>
    <row r="155" spans="1:5" ht="14.25" customHeight="1" x14ac:dyDescent="0.3">
      <c r="A155" s="1" t="s">
        <v>184</v>
      </c>
      <c r="B155" s="1" t="s">
        <v>19</v>
      </c>
      <c r="C155" s="1">
        <v>1</v>
      </c>
    </row>
    <row r="156" spans="1:5" ht="14.25" customHeight="1" x14ac:dyDescent="0.3">
      <c r="A156" s="1" t="s">
        <v>185</v>
      </c>
      <c r="B156" s="1" t="s">
        <v>30</v>
      </c>
      <c r="D156" s="1">
        <v>1</v>
      </c>
    </row>
    <row r="157" spans="1:5" ht="14.25" customHeight="1" x14ac:dyDescent="0.3"/>
    <row r="158" spans="1:5" ht="14.25" customHeight="1" x14ac:dyDescent="0.3"/>
    <row r="159" spans="1:5" ht="14.25" customHeight="1" x14ac:dyDescent="0.3"/>
    <row r="160" spans="1:5" ht="14.25" customHeight="1" x14ac:dyDescent="0.3"/>
    <row r="161" s="1" customFormat="1" ht="14.25" customHeight="1" x14ac:dyDescent="0.3"/>
    <row r="162" s="1" customFormat="1" ht="14.25" customHeight="1" x14ac:dyDescent="0.3"/>
    <row r="163" s="1" customFormat="1" ht="14.25" customHeight="1" x14ac:dyDescent="0.3"/>
    <row r="164" s="1" customFormat="1" ht="14.25" customHeight="1" x14ac:dyDescent="0.3"/>
    <row r="165" s="1" customFormat="1" ht="14.25" customHeight="1" x14ac:dyDescent="0.3"/>
    <row r="166" s="1" customFormat="1" ht="14.25" customHeight="1" x14ac:dyDescent="0.3"/>
    <row r="167" s="1" customFormat="1" ht="14.25" customHeight="1" x14ac:dyDescent="0.3"/>
    <row r="168" s="1" customFormat="1" ht="14.25" customHeight="1" x14ac:dyDescent="0.3"/>
    <row r="169" s="1" customFormat="1" ht="14.25" customHeight="1" x14ac:dyDescent="0.3"/>
    <row r="170" s="1" customFormat="1" ht="14.25" customHeight="1" x14ac:dyDescent="0.3"/>
    <row r="171" s="1" customFormat="1" ht="14.25" customHeight="1" x14ac:dyDescent="0.3"/>
    <row r="172" s="1" customFormat="1" ht="14.25" customHeight="1" x14ac:dyDescent="0.3"/>
    <row r="173" s="1" customFormat="1" ht="14.25" customHeight="1" x14ac:dyDescent="0.3"/>
    <row r="174" s="1" customFormat="1" ht="14.25" customHeight="1" x14ac:dyDescent="0.3"/>
    <row r="175" s="1" customFormat="1" ht="14.25" customHeight="1" x14ac:dyDescent="0.3"/>
    <row r="176" s="1" customFormat="1" ht="14.25" customHeight="1" x14ac:dyDescent="0.3"/>
    <row r="177" s="1" customFormat="1" ht="14.25" customHeight="1" x14ac:dyDescent="0.3"/>
    <row r="178" s="1" customFormat="1" ht="14.25" customHeight="1" x14ac:dyDescent="0.3"/>
    <row r="179" s="1" customFormat="1" ht="14.25" customHeight="1" x14ac:dyDescent="0.3"/>
    <row r="180" s="1" customFormat="1" ht="14.25" customHeight="1" x14ac:dyDescent="0.3"/>
    <row r="181" s="1" customFormat="1" ht="14.25" customHeight="1" x14ac:dyDescent="0.3"/>
    <row r="182" s="1" customFormat="1" ht="14.25" customHeight="1" x14ac:dyDescent="0.3"/>
    <row r="183" s="1" customFormat="1" ht="14.25" customHeight="1" x14ac:dyDescent="0.3"/>
    <row r="184" s="1" customFormat="1" ht="14.25" customHeight="1" x14ac:dyDescent="0.3"/>
    <row r="185" s="1" customFormat="1" ht="14.25" customHeight="1" x14ac:dyDescent="0.3"/>
    <row r="186" s="1" customFormat="1" ht="14.25" customHeight="1" x14ac:dyDescent="0.3"/>
    <row r="187" s="1" customFormat="1" ht="14.25" customHeight="1" x14ac:dyDescent="0.3"/>
    <row r="188" s="1" customFormat="1" ht="14.25" customHeight="1" x14ac:dyDescent="0.3"/>
    <row r="189" s="1" customFormat="1" ht="14.25" customHeight="1" x14ac:dyDescent="0.3"/>
    <row r="190" s="1" customFormat="1" ht="14.25" customHeight="1" x14ac:dyDescent="0.3"/>
    <row r="191" s="1" customFormat="1" ht="14.25" customHeight="1" x14ac:dyDescent="0.3"/>
    <row r="192" s="1" customFormat="1" ht="14.25" customHeight="1" x14ac:dyDescent="0.3"/>
    <row r="193" s="1" customFormat="1" ht="14.25" customHeight="1" x14ac:dyDescent="0.3"/>
    <row r="194" s="1" customFormat="1" ht="14.25" customHeight="1" x14ac:dyDescent="0.3"/>
    <row r="195" s="1" customFormat="1" ht="14.25" customHeight="1" x14ac:dyDescent="0.3"/>
    <row r="196" s="1" customFormat="1" ht="14.25" customHeight="1" x14ac:dyDescent="0.3"/>
    <row r="197" s="1" customFormat="1" ht="14.25" customHeight="1" x14ac:dyDescent="0.3"/>
    <row r="198" s="1" customFormat="1" ht="14.25" customHeight="1" x14ac:dyDescent="0.3"/>
    <row r="199" s="1" customFormat="1" ht="14.25" customHeight="1" x14ac:dyDescent="0.3"/>
    <row r="200" s="1" customFormat="1" ht="14.25" customHeight="1" x14ac:dyDescent="0.3"/>
    <row r="201" s="1" customFormat="1" ht="14.25" customHeight="1" x14ac:dyDescent="0.3"/>
    <row r="202" s="1" customFormat="1" ht="14.25" customHeight="1" x14ac:dyDescent="0.3"/>
    <row r="203" s="1" customFormat="1" ht="14.25" customHeight="1" x14ac:dyDescent="0.3"/>
    <row r="204" s="1" customFormat="1" ht="14.25" customHeight="1" x14ac:dyDescent="0.3"/>
    <row r="205" s="1" customFormat="1" ht="14.25" customHeight="1" x14ac:dyDescent="0.3"/>
    <row r="206" s="1" customFormat="1" ht="14.25" customHeight="1" x14ac:dyDescent="0.3"/>
    <row r="207" s="1" customFormat="1" ht="14.25" customHeight="1" x14ac:dyDescent="0.3"/>
    <row r="208" s="1" customFormat="1" ht="14.25" customHeight="1" x14ac:dyDescent="0.3"/>
    <row r="209" s="1" customFormat="1" ht="14.25" customHeight="1" x14ac:dyDescent="0.3"/>
    <row r="210" s="1" customFormat="1" ht="14.25" customHeight="1" x14ac:dyDescent="0.3"/>
    <row r="211" s="1" customFormat="1" ht="14.25" customHeight="1" x14ac:dyDescent="0.3"/>
    <row r="212" s="1" customFormat="1" ht="14.25" customHeight="1" x14ac:dyDescent="0.3"/>
    <row r="213" s="1" customFormat="1" ht="14.25" customHeight="1" x14ac:dyDescent="0.3"/>
    <row r="214" s="1" customFormat="1" ht="14.25" customHeight="1" x14ac:dyDescent="0.3"/>
    <row r="215" s="1" customFormat="1" ht="14.25" customHeight="1" x14ac:dyDescent="0.3"/>
    <row r="216" s="1" customFormat="1" ht="14.25" customHeight="1" x14ac:dyDescent="0.3"/>
    <row r="217" s="1" customFormat="1" ht="14.25" customHeight="1" x14ac:dyDescent="0.3"/>
    <row r="218" s="1" customFormat="1" ht="14.25" customHeight="1" x14ac:dyDescent="0.3"/>
    <row r="219" s="1" customFormat="1" ht="14.25" customHeight="1" x14ac:dyDescent="0.3"/>
    <row r="220" s="1" customFormat="1" ht="14.25" customHeight="1" x14ac:dyDescent="0.3"/>
    <row r="221" s="1" customFormat="1" ht="14.25" customHeight="1" x14ac:dyDescent="0.3"/>
    <row r="222" s="1" customFormat="1" ht="14.25" customHeight="1" x14ac:dyDescent="0.3"/>
    <row r="223" s="1" customFormat="1" ht="14.25" customHeight="1" x14ac:dyDescent="0.3"/>
    <row r="224" s="1" customFormat="1" ht="14.25" customHeight="1" x14ac:dyDescent="0.3"/>
    <row r="225" s="1" customFormat="1" ht="14.25" customHeight="1" x14ac:dyDescent="0.3"/>
    <row r="226" s="1" customFormat="1" ht="14.25" customHeight="1" x14ac:dyDescent="0.3"/>
    <row r="227" s="1" customFormat="1" ht="14.25" customHeight="1" x14ac:dyDescent="0.3"/>
    <row r="228" s="1" customFormat="1" ht="14.25" customHeight="1" x14ac:dyDescent="0.3"/>
    <row r="229" s="1" customFormat="1" ht="14.25" customHeight="1" x14ac:dyDescent="0.3"/>
    <row r="230" s="1" customFormat="1" ht="14.25" customHeight="1" x14ac:dyDescent="0.3"/>
    <row r="231" s="1" customFormat="1" ht="14.25" customHeight="1" x14ac:dyDescent="0.3"/>
    <row r="232" s="1" customFormat="1" ht="14.25" customHeight="1" x14ac:dyDescent="0.3"/>
    <row r="233" s="1" customFormat="1" ht="14.25" customHeight="1" x14ac:dyDescent="0.3"/>
    <row r="234" s="1" customFormat="1" ht="14.25" customHeight="1" x14ac:dyDescent="0.3"/>
    <row r="235" s="1" customFormat="1" ht="14.25" customHeight="1" x14ac:dyDescent="0.3"/>
    <row r="236" s="1" customFormat="1" ht="14.25" customHeight="1" x14ac:dyDescent="0.3"/>
    <row r="237" s="1" customFormat="1" ht="14.25" customHeight="1" x14ac:dyDescent="0.3"/>
    <row r="238" s="1" customFormat="1" ht="14.25" customHeight="1" x14ac:dyDescent="0.3"/>
    <row r="239" s="1" customFormat="1" ht="14.25" customHeight="1" x14ac:dyDescent="0.3"/>
    <row r="240" s="1" customFormat="1" ht="14.25" customHeight="1" x14ac:dyDescent="0.3"/>
    <row r="241" s="1" customFormat="1" ht="14.25" customHeight="1" x14ac:dyDescent="0.3"/>
    <row r="242" s="1" customFormat="1" ht="14.25" customHeight="1" x14ac:dyDescent="0.3"/>
    <row r="243" s="1" customFormat="1" ht="14.25" customHeight="1" x14ac:dyDescent="0.3"/>
    <row r="244" s="1" customFormat="1" ht="14.25" customHeight="1" x14ac:dyDescent="0.3"/>
    <row r="245" s="1" customFormat="1" ht="14.25" customHeight="1" x14ac:dyDescent="0.3"/>
    <row r="246" s="1" customFormat="1" ht="14.25" customHeight="1" x14ac:dyDescent="0.3"/>
    <row r="247" s="1" customFormat="1" ht="14.25" customHeight="1" x14ac:dyDescent="0.3"/>
    <row r="248" s="1" customFormat="1" ht="14.25" customHeight="1" x14ac:dyDescent="0.3"/>
    <row r="249" s="1" customFormat="1" ht="14.25" customHeight="1" x14ac:dyDescent="0.3"/>
    <row r="250" s="1" customFormat="1" ht="14.25" customHeight="1" x14ac:dyDescent="0.3"/>
    <row r="251" s="1" customFormat="1" ht="14.25" customHeight="1" x14ac:dyDescent="0.3"/>
    <row r="252" s="1" customFormat="1" ht="14.25" customHeight="1" x14ac:dyDescent="0.3"/>
    <row r="253" s="1" customFormat="1" ht="14.25" customHeight="1" x14ac:dyDescent="0.3"/>
    <row r="254" s="1" customFormat="1" ht="14.25" customHeight="1" x14ac:dyDescent="0.3"/>
    <row r="255" s="1" customFormat="1" ht="14.25" customHeight="1" x14ac:dyDescent="0.3"/>
    <row r="256" s="1" customFormat="1" ht="14.25" customHeight="1" x14ac:dyDescent="0.3"/>
    <row r="257" s="1" customFormat="1" ht="14.25" customHeight="1" x14ac:dyDescent="0.3"/>
    <row r="258" s="1" customFormat="1" ht="14.25" customHeight="1" x14ac:dyDescent="0.3"/>
    <row r="259" s="1" customFormat="1" ht="14.25" customHeight="1" x14ac:dyDescent="0.3"/>
    <row r="260" s="1" customFormat="1" ht="14.25" customHeight="1" x14ac:dyDescent="0.3"/>
    <row r="261" s="1" customFormat="1" ht="14.25" customHeight="1" x14ac:dyDescent="0.3"/>
    <row r="262" s="1" customFormat="1" ht="14.25" customHeight="1" x14ac:dyDescent="0.3"/>
    <row r="263" s="1" customFormat="1" ht="14.25" customHeight="1" x14ac:dyDescent="0.3"/>
    <row r="264" s="1" customFormat="1" ht="14.25" customHeight="1" x14ac:dyDescent="0.3"/>
    <row r="265" s="1" customFormat="1" ht="14.25" customHeight="1" x14ac:dyDescent="0.3"/>
    <row r="266" s="1" customFormat="1" ht="14.25" customHeight="1" x14ac:dyDescent="0.3"/>
    <row r="267" s="1" customFormat="1" ht="14.25" customHeight="1" x14ac:dyDescent="0.3"/>
    <row r="268" s="1" customFormat="1" ht="14.25" customHeight="1" x14ac:dyDescent="0.3"/>
    <row r="269" s="1" customFormat="1" ht="14.25" customHeight="1" x14ac:dyDescent="0.3"/>
    <row r="270" s="1" customFormat="1" ht="14.25" customHeight="1" x14ac:dyDescent="0.3"/>
    <row r="271" s="1" customFormat="1" ht="14.25" customHeight="1" x14ac:dyDescent="0.3"/>
    <row r="272" s="1" customFormat="1" ht="14.25" customHeight="1" x14ac:dyDescent="0.3"/>
    <row r="273" s="1" customFormat="1" ht="14.25" customHeight="1" x14ac:dyDescent="0.3"/>
    <row r="274" s="1" customFormat="1" ht="14.25" customHeight="1" x14ac:dyDescent="0.3"/>
    <row r="275" s="1" customFormat="1" ht="14.25" customHeight="1" x14ac:dyDescent="0.3"/>
    <row r="276" s="1" customFormat="1" ht="14.25" customHeight="1" x14ac:dyDescent="0.3"/>
    <row r="277" s="1" customFormat="1" ht="14.25" customHeight="1" x14ac:dyDescent="0.3"/>
    <row r="278" s="1" customFormat="1" ht="14.25" customHeight="1" x14ac:dyDescent="0.3"/>
    <row r="279" s="1" customFormat="1" ht="14.25" customHeight="1" x14ac:dyDescent="0.3"/>
    <row r="280" s="1" customFormat="1" ht="14.25" customHeight="1" x14ac:dyDescent="0.3"/>
    <row r="281" s="1" customFormat="1" ht="14.25" customHeight="1" x14ac:dyDescent="0.3"/>
    <row r="282" s="1" customFormat="1" ht="14.25" customHeight="1" x14ac:dyDescent="0.3"/>
    <row r="283" s="1" customFormat="1" ht="14.25" customHeight="1" x14ac:dyDescent="0.3"/>
    <row r="284" s="1" customFormat="1" ht="14.25" customHeight="1" x14ac:dyDescent="0.3"/>
    <row r="285" s="1" customFormat="1" ht="14.25" customHeight="1" x14ac:dyDescent="0.3"/>
    <row r="286" s="1" customFormat="1" ht="14.25" customHeight="1" x14ac:dyDescent="0.3"/>
    <row r="287" s="1" customFormat="1" ht="14.25" customHeight="1" x14ac:dyDescent="0.3"/>
    <row r="288" s="1" customFormat="1" ht="14.25" customHeight="1" x14ac:dyDescent="0.3"/>
    <row r="289" s="1" customFormat="1" ht="14.25" customHeight="1" x14ac:dyDescent="0.3"/>
    <row r="290" s="1" customFormat="1" ht="14.25" customHeight="1" x14ac:dyDescent="0.3"/>
    <row r="291" s="1" customFormat="1" ht="14.25" customHeight="1" x14ac:dyDescent="0.3"/>
    <row r="292" s="1" customFormat="1" ht="14.25" customHeight="1" x14ac:dyDescent="0.3"/>
    <row r="293" s="1" customFormat="1" ht="14.25" customHeight="1" x14ac:dyDescent="0.3"/>
    <row r="294" s="1" customFormat="1" ht="14.25" customHeight="1" x14ac:dyDescent="0.3"/>
    <row r="295" s="1" customFormat="1" ht="14.25" customHeight="1" x14ac:dyDescent="0.3"/>
    <row r="296" s="1" customFormat="1" ht="14.25" customHeight="1" x14ac:dyDescent="0.3"/>
    <row r="297" s="1" customFormat="1" ht="14.25" customHeight="1" x14ac:dyDescent="0.3"/>
    <row r="298" s="1" customFormat="1" ht="14.25" customHeight="1" x14ac:dyDescent="0.3"/>
    <row r="299" s="1" customFormat="1" ht="14.25" customHeight="1" x14ac:dyDescent="0.3"/>
    <row r="300" s="1" customFormat="1" ht="14.25" customHeight="1" x14ac:dyDescent="0.3"/>
    <row r="301" s="1" customFormat="1" ht="14.25" customHeight="1" x14ac:dyDescent="0.3"/>
    <row r="302" s="1" customFormat="1" ht="14.25" customHeight="1" x14ac:dyDescent="0.3"/>
    <row r="303" s="1" customFormat="1" ht="14.25" customHeight="1" x14ac:dyDescent="0.3"/>
    <row r="304" s="1" customFormat="1" ht="14.25" customHeight="1" x14ac:dyDescent="0.3"/>
    <row r="305" s="1" customFormat="1" ht="14.25" customHeight="1" x14ac:dyDescent="0.3"/>
    <row r="306" s="1" customFormat="1" ht="14.25" customHeight="1" x14ac:dyDescent="0.3"/>
    <row r="307" s="1" customFormat="1" ht="14.25" customHeight="1" x14ac:dyDescent="0.3"/>
    <row r="308" s="1" customFormat="1" ht="14.25" customHeight="1" x14ac:dyDescent="0.3"/>
    <row r="309" s="1" customFormat="1" ht="14.25" customHeight="1" x14ac:dyDescent="0.3"/>
    <row r="310" s="1" customFormat="1" ht="14.25" customHeight="1" x14ac:dyDescent="0.3"/>
    <row r="311" s="1" customFormat="1" ht="14.25" customHeight="1" x14ac:dyDescent="0.3"/>
    <row r="312" s="1" customFormat="1" ht="14.25" customHeight="1" x14ac:dyDescent="0.3"/>
    <row r="313" s="1" customFormat="1" ht="14.25" customHeight="1" x14ac:dyDescent="0.3"/>
    <row r="314" s="1" customFormat="1" ht="14.25" customHeight="1" x14ac:dyDescent="0.3"/>
    <row r="315" s="1" customFormat="1" ht="14.25" customHeight="1" x14ac:dyDescent="0.3"/>
    <row r="316" s="1" customFormat="1" ht="14.25" customHeight="1" x14ac:dyDescent="0.3"/>
    <row r="317" s="1" customFormat="1" ht="14.25" customHeight="1" x14ac:dyDescent="0.3"/>
    <row r="318" s="1" customFormat="1" ht="14.25" customHeight="1" x14ac:dyDescent="0.3"/>
    <row r="319" s="1" customFormat="1" ht="14.25" customHeight="1" x14ac:dyDescent="0.3"/>
    <row r="320" s="1" customFormat="1" ht="14.25" customHeight="1" x14ac:dyDescent="0.3"/>
    <row r="321" s="1" customFormat="1" ht="14.25" customHeight="1" x14ac:dyDescent="0.3"/>
    <row r="322" s="1" customFormat="1" ht="14.25" customHeight="1" x14ac:dyDescent="0.3"/>
    <row r="323" s="1" customFormat="1" ht="14.25" customHeight="1" x14ac:dyDescent="0.3"/>
    <row r="324" s="1" customFormat="1" ht="14.25" customHeight="1" x14ac:dyDescent="0.3"/>
    <row r="325" s="1" customFormat="1" ht="14.25" customHeight="1" x14ac:dyDescent="0.3"/>
    <row r="326" s="1" customFormat="1" ht="14.25" customHeight="1" x14ac:dyDescent="0.3"/>
    <row r="327" s="1" customFormat="1" ht="14.25" customHeight="1" x14ac:dyDescent="0.3"/>
    <row r="328" s="1" customFormat="1" ht="14.25" customHeight="1" x14ac:dyDescent="0.3"/>
    <row r="329" s="1" customFormat="1" ht="14.25" customHeight="1" x14ac:dyDescent="0.3"/>
    <row r="330" s="1" customFormat="1" ht="14.25" customHeight="1" x14ac:dyDescent="0.3"/>
    <row r="331" s="1" customFormat="1" ht="14.25" customHeight="1" x14ac:dyDescent="0.3"/>
    <row r="332" s="1" customFormat="1" ht="14.25" customHeight="1" x14ac:dyDescent="0.3"/>
    <row r="333" s="1" customFormat="1" ht="14.25" customHeight="1" x14ac:dyDescent="0.3"/>
    <row r="334" s="1" customFormat="1" ht="14.25" customHeight="1" x14ac:dyDescent="0.3"/>
    <row r="335" s="1" customFormat="1" ht="14.25" customHeight="1" x14ac:dyDescent="0.3"/>
    <row r="336" s="1" customFormat="1" ht="14.25" customHeight="1" x14ac:dyDescent="0.3"/>
    <row r="337" s="1" customFormat="1" ht="14.25" customHeight="1" x14ac:dyDescent="0.3"/>
    <row r="338" s="1" customFormat="1" ht="14.25" customHeight="1" x14ac:dyDescent="0.3"/>
    <row r="339" s="1" customFormat="1" ht="14.25" customHeight="1" x14ac:dyDescent="0.3"/>
    <row r="340" s="1" customFormat="1" ht="14.25" customHeight="1" x14ac:dyDescent="0.3"/>
    <row r="341" s="1" customFormat="1" ht="14.25" customHeight="1" x14ac:dyDescent="0.3"/>
    <row r="342" s="1" customFormat="1" ht="14.25" customHeight="1" x14ac:dyDescent="0.3"/>
    <row r="343" s="1" customFormat="1" ht="14.25" customHeight="1" x14ac:dyDescent="0.3"/>
    <row r="344" s="1" customFormat="1" ht="14.25" customHeight="1" x14ac:dyDescent="0.3"/>
    <row r="345" s="1" customFormat="1" ht="14.25" customHeight="1" x14ac:dyDescent="0.3"/>
    <row r="346" s="1" customFormat="1" ht="14.25" customHeight="1" x14ac:dyDescent="0.3"/>
    <row r="347" s="1" customFormat="1" ht="14.25" customHeight="1" x14ac:dyDescent="0.3"/>
    <row r="348" s="1" customFormat="1" ht="14.25" customHeight="1" x14ac:dyDescent="0.3"/>
    <row r="349" s="1" customFormat="1" ht="14.25" customHeight="1" x14ac:dyDescent="0.3"/>
    <row r="350" s="1" customFormat="1" ht="14.25" customHeight="1" x14ac:dyDescent="0.3"/>
    <row r="351" s="1" customFormat="1" ht="14.25" customHeight="1" x14ac:dyDescent="0.3"/>
    <row r="352" s="1" customFormat="1" ht="14.25" customHeight="1" x14ac:dyDescent="0.3"/>
    <row r="353" s="1" customFormat="1" ht="14.25" customHeight="1" x14ac:dyDescent="0.3"/>
    <row r="354" s="1" customFormat="1" ht="14.25" customHeight="1" x14ac:dyDescent="0.3"/>
    <row r="355" s="1" customFormat="1" ht="14.25" customHeight="1" x14ac:dyDescent="0.3"/>
    <row r="356" s="1" customFormat="1" ht="14.25" customHeight="1" x14ac:dyDescent="0.3"/>
    <row r="357" s="1" customFormat="1" ht="14.25" customHeight="1" x14ac:dyDescent="0.3"/>
    <row r="358" s="1" customFormat="1" ht="14.25" customHeight="1" x14ac:dyDescent="0.3"/>
    <row r="359" s="1" customFormat="1" ht="14.25" customHeight="1" x14ac:dyDescent="0.3"/>
    <row r="360" s="1" customFormat="1" ht="14.25" customHeight="1" x14ac:dyDescent="0.3"/>
    <row r="361" s="1" customFormat="1" ht="14.25" customHeight="1" x14ac:dyDescent="0.3"/>
    <row r="362" s="1" customFormat="1" ht="14.25" customHeight="1" x14ac:dyDescent="0.3"/>
    <row r="363" s="1" customFormat="1" ht="14.25" customHeight="1" x14ac:dyDescent="0.3"/>
    <row r="364" s="1" customFormat="1" ht="14.25" customHeight="1" x14ac:dyDescent="0.3"/>
    <row r="365" s="1" customFormat="1" ht="14.25" customHeight="1" x14ac:dyDescent="0.3"/>
    <row r="366" s="1" customFormat="1" ht="14.25" customHeight="1" x14ac:dyDescent="0.3"/>
    <row r="367" s="1" customFormat="1" ht="14.25" customHeight="1" x14ac:dyDescent="0.3"/>
    <row r="368" s="1" customFormat="1" ht="14.25" customHeight="1" x14ac:dyDescent="0.3"/>
    <row r="369" s="1" customFormat="1" ht="14.25" customHeight="1" x14ac:dyDescent="0.3"/>
    <row r="370" s="1" customFormat="1" ht="14.25" customHeight="1" x14ac:dyDescent="0.3"/>
    <row r="371" s="1" customFormat="1" ht="14.25" customHeight="1" x14ac:dyDescent="0.3"/>
    <row r="372" s="1" customFormat="1" ht="14.25" customHeight="1" x14ac:dyDescent="0.3"/>
    <row r="373" s="1" customFormat="1" ht="14.25" customHeight="1" x14ac:dyDescent="0.3"/>
    <row r="374" s="1" customFormat="1" ht="14.25" customHeight="1" x14ac:dyDescent="0.3"/>
    <row r="375" s="1" customFormat="1" ht="14.25" customHeight="1" x14ac:dyDescent="0.3"/>
    <row r="376" s="1" customFormat="1" ht="14.25" customHeight="1" x14ac:dyDescent="0.3"/>
    <row r="377" s="1" customFormat="1" ht="14.25" customHeight="1" x14ac:dyDescent="0.3"/>
    <row r="378" s="1" customFormat="1" ht="14.25" customHeight="1" x14ac:dyDescent="0.3"/>
    <row r="379" s="1" customFormat="1" ht="14.25" customHeight="1" x14ac:dyDescent="0.3"/>
    <row r="380" s="1" customFormat="1" ht="14.25" customHeight="1" x14ac:dyDescent="0.3"/>
    <row r="381" s="1" customFormat="1" ht="14.25" customHeight="1" x14ac:dyDescent="0.3"/>
    <row r="382" s="1" customFormat="1" ht="14.25" customHeight="1" x14ac:dyDescent="0.3"/>
    <row r="383" s="1" customFormat="1" ht="14.25" customHeight="1" x14ac:dyDescent="0.3"/>
    <row r="384" s="1" customFormat="1" ht="14.25" customHeight="1" x14ac:dyDescent="0.3"/>
    <row r="385" s="1" customFormat="1" ht="14.25" customHeight="1" x14ac:dyDescent="0.3"/>
    <row r="386" s="1" customFormat="1" ht="14.25" customHeight="1" x14ac:dyDescent="0.3"/>
    <row r="387" s="1" customFormat="1" ht="14.25" customHeight="1" x14ac:dyDescent="0.3"/>
    <row r="388" s="1" customFormat="1" ht="14.25" customHeight="1" x14ac:dyDescent="0.3"/>
    <row r="389" s="1" customFormat="1" ht="14.25" customHeight="1" x14ac:dyDescent="0.3"/>
    <row r="390" s="1" customFormat="1" ht="14.25" customHeight="1" x14ac:dyDescent="0.3"/>
    <row r="391" s="1" customFormat="1" ht="14.25" customHeight="1" x14ac:dyDescent="0.3"/>
    <row r="392" s="1" customFormat="1" ht="14.25" customHeight="1" x14ac:dyDescent="0.3"/>
    <row r="393" s="1" customFormat="1" ht="14.25" customHeight="1" x14ac:dyDescent="0.3"/>
    <row r="394" s="1" customFormat="1" ht="14.25" customHeight="1" x14ac:dyDescent="0.3"/>
    <row r="395" s="1" customFormat="1" ht="14.25" customHeight="1" x14ac:dyDescent="0.3"/>
    <row r="396" s="1" customFormat="1" ht="14.25" customHeight="1" x14ac:dyDescent="0.3"/>
    <row r="397" s="1" customFormat="1" ht="14.25" customHeight="1" x14ac:dyDescent="0.3"/>
    <row r="398" s="1" customFormat="1" ht="14.25" customHeight="1" x14ac:dyDescent="0.3"/>
    <row r="399" s="1" customFormat="1" ht="14.25" customHeight="1" x14ac:dyDescent="0.3"/>
    <row r="400" s="1" customFormat="1" ht="14.25" customHeight="1" x14ac:dyDescent="0.3"/>
    <row r="401" s="1" customFormat="1" ht="14.25" customHeight="1" x14ac:dyDescent="0.3"/>
    <row r="402" s="1" customFormat="1" ht="14.25" customHeight="1" x14ac:dyDescent="0.3"/>
    <row r="403" s="1" customFormat="1" ht="14.25" customHeight="1" x14ac:dyDescent="0.3"/>
    <row r="404" s="1" customFormat="1" ht="14.25" customHeight="1" x14ac:dyDescent="0.3"/>
    <row r="405" s="1" customFormat="1" ht="14.25" customHeight="1" x14ac:dyDescent="0.3"/>
    <row r="406" s="1" customFormat="1" ht="14.25" customHeight="1" x14ac:dyDescent="0.3"/>
    <row r="407" s="1" customFormat="1" ht="14.25" customHeight="1" x14ac:dyDescent="0.3"/>
    <row r="408" s="1" customFormat="1" ht="14.25" customHeight="1" x14ac:dyDescent="0.3"/>
    <row r="409" s="1" customFormat="1" ht="14.25" customHeight="1" x14ac:dyDescent="0.3"/>
    <row r="410" s="1" customFormat="1" ht="14.25" customHeight="1" x14ac:dyDescent="0.3"/>
    <row r="411" s="1" customFormat="1" ht="14.25" customHeight="1" x14ac:dyDescent="0.3"/>
    <row r="412" s="1" customFormat="1" ht="14.25" customHeight="1" x14ac:dyDescent="0.3"/>
    <row r="413" s="1" customFormat="1" ht="14.25" customHeight="1" x14ac:dyDescent="0.3"/>
    <row r="414" s="1" customFormat="1" ht="14.25" customHeight="1" x14ac:dyDescent="0.3"/>
    <row r="415" s="1" customFormat="1" ht="14.25" customHeight="1" x14ac:dyDescent="0.3"/>
    <row r="416" s="1" customFormat="1" ht="14.25" customHeight="1" x14ac:dyDescent="0.3"/>
    <row r="417" s="1" customFormat="1" ht="14.25" customHeight="1" x14ac:dyDescent="0.3"/>
    <row r="418" s="1" customFormat="1" ht="14.25" customHeight="1" x14ac:dyDescent="0.3"/>
    <row r="419" s="1" customFormat="1" ht="14.25" customHeight="1" x14ac:dyDescent="0.3"/>
    <row r="420" s="1" customFormat="1" ht="14.25" customHeight="1" x14ac:dyDescent="0.3"/>
    <row r="421" s="1" customFormat="1" ht="14.25" customHeight="1" x14ac:dyDescent="0.3"/>
    <row r="422" s="1" customFormat="1" ht="14.25" customHeight="1" x14ac:dyDescent="0.3"/>
    <row r="423" s="1" customFormat="1" ht="14.25" customHeight="1" x14ac:dyDescent="0.3"/>
    <row r="424" s="1" customFormat="1" ht="14.25" customHeight="1" x14ac:dyDescent="0.3"/>
    <row r="425" s="1" customFormat="1" ht="14.25" customHeight="1" x14ac:dyDescent="0.3"/>
    <row r="426" s="1" customFormat="1" ht="14.25" customHeight="1" x14ac:dyDescent="0.3"/>
    <row r="427" s="1" customFormat="1" ht="14.25" customHeight="1" x14ac:dyDescent="0.3"/>
    <row r="428" s="1" customFormat="1" ht="14.25" customHeight="1" x14ac:dyDescent="0.3"/>
    <row r="429" s="1" customFormat="1" ht="14.25" customHeight="1" x14ac:dyDescent="0.3"/>
    <row r="430" s="1" customFormat="1" ht="14.25" customHeight="1" x14ac:dyDescent="0.3"/>
    <row r="431" s="1" customFormat="1" ht="14.25" customHeight="1" x14ac:dyDescent="0.3"/>
    <row r="432" s="1" customFormat="1" ht="14.25" customHeight="1" x14ac:dyDescent="0.3"/>
    <row r="433" s="1" customFormat="1" ht="14.25" customHeight="1" x14ac:dyDescent="0.3"/>
    <row r="434" s="1" customFormat="1" ht="14.25" customHeight="1" x14ac:dyDescent="0.3"/>
    <row r="435" s="1" customFormat="1" ht="14.25" customHeight="1" x14ac:dyDescent="0.3"/>
    <row r="436" s="1" customFormat="1" ht="14.25" customHeight="1" x14ac:dyDescent="0.3"/>
    <row r="437" s="1" customFormat="1" ht="14.25" customHeight="1" x14ac:dyDescent="0.3"/>
    <row r="438" s="1" customFormat="1" ht="14.25" customHeight="1" x14ac:dyDescent="0.3"/>
    <row r="439" s="1" customFormat="1" ht="14.25" customHeight="1" x14ac:dyDescent="0.3"/>
    <row r="440" s="1" customFormat="1" ht="14.25" customHeight="1" x14ac:dyDescent="0.3"/>
    <row r="441" s="1" customFormat="1" ht="14.25" customHeight="1" x14ac:dyDescent="0.3"/>
    <row r="442" s="1" customFormat="1" ht="14.25" customHeight="1" x14ac:dyDescent="0.3"/>
    <row r="443" s="1" customFormat="1" ht="14.25" customHeight="1" x14ac:dyDescent="0.3"/>
    <row r="444" s="1" customFormat="1" ht="14.25" customHeight="1" x14ac:dyDescent="0.3"/>
    <row r="445" s="1" customFormat="1" ht="14.25" customHeight="1" x14ac:dyDescent="0.3"/>
    <row r="446" s="1" customFormat="1" ht="14.25" customHeight="1" x14ac:dyDescent="0.3"/>
    <row r="447" s="1" customFormat="1" ht="14.25" customHeight="1" x14ac:dyDescent="0.3"/>
    <row r="448" s="1" customFormat="1" ht="14.25" customHeight="1" x14ac:dyDescent="0.3"/>
    <row r="449" s="1" customFormat="1" ht="14.25" customHeight="1" x14ac:dyDescent="0.3"/>
    <row r="450" s="1" customFormat="1" ht="14.25" customHeight="1" x14ac:dyDescent="0.3"/>
    <row r="451" s="1" customFormat="1" ht="14.25" customHeight="1" x14ac:dyDescent="0.3"/>
    <row r="452" s="1" customFormat="1" ht="14.25" customHeight="1" x14ac:dyDescent="0.3"/>
    <row r="453" s="1" customFormat="1" ht="14.25" customHeight="1" x14ac:dyDescent="0.3"/>
    <row r="454" s="1" customFormat="1" ht="14.25" customHeight="1" x14ac:dyDescent="0.3"/>
    <row r="455" s="1" customFormat="1" ht="14.25" customHeight="1" x14ac:dyDescent="0.3"/>
    <row r="456" s="1" customFormat="1" ht="14.25" customHeight="1" x14ac:dyDescent="0.3"/>
    <row r="457" s="1" customFormat="1" ht="14.25" customHeight="1" x14ac:dyDescent="0.3"/>
    <row r="458" s="1" customFormat="1" ht="14.25" customHeight="1" x14ac:dyDescent="0.3"/>
    <row r="459" s="1" customFormat="1" ht="14.25" customHeight="1" x14ac:dyDescent="0.3"/>
    <row r="460" s="1" customFormat="1" ht="14.25" customHeight="1" x14ac:dyDescent="0.3"/>
    <row r="461" s="1" customFormat="1" ht="14.25" customHeight="1" x14ac:dyDescent="0.3"/>
    <row r="462" s="1" customFormat="1" ht="14.25" customHeight="1" x14ac:dyDescent="0.3"/>
    <row r="463" s="1" customFormat="1" ht="14.25" customHeight="1" x14ac:dyDescent="0.3"/>
    <row r="464" s="1" customFormat="1" ht="14.25" customHeight="1" x14ac:dyDescent="0.3"/>
    <row r="465" s="1" customFormat="1" ht="14.25" customHeight="1" x14ac:dyDescent="0.3"/>
    <row r="466" s="1" customFormat="1" ht="14.25" customHeight="1" x14ac:dyDescent="0.3"/>
    <row r="467" s="1" customFormat="1" ht="14.25" customHeight="1" x14ac:dyDescent="0.3"/>
    <row r="468" s="1" customFormat="1" ht="14.25" customHeight="1" x14ac:dyDescent="0.3"/>
    <row r="469" s="1" customFormat="1" ht="14.25" customHeight="1" x14ac:dyDescent="0.3"/>
    <row r="470" s="1" customFormat="1" ht="14.25" customHeight="1" x14ac:dyDescent="0.3"/>
    <row r="471" s="1" customFormat="1" ht="14.25" customHeight="1" x14ac:dyDescent="0.3"/>
    <row r="472" s="1" customFormat="1" ht="14.25" customHeight="1" x14ac:dyDescent="0.3"/>
    <row r="473" s="1" customFormat="1" ht="14.25" customHeight="1" x14ac:dyDescent="0.3"/>
    <row r="474" s="1" customFormat="1" ht="14.25" customHeight="1" x14ac:dyDescent="0.3"/>
    <row r="475" s="1" customFormat="1" ht="14.25" customHeight="1" x14ac:dyDescent="0.3"/>
    <row r="476" s="1" customFormat="1" ht="14.25" customHeight="1" x14ac:dyDescent="0.3"/>
    <row r="477" s="1" customFormat="1" ht="14.25" customHeight="1" x14ac:dyDescent="0.3"/>
    <row r="478" s="1" customFormat="1" ht="14.25" customHeight="1" x14ac:dyDescent="0.3"/>
    <row r="479" s="1" customFormat="1" ht="14.25" customHeight="1" x14ac:dyDescent="0.3"/>
    <row r="480" s="1" customFormat="1" ht="14.25" customHeight="1" x14ac:dyDescent="0.3"/>
    <row r="481" s="1" customFormat="1" ht="14.25" customHeight="1" x14ac:dyDescent="0.3"/>
    <row r="482" s="1" customFormat="1" ht="14.25" customHeight="1" x14ac:dyDescent="0.3"/>
    <row r="483" s="1" customFormat="1" ht="14.25" customHeight="1" x14ac:dyDescent="0.3"/>
    <row r="484" s="1" customFormat="1" ht="14.25" customHeight="1" x14ac:dyDescent="0.3"/>
    <row r="485" s="1" customFormat="1" ht="14.25" customHeight="1" x14ac:dyDescent="0.3"/>
    <row r="486" s="1" customFormat="1" ht="14.25" customHeight="1" x14ac:dyDescent="0.3"/>
    <row r="487" s="1" customFormat="1" ht="14.25" customHeight="1" x14ac:dyDescent="0.3"/>
    <row r="488" s="1" customFormat="1" ht="14.25" customHeight="1" x14ac:dyDescent="0.3"/>
    <row r="489" s="1" customFormat="1" ht="14.25" customHeight="1" x14ac:dyDescent="0.3"/>
    <row r="490" s="1" customFormat="1" ht="14.25" customHeight="1" x14ac:dyDescent="0.3"/>
    <row r="491" s="1" customFormat="1" ht="14.25" customHeight="1" x14ac:dyDescent="0.3"/>
    <row r="492" s="1" customFormat="1" ht="14.25" customHeight="1" x14ac:dyDescent="0.3"/>
    <row r="493" s="1" customFormat="1" ht="14.25" customHeight="1" x14ac:dyDescent="0.3"/>
    <row r="494" s="1" customFormat="1" ht="14.25" customHeight="1" x14ac:dyDescent="0.3"/>
    <row r="495" s="1" customFormat="1" ht="14.25" customHeight="1" x14ac:dyDescent="0.3"/>
    <row r="496" s="1" customFormat="1" ht="14.25" customHeight="1" x14ac:dyDescent="0.3"/>
    <row r="497" s="1" customFormat="1" ht="14.25" customHeight="1" x14ac:dyDescent="0.3"/>
    <row r="498" s="1" customFormat="1" ht="14.25" customHeight="1" x14ac:dyDescent="0.3"/>
    <row r="499" s="1" customFormat="1" ht="14.25" customHeight="1" x14ac:dyDescent="0.3"/>
    <row r="500" s="1" customFormat="1" ht="14.25" customHeight="1" x14ac:dyDescent="0.3"/>
    <row r="501" s="1" customFormat="1" ht="14.25" customHeight="1" x14ac:dyDescent="0.3"/>
    <row r="502" s="1" customFormat="1" ht="14.25" customHeight="1" x14ac:dyDescent="0.3"/>
    <row r="503" s="1" customFormat="1" ht="14.25" customHeight="1" x14ac:dyDescent="0.3"/>
    <row r="504" s="1" customFormat="1" ht="14.25" customHeight="1" x14ac:dyDescent="0.3"/>
    <row r="505" s="1" customFormat="1" ht="14.25" customHeight="1" x14ac:dyDescent="0.3"/>
    <row r="506" s="1" customFormat="1" ht="14.25" customHeight="1" x14ac:dyDescent="0.3"/>
    <row r="507" s="1" customFormat="1" ht="14.25" customHeight="1" x14ac:dyDescent="0.3"/>
    <row r="508" s="1" customFormat="1" ht="14.25" customHeight="1" x14ac:dyDescent="0.3"/>
    <row r="509" s="1" customFormat="1" ht="14.25" customHeight="1" x14ac:dyDescent="0.3"/>
    <row r="510" s="1" customFormat="1" ht="14.25" customHeight="1" x14ac:dyDescent="0.3"/>
    <row r="511" s="1" customFormat="1" ht="14.25" customHeight="1" x14ac:dyDescent="0.3"/>
    <row r="512" s="1" customFormat="1" ht="14.25" customHeight="1" x14ac:dyDescent="0.3"/>
    <row r="513" s="1" customFormat="1" ht="14.25" customHeight="1" x14ac:dyDescent="0.3"/>
    <row r="514" s="1" customFormat="1" ht="14.25" customHeight="1" x14ac:dyDescent="0.3"/>
    <row r="515" s="1" customFormat="1" ht="14.25" customHeight="1" x14ac:dyDescent="0.3"/>
    <row r="516" s="1" customFormat="1" ht="14.25" customHeight="1" x14ac:dyDescent="0.3"/>
    <row r="517" s="1" customFormat="1" ht="14.25" customHeight="1" x14ac:dyDescent="0.3"/>
    <row r="518" s="1" customFormat="1" ht="14.25" customHeight="1" x14ac:dyDescent="0.3"/>
    <row r="519" s="1" customFormat="1" ht="14.25" customHeight="1" x14ac:dyDescent="0.3"/>
    <row r="520" s="1" customFormat="1" ht="14.25" customHeight="1" x14ac:dyDescent="0.3"/>
    <row r="521" s="1" customFormat="1" ht="14.25" customHeight="1" x14ac:dyDescent="0.3"/>
    <row r="522" s="1" customFormat="1" ht="14.25" customHeight="1" x14ac:dyDescent="0.3"/>
    <row r="523" s="1" customFormat="1" ht="14.25" customHeight="1" x14ac:dyDescent="0.3"/>
    <row r="524" s="1" customFormat="1" ht="14.25" customHeight="1" x14ac:dyDescent="0.3"/>
    <row r="525" s="1" customFormat="1" ht="14.25" customHeight="1" x14ac:dyDescent="0.3"/>
    <row r="526" s="1" customFormat="1" ht="14.25" customHeight="1" x14ac:dyDescent="0.3"/>
    <row r="527" s="1" customFormat="1" ht="14.25" customHeight="1" x14ac:dyDescent="0.3"/>
    <row r="528" s="1" customFormat="1" ht="14.25" customHeight="1" x14ac:dyDescent="0.3"/>
    <row r="529" s="1" customFormat="1" ht="14.25" customHeight="1" x14ac:dyDescent="0.3"/>
    <row r="530" s="1" customFormat="1" ht="14.25" customHeight="1" x14ac:dyDescent="0.3"/>
    <row r="531" s="1" customFormat="1" ht="14.25" customHeight="1" x14ac:dyDescent="0.3"/>
    <row r="532" s="1" customFormat="1" ht="14.25" customHeight="1" x14ac:dyDescent="0.3"/>
    <row r="533" s="1" customFormat="1" ht="14.25" customHeight="1" x14ac:dyDescent="0.3"/>
    <row r="534" s="1" customFormat="1" ht="14.25" customHeight="1" x14ac:dyDescent="0.3"/>
    <row r="535" s="1" customFormat="1" ht="14.25" customHeight="1" x14ac:dyDescent="0.3"/>
    <row r="536" s="1" customFormat="1" ht="14.25" customHeight="1" x14ac:dyDescent="0.3"/>
    <row r="537" s="1" customFormat="1" ht="14.25" customHeight="1" x14ac:dyDescent="0.3"/>
    <row r="538" s="1" customFormat="1" ht="14.25" customHeight="1" x14ac:dyDescent="0.3"/>
    <row r="539" s="1" customFormat="1" ht="14.25" customHeight="1" x14ac:dyDescent="0.3"/>
    <row r="540" s="1" customFormat="1" ht="14.25" customHeight="1" x14ac:dyDescent="0.3"/>
    <row r="541" s="1" customFormat="1" ht="14.25" customHeight="1" x14ac:dyDescent="0.3"/>
    <row r="542" s="1" customFormat="1" ht="14.25" customHeight="1" x14ac:dyDescent="0.3"/>
    <row r="543" s="1" customFormat="1" ht="14.25" customHeight="1" x14ac:dyDescent="0.3"/>
    <row r="544" s="1" customFormat="1" ht="14.25" customHeight="1" x14ac:dyDescent="0.3"/>
    <row r="545" s="1" customFormat="1" ht="14.25" customHeight="1" x14ac:dyDescent="0.3"/>
    <row r="546" s="1" customFormat="1" ht="14.25" customHeight="1" x14ac:dyDescent="0.3"/>
    <row r="547" s="1" customFormat="1" ht="14.25" customHeight="1" x14ac:dyDescent="0.3"/>
    <row r="548" s="1" customFormat="1" ht="14.25" customHeight="1" x14ac:dyDescent="0.3"/>
    <row r="549" s="1" customFormat="1" ht="14.25" customHeight="1" x14ac:dyDescent="0.3"/>
    <row r="550" s="1" customFormat="1" ht="14.25" customHeight="1" x14ac:dyDescent="0.3"/>
    <row r="551" s="1" customFormat="1" ht="14.25" customHeight="1" x14ac:dyDescent="0.3"/>
    <row r="552" s="1" customFormat="1" ht="14.25" customHeight="1" x14ac:dyDescent="0.3"/>
    <row r="553" s="1" customFormat="1" ht="14.25" customHeight="1" x14ac:dyDescent="0.3"/>
    <row r="554" s="1" customFormat="1" ht="14.25" customHeight="1" x14ac:dyDescent="0.3"/>
    <row r="555" s="1" customFormat="1" ht="14.25" customHeight="1" x14ac:dyDescent="0.3"/>
    <row r="556" s="1" customFormat="1" ht="14.25" customHeight="1" x14ac:dyDescent="0.3"/>
    <row r="557" s="1" customFormat="1" ht="14.25" customHeight="1" x14ac:dyDescent="0.3"/>
    <row r="558" s="1" customFormat="1" ht="14.25" customHeight="1" x14ac:dyDescent="0.3"/>
    <row r="559" s="1" customFormat="1" ht="14.25" customHeight="1" x14ac:dyDescent="0.3"/>
    <row r="560" s="1" customFormat="1" ht="14.25" customHeight="1" x14ac:dyDescent="0.3"/>
    <row r="561" s="1" customFormat="1" ht="14.25" customHeight="1" x14ac:dyDescent="0.3"/>
    <row r="562" s="1" customFormat="1" ht="14.25" customHeight="1" x14ac:dyDescent="0.3"/>
    <row r="563" s="1" customFormat="1" ht="14.25" customHeight="1" x14ac:dyDescent="0.3"/>
    <row r="564" s="1" customFormat="1" ht="14.25" customHeight="1" x14ac:dyDescent="0.3"/>
    <row r="565" s="1" customFormat="1" ht="14.25" customHeight="1" x14ac:dyDescent="0.3"/>
    <row r="566" s="1" customFormat="1" ht="14.25" customHeight="1" x14ac:dyDescent="0.3"/>
    <row r="567" s="1" customFormat="1" ht="14.25" customHeight="1" x14ac:dyDescent="0.3"/>
    <row r="568" s="1" customFormat="1" ht="14.25" customHeight="1" x14ac:dyDescent="0.3"/>
    <row r="569" s="1" customFormat="1" ht="14.25" customHeight="1" x14ac:dyDescent="0.3"/>
    <row r="570" s="1" customFormat="1" ht="14.25" customHeight="1" x14ac:dyDescent="0.3"/>
    <row r="571" s="1" customFormat="1" ht="14.25" customHeight="1" x14ac:dyDescent="0.3"/>
    <row r="572" s="1" customFormat="1" ht="14.25" customHeight="1" x14ac:dyDescent="0.3"/>
    <row r="573" s="1" customFormat="1" ht="14.25" customHeight="1" x14ac:dyDescent="0.3"/>
    <row r="574" s="1" customFormat="1" ht="14.25" customHeight="1" x14ac:dyDescent="0.3"/>
    <row r="575" s="1" customFormat="1" ht="14.25" customHeight="1" x14ac:dyDescent="0.3"/>
    <row r="576" s="1" customFormat="1" ht="14.25" customHeight="1" x14ac:dyDescent="0.3"/>
    <row r="577" s="1" customFormat="1" ht="14.25" customHeight="1" x14ac:dyDescent="0.3"/>
    <row r="578" s="1" customFormat="1" ht="14.25" customHeight="1" x14ac:dyDescent="0.3"/>
    <row r="579" s="1" customFormat="1" ht="14.25" customHeight="1" x14ac:dyDescent="0.3"/>
    <row r="580" s="1" customFormat="1" ht="14.25" customHeight="1" x14ac:dyDescent="0.3"/>
    <row r="581" s="1" customFormat="1" ht="14.25" customHeight="1" x14ac:dyDescent="0.3"/>
    <row r="582" s="1" customFormat="1" ht="14.25" customHeight="1" x14ac:dyDescent="0.3"/>
    <row r="583" s="1" customFormat="1" ht="14.25" customHeight="1" x14ac:dyDescent="0.3"/>
    <row r="584" s="1" customFormat="1" ht="14.25" customHeight="1" x14ac:dyDescent="0.3"/>
    <row r="585" s="1" customFormat="1" ht="14.25" customHeight="1" x14ac:dyDescent="0.3"/>
    <row r="586" s="1" customFormat="1" ht="14.25" customHeight="1" x14ac:dyDescent="0.3"/>
    <row r="587" s="1" customFormat="1" ht="14.25" customHeight="1" x14ac:dyDescent="0.3"/>
    <row r="588" s="1" customFormat="1" ht="14.25" customHeight="1" x14ac:dyDescent="0.3"/>
    <row r="589" s="1" customFormat="1" ht="14.25" customHeight="1" x14ac:dyDescent="0.3"/>
    <row r="590" s="1" customFormat="1" ht="14.25" customHeight="1" x14ac:dyDescent="0.3"/>
    <row r="591" s="1" customFormat="1" ht="14.25" customHeight="1" x14ac:dyDescent="0.3"/>
    <row r="592" s="1" customFormat="1" ht="14.25" customHeight="1" x14ac:dyDescent="0.3"/>
    <row r="593" s="1" customFormat="1" ht="14.25" customHeight="1" x14ac:dyDescent="0.3"/>
    <row r="594" s="1" customFormat="1" ht="14.25" customHeight="1" x14ac:dyDescent="0.3"/>
    <row r="595" s="1" customFormat="1" ht="14.25" customHeight="1" x14ac:dyDescent="0.3"/>
    <row r="596" s="1" customFormat="1" ht="14.25" customHeight="1" x14ac:dyDescent="0.3"/>
    <row r="597" s="1" customFormat="1" ht="14.25" customHeight="1" x14ac:dyDescent="0.3"/>
    <row r="598" s="1" customFormat="1" ht="14.25" customHeight="1" x14ac:dyDescent="0.3"/>
    <row r="599" s="1" customFormat="1" ht="14.25" customHeight="1" x14ac:dyDescent="0.3"/>
    <row r="600" s="1" customFormat="1" ht="14.25" customHeight="1" x14ac:dyDescent="0.3"/>
    <row r="601" s="1" customFormat="1" ht="14.25" customHeight="1" x14ac:dyDescent="0.3"/>
    <row r="602" s="1" customFormat="1" ht="14.25" customHeight="1" x14ac:dyDescent="0.3"/>
    <row r="603" s="1" customFormat="1" ht="14.25" customHeight="1" x14ac:dyDescent="0.3"/>
    <row r="604" s="1" customFormat="1" ht="14.25" customHeight="1" x14ac:dyDescent="0.3"/>
    <row r="605" s="1" customFormat="1" ht="14.25" customHeight="1" x14ac:dyDescent="0.3"/>
    <row r="606" s="1" customFormat="1" ht="14.25" customHeight="1" x14ac:dyDescent="0.3"/>
    <row r="607" s="1" customFormat="1" ht="14.25" customHeight="1" x14ac:dyDescent="0.3"/>
    <row r="608" s="1" customFormat="1" ht="14.25" customHeight="1" x14ac:dyDescent="0.3"/>
    <row r="609" s="1" customFormat="1" ht="14.25" customHeight="1" x14ac:dyDescent="0.3"/>
    <row r="610" s="1" customFormat="1" ht="14.25" customHeight="1" x14ac:dyDescent="0.3"/>
    <row r="611" s="1" customFormat="1" ht="14.25" customHeight="1" x14ac:dyDescent="0.3"/>
    <row r="612" s="1" customFormat="1" ht="14.25" customHeight="1" x14ac:dyDescent="0.3"/>
    <row r="613" s="1" customFormat="1" ht="14.25" customHeight="1" x14ac:dyDescent="0.3"/>
    <row r="614" s="1" customFormat="1" ht="14.25" customHeight="1" x14ac:dyDescent="0.3"/>
    <row r="615" s="1" customFormat="1" ht="14.25" customHeight="1" x14ac:dyDescent="0.3"/>
    <row r="616" s="1" customFormat="1" ht="14.25" customHeight="1" x14ac:dyDescent="0.3"/>
    <row r="617" s="1" customFormat="1" ht="14.25" customHeight="1" x14ac:dyDescent="0.3"/>
    <row r="618" s="1" customFormat="1" ht="14.25" customHeight="1" x14ac:dyDescent="0.3"/>
    <row r="619" s="1" customFormat="1" ht="14.25" customHeight="1" x14ac:dyDescent="0.3"/>
    <row r="620" s="1" customFormat="1" ht="14.25" customHeight="1" x14ac:dyDescent="0.3"/>
    <row r="621" s="1" customFormat="1" ht="14.25" customHeight="1" x14ac:dyDescent="0.3"/>
    <row r="622" s="1" customFormat="1" ht="14.25" customHeight="1" x14ac:dyDescent="0.3"/>
    <row r="623" s="1" customFormat="1" ht="14.25" customHeight="1" x14ac:dyDescent="0.3"/>
    <row r="624" s="1" customFormat="1" ht="14.25" customHeight="1" x14ac:dyDescent="0.3"/>
    <row r="625" s="1" customFormat="1" ht="14.25" customHeight="1" x14ac:dyDescent="0.3"/>
    <row r="626" s="1" customFormat="1" ht="14.25" customHeight="1" x14ac:dyDescent="0.3"/>
    <row r="627" s="1" customFormat="1" ht="14.25" customHeight="1" x14ac:dyDescent="0.3"/>
    <row r="628" s="1" customFormat="1" ht="14.25" customHeight="1" x14ac:dyDescent="0.3"/>
    <row r="629" s="1" customFormat="1" ht="14.25" customHeight="1" x14ac:dyDescent="0.3"/>
    <row r="630" s="1" customFormat="1" ht="14.25" customHeight="1" x14ac:dyDescent="0.3"/>
    <row r="631" s="1" customFormat="1" ht="14.25" customHeight="1" x14ac:dyDescent="0.3"/>
    <row r="632" s="1" customFormat="1" ht="14.25" customHeight="1" x14ac:dyDescent="0.3"/>
    <row r="633" s="1" customFormat="1" ht="14.25" customHeight="1" x14ac:dyDescent="0.3"/>
    <row r="634" s="1" customFormat="1" ht="14.25" customHeight="1" x14ac:dyDescent="0.3"/>
    <row r="635" s="1" customFormat="1" ht="14.25" customHeight="1" x14ac:dyDescent="0.3"/>
    <row r="636" s="1" customFormat="1" ht="14.25" customHeight="1" x14ac:dyDescent="0.3"/>
    <row r="637" s="1" customFormat="1" ht="14.25" customHeight="1" x14ac:dyDescent="0.3"/>
    <row r="638" s="1" customFormat="1" ht="14.25" customHeight="1" x14ac:dyDescent="0.3"/>
    <row r="639" s="1" customFormat="1" ht="14.25" customHeight="1" x14ac:dyDescent="0.3"/>
    <row r="640" s="1" customFormat="1" ht="14.25" customHeight="1" x14ac:dyDescent="0.3"/>
    <row r="641" s="1" customFormat="1" ht="14.25" customHeight="1" x14ac:dyDescent="0.3"/>
    <row r="642" s="1" customFormat="1" ht="14.25" customHeight="1" x14ac:dyDescent="0.3"/>
    <row r="643" s="1" customFormat="1" ht="14.25" customHeight="1" x14ac:dyDescent="0.3"/>
    <row r="644" s="1" customFormat="1" ht="14.25" customHeight="1" x14ac:dyDescent="0.3"/>
    <row r="645" s="1" customFormat="1" ht="14.25" customHeight="1" x14ac:dyDescent="0.3"/>
    <row r="646" s="1" customFormat="1" ht="14.25" customHeight="1" x14ac:dyDescent="0.3"/>
    <row r="647" s="1" customFormat="1" ht="14.25" customHeight="1" x14ac:dyDescent="0.3"/>
    <row r="648" s="1" customFormat="1" ht="14.25" customHeight="1" x14ac:dyDescent="0.3"/>
    <row r="649" s="1" customFormat="1" ht="14.25" customHeight="1" x14ac:dyDescent="0.3"/>
    <row r="650" s="1" customFormat="1" ht="14.25" customHeight="1" x14ac:dyDescent="0.3"/>
    <row r="651" s="1" customFormat="1" ht="14.25" customHeight="1" x14ac:dyDescent="0.3"/>
    <row r="652" s="1" customFormat="1" ht="14.25" customHeight="1" x14ac:dyDescent="0.3"/>
    <row r="653" s="1" customFormat="1" ht="14.25" customHeight="1" x14ac:dyDescent="0.3"/>
    <row r="654" s="1" customFormat="1" ht="14.25" customHeight="1" x14ac:dyDescent="0.3"/>
    <row r="655" s="1" customFormat="1" ht="14.25" customHeight="1" x14ac:dyDescent="0.3"/>
    <row r="656" s="1" customFormat="1" ht="14.25" customHeight="1" x14ac:dyDescent="0.3"/>
    <row r="657" s="1" customFormat="1" ht="14.25" customHeight="1" x14ac:dyDescent="0.3"/>
    <row r="658" s="1" customFormat="1" ht="14.25" customHeight="1" x14ac:dyDescent="0.3"/>
    <row r="659" s="1" customFormat="1" ht="14.25" customHeight="1" x14ac:dyDescent="0.3"/>
    <row r="660" s="1" customFormat="1" ht="14.25" customHeight="1" x14ac:dyDescent="0.3"/>
    <row r="661" s="1" customFormat="1" ht="14.25" customHeight="1" x14ac:dyDescent="0.3"/>
    <row r="662" s="1" customFormat="1" ht="14.25" customHeight="1" x14ac:dyDescent="0.3"/>
    <row r="663" s="1" customFormat="1" ht="14.25" customHeight="1" x14ac:dyDescent="0.3"/>
    <row r="664" s="1" customFormat="1" ht="14.25" customHeight="1" x14ac:dyDescent="0.3"/>
    <row r="665" s="1" customFormat="1" ht="14.25" customHeight="1" x14ac:dyDescent="0.3"/>
    <row r="666" s="1" customFormat="1" ht="14.25" customHeight="1" x14ac:dyDescent="0.3"/>
    <row r="667" s="1" customFormat="1" ht="14.25" customHeight="1" x14ac:dyDescent="0.3"/>
    <row r="668" s="1" customFormat="1" ht="14.25" customHeight="1" x14ac:dyDescent="0.3"/>
    <row r="669" s="1" customFormat="1" ht="14.25" customHeight="1" x14ac:dyDescent="0.3"/>
    <row r="670" s="1" customFormat="1" ht="14.25" customHeight="1" x14ac:dyDescent="0.3"/>
    <row r="671" s="1" customFormat="1" ht="14.25" customHeight="1" x14ac:dyDescent="0.3"/>
    <row r="672" s="1" customFormat="1" ht="14.25" customHeight="1" x14ac:dyDescent="0.3"/>
    <row r="673" s="1" customFormat="1" ht="14.25" customHeight="1" x14ac:dyDescent="0.3"/>
    <row r="674" s="1" customFormat="1" ht="14.25" customHeight="1" x14ac:dyDescent="0.3"/>
    <row r="675" s="1" customFormat="1" ht="14.25" customHeight="1" x14ac:dyDescent="0.3"/>
    <row r="676" s="1" customFormat="1" ht="14.25" customHeight="1" x14ac:dyDescent="0.3"/>
    <row r="677" s="1" customFormat="1" ht="14.25" customHeight="1" x14ac:dyDescent="0.3"/>
    <row r="678" s="1" customFormat="1" ht="14.25" customHeight="1" x14ac:dyDescent="0.3"/>
    <row r="679" s="1" customFormat="1" ht="14.25" customHeight="1" x14ac:dyDescent="0.3"/>
    <row r="680" s="1" customFormat="1" ht="14.25" customHeight="1" x14ac:dyDescent="0.3"/>
    <row r="681" s="1" customFormat="1" ht="14.25" customHeight="1" x14ac:dyDescent="0.3"/>
    <row r="682" s="1" customFormat="1" ht="14.25" customHeight="1" x14ac:dyDescent="0.3"/>
    <row r="683" s="1" customFormat="1" ht="14.25" customHeight="1" x14ac:dyDescent="0.3"/>
    <row r="684" s="1" customFormat="1" ht="14.25" customHeight="1" x14ac:dyDescent="0.3"/>
    <row r="685" s="1" customFormat="1" ht="14.25" customHeight="1" x14ac:dyDescent="0.3"/>
    <row r="686" s="1" customFormat="1" ht="14.25" customHeight="1" x14ac:dyDescent="0.3"/>
    <row r="687" s="1" customFormat="1" ht="14.25" customHeight="1" x14ac:dyDescent="0.3"/>
    <row r="688" s="1" customFormat="1" ht="14.25" customHeight="1" x14ac:dyDescent="0.3"/>
    <row r="689" s="1" customFormat="1" ht="14.25" customHeight="1" x14ac:dyDescent="0.3"/>
    <row r="690" s="1" customFormat="1" ht="14.25" customHeight="1" x14ac:dyDescent="0.3"/>
    <row r="691" s="1" customFormat="1" ht="14.25" customHeight="1" x14ac:dyDescent="0.3"/>
    <row r="692" s="1" customFormat="1" ht="14.25" customHeight="1" x14ac:dyDescent="0.3"/>
    <row r="693" s="1" customFormat="1" ht="14.25" customHeight="1" x14ac:dyDescent="0.3"/>
    <row r="694" s="1" customFormat="1" ht="14.25" customHeight="1" x14ac:dyDescent="0.3"/>
    <row r="695" s="1" customFormat="1" ht="14.25" customHeight="1" x14ac:dyDescent="0.3"/>
    <row r="696" s="1" customFormat="1" ht="14.25" customHeight="1" x14ac:dyDescent="0.3"/>
    <row r="697" s="1" customFormat="1" ht="14.25" customHeight="1" x14ac:dyDescent="0.3"/>
    <row r="698" s="1" customFormat="1" ht="14.25" customHeight="1" x14ac:dyDescent="0.3"/>
    <row r="699" s="1" customFormat="1" ht="14.25" customHeight="1" x14ac:dyDescent="0.3"/>
    <row r="700" s="1" customFormat="1" ht="14.25" customHeight="1" x14ac:dyDescent="0.3"/>
    <row r="701" s="1" customFormat="1" ht="14.25" customHeight="1" x14ac:dyDescent="0.3"/>
    <row r="702" s="1" customFormat="1" ht="14.25" customHeight="1" x14ac:dyDescent="0.3"/>
    <row r="703" s="1" customFormat="1" ht="14.25" customHeight="1" x14ac:dyDescent="0.3"/>
    <row r="704" s="1" customFormat="1" ht="14.25" customHeight="1" x14ac:dyDescent="0.3"/>
    <row r="705" s="1" customFormat="1" ht="14.25" customHeight="1" x14ac:dyDescent="0.3"/>
    <row r="706" s="1" customFormat="1" ht="14.25" customHeight="1" x14ac:dyDescent="0.3"/>
    <row r="707" s="1" customFormat="1" ht="14.25" customHeight="1" x14ac:dyDescent="0.3"/>
    <row r="708" s="1" customFormat="1" ht="14.25" customHeight="1" x14ac:dyDescent="0.3"/>
    <row r="709" s="1" customFormat="1" ht="14.25" customHeight="1" x14ac:dyDescent="0.3"/>
    <row r="710" s="1" customFormat="1" ht="14.25" customHeight="1" x14ac:dyDescent="0.3"/>
    <row r="711" s="1" customFormat="1" ht="14.25" customHeight="1" x14ac:dyDescent="0.3"/>
    <row r="712" s="1" customFormat="1" ht="14.25" customHeight="1" x14ac:dyDescent="0.3"/>
    <row r="713" s="1" customFormat="1" ht="14.25" customHeight="1" x14ac:dyDescent="0.3"/>
    <row r="714" s="1" customFormat="1" ht="14.25" customHeight="1" x14ac:dyDescent="0.3"/>
    <row r="715" s="1" customFormat="1" ht="14.25" customHeight="1" x14ac:dyDescent="0.3"/>
    <row r="716" s="1" customFormat="1" ht="14.25" customHeight="1" x14ac:dyDescent="0.3"/>
    <row r="717" s="1" customFormat="1" ht="14.25" customHeight="1" x14ac:dyDescent="0.3"/>
    <row r="718" s="1" customFormat="1" ht="14.25" customHeight="1" x14ac:dyDescent="0.3"/>
    <row r="719" s="1" customFormat="1" ht="14.25" customHeight="1" x14ac:dyDescent="0.3"/>
    <row r="720" s="1" customFormat="1" ht="14.25" customHeight="1" x14ac:dyDescent="0.3"/>
    <row r="721" s="1" customFormat="1" ht="14.25" customHeight="1" x14ac:dyDescent="0.3"/>
    <row r="722" s="1" customFormat="1" ht="14.25" customHeight="1" x14ac:dyDescent="0.3"/>
    <row r="723" s="1" customFormat="1" ht="14.25" customHeight="1" x14ac:dyDescent="0.3"/>
    <row r="724" s="1" customFormat="1" ht="14.25" customHeight="1" x14ac:dyDescent="0.3"/>
    <row r="725" s="1" customFormat="1" ht="14.25" customHeight="1" x14ac:dyDescent="0.3"/>
    <row r="726" s="1" customFormat="1" ht="14.25" customHeight="1" x14ac:dyDescent="0.3"/>
    <row r="727" s="1" customFormat="1" ht="14.25" customHeight="1" x14ac:dyDescent="0.3"/>
    <row r="728" s="1" customFormat="1" ht="14.25" customHeight="1" x14ac:dyDescent="0.3"/>
    <row r="729" s="1" customFormat="1" ht="14.25" customHeight="1" x14ac:dyDescent="0.3"/>
    <row r="730" s="1" customFormat="1" ht="14.25" customHeight="1" x14ac:dyDescent="0.3"/>
    <row r="731" s="1" customFormat="1" ht="14.25" customHeight="1" x14ac:dyDescent="0.3"/>
    <row r="732" s="1" customFormat="1" ht="14.25" customHeight="1" x14ac:dyDescent="0.3"/>
    <row r="733" s="1" customFormat="1" ht="14.25" customHeight="1" x14ac:dyDescent="0.3"/>
    <row r="734" s="1" customFormat="1" ht="14.25" customHeight="1" x14ac:dyDescent="0.3"/>
    <row r="735" s="1" customFormat="1" ht="14.25" customHeight="1" x14ac:dyDescent="0.3"/>
    <row r="736" s="1" customFormat="1" ht="14.25" customHeight="1" x14ac:dyDescent="0.3"/>
    <row r="737" s="1" customFormat="1" ht="14.25" customHeight="1" x14ac:dyDescent="0.3"/>
    <row r="738" s="1" customFormat="1" ht="14.25" customHeight="1" x14ac:dyDescent="0.3"/>
    <row r="739" s="1" customFormat="1" ht="14.25" customHeight="1" x14ac:dyDescent="0.3"/>
    <row r="740" s="1" customFormat="1" ht="14.25" customHeight="1" x14ac:dyDescent="0.3"/>
    <row r="741" s="1" customFormat="1" ht="14.25" customHeight="1" x14ac:dyDescent="0.3"/>
    <row r="742" s="1" customFormat="1" ht="14.25" customHeight="1" x14ac:dyDescent="0.3"/>
    <row r="743" s="1" customFormat="1" ht="14.25" customHeight="1" x14ac:dyDescent="0.3"/>
    <row r="744" s="1" customFormat="1" ht="14.25" customHeight="1" x14ac:dyDescent="0.3"/>
    <row r="745" s="1" customFormat="1" ht="14.25" customHeight="1" x14ac:dyDescent="0.3"/>
    <row r="746" s="1" customFormat="1" ht="14.25" customHeight="1" x14ac:dyDescent="0.3"/>
    <row r="747" s="1" customFormat="1" ht="14.25" customHeight="1" x14ac:dyDescent="0.3"/>
    <row r="748" s="1" customFormat="1" ht="14.25" customHeight="1" x14ac:dyDescent="0.3"/>
    <row r="749" s="1" customFormat="1" ht="14.25" customHeight="1" x14ac:dyDescent="0.3"/>
    <row r="750" s="1" customFormat="1" ht="14.25" customHeight="1" x14ac:dyDescent="0.3"/>
    <row r="751" s="1" customFormat="1" ht="14.25" customHeight="1" x14ac:dyDescent="0.3"/>
    <row r="752" s="1" customFormat="1" ht="14.25" customHeight="1" x14ac:dyDescent="0.3"/>
    <row r="753" s="1" customFormat="1" ht="14.25" customHeight="1" x14ac:dyDescent="0.3"/>
    <row r="754" s="1" customFormat="1" ht="14.25" customHeight="1" x14ac:dyDescent="0.3"/>
    <row r="755" s="1" customFormat="1" ht="14.25" customHeight="1" x14ac:dyDescent="0.3"/>
    <row r="756" s="1" customFormat="1" ht="14.25" customHeight="1" x14ac:dyDescent="0.3"/>
    <row r="757" s="1" customFormat="1" ht="14.25" customHeight="1" x14ac:dyDescent="0.3"/>
    <row r="758" s="1" customFormat="1" ht="14.25" customHeight="1" x14ac:dyDescent="0.3"/>
    <row r="759" s="1" customFormat="1" ht="14.25" customHeight="1" x14ac:dyDescent="0.3"/>
    <row r="760" s="1" customFormat="1" ht="14.25" customHeight="1" x14ac:dyDescent="0.3"/>
    <row r="761" s="1" customFormat="1" ht="14.25" customHeight="1" x14ac:dyDescent="0.3"/>
    <row r="762" s="1" customFormat="1" ht="14.25" customHeight="1" x14ac:dyDescent="0.3"/>
    <row r="763" s="1" customFormat="1" ht="14.25" customHeight="1" x14ac:dyDescent="0.3"/>
    <row r="764" s="1" customFormat="1" ht="14.25" customHeight="1" x14ac:dyDescent="0.3"/>
    <row r="765" s="1" customFormat="1" ht="14.25" customHeight="1" x14ac:dyDescent="0.3"/>
    <row r="766" s="1" customFormat="1" ht="14.25" customHeight="1" x14ac:dyDescent="0.3"/>
    <row r="767" s="1" customFormat="1" ht="14.25" customHeight="1" x14ac:dyDescent="0.3"/>
    <row r="768" s="1" customFormat="1" ht="14.25" customHeight="1" x14ac:dyDescent="0.3"/>
    <row r="769" s="1" customFormat="1" ht="14.25" customHeight="1" x14ac:dyDescent="0.3"/>
    <row r="770" s="1" customFormat="1" ht="14.25" customHeight="1" x14ac:dyDescent="0.3"/>
    <row r="771" s="1" customFormat="1" ht="14.25" customHeight="1" x14ac:dyDescent="0.3"/>
    <row r="772" s="1" customFormat="1" ht="14.25" customHeight="1" x14ac:dyDescent="0.3"/>
    <row r="773" s="1" customFormat="1" ht="14.25" customHeight="1" x14ac:dyDescent="0.3"/>
    <row r="774" s="1" customFormat="1" ht="14.25" customHeight="1" x14ac:dyDescent="0.3"/>
    <row r="775" s="1" customFormat="1" ht="14.25" customHeight="1" x14ac:dyDescent="0.3"/>
    <row r="776" s="1" customFormat="1" ht="14.25" customHeight="1" x14ac:dyDescent="0.3"/>
    <row r="777" s="1" customFormat="1" ht="14.25" customHeight="1" x14ac:dyDescent="0.3"/>
    <row r="778" s="1" customFormat="1" ht="14.25" customHeight="1" x14ac:dyDescent="0.3"/>
    <row r="779" s="1" customFormat="1" ht="14.25" customHeight="1" x14ac:dyDescent="0.3"/>
    <row r="780" s="1" customFormat="1" ht="14.25" customHeight="1" x14ac:dyDescent="0.3"/>
    <row r="781" s="1" customFormat="1" ht="14.25" customHeight="1" x14ac:dyDescent="0.3"/>
    <row r="782" s="1" customFormat="1" ht="14.25" customHeight="1" x14ac:dyDescent="0.3"/>
    <row r="783" s="1" customFormat="1" ht="14.25" customHeight="1" x14ac:dyDescent="0.3"/>
    <row r="784" s="1" customFormat="1" ht="14.25" customHeight="1" x14ac:dyDescent="0.3"/>
    <row r="785" s="1" customFormat="1" ht="14.25" customHeight="1" x14ac:dyDescent="0.3"/>
    <row r="786" s="1" customFormat="1" ht="14.25" customHeight="1" x14ac:dyDescent="0.3"/>
    <row r="787" s="1" customFormat="1" ht="14.25" customHeight="1" x14ac:dyDescent="0.3"/>
    <row r="788" s="1" customFormat="1" ht="14.25" customHeight="1" x14ac:dyDescent="0.3"/>
    <row r="789" s="1" customFormat="1" ht="14.25" customHeight="1" x14ac:dyDescent="0.3"/>
    <row r="790" s="1" customFormat="1" ht="14.25" customHeight="1" x14ac:dyDescent="0.3"/>
    <row r="791" s="1" customFormat="1" ht="14.25" customHeight="1" x14ac:dyDescent="0.3"/>
    <row r="792" s="1" customFormat="1" ht="14.25" customHeight="1" x14ac:dyDescent="0.3"/>
    <row r="793" s="1" customFormat="1" ht="14.25" customHeight="1" x14ac:dyDescent="0.3"/>
    <row r="794" s="1" customFormat="1" ht="14.25" customHeight="1" x14ac:dyDescent="0.3"/>
    <row r="795" s="1" customFormat="1" ht="14.25" customHeight="1" x14ac:dyDescent="0.3"/>
    <row r="796" s="1" customFormat="1" ht="14.25" customHeight="1" x14ac:dyDescent="0.3"/>
    <row r="797" s="1" customFormat="1" ht="14.25" customHeight="1" x14ac:dyDescent="0.3"/>
    <row r="798" s="1" customFormat="1" ht="14.25" customHeight="1" x14ac:dyDescent="0.3"/>
    <row r="799" s="1" customFormat="1" ht="14.25" customHeight="1" x14ac:dyDescent="0.3"/>
    <row r="800" s="1" customFormat="1" ht="14.25" customHeight="1" x14ac:dyDescent="0.3"/>
    <row r="801" s="1" customFormat="1" ht="14.25" customHeight="1" x14ac:dyDescent="0.3"/>
    <row r="802" s="1" customFormat="1" ht="14.25" customHeight="1" x14ac:dyDescent="0.3"/>
    <row r="803" s="1" customFormat="1" ht="14.25" customHeight="1" x14ac:dyDescent="0.3"/>
    <row r="804" s="1" customFormat="1" ht="14.25" customHeight="1" x14ac:dyDescent="0.3"/>
    <row r="805" s="1" customFormat="1" ht="14.25" customHeight="1" x14ac:dyDescent="0.3"/>
    <row r="806" s="1" customFormat="1" ht="14.25" customHeight="1" x14ac:dyDescent="0.3"/>
    <row r="807" s="1" customFormat="1" ht="14.25" customHeight="1" x14ac:dyDescent="0.3"/>
    <row r="808" s="1" customFormat="1" ht="14.25" customHeight="1" x14ac:dyDescent="0.3"/>
    <row r="809" s="1" customFormat="1" ht="14.25" customHeight="1" x14ac:dyDescent="0.3"/>
    <row r="810" s="1" customFormat="1" ht="14.25" customHeight="1" x14ac:dyDescent="0.3"/>
    <row r="811" s="1" customFormat="1" ht="14.25" customHeight="1" x14ac:dyDescent="0.3"/>
    <row r="812" s="1" customFormat="1" ht="14.25" customHeight="1" x14ac:dyDescent="0.3"/>
    <row r="813" s="1" customFormat="1" ht="14.25" customHeight="1" x14ac:dyDescent="0.3"/>
    <row r="814" s="1" customFormat="1" ht="14.25" customHeight="1" x14ac:dyDescent="0.3"/>
    <row r="815" s="1" customFormat="1" ht="14.25" customHeight="1" x14ac:dyDescent="0.3"/>
    <row r="816" s="1" customFormat="1" ht="14.25" customHeight="1" x14ac:dyDescent="0.3"/>
    <row r="817" s="1" customFormat="1" ht="14.25" customHeight="1" x14ac:dyDescent="0.3"/>
    <row r="818" s="1" customFormat="1" ht="14.25" customHeight="1" x14ac:dyDescent="0.3"/>
    <row r="819" s="1" customFormat="1" ht="14.25" customHeight="1" x14ac:dyDescent="0.3"/>
    <row r="820" s="1" customFormat="1" ht="14.25" customHeight="1" x14ac:dyDescent="0.3"/>
    <row r="821" s="1" customFormat="1" ht="14.25" customHeight="1" x14ac:dyDescent="0.3"/>
    <row r="822" s="1" customFormat="1" ht="14.25" customHeight="1" x14ac:dyDescent="0.3"/>
    <row r="823" s="1" customFormat="1" ht="14.25" customHeight="1" x14ac:dyDescent="0.3"/>
    <row r="824" s="1" customFormat="1" ht="14.25" customHeight="1" x14ac:dyDescent="0.3"/>
    <row r="825" s="1" customFormat="1" ht="14.25" customHeight="1" x14ac:dyDescent="0.3"/>
    <row r="826" s="1" customFormat="1" ht="14.25" customHeight="1" x14ac:dyDescent="0.3"/>
    <row r="827" s="1" customFormat="1" ht="14.25" customHeight="1" x14ac:dyDescent="0.3"/>
    <row r="828" s="1" customFormat="1" ht="14.25" customHeight="1" x14ac:dyDescent="0.3"/>
    <row r="829" s="1" customFormat="1" ht="14.25" customHeight="1" x14ac:dyDescent="0.3"/>
    <row r="830" s="1" customFormat="1" ht="14.25" customHeight="1" x14ac:dyDescent="0.3"/>
    <row r="831" s="1" customFormat="1" ht="14.25" customHeight="1" x14ac:dyDescent="0.3"/>
    <row r="832" s="1" customFormat="1" ht="14.25" customHeight="1" x14ac:dyDescent="0.3"/>
    <row r="833" s="1" customFormat="1" ht="14.25" customHeight="1" x14ac:dyDescent="0.3"/>
    <row r="834" s="1" customFormat="1" ht="14.25" customHeight="1" x14ac:dyDescent="0.3"/>
    <row r="835" s="1" customFormat="1" ht="14.25" customHeight="1" x14ac:dyDescent="0.3"/>
    <row r="836" s="1" customFormat="1" ht="14.25" customHeight="1" x14ac:dyDescent="0.3"/>
    <row r="837" s="1" customFormat="1" ht="14.25" customHeight="1" x14ac:dyDescent="0.3"/>
    <row r="838" s="1" customFormat="1" ht="14.25" customHeight="1" x14ac:dyDescent="0.3"/>
    <row r="839" s="1" customFormat="1" ht="14.25" customHeight="1" x14ac:dyDescent="0.3"/>
    <row r="840" s="1" customFormat="1" ht="14.25" customHeight="1" x14ac:dyDescent="0.3"/>
    <row r="841" s="1" customFormat="1" ht="14.25" customHeight="1" x14ac:dyDescent="0.3"/>
    <row r="842" s="1" customFormat="1" ht="14.25" customHeight="1" x14ac:dyDescent="0.3"/>
    <row r="843" s="1" customFormat="1" ht="14.25" customHeight="1" x14ac:dyDescent="0.3"/>
    <row r="844" s="1" customFormat="1" ht="14.25" customHeight="1" x14ac:dyDescent="0.3"/>
    <row r="845" s="1" customFormat="1" ht="14.25" customHeight="1" x14ac:dyDescent="0.3"/>
    <row r="846" s="1" customFormat="1" ht="14.25" customHeight="1" x14ac:dyDescent="0.3"/>
    <row r="847" s="1" customFormat="1" ht="14.25" customHeight="1" x14ac:dyDescent="0.3"/>
    <row r="848" s="1" customFormat="1" ht="14.25" customHeight="1" x14ac:dyDescent="0.3"/>
    <row r="849" s="1" customFormat="1" ht="14.25" customHeight="1" x14ac:dyDescent="0.3"/>
    <row r="850" s="1" customFormat="1" ht="14.25" customHeight="1" x14ac:dyDescent="0.3"/>
    <row r="851" s="1" customFormat="1" ht="14.25" customHeight="1" x14ac:dyDescent="0.3"/>
    <row r="852" s="1" customFormat="1" ht="14.25" customHeight="1" x14ac:dyDescent="0.3"/>
    <row r="853" s="1" customFormat="1" ht="14.25" customHeight="1" x14ac:dyDescent="0.3"/>
    <row r="854" s="1" customFormat="1" ht="14.25" customHeight="1" x14ac:dyDescent="0.3"/>
    <row r="855" s="1" customFormat="1" ht="14.25" customHeight="1" x14ac:dyDescent="0.3"/>
    <row r="856" s="1" customFormat="1" ht="14.25" customHeight="1" x14ac:dyDescent="0.3"/>
    <row r="857" s="1" customFormat="1" ht="14.25" customHeight="1" x14ac:dyDescent="0.3"/>
    <row r="858" s="1" customFormat="1" ht="14.25" customHeight="1" x14ac:dyDescent="0.3"/>
    <row r="859" s="1" customFormat="1" ht="14.25" customHeight="1" x14ac:dyDescent="0.3"/>
    <row r="860" s="1" customFormat="1" ht="14.25" customHeight="1" x14ac:dyDescent="0.3"/>
    <row r="861" s="1" customFormat="1" ht="14.25" customHeight="1" x14ac:dyDescent="0.3"/>
    <row r="862" s="1" customFormat="1" ht="14.25" customHeight="1" x14ac:dyDescent="0.3"/>
    <row r="863" s="1" customFormat="1" ht="14.25" customHeight="1" x14ac:dyDescent="0.3"/>
    <row r="864" s="1" customFormat="1" ht="14.25" customHeight="1" x14ac:dyDescent="0.3"/>
    <row r="865" s="1" customFormat="1" ht="14.25" customHeight="1" x14ac:dyDescent="0.3"/>
    <row r="866" s="1" customFormat="1" ht="14.25" customHeight="1" x14ac:dyDescent="0.3"/>
    <row r="867" s="1" customFormat="1" ht="14.25" customHeight="1" x14ac:dyDescent="0.3"/>
    <row r="868" s="1" customFormat="1" ht="14.25" customHeight="1" x14ac:dyDescent="0.3"/>
    <row r="869" s="1" customFormat="1" ht="14.25" customHeight="1" x14ac:dyDescent="0.3"/>
    <row r="870" s="1" customFormat="1" ht="14.25" customHeight="1" x14ac:dyDescent="0.3"/>
    <row r="871" s="1" customFormat="1" ht="14.25" customHeight="1" x14ac:dyDescent="0.3"/>
    <row r="872" s="1" customFormat="1" ht="14.25" customHeight="1" x14ac:dyDescent="0.3"/>
    <row r="873" s="1" customFormat="1" ht="14.25" customHeight="1" x14ac:dyDescent="0.3"/>
    <row r="874" s="1" customFormat="1" ht="14.25" customHeight="1" x14ac:dyDescent="0.3"/>
    <row r="875" s="1" customFormat="1" ht="14.25" customHeight="1" x14ac:dyDescent="0.3"/>
    <row r="876" s="1" customFormat="1" ht="14.25" customHeight="1" x14ac:dyDescent="0.3"/>
    <row r="877" s="1" customFormat="1" ht="14.25" customHeight="1" x14ac:dyDescent="0.3"/>
    <row r="878" s="1" customFormat="1" ht="14.25" customHeight="1" x14ac:dyDescent="0.3"/>
    <row r="879" s="1" customFormat="1" ht="14.25" customHeight="1" x14ac:dyDescent="0.3"/>
    <row r="880" s="1" customFormat="1" ht="14.25" customHeight="1" x14ac:dyDescent="0.3"/>
    <row r="881" s="1" customFormat="1" ht="14.25" customHeight="1" x14ac:dyDescent="0.3"/>
    <row r="882" s="1" customFormat="1" ht="14.25" customHeight="1" x14ac:dyDescent="0.3"/>
    <row r="883" s="1" customFormat="1" ht="14.25" customHeight="1" x14ac:dyDescent="0.3"/>
    <row r="884" s="1" customFormat="1" ht="14.25" customHeight="1" x14ac:dyDescent="0.3"/>
    <row r="885" s="1" customFormat="1" ht="14.25" customHeight="1" x14ac:dyDescent="0.3"/>
    <row r="886" s="1" customFormat="1" ht="14.25" customHeight="1" x14ac:dyDescent="0.3"/>
    <row r="887" s="1" customFormat="1" ht="14.25" customHeight="1" x14ac:dyDescent="0.3"/>
    <row r="888" s="1" customFormat="1" ht="14.25" customHeight="1" x14ac:dyDescent="0.3"/>
    <row r="889" s="1" customFormat="1" ht="14.25" customHeight="1" x14ac:dyDescent="0.3"/>
    <row r="890" s="1" customFormat="1" ht="14.25" customHeight="1" x14ac:dyDescent="0.3"/>
    <row r="891" s="1" customFormat="1" ht="14.25" customHeight="1" x14ac:dyDescent="0.3"/>
    <row r="892" s="1" customFormat="1" ht="14.25" customHeight="1" x14ac:dyDescent="0.3"/>
    <row r="893" s="1" customFormat="1" ht="14.25" customHeight="1" x14ac:dyDescent="0.3"/>
    <row r="894" s="1" customFormat="1" ht="14.25" customHeight="1" x14ac:dyDescent="0.3"/>
    <row r="895" s="1" customFormat="1" ht="14.25" customHeight="1" x14ac:dyDescent="0.3"/>
    <row r="896" s="1" customFormat="1" ht="14.25" customHeight="1" x14ac:dyDescent="0.3"/>
    <row r="897" s="1" customFormat="1" ht="14.25" customHeight="1" x14ac:dyDescent="0.3"/>
    <row r="898" s="1" customFormat="1" ht="14.25" customHeight="1" x14ac:dyDescent="0.3"/>
    <row r="899" s="1" customFormat="1" ht="14.25" customHeight="1" x14ac:dyDescent="0.3"/>
    <row r="900" s="1" customFormat="1" ht="14.25" customHeight="1" x14ac:dyDescent="0.3"/>
    <row r="901" s="1" customFormat="1" ht="14.25" customHeight="1" x14ac:dyDescent="0.3"/>
    <row r="902" s="1" customFormat="1" ht="14.25" customHeight="1" x14ac:dyDescent="0.3"/>
    <row r="903" s="1" customFormat="1" ht="14.25" customHeight="1" x14ac:dyDescent="0.3"/>
    <row r="904" s="1" customFormat="1" ht="14.25" customHeight="1" x14ac:dyDescent="0.3"/>
    <row r="905" s="1" customFormat="1" ht="14.25" customHeight="1" x14ac:dyDescent="0.3"/>
    <row r="906" s="1" customFormat="1" ht="14.25" customHeight="1" x14ac:dyDescent="0.3"/>
    <row r="907" s="1" customFormat="1" ht="14.25" customHeight="1" x14ac:dyDescent="0.3"/>
    <row r="908" s="1" customFormat="1" ht="14.25" customHeight="1" x14ac:dyDescent="0.3"/>
    <row r="909" s="1" customFormat="1" ht="14.25" customHeight="1" x14ac:dyDescent="0.3"/>
    <row r="910" s="1" customFormat="1" ht="14.25" customHeight="1" x14ac:dyDescent="0.3"/>
    <row r="911" s="1" customFormat="1" ht="14.25" customHeight="1" x14ac:dyDescent="0.3"/>
    <row r="912" s="1" customFormat="1" ht="14.25" customHeight="1" x14ac:dyDescent="0.3"/>
    <row r="913" s="1" customFormat="1" ht="14.25" customHeight="1" x14ac:dyDescent="0.3"/>
    <row r="914" s="1" customFormat="1" ht="14.25" customHeight="1" x14ac:dyDescent="0.3"/>
    <row r="915" s="1" customFormat="1" ht="14.25" customHeight="1" x14ac:dyDescent="0.3"/>
    <row r="916" s="1" customFormat="1" ht="14.25" customHeight="1" x14ac:dyDescent="0.3"/>
    <row r="917" s="1" customFormat="1" ht="14.25" customHeight="1" x14ac:dyDescent="0.3"/>
    <row r="918" s="1" customFormat="1" ht="14.25" customHeight="1" x14ac:dyDescent="0.3"/>
    <row r="919" s="1" customFormat="1" ht="14.25" customHeight="1" x14ac:dyDescent="0.3"/>
    <row r="920" s="1" customFormat="1" ht="14.25" customHeight="1" x14ac:dyDescent="0.3"/>
    <row r="921" s="1" customFormat="1" ht="14.25" customHeight="1" x14ac:dyDescent="0.3"/>
    <row r="922" s="1" customFormat="1" ht="14.25" customHeight="1" x14ac:dyDescent="0.3"/>
    <row r="923" s="1" customFormat="1" ht="14.25" customHeight="1" x14ac:dyDescent="0.3"/>
    <row r="924" s="1" customFormat="1" ht="14.25" customHeight="1" x14ac:dyDescent="0.3"/>
    <row r="925" s="1" customFormat="1" ht="14.25" customHeight="1" x14ac:dyDescent="0.3"/>
    <row r="926" s="1" customFormat="1" ht="14.25" customHeight="1" x14ac:dyDescent="0.3"/>
    <row r="927" s="1" customFormat="1" ht="14.25" customHeight="1" x14ac:dyDescent="0.3"/>
    <row r="928" s="1" customFormat="1" ht="14.25" customHeight="1" x14ac:dyDescent="0.3"/>
    <row r="929" s="1" customFormat="1" ht="14.25" customHeight="1" x14ac:dyDescent="0.3"/>
    <row r="930" s="1" customFormat="1" ht="14.25" customHeight="1" x14ac:dyDescent="0.3"/>
    <row r="931" s="1" customFormat="1" ht="14.25" customHeight="1" x14ac:dyDescent="0.3"/>
    <row r="932" s="1" customFormat="1" ht="14.25" customHeight="1" x14ac:dyDescent="0.3"/>
    <row r="933" s="1" customFormat="1" ht="14.25" customHeight="1" x14ac:dyDescent="0.3"/>
    <row r="934" s="1" customFormat="1" ht="14.25" customHeight="1" x14ac:dyDescent="0.3"/>
    <row r="935" s="1" customFormat="1" ht="14.25" customHeight="1" x14ac:dyDescent="0.3"/>
    <row r="936" s="1" customFormat="1" ht="14.25" customHeight="1" x14ac:dyDescent="0.3"/>
    <row r="937" s="1" customFormat="1" ht="14.25" customHeight="1" x14ac:dyDescent="0.3"/>
    <row r="938" s="1" customFormat="1" ht="14.25" customHeight="1" x14ac:dyDescent="0.3"/>
    <row r="939" s="1" customFormat="1" ht="14.25" customHeight="1" x14ac:dyDescent="0.3"/>
    <row r="940" s="1" customFormat="1" ht="14.25" customHeight="1" x14ac:dyDescent="0.3"/>
    <row r="941" s="1" customFormat="1" ht="14.25" customHeight="1" x14ac:dyDescent="0.3"/>
    <row r="942" s="1" customFormat="1" ht="14.25" customHeight="1" x14ac:dyDescent="0.3"/>
    <row r="943" s="1" customFormat="1" ht="14.25" customHeight="1" x14ac:dyDescent="0.3"/>
    <row r="944" s="1" customFormat="1" ht="14.25" customHeight="1" x14ac:dyDescent="0.3"/>
    <row r="945" s="1" customFormat="1" ht="14.25" customHeight="1" x14ac:dyDescent="0.3"/>
    <row r="946" s="1" customFormat="1" ht="14.25" customHeight="1" x14ac:dyDescent="0.3"/>
    <row r="947" s="1" customFormat="1" ht="14.25" customHeight="1" x14ac:dyDescent="0.3"/>
    <row r="948" s="1" customFormat="1" ht="14.25" customHeight="1" x14ac:dyDescent="0.3"/>
    <row r="949" s="1" customFormat="1" ht="14.25" customHeight="1" x14ac:dyDescent="0.3"/>
    <row r="950" s="1" customFormat="1" ht="14.25" customHeight="1" x14ac:dyDescent="0.3"/>
    <row r="951" s="1" customFormat="1" ht="14.25" customHeight="1" x14ac:dyDescent="0.3"/>
    <row r="952" s="1" customFormat="1" ht="14.25" customHeight="1" x14ac:dyDescent="0.3"/>
    <row r="953" s="1" customFormat="1" ht="14.25" customHeight="1" x14ac:dyDescent="0.3"/>
    <row r="954" s="1" customFormat="1" ht="14.25" customHeight="1" x14ac:dyDescent="0.3"/>
    <row r="955" s="1" customFormat="1" ht="14.25" customHeight="1" x14ac:dyDescent="0.3"/>
    <row r="956" s="1" customFormat="1" ht="14.25" customHeight="1" x14ac:dyDescent="0.3"/>
    <row r="957" s="1" customFormat="1" ht="14.25" customHeight="1" x14ac:dyDescent="0.3"/>
    <row r="958" s="1" customFormat="1" ht="14.25" customHeight="1" x14ac:dyDescent="0.3"/>
    <row r="959" s="1" customFormat="1" ht="14.25" customHeight="1" x14ac:dyDescent="0.3"/>
    <row r="960" s="1" customFormat="1" ht="14.25" customHeight="1" x14ac:dyDescent="0.3"/>
    <row r="961" s="1" customFormat="1" ht="14.25" customHeight="1" x14ac:dyDescent="0.3"/>
    <row r="962" s="1" customFormat="1" ht="14.25" customHeight="1" x14ac:dyDescent="0.3"/>
    <row r="963" s="1" customFormat="1" ht="14.25" customHeight="1" x14ac:dyDescent="0.3"/>
    <row r="964" s="1" customFormat="1" ht="14.25" customHeight="1" x14ac:dyDescent="0.3"/>
    <row r="965" s="1" customFormat="1" ht="14.25" customHeight="1" x14ac:dyDescent="0.3"/>
    <row r="966" s="1" customFormat="1" ht="14.25" customHeight="1" x14ac:dyDescent="0.3"/>
    <row r="967" s="1" customFormat="1" ht="14.25" customHeight="1" x14ac:dyDescent="0.3"/>
    <row r="968" s="1" customFormat="1" ht="14.25" customHeight="1" x14ac:dyDescent="0.3"/>
    <row r="969" s="1" customFormat="1" ht="14.25" customHeight="1" x14ac:dyDescent="0.3"/>
    <row r="970" s="1" customFormat="1" ht="14.25" customHeight="1" x14ac:dyDescent="0.3"/>
    <row r="971" s="1" customFormat="1" ht="14.25" customHeight="1" x14ac:dyDescent="0.3"/>
    <row r="972" s="1" customFormat="1" ht="14.25" customHeight="1" x14ac:dyDescent="0.3"/>
    <row r="973" s="1" customFormat="1" ht="14.25" customHeight="1" x14ac:dyDescent="0.3"/>
    <row r="974" s="1" customFormat="1" ht="14.25" customHeight="1" x14ac:dyDescent="0.3"/>
    <row r="975" s="1" customFormat="1" ht="14.25" customHeight="1" x14ac:dyDescent="0.3"/>
    <row r="976" s="1" customFormat="1" ht="14.25" customHeight="1" x14ac:dyDescent="0.3"/>
    <row r="977" s="1" customFormat="1" ht="14.25" customHeight="1" x14ac:dyDescent="0.3"/>
    <row r="978" s="1" customFormat="1" ht="14.25" customHeight="1" x14ac:dyDescent="0.3"/>
    <row r="979" s="1" customFormat="1" ht="14.25" customHeight="1" x14ac:dyDescent="0.3"/>
    <row r="980" s="1" customFormat="1" ht="14.25" customHeight="1" x14ac:dyDescent="0.3"/>
    <row r="981" s="1" customFormat="1" ht="14.25" customHeight="1" x14ac:dyDescent="0.3"/>
    <row r="982" s="1" customFormat="1" ht="14.25" customHeight="1" x14ac:dyDescent="0.3"/>
    <row r="983" s="1" customFormat="1" ht="14.25" customHeight="1" x14ac:dyDescent="0.3"/>
    <row r="984" s="1" customFormat="1" ht="14.25" customHeight="1" x14ac:dyDescent="0.3"/>
    <row r="985" s="1" customFormat="1" ht="14.25" customHeight="1" x14ac:dyDescent="0.3"/>
    <row r="986" s="1" customFormat="1" ht="14.25" customHeight="1" x14ac:dyDescent="0.3"/>
    <row r="987" s="1" customFormat="1" ht="14.25" customHeight="1" x14ac:dyDescent="0.3"/>
    <row r="988" s="1" customFormat="1" ht="14.25" customHeight="1" x14ac:dyDescent="0.3"/>
    <row r="989" s="1" customFormat="1" ht="14.25" customHeight="1" x14ac:dyDescent="0.3"/>
    <row r="990" s="1" customFormat="1" ht="14.25" customHeight="1" x14ac:dyDescent="0.3"/>
    <row r="991" s="1" customFormat="1" ht="14.25" customHeight="1" x14ac:dyDescent="0.3"/>
    <row r="992" s="1" customFormat="1" ht="14.25" customHeight="1" x14ac:dyDescent="0.3"/>
    <row r="993" s="1" customFormat="1" ht="14.25" customHeight="1" x14ac:dyDescent="0.3"/>
    <row r="994" s="1" customFormat="1" ht="14.25" customHeight="1" x14ac:dyDescent="0.3"/>
    <row r="995" s="1" customFormat="1" ht="14.25" customHeight="1" x14ac:dyDescent="0.3"/>
    <row r="996" s="1" customFormat="1" ht="14.25" customHeight="1" x14ac:dyDescent="0.3"/>
    <row r="997" s="1" customFormat="1" ht="14.25" customHeight="1" x14ac:dyDescent="0.3"/>
    <row r="998" s="1" customFormat="1" ht="14.25" customHeight="1" x14ac:dyDescent="0.3"/>
    <row r="999" s="1" customFormat="1" ht="14.25" customHeight="1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6B129-9B83-43DD-BB9B-3D179191E65B}">
  <dimension ref="A1:M999"/>
  <sheetViews>
    <sheetView workbookViewId="0">
      <selection sqref="A1:XFD1048576"/>
    </sheetView>
  </sheetViews>
  <sheetFormatPr baseColWidth="10" defaultColWidth="12.6328125" defaultRowHeight="15" customHeight="1" x14ac:dyDescent="0.3"/>
  <cols>
    <col min="1" max="1" width="15.7265625" style="1" customWidth="1"/>
    <col min="2" max="7" width="10.6328125" style="1" customWidth="1"/>
    <col min="8" max="8" width="11.36328125" style="1" customWidth="1"/>
    <col min="9" max="25" width="10.6328125" style="1" customWidth="1"/>
    <col min="26" max="16384" width="12.6328125" style="1"/>
  </cols>
  <sheetData>
    <row r="1" spans="1:13" ht="12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2.75" customHeight="1" x14ac:dyDescent="0.3">
      <c r="A2" s="1" t="s">
        <v>12</v>
      </c>
      <c r="B2" s="1" t="s">
        <v>13</v>
      </c>
      <c r="C2" s="1">
        <v>1</v>
      </c>
      <c r="H2" s="2" t="s">
        <v>14</v>
      </c>
      <c r="I2" s="3">
        <f t="shared" ref="I2:L2" si="0">SUM(C22+C37+C55+C65+C66+C96+C105+C113+C128+C146+C150)</f>
        <v>11</v>
      </c>
      <c r="J2" s="3">
        <f t="shared" si="0"/>
        <v>0</v>
      </c>
      <c r="K2" s="3">
        <f t="shared" si="0"/>
        <v>0</v>
      </c>
      <c r="L2" s="3">
        <f t="shared" si="0"/>
        <v>0</v>
      </c>
      <c r="M2" s="3">
        <f t="shared" ref="M2:M13" si="1">SUM(I2:L2)</f>
        <v>11</v>
      </c>
    </row>
    <row r="3" spans="1:13" ht="13.5" customHeight="1" x14ac:dyDescent="0.3">
      <c r="A3" s="1" t="s">
        <v>15</v>
      </c>
      <c r="B3" s="1" t="s">
        <v>16</v>
      </c>
      <c r="C3" s="1">
        <v>1</v>
      </c>
      <c r="H3" s="2" t="s">
        <v>17</v>
      </c>
      <c r="I3" s="3">
        <f t="shared" ref="I3:L3" si="2">SUM(C6+C32+C50+C52+C58+C69+C76+C94+C115+C122+C123+C152)</f>
        <v>5</v>
      </c>
      <c r="J3" s="3">
        <f t="shared" si="2"/>
        <v>5</v>
      </c>
      <c r="K3" s="3">
        <f t="shared" si="2"/>
        <v>1</v>
      </c>
      <c r="L3" s="3">
        <f t="shared" si="2"/>
        <v>1</v>
      </c>
      <c r="M3" s="3">
        <f t="shared" si="1"/>
        <v>12</v>
      </c>
    </row>
    <row r="4" spans="1:13" ht="12.75" customHeight="1" x14ac:dyDescent="0.3">
      <c r="A4" s="1" t="s">
        <v>18</v>
      </c>
      <c r="B4" s="1" t="s">
        <v>13</v>
      </c>
      <c r="E4" s="1">
        <v>1</v>
      </c>
      <c r="H4" s="2" t="s">
        <v>19</v>
      </c>
      <c r="I4" s="3">
        <f t="shared" ref="I4:L4" si="3">SUM(C26+C14+C27+C62+C68+C124+C138+C142+C153+C155)</f>
        <v>9</v>
      </c>
      <c r="J4" s="3">
        <f t="shared" si="3"/>
        <v>0</v>
      </c>
      <c r="K4" s="3">
        <f t="shared" si="3"/>
        <v>1</v>
      </c>
      <c r="L4" s="3">
        <f t="shared" si="3"/>
        <v>0</v>
      </c>
      <c r="M4" s="3">
        <f t="shared" si="1"/>
        <v>10</v>
      </c>
    </row>
    <row r="5" spans="1:13" ht="12.75" customHeight="1" x14ac:dyDescent="0.3">
      <c r="A5" s="1" t="s">
        <v>20</v>
      </c>
      <c r="B5" s="1" t="s">
        <v>21</v>
      </c>
      <c r="C5" s="1">
        <v>1</v>
      </c>
      <c r="H5" s="2" t="s">
        <v>22</v>
      </c>
      <c r="I5" s="3">
        <f t="shared" ref="I5:L5" si="4">SUM(C5+C36+C56+C63+C73+C85+C87+C95+C135)</f>
        <v>8</v>
      </c>
      <c r="J5" s="3">
        <f t="shared" si="4"/>
        <v>0</v>
      </c>
      <c r="K5" s="3">
        <f t="shared" si="4"/>
        <v>0</v>
      </c>
      <c r="L5" s="3">
        <f t="shared" si="4"/>
        <v>1</v>
      </c>
      <c r="M5" s="3">
        <f t="shared" si="1"/>
        <v>9</v>
      </c>
    </row>
    <row r="6" spans="1:13" ht="12.75" customHeight="1" x14ac:dyDescent="0.3">
      <c r="A6" s="1" t="s">
        <v>23</v>
      </c>
      <c r="B6" s="1" t="s">
        <v>24</v>
      </c>
      <c r="C6" s="1">
        <v>1</v>
      </c>
      <c r="H6" s="2" t="s">
        <v>25</v>
      </c>
      <c r="I6" s="3">
        <f t="shared" ref="I6:L6" si="5">SUM(C12+C15+C18+C28+C41+C59+C78+C64+C82+C83+C86+C106+C119+C143+C148+C154)</f>
        <v>16</v>
      </c>
      <c r="J6" s="3">
        <f t="shared" si="5"/>
        <v>0</v>
      </c>
      <c r="K6" s="3">
        <f t="shared" si="5"/>
        <v>0</v>
      </c>
      <c r="L6" s="3">
        <f t="shared" si="5"/>
        <v>0</v>
      </c>
      <c r="M6" s="3">
        <f t="shared" si="1"/>
        <v>16</v>
      </c>
    </row>
    <row r="7" spans="1:13" ht="12" customHeight="1" x14ac:dyDescent="0.3">
      <c r="A7" s="1" t="s">
        <v>26</v>
      </c>
      <c r="B7" s="1" t="s">
        <v>27</v>
      </c>
      <c r="C7" s="1">
        <v>1</v>
      </c>
      <c r="H7" s="2" t="s">
        <v>28</v>
      </c>
      <c r="I7" s="3">
        <f t="shared" ref="I7:L7" si="6">SUM(C3+C20+C46+C49+C54+C89+C90+C102+C112+C114+C129+C141)</f>
        <v>6</v>
      </c>
      <c r="J7" s="3">
        <f t="shared" si="6"/>
        <v>1</v>
      </c>
      <c r="K7" s="3">
        <f t="shared" si="6"/>
        <v>5</v>
      </c>
      <c r="L7" s="3">
        <f t="shared" si="6"/>
        <v>0</v>
      </c>
      <c r="M7" s="3">
        <f t="shared" si="1"/>
        <v>12</v>
      </c>
    </row>
    <row r="8" spans="1:13" ht="12" customHeight="1" x14ac:dyDescent="0.3">
      <c r="A8" s="1" t="s">
        <v>29</v>
      </c>
      <c r="B8" s="1" t="s">
        <v>30</v>
      </c>
      <c r="D8" s="1">
        <v>1</v>
      </c>
      <c r="H8" s="2" t="s">
        <v>27</v>
      </c>
      <c r="I8" s="3">
        <f t="shared" ref="I8:L8" si="7">SUM(C7+C30+C29+C44+C51+C60+C72+C79+C101+C99+C107+C111+C117+C140+C144)</f>
        <v>12</v>
      </c>
      <c r="J8" s="3">
        <f t="shared" si="7"/>
        <v>3</v>
      </c>
      <c r="K8" s="3">
        <f t="shared" si="7"/>
        <v>0</v>
      </c>
      <c r="L8" s="3">
        <f t="shared" si="7"/>
        <v>0</v>
      </c>
      <c r="M8" s="3">
        <f t="shared" si="1"/>
        <v>15</v>
      </c>
    </row>
    <row r="9" spans="1:13" ht="12" customHeight="1" x14ac:dyDescent="0.3">
      <c r="A9" s="1" t="s">
        <v>31</v>
      </c>
      <c r="B9" s="1" t="s">
        <v>13</v>
      </c>
      <c r="C9" s="1">
        <v>1</v>
      </c>
      <c r="H9" s="2" t="s">
        <v>13</v>
      </c>
      <c r="I9" s="3">
        <f t="shared" ref="I9:J9" si="8">SUM(C4+C9+C17+C19+C2+C48+C92+C120+C126+C127+C130+C133+C151)</f>
        <v>10</v>
      </c>
      <c r="J9" s="3">
        <f t="shared" si="8"/>
        <v>1</v>
      </c>
      <c r="K9" s="3">
        <f>SUM(D4+D9+D17+D19+D2+D48+D92+D120+D126+D127+D130+D133+D151)</f>
        <v>1</v>
      </c>
      <c r="L9" s="3">
        <f>SUM(F4+F9+F17+F19+F2+F48+F92+F120+F126+F127+F130+F133+F151)</f>
        <v>0</v>
      </c>
      <c r="M9" s="3">
        <f t="shared" si="1"/>
        <v>12</v>
      </c>
    </row>
    <row r="10" spans="1:13" ht="13.5" customHeight="1" x14ac:dyDescent="0.3">
      <c r="A10" s="1" t="s">
        <v>32</v>
      </c>
      <c r="B10" s="1" t="s">
        <v>33</v>
      </c>
      <c r="C10" s="1">
        <v>1</v>
      </c>
      <c r="H10" s="2" t="s">
        <v>30</v>
      </c>
      <c r="I10" s="3">
        <f t="shared" ref="I10:L10" si="9">SUM(C8+C13+C16+C25+C31+C35+C43+C45+C70+C71+C75+C81+C88+C93+C98+C100+C104+C118+C136+C137+C156)</f>
        <v>0</v>
      </c>
      <c r="J10" s="3">
        <f t="shared" si="9"/>
        <v>21</v>
      </c>
      <c r="K10" s="3">
        <f t="shared" si="9"/>
        <v>0</v>
      </c>
      <c r="L10" s="3">
        <f t="shared" si="9"/>
        <v>0</v>
      </c>
      <c r="M10" s="3">
        <f t="shared" si="1"/>
        <v>21</v>
      </c>
    </row>
    <row r="11" spans="1:13" ht="12" customHeight="1" x14ac:dyDescent="0.3">
      <c r="A11" s="1" t="s">
        <v>34</v>
      </c>
      <c r="B11" s="1" t="s">
        <v>33</v>
      </c>
      <c r="C11" s="1">
        <v>1</v>
      </c>
      <c r="H11" s="2" t="s">
        <v>35</v>
      </c>
      <c r="I11" s="3">
        <f t="shared" ref="I11:L11" si="10">SUM(C38+C42+C47+C53+C74+C77+C80+C91+C97+C103+C108+C116+C131+C145+C147)</f>
        <v>8</v>
      </c>
      <c r="J11" s="3">
        <f t="shared" si="10"/>
        <v>0</v>
      </c>
      <c r="K11" s="3">
        <f t="shared" si="10"/>
        <v>7</v>
      </c>
      <c r="L11" s="3">
        <f t="shared" si="10"/>
        <v>0</v>
      </c>
      <c r="M11" s="3">
        <f t="shared" si="1"/>
        <v>15</v>
      </c>
    </row>
    <row r="12" spans="1:13" ht="13.5" customHeight="1" x14ac:dyDescent="0.3">
      <c r="A12" s="1" t="s">
        <v>36</v>
      </c>
      <c r="B12" s="1" t="s">
        <v>37</v>
      </c>
      <c r="C12" s="1">
        <v>1</v>
      </c>
      <c r="H12" s="2" t="s">
        <v>38</v>
      </c>
      <c r="I12" s="3">
        <f t="shared" ref="I12:L12" si="11">SUM(C21+C24+C34+C40+C67+C84+C132)</f>
        <v>0</v>
      </c>
      <c r="J12" s="3">
        <f t="shared" si="11"/>
        <v>6</v>
      </c>
      <c r="K12" s="3">
        <f t="shared" si="11"/>
        <v>1</v>
      </c>
      <c r="L12" s="3">
        <f t="shared" si="11"/>
        <v>0</v>
      </c>
      <c r="M12" s="3">
        <f t="shared" si="1"/>
        <v>7</v>
      </c>
    </row>
    <row r="13" spans="1:13" ht="12.75" customHeight="1" x14ac:dyDescent="0.3">
      <c r="A13" s="1" t="s">
        <v>39</v>
      </c>
      <c r="B13" s="1" t="s">
        <v>30</v>
      </c>
      <c r="D13" s="1">
        <v>1</v>
      </c>
      <c r="H13" s="2" t="s">
        <v>33</v>
      </c>
      <c r="I13" s="3">
        <f t="shared" ref="I13:L13" si="12">SUM(C10+C11+C57+C125+C149)</f>
        <v>5</v>
      </c>
      <c r="J13" s="3">
        <f t="shared" si="12"/>
        <v>0</v>
      </c>
      <c r="K13" s="3">
        <f t="shared" si="12"/>
        <v>0</v>
      </c>
      <c r="L13" s="3">
        <f t="shared" si="12"/>
        <v>0</v>
      </c>
      <c r="M13" s="3">
        <f t="shared" si="1"/>
        <v>5</v>
      </c>
    </row>
    <row r="14" spans="1:13" ht="12.75" customHeight="1" x14ac:dyDescent="0.3">
      <c r="A14" s="1" t="s">
        <v>40</v>
      </c>
      <c r="B14" s="1" t="s">
        <v>19</v>
      </c>
      <c r="C14" s="1">
        <v>1</v>
      </c>
      <c r="I14" s="4"/>
      <c r="J14" s="4"/>
      <c r="K14" s="4"/>
      <c r="L14" s="4"/>
    </row>
    <row r="15" spans="1:13" ht="12.75" customHeight="1" x14ac:dyDescent="0.3">
      <c r="A15" s="1" t="s">
        <v>41</v>
      </c>
      <c r="B15" s="1" t="s">
        <v>42</v>
      </c>
      <c r="C15" s="1">
        <v>1</v>
      </c>
      <c r="I15" s="4"/>
      <c r="J15" s="4"/>
      <c r="K15" s="4"/>
      <c r="L15" s="4"/>
    </row>
    <row r="16" spans="1:13" ht="12.75" customHeight="1" x14ac:dyDescent="0.3">
      <c r="A16" s="1" t="s">
        <v>43</v>
      </c>
      <c r="B16" s="1" t="s">
        <v>30</v>
      </c>
      <c r="D16" s="1">
        <v>1</v>
      </c>
      <c r="I16" s="4"/>
      <c r="J16" s="4"/>
      <c r="K16" s="4"/>
      <c r="L16" s="4"/>
    </row>
    <row r="17" spans="1:12" ht="12.75" customHeight="1" x14ac:dyDescent="0.3">
      <c r="A17" s="1" t="s">
        <v>44</v>
      </c>
      <c r="B17" s="1" t="s">
        <v>13</v>
      </c>
      <c r="D17" s="1">
        <v>1</v>
      </c>
      <c r="I17" s="4"/>
      <c r="J17" s="4"/>
      <c r="K17" s="4"/>
      <c r="L17" s="4"/>
    </row>
    <row r="18" spans="1:12" ht="12.75" customHeight="1" x14ac:dyDescent="0.3">
      <c r="A18" s="1" t="s">
        <v>45</v>
      </c>
      <c r="B18" s="1" t="s">
        <v>37</v>
      </c>
      <c r="C18" s="1">
        <v>1</v>
      </c>
      <c r="I18" s="4"/>
      <c r="J18" s="4"/>
      <c r="K18" s="4"/>
      <c r="L18" s="4"/>
    </row>
    <row r="19" spans="1:12" ht="12.75" customHeight="1" x14ac:dyDescent="0.3">
      <c r="A19" s="1" t="s">
        <v>46</v>
      </c>
      <c r="B19" s="1" t="s">
        <v>13</v>
      </c>
      <c r="C19" s="1">
        <v>1</v>
      </c>
    </row>
    <row r="20" spans="1:12" ht="12.75" customHeight="1" x14ac:dyDescent="0.3">
      <c r="A20" s="1" t="s">
        <v>47</v>
      </c>
      <c r="B20" s="1" t="s">
        <v>16</v>
      </c>
      <c r="C20" s="1">
        <v>1</v>
      </c>
    </row>
    <row r="21" spans="1:12" ht="12.75" customHeight="1" x14ac:dyDescent="0.3">
      <c r="A21" s="1" t="s">
        <v>48</v>
      </c>
      <c r="B21" s="1" t="s">
        <v>38</v>
      </c>
      <c r="D21" s="1">
        <v>1</v>
      </c>
    </row>
    <row r="22" spans="1:12" ht="12.75" customHeight="1" x14ac:dyDescent="0.3">
      <c r="A22" s="1" t="s">
        <v>49</v>
      </c>
      <c r="B22" s="1" t="s">
        <v>14</v>
      </c>
      <c r="C22" s="1">
        <v>1</v>
      </c>
    </row>
    <row r="23" spans="1:12" ht="12.75" customHeight="1" x14ac:dyDescent="0.3">
      <c r="A23" s="1" t="s">
        <v>50</v>
      </c>
      <c r="B23" s="1" t="s">
        <v>13</v>
      </c>
      <c r="E23" s="1">
        <v>1</v>
      </c>
    </row>
    <row r="24" spans="1:12" ht="12.75" customHeight="1" x14ac:dyDescent="0.3">
      <c r="A24" s="1" t="s">
        <v>51</v>
      </c>
      <c r="B24" s="1" t="s">
        <v>38</v>
      </c>
      <c r="E24" s="1">
        <v>1</v>
      </c>
    </row>
    <row r="25" spans="1:12" ht="12.75" customHeight="1" x14ac:dyDescent="0.3">
      <c r="A25" s="1" t="s">
        <v>52</v>
      </c>
      <c r="B25" s="1" t="s">
        <v>30</v>
      </c>
      <c r="D25" s="1">
        <v>1</v>
      </c>
    </row>
    <row r="26" spans="1:12" ht="12.75" customHeight="1" x14ac:dyDescent="0.3">
      <c r="A26" s="1" t="s">
        <v>53</v>
      </c>
      <c r="B26" s="1" t="s">
        <v>19</v>
      </c>
      <c r="C26" s="1">
        <v>1</v>
      </c>
    </row>
    <row r="27" spans="1:12" ht="12.75" customHeight="1" x14ac:dyDescent="0.3">
      <c r="A27" s="1" t="s">
        <v>54</v>
      </c>
      <c r="B27" s="1" t="s">
        <v>19</v>
      </c>
      <c r="C27" s="1">
        <v>1</v>
      </c>
    </row>
    <row r="28" spans="1:12" ht="12.75" customHeight="1" x14ac:dyDescent="0.3">
      <c r="A28" s="1" t="s">
        <v>55</v>
      </c>
      <c r="B28" s="1" t="s">
        <v>37</v>
      </c>
      <c r="C28" s="1">
        <v>1</v>
      </c>
    </row>
    <row r="29" spans="1:12" ht="12.75" customHeight="1" x14ac:dyDescent="0.3">
      <c r="A29" s="1" t="s">
        <v>56</v>
      </c>
      <c r="B29" s="1" t="s">
        <v>27</v>
      </c>
      <c r="C29" s="1">
        <v>1</v>
      </c>
    </row>
    <row r="30" spans="1:12" ht="12.75" customHeight="1" x14ac:dyDescent="0.3">
      <c r="A30" s="1" t="s">
        <v>57</v>
      </c>
      <c r="B30" s="1" t="s">
        <v>27</v>
      </c>
      <c r="C30" s="1">
        <v>1</v>
      </c>
    </row>
    <row r="31" spans="1:12" ht="12.75" customHeight="1" x14ac:dyDescent="0.3">
      <c r="A31" s="1" t="s">
        <v>58</v>
      </c>
      <c r="B31" s="1" t="s">
        <v>30</v>
      </c>
      <c r="D31" s="1">
        <v>1</v>
      </c>
    </row>
    <row r="32" spans="1:12" ht="12.75" customHeight="1" x14ac:dyDescent="0.3">
      <c r="A32" s="1" t="s">
        <v>59</v>
      </c>
      <c r="B32" s="1" t="s">
        <v>24</v>
      </c>
      <c r="D32" s="1">
        <v>1</v>
      </c>
    </row>
    <row r="33" spans="1:12" ht="12.75" customHeight="1" x14ac:dyDescent="0.3">
      <c r="A33" s="1" t="s">
        <v>60</v>
      </c>
      <c r="B33" s="1" t="s">
        <v>27</v>
      </c>
      <c r="C33" s="1">
        <v>1</v>
      </c>
    </row>
    <row r="34" spans="1:12" ht="12.75" customHeight="1" x14ac:dyDescent="0.3">
      <c r="A34" s="1" t="s">
        <v>61</v>
      </c>
      <c r="B34" s="1" t="s">
        <v>38</v>
      </c>
      <c r="D34" s="1">
        <v>1</v>
      </c>
    </row>
    <row r="35" spans="1:12" ht="12.75" customHeight="1" x14ac:dyDescent="0.3">
      <c r="A35" s="1" t="s">
        <v>62</v>
      </c>
      <c r="B35" s="1" t="s">
        <v>30</v>
      </c>
      <c r="D35" s="1">
        <v>1</v>
      </c>
    </row>
    <row r="36" spans="1:12" ht="12.75" customHeight="1" x14ac:dyDescent="0.3">
      <c r="A36" s="1" t="s">
        <v>63</v>
      </c>
      <c r="B36" s="1" t="s">
        <v>21</v>
      </c>
      <c r="C36" s="1">
        <v>1</v>
      </c>
    </row>
    <row r="37" spans="1:12" ht="12.75" customHeight="1" x14ac:dyDescent="0.3">
      <c r="A37" s="1" t="s">
        <v>64</v>
      </c>
      <c r="B37" s="1" t="s">
        <v>14</v>
      </c>
      <c r="C37" s="1">
        <v>1</v>
      </c>
    </row>
    <row r="38" spans="1:12" ht="12.75" customHeight="1" x14ac:dyDescent="0.3">
      <c r="A38" s="1" t="s">
        <v>65</v>
      </c>
      <c r="B38" s="1" t="s">
        <v>66</v>
      </c>
      <c r="E38" s="1">
        <v>1</v>
      </c>
    </row>
    <row r="39" spans="1:12" ht="12.75" customHeight="1" x14ac:dyDescent="0.3">
      <c r="A39" s="1" t="s">
        <v>67</v>
      </c>
      <c r="B39" s="1" t="s">
        <v>16</v>
      </c>
      <c r="E39" s="1">
        <v>1</v>
      </c>
    </row>
    <row r="40" spans="1:12" ht="12.75" customHeight="1" x14ac:dyDescent="0.3">
      <c r="A40" s="1" t="s">
        <v>68</v>
      </c>
      <c r="B40" s="1" t="s">
        <v>38</v>
      </c>
      <c r="D40" s="1">
        <v>1</v>
      </c>
    </row>
    <row r="41" spans="1:12" ht="12.75" customHeight="1" x14ac:dyDescent="0.3">
      <c r="A41" s="1" t="s">
        <v>69</v>
      </c>
      <c r="B41" s="1" t="s">
        <v>37</v>
      </c>
      <c r="C41" s="1">
        <v>1</v>
      </c>
    </row>
    <row r="42" spans="1:12" ht="12.75" customHeight="1" x14ac:dyDescent="0.3">
      <c r="A42" s="1" t="s">
        <v>70</v>
      </c>
      <c r="B42" s="1" t="s">
        <v>66</v>
      </c>
      <c r="E42" s="1">
        <v>1</v>
      </c>
    </row>
    <row r="43" spans="1:12" ht="12.75" customHeight="1" x14ac:dyDescent="0.3">
      <c r="A43" s="1" t="s">
        <v>71</v>
      </c>
      <c r="B43" s="1" t="s">
        <v>30</v>
      </c>
      <c r="D43" s="1">
        <v>1</v>
      </c>
    </row>
    <row r="44" spans="1:12" ht="12.75" customHeight="1" x14ac:dyDescent="0.3">
      <c r="A44" s="1" t="s">
        <v>72</v>
      </c>
      <c r="B44" s="1" t="s">
        <v>27</v>
      </c>
      <c r="C44" s="1">
        <v>1</v>
      </c>
    </row>
    <row r="45" spans="1:12" ht="12.75" customHeight="1" x14ac:dyDescent="0.3">
      <c r="A45" s="1" t="s">
        <v>73</v>
      </c>
      <c r="B45" s="1" t="s">
        <v>30</v>
      </c>
      <c r="D45" s="1">
        <v>1</v>
      </c>
      <c r="H45" s="1" t="s">
        <v>6</v>
      </c>
      <c r="I45" s="1" t="s">
        <v>7</v>
      </c>
      <c r="J45" s="1" t="s">
        <v>8</v>
      </c>
      <c r="K45" s="1" t="s">
        <v>9</v>
      </c>
      <c r="L45" s="1" t="s">
        <v>10</v>
      </c>
    </row>
    <row r="46" spans="1:12" ht="12.75" customHeight="1" x14ac:dyDescent="0.3">
      <c r="A46" s="1" t="s">
        <v>74</v>
      </c>
      <c r="B46" s="1" t="s">
        <v>16</v>
      </c>
      <c r="E46" s="1">
        <v>1</v>
      </c>
      <c r="H46" s="2" t="s">
        <v>14</v>
      </c>
      <c r="I46" s="4">
        <f t="shared" ref="I46:I57" si="13">I2/M2</f>
        <v>1</v>
      </c>
      <c r="J46" s="4">
        <f t="shared" ref="J46:J57" si="14">J2/M2</f>
        <v>0</v>
      </c>
      <c r="K46" s="4">
        <f t="shared" ref="K46:K57" si="15">K2/M2</f>
        <v>0</v>
      </c>
      <c r="L46" s="4">
        <f t="shared" ref="L46:L57" si="16">L2/M2</f>
        <v>0</v>
      </c>
    </row>
    <row r="47" spans="1:12" ht="12.75" customHeight="1" x14ac:dyDescent="0.3">
      <c r="A47" s="1" t="s">
        <v>75</v>
      </c>
      <c r="B47" s="1" t="s">
        <v>66</v>
      </c>
      <c r="C47" s="1">
        <v>1</v>
      </c>
      <c r="H47" s="2" t="s">
        <v>17</v>
      </c>
      <c r="I47" s="4">
        <f t="shared" si="13"/>
        <v>0.41666666666666669</v>
      </c>
      <c r="J47" s="4">
        <f t="shared" si="14"/>
        <v>0.41666666666666669</v>
      </c>
      <c r="K47" s="4">
        <f t="shared" si="15"/>
        <v>8.3333333333333329E-2</v>
      </c>
      <c r="L47" s="4">
        <f t="shared" si="16"/>
        <v>8.3333333333333329E-2</v>
      </c>
    </row>
    <row r="48" spans="1:12" ht="12.75" customHeight="1" x14ac:dyDescent="0.3">
      <c r="A48" s="1" t="s">
        <v>76</v>
      </c>
      <c r="B48" s="1" t="s">
        <v>13</v>
      </c>
      <c r="C48" s="1">
        <v>1</v>
      </c>
      <c r="H48" s="2" t="s">
        <v>19</v>
      </c>
      <c r="I48" s="4">
        <f t="shared" si="13"/>
        <v>0.9</v>
      </c>
      <c r="J48" s="4">
        <f t="shared" si="14"/>
        <v>0</v>
      </c>
      <c r="K48" s="4">
        <f t="shared" si="15"/>
        <v>0.1</v>
      </c>
      <c r="L48" s="4">
        <f t="shared" si="16"/>
        <v>0</v>
      </c>
    </row>
    <row r="49" spans="1:12" ht="15" customHeight="1" x14ac:dyDescent="0.3">
      <c r="A49" s="1" t="s">
        <v>77</v>
      </c>
      <c r="B49" s="1" t="s">
        <v>16</v>
      </c>
      <c r="D49" s="1">
        <v>1</v>
      </c>
      <c r="H49" s="2" t="s">
        <v>22</v>
      </c>
      <c r="I49" s="4">
        <f t="shared" si="13"/>
        <v>0.88888888888888884</v>
      </c>
      <c r="J49" s="4">
        <f t="shared" si="14"/>
        <v>0</v>
      </c>
      <c r="K49" s="4">
        <f t="shared" si="15"/>
        <v>0</v>
      </c>
      <c r="L49" s="4">
        <f t="shared" si="16"/>
        <v>0.1111111111111111</v>
      </c>
    </row>
    <row r="50" spans="1:12" ht="12.75" customHeight="1" x14ac:dyDescent="0.3">
      <c r="A50" s="1" t="s">
        <v>78</v>
      </c>
      <c r="B50" s="1" t="s">
        <v>24</v>
      </c>
      <c r="F50" s="1">
        <v>1</v>
      </c>
      <c r="H50" s="2" t="s">
        <v>25</v>
      </c>
      <c r="I50" s="4">
        <f t="shared" si="13"/>
        <v>1</v>
      </c>
      <c r="J50" s="4">
        <f t="shared" si="14"/>
        <v>0</v>
      </c>
      <c r="K50" s="4">
        <f t="shared" si="15"/>
        <v>0</v>
      </c>
      <c r="L50" s="4">
        <f t="shared" si="16"/>
        <v>0</v>
      </c>
    </row>
    <row r="51" spans="1:12" ht="12.75" customHeight="1" x14ac:dyDescent="0.3">
      <c r="A51" s="1" t="s">
        <v>79</v>
      </c>
      <c r="B51" s="1" t="s">
        <v>27</v>
      </c>
      <c r="C51" s="1">
        <v>1</v>
      </c>
      <c r="H51" s="2" t="s">
        <v>28</v>
      </c>
      <c r="I51" s="4">
        <f t="shared" si="13"/>
        <v>0.5</v>
      </c>
      <c r="J51" s="4">
        <f t="shared" si="14"/>
        <v>8.3333333333333329E-2</v>
      </c>
      <c r="K51" s="4">
        <f t="shared" si="15"/>
        <v>0.41666666666666669</v>
      </c>
      <c r="L51" s="4">
        <f t="shared" si="16"/>
        <v>0</v>
      </c>
    </row>
    <row r="52" spans="1:12" ht="12" customHeight="1" x14ac:dyDescent="0.3">
      <c r="A52" s="1" t="s">
        <v>80</v>
      </c>
      <c r="B52" s="1" t="s">
        <v>24</v>
      </c>
      <c r="E52" s="1">
        <v>1</v>
      </c>
      <c r="H52" s="2" t="s">
        <v>27</v>
      </c>
      <c r="I52" s="4">
        <f t="shared" si="13"/>
        <v>0.8</v>
      </c>
      <c r="J52" s="4">
        <f t="shared" si="14"/>
        <v>0.2</v>
      </c>
      <c r="K52" s="4">
        <f t="shared" si="15"/>
        <v>0</v>
      </c>
      <c r="L52" s="4">
        <f t="shared" si="16"/>
        <v>0</v>
      </c>
    </row>
    <row r="53" spans="1:12" ht="12" customHeight="1" x14ac:dyDescent="0.3">
      <c r="A53" s="1" t="s">
        <v>81</v>
      </c>
      <c r="B53" s="1" t="s">
        <v>66</v>
      </c>
      <c r="E53" s="1">
        <v>1</v>
      </c>
      <c r="H53" s="2" t="s">
        <v>13</v>
      </c>
      <c r="I53" s="4">
        <f t="shared" si="13"/>
        <v>0.83333333333333337</v>
      </c>
      <c r="J53" s="4">
        <f t="shared" si="14"/>
        <v>8.3333333333333329E-2</v>
      </c>
      <c r="K53" s="4">
        <f t="shared" si="15"/>
        <v>8.3333333333333329E-2</v>
      </c>
      <c r="L53" s="4">
        <f t="shared" si="16"/>
        <v>0</v>
      </c>
    </row>
    <row r="54" spans="1:12" ht="12.75" customHeight="1" x14ac:dyDescent="0.3">
      <c r="A54" s="1" t="s">
        <v>82</v>
      </c>
      <c r="B54" s="1" t="s">
        <v>16</v>
      </c>
      <c r="E54" s="1">
        <v>1</v>
      </c>
      <c r="H54" s="2" t="s">
        <v>30</v>
      </c>
      <c r="I54" s="4">
        <f t="shared" si="13"/>
        <v>0</v>
      </c>
      <c r="J54" s="4">
        <f t="shared" si="14"/>
        <v>1</v>
      </c>
      <c r="K54" s="4">
        <f t="shared" si="15"/>
        <v>0</v>
      </c>
      <c r="L54" s="4">
        <f t="shared" si="16"/>
        <v>0</v>
      </c>
    </row>
    <row r="55" spans="1:12" ht="13.5" customHeight="1" x14ac:dyDescent="0.3">
      <c r="A55" s="1" t="s">
        <v>83</v>
      </c>
      <c r="B55" s="1" t="s">
        <v>14</v>
      </c>
      <c r="C55" s="1">
        <v>1</v>
      </c>
      <c r="H55" s="2" t="s">
        <v>35</v>
      </c>
      <c r="I55" s="4">
        <f t="shared" si="13"/>
        <v>0.53333333333333333</v>
      </c>
      <c r="J55" s="4">
        <f t="shared" si="14"/>
        <v>0</v>
      </c>
      <c r="K55" s="4">
        <f t="shared" si="15"/>
        <v>0.46666666666666667</v>
      </c>
      <c r="L55" s="4">
        <f t="shared" si="16"/>
        <v>0</v>
      </c>
    </row>
    <row r="56" spans="1:12" ht="13.5" customHeight="1" x14ac:dyDescent="0.3">
      <c r="A56" s="1" t="s">
        <v>84</v>
      </c>
      <c r="B56" s="1" t="s">
        <v>21</v>
      </c>
      <c r="C56" s="1">
        <v>1</v>
      </c>
      <c r="H56" s="2" t="s">
        <v>38</v>
      </c>
      <c r="I56" s="4">
        <f t="shared" si="13"/>
        <v>0</v>
      </c>
      <c r="J56" s="4">
        <f t="shared" si="14"/>
        <v>0.8571428571428571</v>
      </c>
      <c r="K56" s="4">
        <f t="shared" si="15"/>
        <v>0.14285714285714285</v>
      </c>
      <c r="L56" s="4">
        <f t="shared" si="16"/>
        <v>0</v>
      </c>
    </row>
    <row r="57" spans="1:12" ht="12.75" customHeight="1" x14ac:dyDescent="0.3">
      <c r="A57" s="1" t="s">
        <v>85</v>
      </c>
      <c r="B57" s="1" t="s">
        <v>33</v>
      </c>
      <c r="C57" s="1">
        <v>1</v>
      </c>
      <c r="H57" s="2" t="s">
        <v>33</v>
      </c>
      <c r="I57" s="4">
        <f t="shared" si="13"/>
        <v>1</v>
      </c>
      <c r="J57" s="4">
        <f t="shared" si="14"/>
        <v>0</v>
      </c>
      <c r="K57" s="4">
        <f t="shared" si="15"/>
        <v>0</v>
      </c>
      <c r="L57" s="4">
        <f t="shared" si="16"/>
        <v>0</v>
      </c>
    </row>
    <row r="58" spans="1:12" ht="12.75" customHeight="1" x14ac:dyDescent="0.3">
      <c r="A58" s="1" t="s">
        <v>86</v>
      </c>
      <c r="B58" s="1" t="s">
        <v>24</v>
      </c>
      <c r="D58" s="1">
        <v>1</v>
      </c>
    </row>
    <row r="59" spans="1:12" ht="12.75" customHeight="1" x14ac:dyDescent="0.3">
      <c r="A59" s="1" t="s">
        <v>87</v>
      </c>
      <c r="B59" s="1" t="s">
        <v>37</v>
      </c>
      <c r="C59" s="1">
        <v>1</v>
      </c>
    </row>
    <row r="60" spans="1:12" ht="12.75" customHeight="1" x14ac:dyDescent="0.3">
      <c r="A60" s="1" t="s">
        <v>88</v>
      </c>
      <c r="B60" s="1" t="s">
        <v>27</v>
      </c>
      <c r="C60" s="1">
        <v>1</v>
      </c>
    </row>
    <row r="61" spans="1:12" ht="12.75" customHeight="1" x14ac:dyDescent="0.3">
      <c r="A61" s="1" t="s">
        <v>89</v>
      </c>
      <c r="B61" s="1" t="s">
        <v>13</v>
      </c>
      <c r="C61" s="1">
        <v>1</v>
      </c>
    </row>
    <row r="62" spans="1:12" ht="12.75" customHeight="1" x14ac:dyDescent="0.3">
      <c r="A62" s="1" t="s">
        <v>90</v>
      </c>
      <c r="B62" s="1" t="s">
        <v>19</v>
      </c>
      <c r="E62" s="1">
        <v>1</v>
      </c>
    </row>
    <row r="63" spans="1:12" ht="12.75" customHeight="1" x14ac:dyDescent="0.3">
      <c r="A63" s="1" t="s">
        <v>91</v>
      </c>
      <c r="B63" s="1" t="s">
        <v>21</v>
      </c>
      <c r="F63" s="1">
        <v>1</v>
      </c>
    </row>
    <row r="64" spans="1:12" ht="12.75" customHeight="1" x14ac:dyDescent="0.3">
      <c r="A64" s="1" t="s">
        <v>92</v>
      </c>
      <c r="B64" s="1" t="s">
        <v>42</v>
      </c>
      <c r="C64" s="1">
        <v>1</v>
      </c>
    </row>
    <row r="65" spans="1:5" ht="12.75" customHeight="1" x14ac:dyDescent="0.3">
      <c r="A65" s="1" t="s">
        <v>93</v>
      </c>
      <c r="B65" s="1" t="s">
        <v>14</v>
      </c>
      <c r="C65" s="1">
        <v>1</v>
      </c>
    </row>
    <row r="66" spans="1:5" ht="12.75" customHeight="1" x14ac:dyDescent="0.3">
      <c r="A66" s="1" t="s">
        <v>94</v>
      </c>
      <c r="B66" s="1" t="s">
        <v>14</v>
      </c>
      <c r="C66" s="1">
        <v>1</v>
      </c>
    </row>
    <row r="67" spans="1:5" ht="12.75" customHeight="1" x14ac:dyDescent="0.3">
      <c r="A67" s="1" t="s">
        <v>95</v>
      </c>
      <c r="B67" s="1" t="s">
        <v>38</v>
      </c>
      <c r="D67" s="1">
        <v>1</v>
      </c>
    </row>
    <row r="68" spans="1:5" ht="12.75" customHeight="1" x14ac:dyDescent="0.3">
      <c r="A68" s="1" t="s">
        <v>96</v>
      </c>
      <c r="B68" s="1" t="s">
        <v>19</v>
      </c>
      <c r="C68" s="1">
        <v>1</v>
      </c>
    </row>
    <row r="69" spans="1:5" ht="12.75" customHeight="1" x14ac:dyDescent="0.3">
      <c r="A69" s="1" t="s">
        <v>97</v>
      </c>
      <c r="B69" s="1" t="s">
        <v>24</v>
      </c>
      <c r="C69" s="1">
        <v>1</v>
      </c>
    </row>
    <row r="70" spans="1:5" ht="12.75" customHeight="1" x14ac:dyDescent="0.3">
      <c r="A70" s="1" t="s">
        <v>98</v>
      </c>
      <c r="B70" s="1" t="s">
        <v>30</v>
      </c>
      <c r="D70" s="1">
        <v>1</v>
      </c>
    </row>
    <row r="71" spans="1:5" ht="12.75" customHeight="1" x14ac:dyDescent="0.3">
      <c r="A71" s="1" t="s">
        <v>99</v>
      </c>
      <c r="B71" s="1" t="s">
        <v>30</v>
      </c>
      <c r="D71" s="1">
        <v>1</v>
      </c>
    </row>
    <row r="72" spans="1:5" ht="12.75" customHeight="1" x14ac:dyDescent="0.3">
      <c r="A72" s="1" t="s">
        <v>100</v>
      </c>
      <c r="B72" s="1" t="s">
        <v>27</v>
      </c>
      <c r="D72" s="1">
        <v>1</v>
      </c>
    </row>
    <row r="73" spans="1:5" ht="12.75" customHeight="1" x14ac:dyDescent="0.3">
      <c r="A73" s="1" t="s">
        <v>101</v>
      </c>
      <c r="B73" s="1" t="s">
        <v>21</v>
      </c>
      <c r="C73" s="1">
        <v>1</v>
      </c>
    </row>
    <row r="74" spans="1:5" ht="12.75" customHeight="1" x14ac:dyDescent="0.3">
      <c r="A74" s="1" t="s">
        <v>102</v>
      </c>
      <c r="B74" s="1" t="s">
        <v>66</v>
      </c>
      <c r="E74" s="1">
        <v>1</v>
      </c>
    </row>
    <row r="75" spans="1:5" ht="12.75" customHeight="1" x14ac:dyDescent="0.3">
      <c r="A75" s="1" t="s">
        <v>103</v>
      </c>
      <c r="B75" s="1" t="s">
        <v>30</v>
      </c>
      <c r="D75" s="1">
        <v>1</v>
      </c>
    </row>
    <row r="76" spans="1:5" ht="12.75" customHeight="1" x14ac:dyDescent="0.3">
      <c r="A76" s="1" t="s">
        <v>104</v>
      </c>
      <c r="B76" s="1" t="s">
        <v>24</v>
      </c>
      <c r="C76" s="1">
        <v>1</v>
      </c>
    </row>
    <row r="77" spans="1:5" ht="12.75" customHeight="1" x14ac:dyDescent="0.3">
      <c r="A77" s="1" t="s">
        <v>105</v>
      </c>
      <c r="B77" s="1" t="s">
        <v>66</v>
      </c>
      <c r="C77" s="1">
        <v>1</v>
      </c>
    </row>
    <row r="78" spans="1:5" ht="12.75" customHeight="1" x14ac:dyDescent="0.3">
      <c r="A78" s="1" t="s">
        <v>106</v>
      </c>
      <c r="B78" s="1" t="s">
        <v>42</v>
      </c>
      <c r="C78" s="1">
        <v>1</v>
      </c>
    </row>
    <row r="79" spans="1:5" ht="12.75" customHeight="1" x14ac:dyDescent="0.3">
      <c r="A79" s="1" t="s">
        <v>107</v>
      </c>
      <c r="B79" s="1" t="s">
        <v>27</v>
      </c>
      <c r="C79" s="1">
        <v>1</v>
      </c>
    </row>
    <row r="80" spans="1:5" ht="12.75" customHeight="1" x14ac:dyDescent="0.3">
      <c r="A80" s="1" t="s">
        <v>108</v>
      </c>
      <c r="B80" s="1" t="s">
        <v>66</v>
      </c>
      <c r="C80" s="1">
        <v>1</v>
      </c>
    </row>
    <row r="81" spans="1:5" ht="12.75" customHeight="1" x14ac:dyDescent="0.3">
      <c r="A81" s="1" t="s">
        <v>109</v>
      </c>
      <c r="B81" s="1" t="s">
        <v>30</v>
      </c>
      <c r="D81" s="1">
        <v>1</v>
      </c>
    </row>
    <row r="82" spans="1:5" ht="12.75" customHeight="1" x14ac:dyDescent="0.3">
      <c r="A82" s="1" t="s">
        <v>110</v>
      </c>
      <c r="B82" s="1" t="s">
        <v>37</v>
      </c>
      <c r="C82" s="1">
        <v>1</v>
      </c>
    </row>
    <row r="83" spans="1:5" ht="12.75" customHeight="1" x14ac:dyDescent="0.3">
      <c r="A83" s="1" t="s">
        <v>111</v>
      </c>
      <c r="B83" s="1" t="s">
        <v>37</v>
      </c>
      <c r="C83" s="1">
        <v>1</v>
      </c>
    </row>
    <row r="84" spans="1:5" ht="12.75" customHeight="1" x14ac:dyDescent="0.3">
      <c r="A84" s="1" t="s">
        <v>112</v>
      </c>
      <c r="B84" s="1" t="s">
        <v>38</v>
      </c>
      <c r="D84" s="1">
        <v>1</v>
      </c>
    </row>
    <row r="85" spans="1:5" ht="12.75" customHeight="1" x14ac:dyDescent="0.3">
      <c r="A85" s="1" t="s">
        <v>113</v>
      </c>
      <c r="B85" s="1" t="s">
        <v>21</v>
      </c>
      <c r="C85" s="1">
        <v>1</v>
      </c>
    </row>
    <row r="86" spans="1:5" ht="12.75" customHeight="1" x14ac:dyDescent="0.3">
      <c r="A86" s="1" t="s">
        <v>114</v>
      </c>
      <c r="B86" s="1" t="s">
        <v>42</v>
      </c>
      <c r="C86" s="1">
        <v>1</v>
      </c>
    </row>
    <row r="87" spans="1:5" ht="12.75" customHeight="1" x14ac:dyDescent="0.3">
      <c r="A87" s="1" t="s">
        <v>115</v>
      </c>
      <c r="B87" s="1" t="s">
        <v>21</v>
      </c>
      <c r="C87" s="1">
        <v>1</v>
      </c>
    </row>
    <row r="88" spans="1:5" ht="12.75" customHeight="1" x14ac:dyDescent="0.3">
      <c r="A88" s="1" t="s">
        <v>116</v>
      </c>
      <c r="B88" s="1" t="s">
        <v>30</v>
      </c>
      <c r="D88" s="1">
        <v>1</v>
      </c>
    </row>
    <row r="89" spans="1:5" ht="12.75" customHeight="1" x14ac:dyDescent="0.3">
      <c r="A89" s="1" t="s">
        <v>117</v>
      </c>
      <c r="B89" s="1" t="s">
        <v>16</v>
      </c>
      <c r="C89" s="1">
        <v>1</v>
      </c>
    </row>
    <row r="90" spans="1:5" ht="12.75" customHeight="1" x14ac:dyDescent="0.3">
      <c r="A90" s="1" t="s">
        <v>118</v>
      </c>
      <c r="B90" s="1" t="s">
        <v>16</v>
      </c>
      <c r="E90" s="1">
        <v>1</v>
      </c>
    </row>
    <row r="91" spans="1:5" ht="12.75" customHeight="1" x14ac:dyDescent="0.3">
      <c r="A91" s="1" t="s">
        <v>119</v>
      </c>
      <c r="B91" s="1" t="s">
        <v>66</v>
      </c>
      <c r="E91" s="1">
        <v>1</v>
      </c>
    </row>
    <row r="92" spans="1:5" ht="12.75" customHeight="1" x14ac:dyDescent="0.3">
      <c r="A92" s="1" t="s">
        <v>120</v>
      </c>
      <c r="B92" s="1" t="s">
        <v>13</v>
      </c>
      <c r="C92" s="1">
        <v>1</v>
      </c>
    </row>
    <row r="93" spans="1:5" ht="12.75" customHeight="1" x14ac:dyDescent="0.3">
      <c r="A93" s="1" t="s">
        <v>121</v>
      </c>
      <c r="B93" s="1" t="s">
        <v>30</v>
      </c>
      <c r="D93" s="1">
        <v>1</v>
      </c>
    </row>
    <row r="94" spans="1:5" ht="12.75" customHeight="1" x14ac:dyDescent="0.3">
      <c r="A94" s="1" t="s">
        <v>122</v>
      </c>
      <c r="B94" s="1" t="s">
        <v>24</v>
      </c>
      <c r="D94" s="1">
        <v>1</v>
      </c>
    </row>
    <row r="95" spans="1:5" ht="12.75" customHeight="1" x14ac:dyDescent="0.3">
      <c r="A95" s="1" t="s">
        <v>123</v>
      </c>
      <c r="B95" s="1" t="s">
        <v>21</v>
      </c>
      <c r="C95" s="1">
        <v>1</v>
      </c>
    </row>
    <row r="96" spans="1:5" ht="12.75" customHeight="1" x14ac:dyDescent="0.3">
      <c r="A96" s="1" t="s">
        <v>124</v>
      </c>
      <c r="B96" s="1" t="s">
        <v>14</v>
      </c>
      <c r="C96" s="1">
        <v>1</v>
      </c>
    </row>
    <row r="97" spans="1:5" ht="12.75" customHeight="1" x14ac:dyDescent="0.3">
      <c r="A97" s="1" t="s">
        <v>125</v>
      </c>
      <c r="B97" s="1" t="s">
        <v>66</v>
      </c>
      <c r="E97" s="1">
        <v>1</v>
      </c>
    </row>
    <row r="98" spans="1:5" ht="12.75" customHeight="1" x14ac:dyDescent="0.3">
      <c r="A98" s="1" t="s">
        <v>126</v>
      </c>
      <c r="B98" s="1" t="s">
        <v>30</v>
      </c>
      <c r="D98" s="1">
        <v>1</v>
      </c>
    </row>
    <row r="99" spans="1:5" ht="12.75" customHeight="1" x14ac:dyDescent="0.3">
      <c r="A99" s="1" t="s">
        <v>127</v>
      </c>
      <c r="B99" s="1" t="s">
        <v>27</v>
      </c>
      <c r="D99" s="1">
        <v>1</v>
      </c>
    </row>
    <row r="100" spans="1:5" ht="12.75" customHeight="1" x14ac:dyDescent="0.3">
      <c r="A100" s="1" t="s">
        <v>128</v>
      </c>
      <c r="B100" s="1" t="s">
        <v>30</v>
      </c>
      <c r="D100" s="1">
        <v>1</v>
      </c>
    </row>
    <row r="101" spans="1:5" ht="12.75" customHeight="1" x14ac:dyDescent="0.3">
      <c r="A101" s="1" t="s">
        <v>129</v>
      </c>
      <c r="B101" s="1" t="s">
        <v>27</v>
      </c>
      <c r="C101" s="1">
        <v>1</v>
      </c>
    </row>
    <row r="102" spans="1:5" ht="12.75" customHeight="1" x14ac:dyDescent="0.3">
      <c r="A102" s="1" t="s">
        <v>130</v>
      </c>
      <c r="B102" s="1" t="s">
        <v>16</v>
      </c>
      <c r="C102" s="1">
        <v>1</v>
      </c>
    </row>
    <row r="103" spans="1:5" ht="12.75" customHeight="1" x14ac:dyDescent="0.3">
      <c r="A103" s="1" t="s">
        <v>131</v>
      </c>
      <c r="B103" s="1" t="s">
        <v>66</v>
      </c>
      <c r="C103" s="1">
        <v>1</v>
      </c>
    </row>
    <row r="104" spans="1:5" ht="12.75" customHeight="1" x14ac:dyDescent="0.3">
      <c r="A104" s="1" t="s">
        <v>132</v>
      </c>
      <c r="B104" s="1" t="s">
        <v>30</v>
      </c>
      <c r="D104" s="1">
        <v>1</v>
      </c>
    </row>
    <row r="105" spans="1:5" ht="12.75" customHeight="1" x14ac:dyDescent="0.3">
      <c r="A105" s="1" t="s">
        <v>133</v>
      </c>
      <c r="B105" s="1" t="s">
        <v>14</v>
      </c>
      <c r="C105" s="1">
        <v>1</v>
      </c>
    </row>
    <row r="106" spans="1:5" ht="12.75" customHeight="1" x14ac:dyDescent="0.3">
      <c r="A106" s="1" t="s">
        <v>134</v>
      </c>
      <c r="B106" s="1" t="s">
        <v>42</v>
      </c>
      <c r="C106" s="1">
        <v>1</v>
      </c>
    </row>
    <row r="107" spans="1:5" ht="12.75" customHeight="1" x14ac:dyDescent="0.3">
      <c r="A107" s="1" t="s">
        <v>135</v>
      </c>
      <c r="B107" s="1" t="s">
        <v>27</v>
      </c>
      <c r="C107" s="1">
        <v>1</v>
      </c>
    </row>
    <row r="108" spans="1:5" ht="12.75" customHeight="1" x14ac:dyDescent="0.3">
      <c r="A108" s="1" t="s">
        <v>136</v>
      </c>
      <c r="B108" s="1" t="s">
        <v>66</v>
      </c>
      <c r="C108" s="1">
        <v>1</v>
      </c>
    </row>
    <row r="109" spans="1:5" ht="12.75" customHeight="1" x14ac:dyDescent="0.3">
      <c r="A109" s="1" t="s">
        <v>137</v>
      </c>
      <c r="B109" s="1" t="s">
        <v>13</v>
      </c>
      <c r="D109" s="1">
        <v>1</v>
      </c>
    </row>
    <row r="110" spans="1:5" ht="12.75" customHeight="1" x14ac:dyDescent="0.3">
      <c r="A110" s="1" t="s">
        <v>138</v>
      </c>
      <c r="B110" s="1" t="s">
        <v>42</v>
      </c>
      <c r="C110" s="1">
        <v>1</v>
      </c>
    </row>
    <row r="111" spans="1:5" ht="12.75" customHeight="1" x14ac:dyDescent="0.3">
      <c r="A111" s="1" t="s">
        <v>139</v>
      </c>
      <c r="B111" s="1" t="s">
        <v>27</v>
      </c>
      <c r="C111" s="1">
        <v>1</v>
      </c>
    </row>
    <row r="112" spans="1:5" ht="12.75" customHeight="1" x14ac:dyDescent="0.3">
      <c r="A112" s="1" t="s">
        <v>140</v>
      </c>
      <c r="B112" s="1" t="s">
        <v>16</v>
      </c>
      <c r="C112" s="1">
        <v>1</v>
      </c>
    </row>
    <row r="113" spans="1:6" ht="12.75" customHeight="1" x14ac:dyDescent="0.3">
      <c r="A113" s="1" t="s">
        <v>141</v>
      </c>
      <c r="B113" s="1" t="s">
        <v>14</v>
      </c>
      <c r="C113" s="1">
        <v>1</v>
      </c>
    </row>
    <row r="114" spans="1:6" ht="12.75" customHeight="1" x14ac:dyDescent="0.3">
      <c r="A114" s="1" t="s">
        <v>142</v>
      </c>
      <c r="B114" s="1" t="s">
        <v>16</v>
      </c>
      <c r="E114" s="1">
        <v>1</v>
      </c>
    </row>
    <row r="115" spans="1:6" ht="12.75" customHeight="1" x14ac:dyDescent="0.3">
      <c r="A115" s="1" t="s">
        <v>143</v>
      </c>
      <c r="B115" s="1" t="s">
        <v>24</v>
      </c>
      <c r="D115" s="1">
        <v>1</v>
      </c>
    </row>
    <row r="116" spans="1:6" ht="12.75" customHeight="1" x14ac:dyDescent="0.3">
      <c r="A116" s="1" t="s">
        <v>144</v>
      </c>
      <c r="B116" s="1" t="s">
        <v>66</v>
      </c>
      <c r="C116" s="1">
        <v>1</v>
      </c>
    </row>
    <row r="117" spans="1:6" ht="12.75" customHeight="1" x14ac:dyDescent="0.3">
      <c r="A117" s="1" t="s">
        <v>145</v>
      </c>
      <c r="B117" s="1" t="s">
        <v>27</v>
      </c>
      <c r="C117" s="1">
        <v>1</v>
      </c>
    </row>
    <row r="118" spans="1:6" ht="12.75" customHeight="1" x14ac:dyDescent="0.3">
      <c r="A118" s="1" t="s">
        <v>146</v>
      </c>
      <c r="B118" s="1" t="s">
        <v>30</v>
      </c>
      <c r="D118" s="1">
        <v>1</v>
      </c>
    </row>
    <row r="119" spans="1:6" ht="12.75" customHeight="1" x14ac:dyDescent="0.3">
      <c r="A119" s="1" t="s">
        <v>147</v>
      </c>
      <c r="B119" s="1" t="s">
        <v>42</v>
      </c>
      <c r="C119" s="1">
        <v>1</v>
      </c>
    </row>
    <row r="120" spans="1:6" ht="12.75" customHeight="1" x14ac:dyDescent="0.3">
      <c r="A120" s="1" t="s">
        <v>148</v>
      </c>
      <c r="B120" s="1" t="s">
        <v>13</v>
      </c>
      <c r="C120" s="1">
        <v>1</v>
      </c>
    </row>
    <row r="121" spans="1:6" ht="12.75" customHeight="1" x14ac:dyDescent="0.3">
      <c r="A121" s="1" t="s">
        <v>149</v>
      </c>
      <c r="B121" s="1" t="s">
        <v>150</v>
      </c>
      <c r="F121" s="1">
        <v>1</v>
      </c>
    </row>
    <row r="122" spans="1:6" ht="12.75" customHeight="1" x14ac:dyDescent="0.3">
      <c r="A122" s="1" t="s">
        <v>151</v>
      </c>
      <c r="B122" s="1" t="s">
        <v>24</v>
      </c>
      <c r="D122" s="1">
        <v>1</v>
      </c>
    </row>
    <row r="123" spans="1:6" ht="12.75" customHeight="1" x14ac:dyDescent="0.3">
      <c r="A123" s="1" t="s">
        <v>152</v>
      </c>
      <c r="B123" s="1" t="s">
        <v>24</v>
      </c>
      <c r="C123" s="1">
        <v>1</v>
      </c>
    </row>
    <row r="124" spans="1:6" ht="12.75" customHeight="1" x14ac:dyDescent="0.3">
      <c r="A124" s="1" t="s">
        <v>153</v>
      </c>
      <c r="B124" s="1" t="s">
        <v>19</v>
      </c>
      <c r="C124" s="1">
        <v>1</v>
      </c>
    </row>
    <row r="125" spans="1:6" ht="12.75" customHeight="1" x14ac:dyDescent="0.3">
      <c r="A125" s="1" t="s">
        <v>154</v>
      </c>
      <c r="B125" s="1" t="s">
        <v>33</v>
      </c>
      <c r="C125" s="1">
        <v>1</v>
      </c>
    </row>
    <row r="126" spans="1:6" ht="12.75" customHeight="1" x14ac:dyDescent="0.3">
      <c r="A126" s="1" t="s">
        <v>155</v>
      </c>
      <c r="B126" s="1" t="s">
        <v>13</v>
      </c>
      <c r="C126" s="1">
        <v>1</v>
      </c>
    </row>
    <row r="127" spans="1:6" ht="12.75" customHeight="1" x14ac:dyDescent="0.3">
      <c r="A127" s="1" t="s">
        <v>156</v>
      </c>
      <c r="B127" s="1" t="s">
        <v>13</v>
      </c>
      <c r="E127" s="1">
        <v>1</v>
      </c>
    </row>
    <row r="128" spans="1:6" ht="12.75" customHeight="1" x14ac:dyDescent="0.3">
      <c r="A128" s="1" t="s">
        <v>157</v>
      </c>
      <c r="B128" s="1" t="s">
        <v>14</v>
      </c>
      <c r="C128" s="1">
        <v>1</v>
      </c>
    </row>
    <row r="129" spans="1:5" ht="12.75" customHeight="1" x14ac:dyDescent="0.3">
      <c r="A129" s="1" t="s">
        <v>158</v>
      </c>
      <c r="B129" s="1" t="s">
        <v>16</v>
      </c>
      <c r="C129" s="1">
        <v>1</v>
      </c>
    </row>
    <row r="130" spans="1:5" ht="12.75" customHeight="1" x14ac:dyDescent="0.3">
      <c r="A130" s="1" t="s">
        <v>159</v>
      </c>
      <c r="B130" s="1" t="s">
        <v>13</v>
      </c>
      <c r="C130" s="1">
        <v>1</v>
      </c>
    </row>
    <row r="131" spans="1:5" ht="12.75" customHeight="1" x14ac:dyDescent="0.3">
      <c r="A131" s="1" t="s">
        <v>160</v>
      </c>
      <c r="B131" s="1" t="s">
        <v>66</v>
      </c>
      <c r="E131" s="1">
        <v>1</v>
      </c>
    </row>
    <row r="132" spans="1:5" ht="12.75" customHeight="1" x14ac:dyDescent="0.3">
      <c r="A132" s="1" t="s">
        <v>161</v>
      </c>
      <c r="B132" s="1" t="s">
        <v>38</v>
      </c>
      <c r="D132" s="1">
        <v>1</v>
      </c>
    </row>
    <row r="133" spans="1:5" ht="12.75" customHeight="1" x14ac:dyDescent="0.3">
      <c r="A133" s="1" t="s">
        <v>162</v>
      </c>
      <c r="B133" s="1" t="s">
        <v>13</v>
      </c>
      <c r="C133" s="1">
        <v>1</v>
      </c>
    </row>
    <row r="134" spans="1:5" ht="12.75" customHeight="1" x14ac:dyDescent="0.3">
      <c r="A134" s="1" t="s">
        <v>163</v>
      </c>
      <c r="B134" s="1" t="s">
        <v>66</v>
      </c>
      <c r="C134" s="1">
        <v>1</v>
      </c>
    </row>
    <row r="135" spans="1:5" ht="12.75" customHeight="1" x14ac:dyDescent="0.3">
      <c r="A135" s="1" t="s">
        <v>164</v>
      </c>
      <c r="B135" s="1" t="s">
        <v>21</v>
      </c>
      <c r="C135" s="1">
        <v>1</v>
      </c>
    </row>
    <row r="136" spans="1:5" ht="12.75" customHeight="1" x14ac:dyDescent="0.3">
      <c r="A136" s="1" t="s">
        <v>165</v>
      </c>
      <c r="B136" s="1" t="s">
        <v>30</v>
      </c>
      <c r="D136" s="1">
        <v>1</v>
      </c>
    </row>
    <row r="137" spans="1:5" ht="12.75" customHeight="1" x14ac:dyDescent="0.3">
      <c r="A137" s="1" t="s">
        <v>166</v>
      </c>
      <c r="B137" s="1" t="s">
        <v>30</v>
      </c>
      <c r="D137" s="1">
        <v>1</v>
      </c>
    </row>
    <row r="138" spans="1:5" ht="12.75" customHeight="1" x14ac:dyDescent="0.3">
      <c r="A138" s="1" t="s">
        <v>167</v>
      </c>
      <c r="B138" s="1" t="s">
        <v>19</v>
      </c>
      <c r="C138" s="1">
        <v>1</v>
      </c>
    </row>
    <row r="139" spans="1:5" ht="12.75" customHeight="1" x14ac:dyDescent="0.3">
      <c r="A139" s="1" t="s">
        <v>168</v>
      </c>
      <c r="B139" s="1" t="s">
        <v>13</v>
      </c>
      <c r="C139" s="1">
        <v>1</v>
      </c>
    </row>
    <row r="140" spans="1:5" ht="12.75" customHeight="1" x14ac:dyDescent="0.3">
      <c r="A140" s="1" t="s">
        <v>169</v>
      </c>
      <c r="B140" s="1" t="s">
        <v>27</v>
      </c>
      <c r="D140" s="1">
        <v>1</v>
      </c>
    </row>
    <row r="141" spans="1:5" ht="12.75" customHeight="1" x14ac:dyDescent="0.3">
      <c r="A141" s="1" t="s">
        <v>170</v>
      </c>
      <c r="B141" s="1" t="s">
        <v>16</v>
      </c>
      <c r="E141" s="1">
        <v>1</v>
      </c>
    </row>
    <row r="142" spans="1:5" ht="12.75" customHeight="1" x14ac:dyDescent="0.3">
      <c r="A142" s="1" t="s">
        <v>171</v>
      </c>
      <c r="B142" s="1" t="s">
        <v>19</v>
      </c>
      <c r="C142" s="1">
        <v>1</v>
      </c>
    </row>
    <row r="143" spans="1:5" ht="12.75" customHeight="1" x14ac:dyDescent="0.3">
      <c r="A143" s="1" t="s">
        <v>172</v>
      </c>
      <c r="B143" s="1" t="s">
        <v>37</v>
      </c>
      <c r="C143" s="1">
        <v>1</v>
      </c>
    </row>
    <row r="144" spans="1:5" ht="12.75" customHeight="1" x14ac:dyDescent="0.3">
      <c r="A144" s="1" t="s">
        <v>173</v>
      </c>
      <c r="B144" s="1" t="s">
        <v>27</v>
      </c>
      <c r="C144" s="1">
        <v>1</v>
      </c>
    </row>
    <row r="145" spans="1:4" ht="12.75" customHeight="1" x14ac:dyDescent="0.3">
      <c r="A145" s="1" t="s">
        <v>174</v>
      </c>
      <c r="B145" s="1" t="s">
        <v>66</v>
      </c>
      <c r="C145" s="1">
        <v>1</v>
      </c>
    </row>
    <row r="146" spans="1:4" ht="12.75" customHeight="1" x14ac:dyDescent="0.3">
      <c r="A146" s="1" t="s">
        <v>175</v>
      </c>
      <c r="B146" s="1" t="s">
        <v>14</v>
      </c>
      <c r="C146" s="1">
        <v>1</v>
      </c>
    </row>
    <row r="147" spans="1:4" ht="12.75" customHeight="1" x14ac:dyDescent="0.3">
      <c r="A147" s="1" t="s">
        <v>176</v>
      </c>
      <c r="B147" s="1" t="s">
        <v>66</v>
      </c>
      <c r="C147" s="1">
        <v>1</v>
      </c>
    </row>
    <row r="148" spans="1:4" ht="12.75" customHeight="1" x14ac:dyDescent="0.3">
      <c r="A148" s="1" t="s">
        <v>177</v>
      </c>
      <c r="B148" s="1" t="s">
        <v>42</v>
      </c>
      <c r="C148" s="1">
        <v>1</v>
      </c>
    </row>
    <row r="149" spans="1:4" ht="12.75" customHeight="1" x14ac:dyDescent="0.3">
      <c r="A149" s="1" t="s">
        <v>178</v>
      </c>
      <c r="B149" s="1" t="s">
        <v>33</v>
      </c>
      <c r="C149" s="1">
        <v>1</v>
      </c>
    </row>
    <row r="150" spans="1:4" ht="12.75" customHeight="1" x14ac:dyDescent="0.3">
      <c r="A150" s="1" t="s">
        <v>179</v>
      </c>
      <c r="B150" s="1" t="s">
        <v>14</v>
      </c>
      <c r="C150" s="1">
        <v>1</v>
      </c>
    </row>
    <row r="151" spans="1:4" ht="12.75" customHeight="1" x14ac:dyDescent="0.3">
      <c r="A151" s="1" t="s">
        <v>180</v>
      </c>
      <c r="B151" s="1" t="s">
        <v>13</v>
      </c>
      <c r="C151" s="1">
        <v>1</v>
      </c>
    </row>
    <row r="152" spans="1:4" ht="12.75" customHeight="1" x14ac:dyDescent="0.3">
      <c r="A152" s="1" t="s">
        <v>181</v>
      </c>
      <c r="B152" s="1" t="s">
        <v>24</v>
      </c>
      <c r="C152" s="1">
        <v>1</v>
      </c>
    </row>
    <row r="153" spans="1:4" ht="12.75" customHeight="1" x14ac:dyDescent="0.3">
      <c r="A153" s="1" t="s">
        <v>182</v>
      </c>
      <c r="B153" s="1" t="s">
        <v>19</v>
      </c>
      <c r="C153" s="1">
        <v>1</v>
      </c>
    </row>
    <row r="154" spans="1:4" ht="12.75" customHeight="1" x14ac:dyDescent="0.3">
      <c r="A154" s="1" t="s">
        <v>183</v>
      </c>
      <c r="B154" s="1" t="s">
        <v>42</v>
      </c>
      <c r="C154" s="1">
        <v>1</v>
      </c>
    </row>
    <row r="155" spans="1:4" ht="12.75" customHeight="1" x14ac:dyDescent="0.3">
      <c r="A155" s="1" t="s">
        <v>184</v>
      </c>
      <c r="B155" s="1" t="s">
        <v>19</v>
      </c>
      <c r="C155" s="1">
        <v>1</v>
      </c>
    </row>
    <row r="156" spans="1:4" ht="12.75" customHeight="1" x14ac:dyDescent="0.3">
      <c r="A156" s="1" t="s">
        <v>185</v>
      </c>
      <c r="B156" s="1" t="s">
        <v>30</v>
      </c>
      <c r="D156" s="1">
        <v>1</v>
      </c>
    </row>
    <row r="157" spans="1:4" ht="12.75" customHeight="1" x14ac:dyDescent="0.3"/>
    <row r="158" spans="1:4" ht="12.75" customHeight="1" x14ac:dyDescent="0.3"/>
    <row r="159" spans="1:4" ht="12.75" customHeight="1" x14ac:dyDescent="0.3"/>
    <row r="160" spans="1:4" ht="12.75" customHeight="1" x14ac:dyDescent="0.3"/>
    <row r="161" s="1" customFormat="1" ht="12.75" customHeight="1" x14ac:dyDescent="0.3"/>
    <row r="162" s="1" customFormat="1" ht="12.75" customHeight="1" x14ac:dyDescent="0.3"/>
    <row r="163" s="1" customFormat="1" ht="12.75" customHeight="1" x14ac:dyDescent="0.3"/>
    <row r="164" s="1" customFormat="1" ht="12.75" customHeight="1" x14ac:dyDescent="0.3"/>
    <row r="165" s="1" customFormat="1" ht="12.75" customHeight="1" x14ac:dyDescent="0.3"/>
    <row r="166" s="1" customFormat="1" ht="12.75" customHeight="1" x14ac:dyDescent="0.3"/>
    <row r="167" s="1" customFormat="1" ht="12.75" customHeight="1" x14ac:dyDescent="0.3"/>
    <row r="168" s="1" customFormat="1" ht="12.75" customHeight="1" x14ac:dyDescent="0.3"/>
    <row r="169" s="1" customFormat="1" ht="12.75" customHeight="1" x14ac:dyDescent="0.3"/>
    <row r="170" s="1" customFormat="1" ht="12.75" customHeight="1" x14ac:dyDescent="0.3"/>
    <row r="171" s="1" customFormat="1" ht="12.75" customHeight="1" x14ac:dyDescent="0.3"/>
    <row r="172" s="1" customFormat="1" ht="12.75" customHeight="1" x14ac:dyDescent="0.3"/>
    <row r="173" s="1" customFormat="1" ht="12.75" customHeight="1" x14ac:dyDescent="0.3"/>
    <row r="174" s="1" customFormat="1" ht="12.75" customHeight="1" x14ac:dyDescent="0.3"/>
    <row r="175" s="1" customFormat="1" ht="12.75" customHeight="1" x14ac:dyDescent="0.3"/>
    <row r="176" s="1" customFormat="1" ht="12.75" customHeight="1" x14ac:dyDescent="0.3"/>
    <row r="177" s="1" customFormat="1" ht="12.75" customHeight="1" x14ac:dyDescent="0.3"/>
    <row r="178" s="1" customFormat="1" ht="12.75" customHeight="1" x14ac:dyDescent="0.3"/>
    <row r="179" s="1" customFormat="1" ht="12.75" customHeight="1" x14ac:dyDescent="0.3"/>
    <row r="180" s="1" customFormat="1" ht="12.75" customHeight="1" x14ac:dyDescent="0.3"/>
    <row r="181" s="1" customFormat="1" ht="12.75" customHeight="1" x14ac:dyDescent="0.3"/>
    <row r="182" s="1" customFormat="1" ht="12.75" customHeight="1" x14ac:dyDescent="0.3"/>
    <row r="183" s="1" customFormat="1" ht="12.75" customHeight="1" x14ac:dyDescent="0.3"/>
    <row r="184" s="1" customFormat="1" ht="12.75" customHeight="1" x14ac:dyDescent="0.3"/>
    <row r="185" s="1" customFormat="1" ht="12.75" customHeight="1" x14ac:dyDescent="0.3"/>
    <row r="186" s="1" customFormat="1" ht="12.75" customHeight="1" x14ac:dyDescent="0.3"/>
    <row r="187" s="1" customFormat="1" ht="12.75" customHeight="1" x14ac:dyDescent="0.3"/>
    <row r="188" s="1" customFormat="1" ht="12.75" customHeight="1" x14ac:dyDescent="0.3"/>
    <row r="189" s="1" customFormat="1" ht="12.75" customHeight="1" x14ac:dyDescent="0.3"/>
    <row r="190" s="1" customFormat="1" ht="12.75" customHeight="1" x14ac:dyDescent="0.3"/>
    <row r="191" s="1" customFormat="1" ht="12.75" customHeight="1" x14ac:dyDescent="0.3"/>
    <row r="192" s="1" customFormat="1" ht="12.75" customHeight="1" x14ac:dyDescent="0.3"/>
    <row r="193" s="1" customFormat="1" ht="12.75" customHeight="1" x14ac:dyDescent="0.3"/>
    <row r="194" s="1" customFormat="1" ht="12.75" customHeight="1" x14ac:dyDescent="0.3"/>
    <row r="195" s="1" customFormat="1" ht="12.75" customHeight="1" x14ac:dyDescent="0.3"/>
    <row r="196" s="1" customFormat="1" ht="12.75" customHeight="1" x14ac:dyDescent="0.3"/>
    <row r="197" s="1" customFormat="1" ht="12.75" customHeight="1" x14ac:dyDescent="0.3"/>
    <row r="198" s="1" customFormat="1" ht="12.75" customHeight="1" x14ac:dyDescent="0.3"/>
    <row r="199" s="1" customFormat="1" ht="12.75" customHeight="1" x14ac:dyDescent="0.3"/>
    <row r="200" s="1" customFormat="1" ht="12.75" customHeight="1" x14ac:dyDescent="0.3"/>
    <row r="201" s="1" customFormat="1" ht="12.75" customHeight="1" x14ac:dyDescent="0.3"/>
    <row r="202" s="1" customFormat="1" ht="12.75" customHeight="1" x14ac:dyDescent="0.3"/>
    <row r="203" s="1" customFormat="1" ht="12.75" customHeight="1" x14ac:dyDescent="0.3"/>
    <row r="204" s="1" customFormat="1" ht="12.75" customHeight="1" x14ac:dyDescent="0.3"/>
    <row r="205" s="1" customFormat="1" ht="12.75" customHeight="1" x14ac:dyDescent="0.3"/>
    <row r="206" s="1" customFormat="1" ht="12.75" customHeight="1" x14ac:dyDescent="0.3"/>
    <row r="207" s="1" customFormat="1" ht="12.75" customHeight="1" x14ac:dyDescent="0.3"/>
    <row r="208" s="1" customFormat="1" ht="12.75" customHeight="1" x14ac:dyDescent="0.3"/>
    <row r="209" s="1" customFormat="1" ht="12.75" customHeight="1" x14ac:dyDescent="0.3"/>
    <row r="210" s="1" customFormat="1" ht="12.75" customHeight="1" x14ac:dyDescent="0.3"/>
    <row r="211" s="1" customFormat="1" ht="12.75" customHeight="1" x14ac:dyDescent="0.3"/>
    <row r="212" s="1" customFormat="1" ht="12.75" customHeight="1" x14ac:dyDescent="0.3"/>
    <row r="213" s="1" customFormat="1" ht="12.75" customHeight="1" x14ac:dyDescent="0.3"/>
    <row r="214" s="1" customFormat="1" ht="12.75" customHeight="1" x14ac:dyDescent="0.3"/>
    <row r="215" s="1" customFormat="1" ht="12.75" customHeight="1" x14ac:dyDescent="0.3"/>
    <row r="216" s="1" customFormat="1" ht="12.75" customHeight="1" x14ac:dyDescent="0.3"/>
    <row r="217" s="1" customFormat="1" ht="12.75" customHeight="1" x14ac:dyDescent="0.3"/>
    <row r="218" s="1" customFormat="1" ht="12.75" customHeight="1" x14ac:dyDescent="0.3"/>
    <row r="219" s="1" customFormat="1" ht="12.75" customHeight="1" x14ac:dyDescent="0.3"/>
    <row r="220" s="1" customFormat="1" ht="12.75" customHeight="1" x14ac:dyDescent="0.3"/>
    <row r="221" s="1" customFormat="1" ht="12.75" customHeight="1" x14ac:dyDescent="0.3"/>
    <row r="222" s="1" customFormat="1" ht="12.75" customHeight="1" x14ac:dyDescent="0.3"/>
    <row r="223" s="1" customFormat="1" ht="12.75" customHeight="1" x14ac:dyDescent="0.3"/>
    <row r="224" s="1" customFormat="1" ht="12.75" customHeight="1" x14ac:dyDescent="0.3"/>
    <row r="225" s="1" customFormat="1" ht="12.75" customHeight="1" x14ac:dyDescent="0.3"/>
    <row r="226" s="1" customFormat="1" ht="12.75" customHeight="1" x14ac:dyDescent="0.3"/>
    <row r="227" s="1" customFormat="1" ht="12.75" customHeight="1" x14ac:dyDescent="0.3"/>
    <row r="228" s="1" customFormat="1" ht="12.75" customHeight="1" x14ac:dyDescent="0.3"/>
    <row r="229" s="1" customFormat="1" ht="12.75" customHeight="1" x14ac:dyDescent="0.3"/>
    <row r="230" s="1" customFormat="1" ht="12.75" customHeight="1" x14ac:dyDescent="0.3"/>
    <row r="231" s="1" customFormat="1" ht="12.75" customHeight="1" x14ac:dyDescent="0.3"/>
    <row r="232" s="1" customFormat="1" ht="12.75" customHeight="1" x14ac:dyDescent="0.3"/>
    <row r="233" s="1" customFormat="1" ht="12.75" customHeight="1" x14ac:dyDescent="0.3"/>
    <row r="234" s="1" customFormat="1" ht="12.75" customHeight="1" x14ac:dyDescent="0.3"/>
    <row r="235" s="1" customFormat="1" ht="12.75" customHeight="1" x14ac:dyDescent="0.3"/>
    <row r="236" s="1" customFormat="1" ht="12.75" customHeight="1" x14ac:dyDescent="0.3"/>
    <row r="237" s="1" customFormat="1" ht="12.75" customHeight="1" x14ac:dyDescent="0.3"/>
    <row r="238" s="1" customFormat="1" ht="12.75" customHeight="1" x14ac:dyDescent="0.3"/>
    <row r="239" s="1" customFormat="1" ht="12.75" customHeight="1" x14ac:dyDescent="0.3"/>
    <row r="240" s="1" customFormat="1" ht="12.75" customHeight="1" x14ac:dyDescent="0.3"/>
    <row r="241" s="1" customFormat="1" ht="12.75" customHeight="1" x14ac:dyDescent="0.3"/>
    <row r="242" s="1" customFormat="1" ht="12.75" customHeight="1" x14ac:dyDescent="0.3"/>
    <row r="243" s="1" customFormat="1" ht="12.75" customHeight="1" x14ac:dyDescent="0.3"/>
    <row r="244" s="1" customFormat="1" ht="12.75" customHeight="1" x14ac:dyDescent="0.3"/>
    <row r="245" s="1" customFormat="1" ht="12.75" customHeight="1" x14ac:dyDescent="0.3"/>
    <row r="246" s="1" customFormat="1" ht="12.75" customHeight="1" x14ac:dyDescent="0.3"/>
    <row r="247" s="1" customFormat="1" ht="12.75" customHeight="1" x14ac:dyDescent="0.3"/>
    <row r="248" s="1" customFormat="1" ht="12.75" customHeight="1" x14ac:dyDescent="0.3"/>
    <row r="249" s="1" customFormat="1" ht="12.75" customHeight="1" x14ac:dyDescent="0.3"/>
    <row r="250" s="1" customFormat="1" ht="12.75" customHeight="1" x14ac:dyDescent="0.3"/>
    <row r="251" s="1" customFormat="1" ht="12.75" customHeight="1" x14ac:dyDescent="0.3"/>
    <row r="252" s="1" customFormat="1" ht="12.75" customHeight="1" x14ac:dyDescent="0.3"/>
    <row r="253" s="1" customFormat="1" ht="12.75" customHeight="1" x14ac:dyDescent="0.3"/>
    <row r="254" s="1" customFormat="1" ht="12.75" customHeight="1" x14ac:dyDescent="0.3"/>
    <row r="255" s="1" customFormat="1" ht="12.75" customHeight="1" x14ac:dyDescent="0.3"/>
    <row r="256" s="1" customFormat="1" ht="12.75" customHeight="1" x14ac:dyDescent="0.3"/>
    <row r="257" s="1" customFormat="1" ht="12.75" customHeight="1" x14ac:dyDescent="0.3"/>
    <row r="258" s="1" customFormat="1" ht="12.75" customHeight="1" x14ac:dyDescent="0.3"/>
    <row r="259" s="1" customFormat="1" ht="12.75" customHeight="1" x14ac:dyDescent="0.3"/>
    <row r="260" s="1" customFormat="1" ht="12.75" customHeight="1" x14ac:dyDescent="0.3"/>
    <row r="261" s="1" customFormat="1" ht="12.75" customHeight="1" x14ac:dyDescent="0.3"/>
    <row r="262" s="1" customFormat="1" ht="12.75" customHeight="1" x14ac:dyDescent="0.3"/>
    <row r="263" s="1" customFormat="1" ht="12.75" customHeight="1" x14ac:dyDescent="0.3"/>
    <row r="264" s="1" customFormat="1" ht="12.75" customHeight="1" x14ac:dyDescent="0.3"/>
    <row r="265" s="1" customFormat="1" ht="12.75" customHeight="1" x14ac:dyDescent="0.3"/>
    <row r="266" s="1" customFormat="1" ht="12.75" customHeight="1" x14ac:dyDescent="0.3"/>
    <row r="267" s="1" customFormat="1" ht="12.75" customHeight="1" x14ac:dyDescent="0.3"/>
    <row r="268" s="1" customFormat="1" ht="12.75" customHeight="1" x14ac:dyDescent="0.3"/>
    <row r="269" s="1" customFormat="1" ht="12.75" customHeight="1" x14ac:dyDescent="0.3"/>
    <row r="270" s="1" customFormat="1" ht="12.75" customHeight="1" x14ac:dyDescent="0.3"/>
    <row r="271" s="1" customFormat="1" ht="12.75" customHeight="1" x14ac:dyDescent="0.3"/>
    <row r="272" s="1" customFormat="1" ht="12.75" customHeight="1" x14ac:dyDescent="0.3"/>
    <row r="273" s="1" customFormat="1" ht="12.75" customHeight="1" x14ac:dyDescent="0.3"/>
    <row r="274" s="1" customFormat="1" ht="12.75" customHeight="1" x14ac:dyDescent="0.3"/>
    <row r="275" s="1" customFormat="1" ht="12.75" customHeight="1" x14ac:dyDescent="0.3"/>
    <row r="276" s="1" customFormat="1" ht="12.75" customHeight="1" x14ac:dyDescent="0.3"/>
    <row r="277" s="1" customFormat="1" ht="12.75" customHeight="1" x14ac:dyDescent="0.3"/>
    <row r="278" s="1" customFormat="1" ht="12.75" customHeight="1" x14ac:dyDescent="0.3"/>
    <row r="279" s="1" customFormat="1" ht="12.75" customHeight="1" x14ac:dyDescent="0.3"/>
    <row r="280" s="1" customFormat="1" ht="12.75" customHeight="1" x14ac:dyDescent="0.3"/>
    <row r="281" s="1" customFormat="1" ht="12.75" customHeight="1" x14ac:dyDescent="0.3"/>
    <row r="282" s="1" customFormat="1" ht="12.75" customHeight="1" x14ac:dyDescent="0.3"/>
    <row r="283" s="1" customFormat="1" ht="12.75" customHeight="1" x14ac:dyDescent="0.3"/>
    <row r="284" s="1" customFormat="1" ht="12.75" customHeight="1" x14ac:dyDescent="0.3"/>
    <row r="285" s="1" customFormat="1" ht="12.75" customHeight="1" x14ac:dyDescent="0.3"/>
    <row r="286" s="1" customFormat="1" ht="12.75" customHeight="1" x14ac:dyDescent="0.3"/>
    <row r="287" s="1" customFormat="1" ht="12.75" customHeight="1" x14ac:dyDescent="0.3"/>
    <row r="288" s="1" customFormat="1" ht="12.75" customHeight="1" x14ac:dyDescent="0.3"/>
    <row r="289" s="1" customFormat="1" ht="12.75" customHeight="1" x14ac:dyDescent="0.3"/>
    <row r="290" s="1" customFormat="1" ht="12.75" customHeight="1" x14ac:dyDescent="0.3"/>
    <row r="291" s="1" customFormat="1" ht="12.75" customHeight="1" x14ac:dyDescent="0.3"/>
    <row r="292" s="1" customFormat="1" ht="12.75" customHeight="1" x14ac:dyDescent="0.3"/>
    <row r="293" s="1" customFormat="1" ht="12.75" customHeight="1" x14ac:dyDescent="0.3"/>
    <row r="294" s="1" customFormat="1" ht="12.75" customHeight="1" x14ac:dyDescent="0.3"/>
    <row r="295" s="1" customFormat="1" ht="12.75" customHeight="1" x14ac:dyDescent="0.3"/>
    <row r="296" s="1" customFormat="1" ht="12.75" customHeight="1" x14ac:dyDescent="0.3"/>
    <row r="297" s="1" customFormat="1" ht="12.75" customHeight="1" x14ac:dyDescent="0.3"/>
    <row r="298" s="1" customFormat="1" ht="12.75" customHeight="1" x14ac:dyDescent="0.3"/>
    <row r="299" s="1" customFormat="1" ht="12.75" customHeight="1" x14ac:dyDescent="0.3"/>
    <row r="300" s="1" customFormat="1" ht="12.75" customHeight="1" x14ac:dyDescent="0.3"/>
    <row r="301" s="1" customFormat="1" ht="12.75" customHeight="1" x14ac:dyDescent="0.3"/>
    <row r="302" s="1" customFormat="1" ht="12.75" customHeight="1" x14ac:dyDescent="0.3"/>
    <row r="303" s="1" customFormat="1" ht="12.75" customHeight="1" x14ac:dyDescent="0.3"/>
    <row r="304" s="1" customFormat="1" ht="12.75" customHeight="1" x14ac:dyDescent="0.3"/>
    <row r="305" s="1" customFormat="1" ht="12.75" customHeight="1" x14ac:dyDescent="0.3"/>
    <row r="306" s="1" customFormat="1" ht="12.75" customHeight="1" x14ac:dyDescent="0.3"/>
    <row r="307" s="1" customFormat="1" ht="12.75" customHeight="1" x14ac:dyDescent="0.3"/>
    <row r="308" s="1" customFormat="1" ht="12.75" customHeight="1" x14ac:dyDescent="0.3"/>
    <row r="309" s="1" customFormat="1" ht="12.75" customHeight="1" x14ac:dyDescent="0.3"/>
    <row r="310" s="1" customFormat="1" ht="12.75" customHeight="1" x14ac:dyDescent="0.3"/>
    <row r="311" s="1" customFormat="1" ht="12.75" customHeight="1" x14ac:dyDescent="0.3"/>
    <row r="312" s="1" customFormat="1" ht="12.75" customHeight="1" x14ac:dyDescent="0.3"/>
    <row r="313" s="1" customFormat="1" ht="12.75" customHeight="1" x14ac:dyDescent="0.3"/>
    <row r="314" s="1" customFormat="1" ht="12.75" customHeight="1" x14ac:dyDescent="0.3"/>
    <row r="315" s="1" customFormat="1" ht="12.75" customHeight="1" x14ac:dyDescent="0.3"/>
    <row r="316" s="1" customFormat="1" ht="12.75" customHeight="1" x14ac:dyDescent="0.3"/>
    <row r="317" s="1" customFormat="1" ht="12.75" customHeight="1" x14ac:dyDescent="0.3"/>
    <row r="318" s="1" customFormat="1" ht="12.75" customHeight="1" x14ac:dyDescent="0.3"/>
    <row r="319" s="1" customFormat="1" ht="12.75" customHeight="1" x14ac:dyDescent="0.3"/>
    <row r="320" s="1" customFormat="1" ht="12.75" customHeight="1" x14ac:dyDescent="0.3"/>
    <row r="321" s="1" customFormat="1" ht="12.75" customHeight="1" x14ac:dyDescent="0.3"/>
    <row r="322" s="1" customFormat="1" ht="12.75" customHeight="1" x14ac:dyDescent="0.3"/>
    <row r="323" s="1" customFormat="1" ht="12.75" customHeight="1" x14ac:dyDescent="0.3"/>
    <row r="324" s="1" customFormat="1" ht="12.75" customHeight="1" x14ac:dyDescent="0.3"/>
    <row r="325" s="1" customFormat="1" ht="12.75" customHeight="1" x14ac:dyDescent="0.3"/>
    <row r="326" s="1" customFormat="1" ht="12.75" customHeight="1" x14ac:dyDescent="0.3"/>
    <row r="327" s="1" customFormat="1" ht="12.75" customHeight="1" x14ac:dyDescent="0.3"/>
    <row r="328" s="1" customFormat="1" ht="12.75" customHeight="1" x14ac:dyDescent="0.3"/>
    <row r="329" s="1" customFormat="1" ht="12.75" customHeight="1" x14ac:dyDescent="0.3"/>
    <row r="330" s="1" customFormat="1" ht="12.75" customHeight="1" x14ac:dyDescent="0.3"/>
    <row r="331" s="1" customFormat="1" ht="12.75" customHeight="1" x14ac:dyDescent="0.3"/>
    <row r="332" s="1" customFormat="1" ht="12.75" customHeight="1" x14ac:dyDescent="0.3"/>
    <row r="333" s="1" customFormat="1" ht="12.75" customHeight="1" x14ac:dyDescent="0.3"/>
    <row r="334" s="1" customFormat="1" ht="12.75" customHeight="1" x14ac:dyDescent="0.3"/>
    <row r="335" s="1" customFormat="1" ht="12.75" customHeight="1" x14ac:dyDescent="0.3"/>
    <row r="336" s="1" customFormat="1" ht="12.75" customHeight="1" x14ac:dyDescent="0.3"/>
    <row r="337" s="1" customFormat="1" ht="12.75" customHeight="1" x14ac:dyDescent="0.3"/>
    <row r="338" s="1" customFormat="1" ht="12.75" customHeight="1" x14ac:dyDescent="0.3"/>
    <row r="339" s="1" customFormat="1" ht="12.75" customHeight="1" x14ac:dyDescent="0.3"/>
    <row r="340" s="1" customFormat="1" ht="12.75" customHeight="1" x14ac:dyDescent="0.3"/>
    <row r="341" s="1" customFormat="1" ht="12.75" customHeight="1" x14ac:dyDescent="0.3"/>
    <row r="342" s="1" customFormat="1" ht="12.75" customHeight="1" x14ac:dyDescent="0.3"/>
    <row r="343" s="1" customFormat="1" ht="12.75" customHeight="1" x14ac:dyDescent="0.3"/>
    <row r="344" s="1" customFormat="1" ht="12.75" customHeight="1" x14ac:dyDescent="0.3"/>
    <row r="345" s="1" customFormat="1" ht="12.75" customHeight="1" x14ac:dyDescent="0.3"/>
    <row r="346" s="1" customFormat="1" ht="12.75" customHeight="1" x14ac:dyDescent="0.3"/>
    <row r="347" s="1" customFormat="1" ht="12.75" customHeight="1" x14ac:dyDescent="0.3"/>
    <row r="348" s="1" customFormat="1" ht="12.75" customHeight="1" x14ac:dyDescent="0.3"/>
    <row r="349" s="1" customFormat="1" ht="12.75" customHeight="1" x14ac:dyDescent="0.3"/>
    <row r="350" s="1" customFormat="1" ht="12.75" customHeight="1" x14ac:dyDescent="0.3"/>
    <row r="351" s="1" customFormat="1" ht="12.75" customHeight="1" x14ac:dyDescent="0.3"/>
    <row r="352" s="1" customFormat="1" ht="12.75" customHeight="1" x14ac:dyDescent="0.3"/>
    <row r="353" s="1" customFormat="1" ht="12.75" customHeight="1" x14ac:dyDescent="0.3"/>
    <row r="354" s="1" customFormat="1" ht="12.75" customHeight="1" x14ac:dyDescent="0.3"/>
    <row r="355" s="1" customFormat="1" ht="12.75" customHeight="1" x14ac:dyDescent="0.3"/>
    <row r="356" s="1" customFormat="1" ht="12.75" customHeight="1" x14ac:dyDescent="0.3"/>
    <row r="357" s="1" customFormat="1" ht="12.75" customHeight="1" x14ac:dyDescent="0.3"/>
    <row r="358" s="1" customFormat="1" ht="12.75" customHeight="1" x14ac:dyDescent="0.3"/>
    <row r="359" s="1" customFormat="1" ht="12.75" customHeight="1" x14ac:dyDescent="0.3"/>
    <row r="360" s="1" customFormat="1" ht="12.75" customHeight="1" x14ac:dyDescent="0.3"/>
    <row r="361" s="1" customFormat="1" ht="12.75" customHeight="1" x14ac:dyDescent="0.3"/>
    <row r="362" s="1" customFormat="1" ht="12.75" customHeight="1" x14ac:dyDescent="0.3"/>
    <row r="363" s="1" customFormat="1" ht="12.75" customHeight="1" x14ac:dyDescent="0.3"/>
    <row r="364" s="1" customFormat="1" ht="12.75" customHeight="1" x14ac:dyDescent="0.3"/>
    <row r="365" s="1" customFormat="1" ht="12.75" customHeight="1" x14ac:dyDescent="0.3"/>
    <row r="366" s="1" customFormat="1" ht="12.75" customHeight="1" x14ac:dyDescent="0.3"/>
    <row r="367" s="1" customFormat="1" ht="12.75" customHeight="1" x14ac:dyDescent="0.3"/>
    <row r="368" s="1" customFormat="1" ht="12.75" customHeight="1" x14ac:dyDescent="0.3"/>
    <row r="369" s="1" customFormat="1" ht="12.75" customHeight="1" x14ac:dyDescent="0.3"/>
    <row r="370" s="1" customFormat="1" ht="12.75" customHeight="1" x14ac:dyDescent="0.3"/>
    <row r="371" s="1" customFormat="1" ht="12.75" customHeight="1" x14ac:dyDescent="0.3"/>
    <row r="372" s="1" customFormat="1" ht="12.75" customHeight="1" x14ac:dyDescent="0.3"/>
    <row r="373" s="1" customFormat="1" ht="12.75" customHeight="1" x14ac:dyDescent="0.3"/>
    <row r="374" s="1" customFormat="1" ht="12.75" customHeight="1" x14ac:dyDescent="0.3"/>
    <row r="375" s="1" customFormat="1" ht="12.75" customHeight="1" x14ac:dyDescent="0.3"/>
    <row r="376" s="1" customFormat="1" ht="12.75" customHeight="1" x14ac:dyDescent="0.3"/>
    <row r="377" s="1" customFormat="1" ht="12.75" customHeight="1" x14ac:dyDescent="0.3"/>
    <row r="378" s="1" customFormat="1" ht="12.75" customHeight="1" x14ac:dyDescent="0.3"/>
    <row r="379" s="1" customFormat="1" ht="12.75" customHeight="1" x14ac:dyDescent="0.3"/>
    <row r="380" s="1" customFormat="1" ht="12.75" customHeight="1" x14ac:dyDescent="0.3"/>
    <row r="381" s="1" customFormat="1" ht="12.75" customHeight="1" x14ac:dyDescent="0.3"/>
    <row r="382" s="1" customFormat="1" ht="12.75" customHeight="1" x14ac:dyDescent="0.3"/>
    <row r="383" s="1" customFormat="1" ht="12.75" customHeight="1" x14ac:dyDescent="0.3"/>
    <row r="384" s="1" customFormat="1" ht="12.75" customHeight="1" x14ac:dyDescent="0.3"/>
    <row r="385" s="1" customFormat="1" ht="12.75" customHeight="1" x14ac:dyDescent="0.3"/>
    <row r="386" s="1" customFormat="1" ht="12.75" customHeight="1" x14ac:dyDescent="0.3"/>
    <row r="387" s="1" customFormat="1" ht="12.75" customHeight="1" x14ac:dyDescent="0.3"/>
    <row r="388" s="1" customFormat="1" ht="12.75" customHeight="1" x14ac:dyDescent="0.3"/>
    <row r="389" s="1" customFormat="1" ht="12.75" customHeight="1" x14ac:dyDescent="0.3"/>
    <row r="390" s="1" customFormat="1" ht="12.75" customHeight="1" x14ac:dyDescent="0.3"/>
    <row r="391" s="1" customFormat="1" ht="12.75" customHeight="1" x14ac:dyDescent="0.3"/>
    <row r="392" s="1" customFormat="1" ht="12.75" customHeight="1" x14ac:dyDescent="0.3"/>
    <row r="393" s="1" customFormat="1" ht="12.75" customHeight="1" x14ac:dyDescent="0.3"/>
    <row r="394" s="1" customFormat="1" ht="12.75" customHeight="1" x14ac:dyDescent="0.3"/>
    <row r="395" s="1" customFormat="1" ht="12.75" customHeight="1" x14ac:dyDescent="0.3"/>
    <row r="396" s="1" customFormat="1" ht="12.75" customHeight="1" x14ac:dyDescent="0.3"/>
    <row r="397" s="1" customFormat="1" ht="12.75" customHeight="1" x14ac:dyDescent="0.3"/>
    <row r="398" s="1" customFormat="1" ht="12.75" customHeight="1" x14ac:dyDescent="0.3"/>
    <row r="399" s="1" customFormat="1" ht="12.75" customHeight="1" x14ac:dyDescent="0.3"/>
    <row r="400" s="1" customFormat="1" ht="12.75" customHeight="1" x14ac:dyDescent="0.3"/>
    <row r="401" s="1" customFormat="1" ht="12.75" customHeight="1" x14ac:dyDescent="0.3"/>
    <row r="402" s="1" customFormat="1" ht="12.75" customHeight="1" x14ac:dyDescent="0.3"/>
    <row r="403" s="1" customFormat="1" ht="12.75" customHeight="1" x14ac:dyDescent="0.3"/>
    <row r="404" s="1" customFormat="1" ht="12.75" customHeight="1" x14ac:dyDescent="0.3"/>
    <row r="405" s="1" customFormat="1" ht="12.75" customHeight="1" x14ac:dyDescent="0.3"/>
    <row r="406" s="1" customFormat="1" ht="12.75" customHeight="1" x14ac:dyDescent="0.3"/>
    <row r="407" s="1" customFormat="1" ht="12.75" customHeight="1" x14ac:dyDescent="0.3"/>
    <row r="408" s="1" customFormat="1" ht="12.75" customHeight="1" x14ac:dyDescent="0.3"/>
    <row r="409" s="1" customFormat="1" ht="12.75" customHeight="1" x14ac:dyDescent="0.3"/>
    <row r="410" s="1" customFormat="1" ht="12.75" customHeight="1" x14ac:dyDescent="0.3"/>
    <row r="411" s="1" customFormat="1" ht="12.75" customHeight="1" x14ac:dyDescent="0.3"/>
    <row r="412" s="1" customFormat="1" ht="12.75" customHeight="1" x14ac:dyDescent="0.3"/>
    <row r="413" s="1" customFormat="1" ht="12.75" customHeight="1" x14ac:dyDescent="0.3"/>
    <row r="414" s="1" customFormat="1" ht="12.75" customHeight="1" x14ac:dyDescent="0.3"/>
    <row r="415" s="1" customFormat="1" ht="12.75" customHeight="1" x14ac:dyDescent="0.3"/>
    <row r="416" s="1" customFormat="1" ht="12.75" customHeight="1" x14ac:dyDescent="0.3"/>
    <row r="417" s="1" customFormat="1" ht="12.75" customHeight="1" x14ac:dyDescent="0.3"/>
    <row r="418" s="1" customFormat="1" ht="12.75" customHeight="1" x14ac:dyDescent="0.3"/>
    <row r="419" s="1" customFormat="1" ht="12.75" customHeight="1" x14ac:dyDescent="0.3"/>
    <row r="420" s="1" customFormat="1" ht="12.75" customHeight="1" x14ac:dyDescent="0.3"/>
    <row r="421" s="1" customFormat="1" ht="12.75" customHeight="1" x14ac:dyDescent="0.3"/>
    <row r="422" s="1" customFormat="1" ht="12.75" customHeight="1" x14ac:dyDescent="0.3"/>
    <row r="423" s="1" customFormat="1" ht="12.75" customHeight="1" x14ac:dyDescent="0.3"/>
    <row r="424" s="1" customFormat="1" ht="12.75" customHeight="1" x14ac:dyDescent="0.3"/>
    <row r="425" s="1" customFormat="1" ht="12.75" customHeight="1" x14ac:dyDescent="0.3"/>
    <row r="426" s="1" customFormat="1" ht="12.75" customHeight="1" x14ac:dyDescent="0.3"/>
    <row r="427" s="1" customFormat="1" ht="12.75" customHeight="1" x14ac:dyDescent="0.3"/>
    <row r="428" s="1" customFormat="1" ht="12.75" customHeight="1" x14ac:dyDescent="0.3"/>
    <row r="429" s="1" customFormat="1" ht="12.75" customHeight="1" x14ac:dyDescent="0.3"/>
    <row r="430" s="1" customFormat="1" ht="12.75" customHeight="1" x14ac:dyDescent="0.3"/>
    <row r="431" s="1" customFormat="1" ht="12.75" customHeight="1" x14ac:dyDescent="0.3"/>
    <row r="432" s="1" customFormat="1" ht="12.75" customHeight="1" x14ac:dyDescent="0.3"/>
    <row r="433" s="1" customFormat="1" ht="12.75" customHeight="1" x14ac:dyDescent="0.3"/>
    <row r="434" s="1" customFormat="1" ht="12.75" customHeight="1" x14ac:dyDescent="0.3"/>
    <row r="435" s="1" customFormat="1" ht="12.75" customHeight="1" x14ac:dyDescent="0.3"/>
    <row r="436" s="1" customFormat="1" ht="12.75" customHeight="1" x14ac:dyDescent="0.3"/>
    <row r="437" s="1" customFormat="1" ht="12.75" customHeight="1" x14ac:dyDescent="0.3"/>
    <row r="438" s="1" customFormat="1" ht="12.75" customHeight="1" x14ac:dyDescent="0.3"/>
    <row r="439" s="1" customFormat="1" ht="12.75" customHeight="1" x14ac:dyDescent="0.3"/>
    <row r="440" s="1" customFormat="1" ht="12.75" customHeight="1" x14ac:dyDescent="0.3"/>
    <row r="441" s="1" customFormat="1" ht="12.75" customHeight="1" x14ac:dyDescent="0.3"/>
    <row r="442" s="1" customFormat="1" ht="12.75" customHeight="1" x14ac:dyDescent="0.3"/>
    <row r="443" s="1" customFormat="1" ht="12.75" customHeight="1" x14ac:dyDescent="0.3"/>
    <row r="444" s="1" customFormat="1" ht="12.75" customHeight="1" x14ac:dyDescent="0.3"/>
    <row r="445" s="1" customFormat="1" ht="12.75" customHeight="1" x14ac:dyDescent="0.3"/>
    <row r="446" s="1" customFormat="1" ht="12.75" customHeight="1" x14ac:dyDescent="0.3"/>
    <row r="447" s="1" customFormat="1" ht="12.75" customHeight="1" x14ac:dyDescent="0.3"/>
    <row r="448" s="1" customFormat="1" ht="12.75" customHeight="1" x14ac:dyDescent="0.3"/>
    <row r="449" s="1" customFormat="1" ht="12.75" customHeight="1" x14ac:dyDescent="0.3"/>
    <row r="450" s="1" customFormat="1" ht="12.75" customHeight="1" x14ac:dyDescent="0.3"/>
    <row r="451" s="1" customFormat="1" ht="12.75" customHeight="1" x14ac:dyDescent="0.3"/>
    <row r="452" s="1" customFormat="1" ht="12.75" customHeight="1" x14ac:dyDescent="0.3"/>
    <row r="453" s="1" customFormat="1" ht="12.75" customHeight="1" x14ac:dyDescent="0.3"/>
    <row r="454" s="1" customFormat="1" ht="12.75" customHeight="1" x14ac:dyDescent="0.3"/>
    <row r="455" s="1" customFormat="1" ht="12.75" customHeight="1" x14ac:dyDescent="0.3"/>
    <row r="456" s="1" customFormat="1" ht="12.75" customHeight="1" x14ac:dyDescent="0.3"/>
    <row r="457" s="1" customFormat="1" ht="12.75" customHeight="1" x14ac:dyDescent="0.3"/>
    <row r="458" s="1" customFormat="1" ht="12.75" customHeight="1" x14ac:dyDescent="0.3"/>
    <row r="459" s="1" customFormat="1" ht="12.75" customHeight="1" x14ac:dyDescent="0.3"/>
    <row r="460" s="1" customFormat="1" ht="12.75" customHeight="1" x14ac:dyDescent="0.3"/>
    <row r="461" s="1" customFormat="1" ht="12.75" customHeight="1" x14ac:dyDescent="0.3"/>
    <row r="462" s="1" customFormat="1" ht="12.75" customHeight="1" x14ac:dyDescent="0.3"/>
    <row r="463" s="1" customFormat="1" ht="12.75" customHeight="1" x14ac:dyDescent="0.3"/>
    <row r="464" s="1" customFormat="1" ht="12.75" customHeight="1" x14ac:dyDescent="0.3"/>
    <row r="465" s="1" customFormat="1" ht="12.75" customHeight="1" x14ac:dyDescent="0.3"/>
    <row r="466" s="1" customFormat="1" ht="12.75" customHeight="1" x14ac:dyDescent="0.3"/>
    <row r="467" s="1" customFormat="1" ht="12.75" customHeight="1" x14ac:dyDescent="0.3"/>
    <row r="468" s="1" customFormat="1" ht="12.75" customHeight="1" x14ac:dyDescent="0.3"/>
    <row r="469" s="1" customFormat="1" ht="12.75" customHeight="1" x14ac:dyDescent="0.3"/>
    <row r="470" s="1" customFormat="1" ht="12.75" customHeight="1" x14ac:dyDescent="0.3"/>
    <row r="471" s="1" customFormat="1" ht="12.75" customHeight="1" x14ac:dyDescent="0.3"/>
    <row r="472" s="1" customFormat="1" ht="12.75" customHeight="1" x14ac:dyDescent="0.3"/>
    <row r="473" s="1" customFormat="1" ht="12.75" customHeight="1" x14ac:dyDescent="0.3"/>
    <row r="474" s="1" customFormat="1" ht="12.75" customHeight="1" x14ac:dyDescent="0.3"/>
    <row r="475" s="1" customFormat="1" ht="12.75" customHeight="1" x14ac:dyDescent="0.3"/>
    <row r="476" s="1" customFormat="1" ht="12.75" customHeight="1" x14ac:dyDescent="0.3"/>
    <row r="477" s="1" customFormat="1" ht="12.75" customHeight="1" x14ac:dyDescent="0.3"/>
    <row r="478" s="1" customFormat="1" ht="12.75" customHeight="1" x14ac:dyDescent="0.3"/>
    <row r="479" s="1" customFormat="1" ht="12.75" customHeight="1" x14ac:dyDescent="0.3"/>
    <row r="480" s="1" customFormat="1" ht="12.75" customHeight="1" x14ac:dyDescent="0.3"/>
    <row r="481" s="1" customFormat="1" ht="12.75" customHeight="1" x14ac:dyDescent="0.3"/>
    <row r="482" s="1" customFormat="1" ht="12.75" customHeight="1" x14ac:dyDescent="0.3"/>
    <row r="483" s="1" customFormat="1" ht="12.75" customHeight="1" x14ac:dyDescent="0.3"/>
    <row r="484" s="1" customFormat="1" ht="12.75" customHeight="1" x14ac:dyDescent="0.3"/>
    <row r="485" s="1" customFormat="1" ht="12.75" customHeight="1" x14ac:dyDescent="0.3"/>
    <row r="486" s="1" customFormat="1" ht="12.75" customHeight="1" x14ac:dyDescent="0.3"/>
    <row r="487" s="1" customFormat="1" ht="12.75" customHeight="1" x14ac:dyDescent="0.3"/>
    <row r="488" s="1" customFormat="1" ht="12.75" customHeight="1" x14ac:dyDescent="0.3"/>
    <row r="489" s="1" customFormat="1" ht="12.75" customHeight="1" x14ac:dyDescent="0.3"/>
    <row r="490" s="1" customFormat="1" ht="12.75" customHeight="1" x14ac:dyDescent="0.3"/>
    <row r="491" s="1" customFormat="1" ht="12.75" customHeight="1" x14ac:dyDescent="0.3"/>
    <row r="492" s="1" customFormat="1" ht="12.75" customHeight="1" x14ac:dyDescent="0.3"/>
    <row r="493" s="1" customFormat="1" ht="12.75" customHeight="1" x14ac:dyDescent="0.3"/>
    <row r="494" s="1" customFormat="1" ht="12.75" customHeight="1" x14ac:dyDescent="0.3"/>
    <row r="495" s="1" customFormat="1" ht="12.75" customHeight="1" x14ac:dyDescent="0.3"/>
    <row r="496" s="1" customFormat="1" ht="12.75" customHeight="1" x14ac:dyDescent="0.3"/>
    <row r="497" s="1" customFormat="1" ht="12.75" customHeight="1" x14ac:dyDescent="0.3"/>
    <row r="498" s="1" customFormat="1" ht="12.75" customHeight="1" x14ac:dyDescent="0.3"/>
    <row r="499" s="1" customFormat="1" ht="12.75" customHeight="1" x14ac:dyDescent="0.3"/>
    <row r="500" s="1" customFormat="1" ht="12.75" customHeight="1" x14ac:dyDescent="0.3"/>
    <row r="501" s="1" customFormat="1" ht="12.75" customHeight="1" x14ac:dyDescent="0.3"/>
    <row r="502" s="1" customFormat="1" ht="12.75" customHeight="1" x14ac:dyDescent="0.3"/>
    <row r="503" s="1" customFormat="1" ht="12.75" customHeight="1" x14ac:dyDescent="0.3"/>
    <row r="504" s="1" customFormat="1" ht="12.75" customHeight="1" x14ac:dyDescent="0.3"/>
    <row r="505" s="1" customFormat="1" ht="12.75" customHeight="1" x14ac:dyDescent="0.3"/>
    <row r="506" s="1" customFormat="1" ht="12.75" customHeight="1" x14ac:dyDescent="0.3"/>
    <row r="507" s="1" customFormat="1" ht="12.75" customHeight="1" x14ac:dyDescent="0.3"/>
    <row r="508" s="1" customFormat="1" ht="12.75" customHeight="1" x14ac:dyDescent="0.3"/>
    <row r="509" s="1" customFormat="1" ht="12.75" customHeight="1" x14ac:dyDescent="0.3"/>
    <row r="510" s="1" customFormat="1" ht="12.75" customHeight="1" x14ac:dyDescent="0.3"/>
    <row r="511" s="1" customFormat="1" ht="12.75" customHeight="1" x14ac:dyDescent="0.3"/>
    <row r="512" s="1" customFormat="1" ht="12.75" customHeight="1" x14ac:dyDescent="0.3"/>
    <row r="513" s="1" customFormat="1" ht="12.75" customHeight="1" x14ac:dyDescent="0.3"/>
    <row r="514" s="1" customFormat="1" ht="12.75" customHeight="1" x14ac:dyDescent="0.3"/>
    <row r="515" s="1" customFormat="1" ht="12.75" customHeight="1" x14ac:dyDescent="0.3"/>
    <row r="516" s="1" customFormat="1" ht="12.75" customHeight="1" x14ac:dyDescent="0.3"/>
    <row r="517" s="1" customFormat="1" ht="12.75" customHeight="1" x14ac:dyDescent="0.3"/>
    <row r="518" s="1" customFormat="1" ht="12.75" customHeight="1" x14ac:dyDescent="0.3"/>
    <row r="519" s="1" customFormat="1" ht="12.75" customHeight="1" x14ac:dyDescent="0.3"/>
    <row r="520" s="1" customFormat="1" ht="12.75" customHeight="1" x14ac:dyDescent="0.3"/>
    <row r="521" s="1" customFormat="1" ht="12.75" customHeight="1" x14ac:dyDescent="0.3"/>
    <row r="522" s="1" customFormat="1" ht="12.75" customHeight="1" x14ac:dyDescent="0.3"/>
    <row r="523" s="1" customFormat="1" ht="12.75" customHeight="1" x14ac:dyDescent="0.3"/>
    <row r="524" s="1" customFormat="1" ht="12.75" customHeight="1" x14ac:dyDescent="0.3"/>
    <row r="525" s="1" customFormat="1" ht="12.75" customHeight="1" x14ac:dyDescent="0.3"/>
    <row r="526" s="1" customFormat="1" ht="12.75" customHeight="1" x14ac:dyDescent="0.3"/>
    <row r="527" s="1" customFormat="1" ht="12.75" customHeight="1" x14ac:dyDescent="0.3"/>
    <row r="528" s="1" customFormat="1" ht="12.75" customHeight="1" x14ac:dyDescent="0.3"/>
    <row r="529" s="1" customFormat="1" ht="12.75" customHeight="1" x14ac:dyDescent="0.3"/>
    <row r="530" s="1" customFormat="1" ht="12.75" customHeight="1" x14ac:dyDescent="0.3"/>
    <row r="531" s="1" customFormat="1" ht="12.75" customHeight="1" x14ac:dyDescent="0.3"/>
    <row r="532" s="1" customFormat="1" ht="12.75" customHeight="1" x14ac:dyDescent="0.3"/>
    <row r="533" s="1" customFormat="1" ht="12.75" customHeight="1" x14ac:dyDescent="0.3"/>
    <row r="534" s="1" customFormat="1" ht="12.75" customHeight="1" x14ac:dyDescent="0.3"/>
    <row r="535" s="1" customFormat="1" ht="12.75" customHeight="1" x14ac:dyDescent="0.3"/>
    <row r="536" s="1" customFormat="1" ht="12.75" customHeight="1" x14ac:dyDescent="0.3"/>
    <row r="537" s="1" customFormat="1" ht="12.75" customHeight="1" x14ac:dyDescent="0.3"/>
    <row r="538" s="1" customFormat="1" ht="12.75" customHeight="1" x14ac:dyDescent="0.3"/>
    <row r="539" s="1" customFormat="1" ht="12.75" customHeight="1" x14ac:dyDescent="0.3"/>
    <row r="540" s="1" customFormat="1" ht="12.75" customHeight="1" x14ac:dyDescent="0.3"/>
    <row r="541" s="1" customFormat="1" ht="12.75" customHeight="1" x14ac:dyDescent="0.3"/>
    <row r="542" s="1" customFormat="1" ht="12.75" customHeight="1" x14ac:dyDescent="0.3"/>
    <row r="543" s="1" customFormat="1" ht="12.75" customHeight="1" x14ac:dyDescent="0.3"/>
    <row r="544" s="1" customFormat="1" ht="12.75" customHeight="1" x14ac:dyDescent="0.3"/>
    <row r="545" s="1" customFormat="1" ht="12.75" customHeight="1" x14ac:dyDescent="0.3"/>
    <row r="546" s="1" customFormat="1" ht="12.75" customHeight="1" x14ac:dyDescent="0.3"/>
    <row r="547" s="1" customFormat="1" ht="12.75" customHeight="1" x14ac:dyDescent="0.3"/>
    <row r="548" s="1" customFormat="1" ht="12.75" customHeight="1" x14ac:dyDescent="0.3"/>
    <row r="549" s="1" customFormat="1" ht="12.75" customHeight="1" x14ac:dyDescent="0.3"/>
    <row r="550" s="1" customFormat="1" ht="12.75" customHeight="1" x14ac:dyDescent="0.3"/>
    <row r="551" s="1" customFormat="1" ht="12.75" customHeight="1" x14ac:dyDescent="0.3"/>
    <row r="552" s="1" customFormat="1" ht="12.75" customHeight="1" x14ac:dyDescent="0.3"/>
    <row r="553" s="1" customFormat="1" ht="12.75" customHeight="1" x14ac:dyDescent="0.3"/>
    <row r="554" s="1" customFormat="1" ht="12.75" customHeight="1" x14ac:dyDescent="0.3"/>
    <row r="555" s="1" customFormat="1" ht="12.75" customHeight="1" x14ac:dyDescent="0.3"/>
    <row r="556" s="1" customFormat="1" ht="12.75" customHeight="1" x14ac:dyDescent="0.3"/>
    <row r="557" s="1" customFormat="1" ht="12.75" customHeight="1" x14ac:dyDescent="0.3"/>
    <row r="558" s="1" customFormat="1" ht="12.75" customHeight="1" x14ac:dyDescent="0.3"/>
    <row r="559" s="1" customFormat="1" ht="12.75" customHeight="1" x14ac:dyDescent="0.3"/>
    <row r="560" s="1" customFormat="1" ht="12.75" customHeight="1" x14ac:dyDescent="0.3"/>
    <row r="561" s="1" customFormat="1" ht="12.75" customHeight="1" x14ac:dyDescent="0.3"/>
    <row r="562" s="1" customFormat="1" ht="12.75" customHeight="1" x14ac:dyDescent="0.3"/>
    <row r="563" s="1" customFormat="1" ht="12.75" customHeight="1" x14ac:dyDescent="0.3"/>
    <row r="564" s="1" customFormat="1" ht="12.75" customHeight="1" x14ac:dyDescent="0.3"/>
    <row r="565" s="1" customFormat="1" ht="12.75" customHeight="1" x14ac:dyDescent="0.3"/>
    <row r="566" s="1" customFormat="1" ht="12.75" customHeight="1" x14ac:dyDescent="0.3"/>
    <row r="567" s="1" customFormat="1" ht="12.75" customHeight="1" x14ac:dyDescent="0.3"/>
    <row r="568" s="1" customFormat="1" ht="12.75" customHeight="1" x14ac:dyDescent="0.3"/>
    <row r="569" s="1" customFormat="1" ht="12.75" customHeight="1" x14ac:dyDescent="0.3"/>
    <row r="570" s="1" customFormat="1" ht="12.75" customHeight="1" x14ac:dyDescent="0.3"/>
    <row r="571" s="1" customFormat="1" ht="12.75" customHeight="1" x14ac:dyDescent="0.3"/>
    <row r="572" s="1" customFormat="1" ht="12.75" customHeight="1" x14ac:dyDescent="0.3"/>
    <row r="573" s="1" customFormat="1" ht="12.75" customHeight="1" x14ac:dyDescent="0.3"/>
    <row r="574" s="1" customFormat="1" ht="12.75" customHeight="1" x14ac:dyDescent="0.3"/>
    <row r="575" s="1" customFormat="1" ht="12.75" customHeight="1" x14ac:dyDescent="0.3"/>
    <row r="576" s="1" customFormat="1" ht="12.75" customHeight="1" x14ac:dyDescent="0.3"/>
    <row r="577" s="1" customFormat="1" ht="12.75" customHeight="1" x14ac:dyDescent="0.3"/>
    <row r="578" s="1" customFormat="1" ht="12.75" customHeight="1" x14ac:dyDescent="0.3"/>
    <row r="579" s="1" customFormat="1" ht="12.75" customHeight="1" x14ac:dyDescent="0.3"/>
    <row r="580" s="1" customFormat="1" ht="12.75" customHeight="1" x14ac:dyDescent="0.3"/>
    <row r="581" s="1" customFormat="1" ht="12.75" customHeight="1" x14ac:dyDescent="0.3"/>
    <row r="582" s="1" customFormat="1" ht="12.75" customHeight="1" x14ac:dyDescent="0.3"/>
    <row r="583" s="1" customFormat="1" ht="12.75" customHeight="1" x14ac:dyDescent="0.3"/>
    <row r="584" s="1" customFormat="1" ht="12.75" customHeight="1" x14ac:dyDescent="0.3"/>
    <row r="585" s="1" customFormat="1" ht="12.75" customHeight="1" x14ac:dyDescent="0.3"/>
    <row r="586" s="1" customFormat="1" ht="12.75" customHeight="1" x14ac:dyDescent="0.3"/>
    <row r="587" s="1" customFormat="1" ht="12.75" customHeight="1" x14ac:dyDescent="0.3"/>
    <row r="588" s="1" customFormat="1" ht="12.75" customHeight="1" x14ac:dyDescent="0.3"/>
    <row r="589" s="1" customFormat="1" ht="12.75" customHeight="1" x14ac:dyDescent="0.3"/>
    <row r="590" s="1" customFormat="1" ht="12.75" customHeight="1" x14ac:dyDescent="0.3"/>
    <row r="591" s="1" customFormat="1" ht="12.75" customHeight="1" x14ac:dyDescent="0.3"/>
    <row r="592" s="1" customFormat="1" ht="12.75" customHeight="1" x14ac:dyDescent="0.3"/>
    <row r="593" s="1" customFormat="1" ht="12.75" customHeight="1" x14ac:dyDescent="0.3"/>
    <row r="594" s="1" customFormat="1" ht="12.75" customHeight="1" x14ac:dyDescent="0.3"/>
    <row r="595" s="1" customFormat="1" ht="12.75" customHeight="1" x14ac:dyDescent="0.3"/>
    <row r="596" s="1" customFormat="1" ht="12.75" customHeight="1" x14ac:dyDescent="0.3"/>
    <row r="597" s="1" customFormat="1" ht="12.75" customHeight="1" x14ac:dyDescent="0.3"/>
    <row r="598" s="1" customFormat="1" ht="12.75" customHeight="1" x14ac:dyDescent="0.3"/>
    <row r="599" s="1" customFormat="1" ht="12.75" customHeight="1" x14ac:dyDescent="0.3"/>
    <row r="600" s="1" customFormat="1" ht="12.75" customHeight="1" x14ac:dyDescent="0.3"/>
    <row r="601" s="1" customFormat="1" ht="12.75" customHeight="1" x14ac:dyDescent="0.3"/>
    <row r="602" s="1" customFormat="1" ht="12.75" customHeight="1" x14ac:dyDescent="0.3"/>
    <row r="603" s="1" customFormat="1" ht="12.75" customHeight="1" x14ac:dyDescent="0.3"/>
    <row r="604" s="1" customFormat="1" ht="12.75" customHeight="1" x14ac:dyDescent="0.3"/>
    <row r="605" s="1" customFormat="1" ht="12.75" customHeight="1" x14ac:dyDescent="0.3"/>
    <row r="606" s="1" customFormat="1" ht="12.75" customHeight="1" x14ac:dyDescent="0.3"/>
    <row r="607" s="1" customFormat="1" ht="12.75" customHeight="1" x14ac:dyDescent="0.3"/>
    <row r="608" s="1" customFormat="1" ht="12.75" customHeight="1" x14ac:dyDescent="0.3"/>
    <row r="609" s="1" customFormat="1" ht="12.75" customHeight="1" x14ac:dyDescent="0.3"/>
    <row r="610" s="1" customFormat="1" ht="12.75" customHeight="1" x14ac:dyDescent="0.3"/>
    <row r="611" s="1" customFormat="1" ht="12.75" customHeight="1" x14ac:dyDescent="0.3"/>
    <row r="612" s="1" customFormat="1" ht="12.75" customHeight="1" x14ac:dyDescent="0.3"/>
    <row r="613" s="1" customFormat="1" ht="12.75" customHeight="1" x14ac:dyDescent="0.3"/>
    <row r="614" s="1" customFormat="1" ht="12.75" customHeight="1" x14ac:dyDescent="0.3"/>
    <row r="615" s="1" customFormat="1" ht="12.75" customHeight="1" x14ac:dyDescent="0.3"/>
    <row r="616" s="1" customFormat="1" ht="12.75" customHeight="1" x14ac:dyDescent="0.3"/>
    <row r="617" s="1" customFormat="1" ht="12.75" customHeight="1" x14ac:dyDescent="0.3"/>
    <row r="618" s="1" customFormat="1" ht="12.75" customHeight="1" x14ac:dyDescent="0.3"/>
    <row r="619" s="1" customFormat="1" ht="12.75" customHeight="1" x14ac:dyDescent="0.3"/>
    <row r="620" s="1" customFormat="1" ht="12.75" customHeight="1" x14ac:dyDescent="0.3"/>
    <row r="621" s="1" customFormat="1" ht="12.75" customHeight="1" x14ac:dyDescent="0.3"/>
    <row r="622" s="1" customFormat="1" ht="12.75" customHeight="1" x14ac:dyDescent="0.3"/>
    <row r="623" s="1" customFormat="1" ht="12.75" customHeight="1" x14ac:dyDescent="0.3"/>
    <row r="624" s="1" customFormat="1" ht="12.75" customHeight="1" x14ac:dyDescent="0.3"/>
    <row r="625" s="1" customFormat="1" ht="12.75" customHeight="1" x14ac:dyDescent="0.3"/>
    <row r="626" s="1" customFormat="1" ht="12.75" customHeight="1" x14ac:dyDescent="0.3"/>
    <row r="627" s="1" customFormat="1" ht="12.75" customHeight="1" x14ac:dyDescent="0.3"/>
    <row r="628" s="1" customFormat="1" ht="12.75" customHeight="1" x14ac:dyDescent="0.3"/>
    <row r="629" s="1" customFormat="1" ht="12.75" customHeight="1" x14ac:dyDescent="0.3"/>
    <row r="630" s="1" customFormat="1" ht="12.75" customHeight="1" x14ac:dyDescent="0.3"/>
    <row r="631" s="1" customFormat="1" ht="12.75" customHeight="1" x14ac:dyDescent="0.3"/>
    <row r="632" s="1" customFormat="1" ht="12.75" customHeight="1" x14ac:dyDescent="0.3"/>
    <row r="633" s="1" customFormat="1" ht="12.75" customHeight="1" x14ac:dyDescent="0.3"/>
    <row r="634" s="1" customFormat="1" ht="12.75" customHeight="1" x14ac:dyDescent="0.3"/>
    <row r="635" s="1" customFormat="1" ht="12.75" customHeight="1" x14ac:dyDescent="0.3"/>
    <row r="636" s="1" customFormat="1" ht="12.75" customHeight="1" x14ac:dyDescent="0.3"/>
    <row r="637" s="1" customFormat="1" ht="12.75" customHeight="1" x14ac:dyDescent="0.3"/>
    <row r="638" s="1" customFormat="1" ht="12.75" customHeight="1" x14ac:dyDescent="0.3"/>
    <row r="639" s="1" customFormat="1" ht="12.75" customHeight="1" x14ac:dyDescent="0.3"/>
    <row r="640" s="1" customFormat="1" ht="12.75" customHeight="1" x14ac:dyDescent="0.3"/>
    <row r="641" s="1" customFormat="1" ht="12.75" customHeight="1" x14ac:dyDescent="0.3"/>
    <row r="642" s="1" customFormat="1" ht="12.75" customHeight="1" x14ac:dyDescent="0.3"/>
    <row r="643" s="1" customFormat="1" ht="12.75" customHeight="1" x14ac:dyDescent="0.3"/>
    <row r="644" s="1" customFormat="1" ht="12.75" customHeight="1" x14ac:dyDescent="0.3"/>
    <row r="645" s="1" customFormat="1" ht="12.75" customHeight="1" x14ac:dyDescent="0.3"/>
    <row r="646" s="1" customFormat="1" ht="12.75" customHeight="1" x14ac:dyDescent="0.3"/>
    <row r="647" s="1" customFormat="1" ht="12.75" customHeight="1" x14ac:dyDescent="0.3"/>
    <row r="648" s="1" customFormat="1" ht="12.75" customHeight="1" x14ac:dyDescent="0.3"/>
    <row r="649" s="1" customFormat="1" ht="12.75" customHeight="1" x14ac:dyDescent="0.3"/>
    <row r="650" s="1" customFormat="1" ht="12.75" customHeight="1" x14ac:dyDescent="0.3"/>
    <row r="651" s="1" customFormat="1" ht="12.75" customHeight="1" x14ac:dyDescent="0.3"/>
    <row r="652" s="1" customFormat="1" ht="12.75" customHeight="1" x14ac:dyDescent="0.3"/>
    <row r="653" s="1" customFormat="1" ht="12.75" customHeight="1" x14ac:dyDescent="0.3"/>
    <row r="654" s="1" customFormat="1" ht="12.75" customHeight="1" x14ac:dyDescent="0.3"/>
    <row r="655" s="1" customFormat="1" ht="12.75" customHeight="1" x14ac:dyDescent="0.3"/>
    <row r="656" s="1" customFormat="1" ht="12.75" customHeight="1" x14ac:dyDescent="0.3"/>
    <row r="657" s="1" customFormat="1" ht="12.75" customHeight="1" x14ac:dyDescent="0.3"/>
    <row r="658" s="1" customFormat="1" ht="12.75" customHeight="1" x14ac:dyDescent="0.3"/>
    <row r="659" s="1" customFormat="1" ht="12.75" customHeight="1" x14ac:dyDescent="0.3"/>
    <row r="660" s="1" customFormat="1" ht="12.75" customHeight="1" x14ac:dyDescent="0.3"/>
    <row r="661" s="1" customFormat="1" ht="12.75" customHeight="1" x14ac:dyDescent="0.3"/>
    <row r="662" s="1" customFormat="1" ht="12.75" customHeight="1" x14ac:dyDescent="0.3"/>
    <row r="663" s="1" customFormat="1" ht="12.75" customHeight="1" x14ac:dyDescent="0.3"/>
    <row r="664" s="1" customFormat="1" ht="12.75" customHeight="1" x14ac:dyDescent="0.3"/>
    <row r="665" s="1" customFormat="1" ht="12.75" customHeight="1" x14ac:dyDescent="0.3"/>
    <row r="666" s="1" customFormat="1" ht="12.75" customHeight="1" x14ac:dyDescent="0.3"/>
    <row r="667" s="1" customFormat="1" ht="12.75" customHeight="1" x14ac:dyDescent="0.3"/>
    <row r="668" s="1" customFormat="1" ht="12.75" customHeight="1" x14ac:dyDescent="0.3"/>
    <row r="669" s="1" customFormat="1" ht="12.75" customHeight="1" x14ac:dyDescent="0.3"/>
    <row r="670" s="1" customFormat="1" ht="12.75" customHeight="1" x14ac:dyDescent="0.3"/>
    <row r="671" s="1" customFormat="1" ht="12.75" customHeight="1" x14ac:dyDescent="0.3"/>
    <row r="672" s="1" customFormat="1" ht="12.75" customHeight="1" x14ac:dyDescent="0.3"/>
    <row r="673" s="1" customFormat="1" ht="12.75" customHeight="1" x14ac:dyDescent="0.3"/>
    <row r="674" s="1" customFormat="1" ht="12.75" customHeight="1" x14ac:dyDescent="0.3"/>
    <row r="675" s="1" customFormat="1" ht="12.75" customHeight="1" x14ac:dyDescent="0.3"/>
    <row r="676" s="1" customFormat="1" ht="12.75" customHeight="1" x14ac:dyDescent="0.3"/>
    <row r="677" s="1" customFormat="1" ht="12.75" customHeight="1" x14ac:dyDescent="0.3"/>
    <row r="678" s="1" customFormat="1" ht="12.75" customHeight="1" x14ac:dyDescent="0.3"/>
    <row r="679" s="1" customFormat="1" ht="12.75" customHeight="1" x14ac:dyDescent="0.3"/>
    <row r="680" s="1" customFormat="1" ht="12.75" customHeight="1" x14ac:dyDescent="0.3"/>
    <row r="681" s="1" customFormat="1" ht="12.75" customHeight="1" x14ac:dyDescent="0.3"/>
    <row r="682" s="1" customFormat="1" ht="12.75" customHeight="1" x14ac:dyDescent="0.3"/>
    <row r="683" s="1" customFormat="1" ht="12.75" customHeight="1" x14ac:dyDescent="0.3"/>
    <row r="684" s="1" customFormat="1" ht="12.75" customHeight="1" x14ac:dyDescent="0.3"/>
    <row r="685" s="1" customFormat="1" ht="12.75" customHeight="1" x14ac:dyDescent="0.3"/>
    <row r="686" s="1" customFormat="1" ht="12.75" customHeight="1" x14ac:dyDescent="0.3"/>
    <row r="687" s="1" customFormat="1" ht="12.75" customHeight="1" x14ac:dyDescent="0.3"/>
    <row r="688" s="1" customFormat="1" ht="12.75" customHeight="1" x14ac:dyDescent="0.3"/>
    <row r="689" s="1" customFormat="1" ht="12.75" customHeight="1" x14ac:dyDescent="0.3"/>
    <row r="690" s="1" customFormat="1" ht="12.75" customHeight="1" x14ac:dyDescent="0.3"/>
    <row r="691" s="1" customFormat="1" ht="12.75" customHeight="1" x14ac:dyDescent="0.3"/>
    <row r="692" s="1" customFormat="1" ht="12.75" customHeight="1" x14ac:dyDescent="0.3"/>
    <row r="693" s="1" customFormat="1" ht="12.75" customHeight="1" x14ac:dyDescent="0.3"/>
    <row r="694" s="1" customFormat="1" ht="12.75" customHeight="1" x14ac:dyDescent="0.3"/>
    <row r="695" s="1" customFormat="1" ht="12.75" customHeight="1" x14ac:dyDescent="0.3"/>
    <row r="696" s="1" customFormat="1" ht="12.75" customHeight="1" x14ac:dyDescent="0.3"/>
    <row r="697" s="1" customFormat="1" ht="12.75" customHeight="1" x14ac:dyDescent="0.3"/>
    <row r="698" s="1" customFormat="1" ht="12.75" customHeight="1" x14ac:dyDescent="0.3"/>
    <row r="699" s="1" customFormat="1" ht="12.75" customHeight="1" x14ac:dyDescent="0.3"/>
    <row r="700" s="1" customFormat="1" ht="12.75" customHeight="1" x14ac:dyDescent="0.3"/>
    <row r="701" s="1" customFormat="1" ht="12.75" customHeight="1" x14ac:dyDescent="0.3"/>
    <row r="702" s="1" customFormat="1" ht="12.75" customHeight="1" x14ac:dyDescent="0.3"/>
    <row r="703" s="1" customFormat="1" ht="12.75" customHeight="1" x14ac:dyDescent="0.3"/>
    <row r="704" s="1" customFormat="1" ht="12.75" customHeight="1" x14ac:dyDescent="0.3"/>
    <row r="705" s="1" customFormat="1" ht="12.75" customHeight="1" x14ac:dyDescent="0.3"/>
    <row r="706" s="1" customFormat="1" ht="12.75" customHeight="1" x14ac:dyDescent="0.3"/>
    <row r="707" s="1" customFormat="1" ht="12.75" customHeight="1" x14ac:dyDescent="0.3"/>
    <row r="708" s="1" customFormat="1" ht="12.75" customHeight="1" x14ac:dyDescent="0.3"/>
    <row r="709" s="1" customFormat="1" ht="12.75" customHeight="1" x14ac:dyDescent="0.3"/>
    <row r="710" s="1" customFormat="1" ht="12.75" customHeight="1" x14ac:dyDescent="0.3"/>
    <row r="711" s="1" customFormat="1" ht="12.75" customHeight="1" x14ac:dyDescent="0.3"/>
    <row r="712" s="1" customFormat="1" ht="12.75" customHeight="1" x14ac:dyDescent="0.3"/>
    <row r="713" s="1" customFormat="1" ht="12.75" customHeight="1" x14ac:dyDescent="0.3"/>
    <row r="714" s="1" customFormat="1" ht="12.75" customHeight="1" x14ac:dyDescent="0.3"/>
    <row r="715" s="1" customFormat="1" ht="12.75" customHeight="1" x14ac:dyDescent="0.3"/>
    <row r="716" s="1" customFormat="1" ht="12.75" customHeight="1" x14ac:dyDescent="0.3"/>
    <row r="717" s="1" customFormat="1" ht="12.75" customHeight="1" x14ac:dyDescent="0.3"/>
    <row r="718" s="1" customFormat="1" ht="12.75" customHeight="1" x14ac:dyDescent="0.3"/>
    <row r="719" s="1" customFormat="1" ht="12.75" customHeight="1" x14ac:dyDescent="0.3"/>
    <row r="720" s="1" customFormat="1" ht="12.75" customHeight="1" x14ac:dyDescent="0.3"/>
    <row r="721" s="1" customFormat="1" ht="12.75" customHeight="1" x14ac:dyDescent="0.3"/>
    <row r="722" s="1" customFormat="1" ht="12.75" customHeight="1" x14ac:dyDescent="0.3"/>
    <row r="723" s="1" customFormat="1" ht="12.75" customHeight="1" x14ac:dyDescent="0.3"/>
    <row r="724" s="1" customFormat="1" ht="12.75" customHeight="1" x14ac:dyDescent="0.3"/>
    <row r="725" s="1" customFormat="1" ht="12.75" customHeight="1" x14ac:dyDescent="0.3"/>
    <row r="726" s="1" customFormat="1" ht="12.75" customHeight="1" x14ac:dyDescent="0.3"/>
    <row r="727" s="1" customFormat="1" ht="12.75" customHeight="1" x14ac:dyDescent="0.3"/>
    <row r="728" s="1" customFormat="1" ht="12.75" customHeight="1" x14ac:dyDescent="0.3"/>
    <row r="729" s="1" customFormat="1" ht="12.75" customHeight="1" x14ac:dyDescent="0.3"/>
    <row r="730" s="1" customFormat="1" ht="12.75" customHeight="1" x14ac:dyDescent="0.3"/>
    <row r="731" s="1" customFormat="1" ht="12.75" customHeight="1" x14ac:dyDescent="0.3"/>
    <row r="732" s="1" customFormat="1" ht="12.75" customHeight="1" x14ac:dyDescent="0.3"/>
    <row r="733" s="1" customFormat="1" ht="12.75" customHeight="1" x14ac:dyDescent="0.3"/>
    <row r="734" s="1" customFormat="1" ht="12.75" customHeight="1" x14ac:dyDescent="0.3"/>
    <row r="735" s="1" customFormat="1" ht="12.75" customHeight="1" x14ac:dyDescent="0.3"/>
    <row r="736" s="1" customFormat="1" ht="12.75" customHeight="1" x14ac:dyDescent="0.3"/>
    <row r="737" s="1" customFormat="1" ht="12.75" customHeight="1" x14ac:dyDescent="0.3"/>
    <row r="738" s="1" customFormat="1" ht="12.75" customHeight="1" x14ac:dyDescent="0.3"/>
    <row r="739" s="1" customFormat="1" ht="12.75" customHeight="1" x14ac:dyDescent="0.3"/>
    <row r="740" s="1" customFormat="1" ht="12.75" customHeight="1" x14ac:dyDescent="0.3"/>
    <row r="741" s="1" customFormat="1" ht="12.75" customHeight="1" x14ac:dyDescent="0.3"/>
    <row r="742" s="1" customFormat="1" ht="12.75" customHeight="1" x14ac:dyDescent="0.3"/>
    <row r="743" s="1" customFormat="1" ht="12.75" customHeight="1" x14ac:dyDescent="0.3"/>
    <row r="744" s="1" customFormat="1" ht="12.75" customHeight="1" x14ac:dyDescent="0.3"/>
    <row r="745" s="1" customFormat="1" ht="12.75" customHeight="1" x14ac:dyDescent="0.3"/>
    <row r="746" s="1" customFormat="1" ht="12.75" customHeight="1" x14ac:dyDescent="0.3"/>
    <row r="747" s="1" customFormat="1" ht="12.75" customHeight="1" x14ac:dyDescent="0.3"/>
    <row r="748" s="1" customFormat="1" ht="12.75" customHeight="1" x14ac:dyDescent="0.3"/>
    <row r="749" s="1" customFormat="1" ht="12.75" customHeight="1" x14ac:dyDescent="0.3"/>
    <row r="750" s="1" customFormat="1" ht="12.75" customHeight="1" x14ac:dyDescent="0.3"/>
    <row r="751" s="1" customFormat="1" ht="12.75" customHeight="1" x14ac:dyDescent="0.3"/>
    <row r="752" s="1" customFormat="1" ht="12.75" customHeight="1" x14ac:dyDescent="0.3"/>
    <row r="753" s="1" customFormat="1" ht="12.75" customHeight="1" x14ac:dyDescent="0.3"/>
    <row r="754" s="1" customFormat="1" ht="12.75" customHeight="1" x14ac:dyDescent="0.3"/>
    <row r="755" s="1" customFormat="1" ht="12.75" customHeight="1" x14ac:dyDescent="0.3"/>
    <row r="756" s="1" customFormat="1" ht="12.75" customHeight="1" x14ac:dyDescent="0.3"/>
    <row r="757" s="1" customFormat="1" ht="12.75" customHeight="1" x14ac:dyDescent="0.3"/>
    <row r="758" s="1" customFormat="1" ht="12.75" customHeight="1" x14ac:dyDescent="0.3"/>
    <row r="759" s="1" customFormat="1" ht="12.75" customHeight="1" x14ac:dyDescent="0.3"/>
    <row r="760" s="1" customFormat="1" ht="12.75" customHeight="1" x14ac:dyDescent="0.3"/>
    <row r="761" s="1" customFormat="1" ht="12.75" customHeight="1" x14ac:dyDescent="0.3"/>
    <row r="762" s="1" customFormat="1" ht="12.75" customHeight="1" x14ac:dyDescent="0.3"/>
    <row r="763" s="1" customFormat="1" ht="12.75" customHeight="1" x14ac:dyDescent="0.3"/>
    <row r="764" s="1" customFormat="1" ht="12.75" customHeight="1" x14ac:dyDescent="0.3"/>
    <row r="765" s="1" customFormat="1" ht="12.75" customHeight="1" x14ac:dyDescent="0.3"/>
    <row r="766" s="1" customFormat="1" ht="12.75" customHeight="1" x14ac:dyDescent="0.3"/>
    <row r="767" s="1" customFormat="1" ht="12.75" customHeight="1" x14ac:dyDescent="0.3"/>
    <row r="768" s="1" customFormat="1" ht="12.75" customHeight="1" x14ac:dyDescent="0.3"/>
    <row r="769" s="1" customFormat="1" ht="12.75" customHeight="1" x14ac:dyDescent="0.3"/>
    <row r="770" s="1" customFormat="1" ht="12.75" customHeight="1" x14ac:dyDescent="0.3"/>
    <row r="771" s="1" customFormat="1" ht="12.75" customHeight="1" x14ac:dyDescent="0.3"/>
    <row r="772" s="1" customFormat="1" ht="12.75" customHeight="1" x14ac:dyDescent="0.3"/>
    <row r="773" s="1" customFormat="1" ht="12.75" customHeight="1" x14ac:dyDescent="0.3"/>
    <row r="774" s="1" customFormat="1" ht="12.75" customHeight="1" x14ac:dyDescent="0.3"/>
    <row r="775" s="1" customFormat="1" ht="12.75" customHeight="1" x14ac:dyDescent="0.3"/>
    <row r="776" s="1" customFormat="1" ht="12.75" customHeight="1" x14ac:dyDescent="0.3"/>
    <row r="777" s="1" customFormat="1" ht="12.75" customHeight="1" x14ac:dyDescent="0.3"/>
    <row r="778" s="1" customFormat="1" ht="12.75" customHeight="1" x14ac:dyDescent="0.3"/>
    <row r="779" s="1" customFormat="1" ht="12.75" customHeight="1" x14ac:dyDescent="0.3"/>
    <row r="780" s="1" customFormat="1" ht="12.75" customHeight="1" x14ac:dyDescent="0.3"/>
    <row r="781" s="1" customFormat="1" ht="12.75" customHeight="1" x14ac:dyDescent="0.3"/>
    <row r="782" s="1" customFormat="1" ht="12.75" customHeight="1" x14ac:dyDescent="0.3"/>
    <row r="783" s="1" customFormat="1" ht="12.75" customHeight="1" x14ac:dyDescent="0.3"/>
    <row r="784" s="1" customFormat="1" ht="12.75" customHeight="1" x14ac:dyDescent="0.3"/>
    <row r="785" s="1" customFormat="1" ht="12.75" customHeight="1" x14ac:dyDescent="0.3"/>
    <row r="786" s="1" customFormat="1" ht="12.75" customHeight="1" x14ac:dyDescent="0.3"/>
    <row r="787" s="1" customFormat="1" ht="12.75" customHeight="1" x14ac:dyDescent="0.3"/>
    <row r="788" s="1" customFormat="1" ht="12.75" customHeight="1" x14ac:dyDescent="0.3"/>
    <row r="789" s="1" customFormat="1" ht="12.75" customHeight="1" x14ac:dyDescent="0.3"/>
    <row r="790" s="1" customFormat="1" ht="12.75" customHeight="1" x14ac:dyDescent="0.3"/>
    <row r="791" s="1" customFormat="1" ht="12.75" customHeight="1" x14ac:dyDescent="0.3"/>
    <row r="792" s="1" customFormat="1" ht="12.75" customHeight="1" x14ac:dyDescent="0.3"/>
    <row r="793" s="1" customFormat="1" ht="12.75" customHeight="1" x14ac:dyDescent="0.3"/>
    <row r="794" s="1" customFormat="1" ht="12.75" customHeight="1" x14ac:dyDescent="0.3"/>
    <row r="795" s="1" customFormat="1" ht="12.75" customHeight="1" x14ac:dyDescent="0.3"/>
    <row r="796" s="1" customFormat="1" ht="12.75" customHeight="1" x14ac:dyDescent="0.3"/>
    <row r="797" s="1" customFormat="1" ht="12.75" customHeight="1" x14ac:dyDescent="0.3"/>
    <row r="798" s="1" customFormat="1" ht="12.75" customHeight="1" x14ac:dyDescent="0.3"/>
    <row r="799" s="1" customFormat="1" ht="12.75" customHeight="1" x14ac:dyDescent="0.3"/>
    <row r="800" s="1" customFormat="1" ht="12.75" customHeight="1" x14ac:dyDescent="0.3"/>
    <row r="801" s="1" customFormat="1" ht="12.75" customHeight="1" x14ac:dyDescent="0.3"/>
    <row r="802" s="1" customFormat="1" ht="12.75" customHeight="1" x14ac:dyDescent="0.3"/>
    <row r="803" s="1" customFormat="1" ht="12.75" customHeight="1" x14ac:dyDescent="0.3"/>
    <row r="804" s="1" customFormat="1" ht="12.75" customHeight="1" x14ac:dyDescent="0.3"/>
    <row r="805" s="1" customFormat="1" ht="12.75" customHeight="1" x14ac:dyDescent="0.3"/>
    <row r="806" s="1" customFormat="1" ht="12.75" customHeight="1" x14ac:dyDescent="0.3"/>
    <row r="807" s="1" customFormat="1" ht="12.75" customHeight="1" x14ac:dyDescent="0.3"/>
    <row r="808" s="1" customFormat="1" ht="12.75" customHeight="1" x14ac:dyDescent="0.3"/>
    <row r="809" s="1" customFormat="1" ht="12.75" customHeight="1" x14ac:dyDescent="0.3"/>
    <row r="810" s="1" customFormat="1" ht="12.75" customHeight="1" x14ac:dyDescent="0.3"/>
    <row r="811" s="1" customFormat="1" ht="12.75" customHeight="1" x14ac:dyDescent="0.3"/>
    <row r="812" s="1" customFormat="1" ht="12.75" customHeight="1" x14ac:dyDescent="0.3"/>
    <row r="813" s="1" customFormat="1" ht="12.75" customHeight="1" x14ac:dyDescent="0.3"/>
    <row r="814" s="1" customFormat="1" ht="12.75" customHeight="1" x14ac:dyDescent="0.3"/>
    <row r="815" s="1" customFormat="1" ht="12.75" customHeight="1" x14ac:dyDescent="0.3"/>
    <row r="816" s="1" customFormat="1" ht="12.75" customHeight="1" x14ac:dyDescent="0.3"/>
    <row r="817" s="1" customFormat="1" ht="12.75" customHeight="1" x14ac:dyDescent="0.3"/>
    <row r="818" s="1" customFormat="1" ht="12.75" customHeight="1" x14ac:dyDescent="0.3"/>
    <row r="819" s="1" customFormat="1" ht="12.75" customHeight="1" x14ac:dyDescent="0.3"/>
    <row r="820" s="1" customFormat="1" ht="12.75" customHeight="1" x14ac:dyDescent="0.3"/>
    <row r="821" s="1" customFormat="1" ht="12.75" customHeight="1" x14ac:dyDescent="0.3"/>
    <row r="822" s="1" customFormat="1" ht="12.75" customHeight="1" x14ac:dyDescent="0.3"/>
    <row r="823" s="1" customFormat="1" ht="12.75" customHeight="1" x14ac:dyDescent="0.3"/>
    <row r="824" s="1" customFormat="1" ht="12.75" customHeight="1" x14ac:dyDescent="0.3"/>
    <row r="825" s="1" customFormat="1" ht="12.75" customHeight="1" x14ac:dyDescent="0.3"/>
    <row r="826" s="1" customFormat="1" ht="12.75" customHeight="1" x14ac:dyDescent="0.3"/>
    <row r="827" s="1" customFormat="1" ht="12.75" customHeight="1" x14ac:dyDescent="0.3"/>
    <row r="828" s="1" customFormat="1" ht="12.75" customHeight="1" x14ac:dyDescent="0.3"/>
    <row r="829" s="1" customFormat="1" ht="12.75" customHeight="1" x14ac:dyDescent="0.3"/>
    <row r="830" s="1" customFormat="1" ht="12.75" customHeight="1" x14ac:dyDescent="0.3"/>
    <row r="831" s="1" customFormat="1" ht="12.75" customHeight="1" x14ac:dyDescent="0.3"/>
    <row r="832" s="1" customFormat="1" ht="12.75" customHeight="1" x14ac:dyDescent="0.3"/>
    <row r="833" s="1" customFormat="1" ht="12.75" customHeight="1" x14ac:dyDescent="0.3"/>
    <row r="834" s="1" customFormat="1" ht="12.75" customHeight="1" x14ac:dyDescent="0.3"/>
    <row r="835" s="1" customFormat="1" ht="12.75" customHeight="1" x14ac:dyDescent="0.3"/>
    <row r="836" s="1" customFormat="1" ht="12.75" customHeight="1" x14ac:dyDescent="0.3"/>
    <row r="837" s="1" customFormat="1" ht="12.75" customHeight="1" x14ac:dyDescent="0.3"/>
    <row r="838" s="1" customFormat="1" ht="12.75" customHeight="1" x14ac:dyDescent="0.3"/>
    <row r="839" s="1" customFormat="1" ht="12.75" customHeight="1" x14ac:dyDescent="0.3"/>
    <row r="840" s="1" customFormat="1" ht="12.75" customHeight="1" x14ac:dyDescent="0.3"/>
    <row r="841" s="1" customFormat="1" ht="12.75" customHeight="1" x14ac:dyDescent="0.3"/>
    <row r="842" s="1" customFormat="1" ht="12.75" customHeight="1" x14ac:dyDescent="0.3"/>
    <row r="843" s="1" customFormat="1" ht="12.75" customHeight="1" x14ac:dyDescent="0.3"/>
    <row r="844" s="1" customFormat="1" ht="12.75" customHeight="1" x14ac:dyDescent="0.3"/>
    <row r="845" s="1" customFormat="1" ht="12.75" customHeight="1" x14ac:dyDescent="0.3"/>
    <row r="846" s="1" customFormat="1" ht="12.75" customHeight="1" x14ac:dyDescent="0.3"/>
    <row r="847" s="1" customFormat="1" ht="12.75" customHeight="1" x14ac:dyDescent="0.3"/>
    <row r="848" s="1" customFormat="1" ht="12.75" customHeight="1" x14ac:dyDescent="0.3"/>
    <row r="849" s="1" customFormat="1" ht="12.75" customHeight="1" x14ac:dyDescent="0.3"/>
    <row r="850" s="1" customFormat="1" ht="12.75" customHeight="1" x14ac:dyDescent="0.3"/>
    <row r="851" s="1" customFormat="1" ht="12.75" customHeight="1" x14ac:dyDescent="0.3"/>
    <row r="852" s="1" customFormat="1" ht="12.75" customHeight="1" x14ac:dyDescent="0.3"/>
    <row r="853" s="1" customFormat="1" ht="12.75" customHeight="1" x14ac:dyDescent="0.3"/>
    <row r="854" s="1" customFormat="1" ht="12.75" customHeight="1" x14ac:dyDescent="0.3"/>
    <row r="855" s="1" customFormat="1" ht="12.75" customHeight="1" x14ac:dyDescent="0.3"/>
    <row r="856" s="1" customFormat="1" ht="12.75" customHeight="1" x14ac:dyDescent="0.3"/>
    <row r="857" s="1" customFormat="1" ht="12.75" customHeight="1" x14ac:dyDescent="0.3"/>
    <row r="858" s="1" customFormat="1" ht="12.75" customHeight="1" x14ac:dyDescent="0.3"/>
    <row r="859" s="1" customFormat="1" ht="12.75" customHeight="1" x14ac:dyDescent="0.3"/>
    <row r="860" s="1" customFormat="1" ht="12.75" customHeight="1" x14ac:dyDescent="0.3"/>
    <row r="861" s="1" customFormat="1" ht="12.75" customHeight="1" x14ac:dyDescent="0.3"/>
    <row r="862" s="1" customFormat="1" ht="12.75" customHeight="1" x14ac:dyDescent="0.3"/>
    <row r="863" s="1" customFormat="1" ht="12.75" customHeight="1" x14ac:dyDescent="0.3"/>
    <row r="864" s="1" customFormat="1" ht="12.75" customHeight="1" x14ac:dyDescent="0.3"/>
    <row r="865" s="1" customFormat="1" ht="12.75" customHeight="1" x14ac:dyDescent="0.3"/>
    <row r="866" s="1" customFormat="1" ht="12.75" customHeight="1" x14ac:dyDescent="0.3"/>
    <row r="867" s="1" customFormat="1" ht="12.75" customHeight="1" x14ac:dyDescent="0.3"/>
    <row r="868" s="1" customFormat="1" ht="12.75" customHeight="1" x14ac:dyDescent="0.3"/>
    <row r="869" s="1" customFormat="1" ht="12.75" customHeight="1" x14ac:dyDescent="0.3"/>
    <row r="870" s="1" customFormat="1" ht="12.75" customHeight="1" x14ac:dyDescent="0.3"/>
    <row r="871" s="1" customFormat="1" ht="12.75" customHeight="1" x14ac:dyDescent="0.3"/>
    <row r="872" s="1" customFormat="1" ht="12.75" customHeight="1" x14ac:dyDescent="0.3"/>
    <row r="873" s="1" customFormat="1" ht="12.75" customHeight="1" x14ac:dyDescent="0.3"/>
    <row r="874" s="1" customFormat="1" ht="12.75" customHeight="1" x14ac:dyDescent="0.3"/>
    <row r="875" s="1" customFormat="1" ht="12.75" customHeight="1" x14ac:dyDescent="0.3"/>
    <row r="876" s="1" customFormat="1" ht="12.75" customHeight="1" x14ac:dyDescent="0.3"/>
    <row r="877" s="1" customFormat="1" ht="12.75" customHeight="1" x14ac:dyDescent="0.3"/>
    <row r="878" s="1" customFormat="1" ht="12.75" customHeight="1" x14ac:dyDescent="0.3"/>
    <row r="879" s="1" customFormat="1" ht="12.75" customHeight="1" x14ac:dyDescent="0.3"/>
    <row r="880" s="1" customFormat="1" ht="12.75" customHeight="1" x14ac:dyDescent="0.3"/>
    <row r="881" s="1" customFormat="1" ht="12.75" customHeight="1" x14ac:dyDescent="0.3"/>
    <row r="882" s="1" customFormat="1" ht="12.75" customHeight="1" x14ac:dyDescent="0.3"/>
    <row r="883" s="1" customFormat="1" ht="12.75" customHeight="1" x14ac:dyDescent="0.3"/>
    <row r="884" s="1" customFormat="1" ht="12.75" customHeight="1" x14ac:dyDescent="0.3"/>
    <row r="885" s="1" customFormat="1" ht="12.75" customHeight="1" x14ac:dyDescent="0.3"/>
    <row r="886" s="1" customFormat="1" ht="12.75" customHeight="1" x14ac:dyDescent="0.3"/>
    <row r="887" s="1" customFormat="1" ht="12.75" customHeight="1" x14ac:dyDescent="0.3"/>
    <row r="888" s="1" customFormat="1" ht="12.75" customHeight="1" x14ac:dyDescent="0.3"/>
    <row r="889" s="1" customFormat="1" ht="12.75" customHeight="1" x14ac:dyDescent="0.3"/>
    <row r="890" s="1" customFormat="1" ht="12.75" customHeight="1" x14ac:dyDescent="0.3"/>
    <row r="891" s="1" customFormat="1" ht="12.75" customHeight="1" x14ac:dyDescent="0.3"/>
    <row r="892" s="1" customFormat="1" ht="12.75" customHeight="1" x14ac:dyDescent="0.3"/>
    <row r="893" s="1" customFormat="1" ht="12.75" customHeight="1" x14ac:dyDescent="0.3"/>
    <row r="894" s="1" customFormat="1" ht="12.75" customHeight="1" x14ac:dyDescent="0.3"/>
    <row r="895" s="1" customFormat="1" ht="12.75" customHeight="1" x14ac:dyDescent="0.3"/>
    <row r="896" s="1" customFormat="1" ht="12.75" customHeight="1" x14ac:dyDescent="0.3"/>
    <row r="897" s="1" customFormat="1" ht="12.75" customHeight="1" x14ac:dyDescent="0.3"/>
    <row r="898" s="1" customFormat="1" ht="12.75" customHeight="1" x14ac:dyDescent="0.3"/>
    <row r="899" s="1" customFormat="1" ht="12.75" customHeight="1" x14ac:dyDescent="0.3"/>
    <row r="900" s="1" customFormat="1" ht="12.75" customHeight="1" x14ac:dyDescent="0.3"/>
    <row r="901" s="1" customFormat="1" ht="12.75" customHeight="1" x14ac:dyDescent="0.3"/>
    <row r="902" s="1" customFormat="1" ht="12.75" customHeight="1" x14ac:dyDescent="0.3"/>
    <row r="903" s="1" customFormat="1" ht="12.75" customHeight="1" x14ac:dyDescent="0.3"/>
    <row r="904" s="1" customFormat="1" ht="12.75" customHeight="1" x14ac:dyDescent="0.3"/>
    <row r="905" s="1" customFormat="1" ht="12.75" customHeight="1" x14ac:dyDescent="0.3"/>
    <row r="906" s="1" customFormat="1" ht="12.75" customHeight="1" x14ac:dyDescent="0.3"/>
    <row r="907" s="1" customFormat="1" ht="12.75" customHeight="1" x14ac:dyDescent="0.3"/>
    <row r="908" s="1" customFormat="1" ht="12.75" customHeight="1" x14ac:dyDescent="0.3"/>
    <row r="909" s="1" customFormat="1" ht="12.75" customHeight="1" x14ac:dyDescent="0.3"/>
    <row r="910" s="1" customFormat="1" ht="12.75" customHeight="1" x14ac:dyDescent="0.3"/>
    <row r="911" s="1" customFormat="1" ht="12.75" customHeight="1" x14ac:dyDescent="0.3"/>
    <row r="912" s="1" customFormat="1" ht="12.75" customHeight="1" x14ac:dyDescent="0.3"/>
    <row r="913" s="1" customFormat="1" ht="12.75" customHeight="1" x14ac:dyDescent="0.3"/>
    <row r="914" s="1" customFormat="1" ht="12.75" customHeight="1" x14ac:dyDescent="0.3"/>
    <row r="915" s="1" customFormat="1" ht="12.75" customHeight="1" x14ac:dyDescent="0.3"/>
    <row r="916" s="1" customFormat="1" ht="12.75" customHeight="1" x14ac:dyDescent="0.3"/>
    <row r="917" s="1" customFormat="1" ht="12.75" customHeight="1" x14ac:dyDescent="0.3"/>
    <row r="918" s="1" customFormat="1" ht="12.75" customHeight="1" x14ac:dyDescent="0.3"/>
    <row r="919" s="1" customFormat="1" ht="12.75" customHeight="1" x14ac:dyDescent="0.3"/>
    <row r="920" s="1" customFormat="1" ht="12.75" customHeight="1" x14ac:dyDescent="0.3"/>
    <row r="921" s="1" customFormat="1" ht="12.75" customHeight="1" x14ac:dyDescent="0.3"/>
    <row r="922" s="1" customFormat="1" ht="12.75" customHeight="1" x14ac:dyDescent="0.3"/>
    <row r="923" s="1" customFormat="1" ht="12.75" customHeight="1" x14ac:dyDescent="0.3"/>
    <row r="924" s="1" customFormat="1" ht="12.75" customHeight="1" x14ac:dyDescent="0.3"/>
    <row r="925" s="1" customFormat="1" ht="12.75" customHeight="1" x14ac:dyDescent="0.3"/>
    <row r="926" s="1" customFormat="1" ht="12.75" customHeight="1" x14ac:dyDescent="0.3"/>
    <row r="927" s="1" customFormat="1" ht="12.75" customHeight="1" x14ac:dyDescent="0.3"/>
    <row r="928" s="1" customFormat="1" ht="12.75" customHeight="1" x14ac:dyDescent="0.3"/>
    <row r="929" s="1" customFormat="1" ht="12.75" customHeight="1" x14ac:dyDescent="0.3"/>
    <row r="930" s="1" customFormat="1" ht="12.75" customHeight="1" x14ac:dyDescent="0.3"/>
    <row r="931" s="1" customFormat="1" ht="12.75" customHeight="1" x14ac:dyDescent="0.3"/>
    <row r="932" s="1" customFormat="1" ht="12.75" customHeight="1" x14ac:dyDescent="0.3"/>
    <row r="933" s="1" customFormat="1" ht="12.75" customHeight="1" x14ac:dyDescent="0.3"/>
    <row r="934" s="1" customFormat="1" ht="12.75" customHeight="1" x14ac:dyDescent="0.3"/>
    <row r="935" s="1" customFormat="1" ht="12.75" customHeight="1" x14ac:dyDescent="0.3"/>
    <row r="936" s="1" customFormat="1" ht="12.75" customHeight="1" x14ac:dyDescent="0.3"/>
    <row r="937" s="1" customFormat="1" ht="12.75" customHeight="1" x14ac:dyDescent="0.3"/>
    <row r="938" s="1" customFormat="1" ht="12.75" customHeight="1" x14ac:dyDescent="0.3"/>
    <row r="939" s="1" customFormat="1" ht="12.75" customHeight="1" x14ac:dyDescent="0.3"/>
    <row r="940" s="1" customFormat="1" ht="12.75" customHeight="1" x14ac:dyDescent="0.3"/>
    <row r="941" s="1" customFormat="1" ht="12.75" customHeight="1" x14ac:dyDescent="0.3"/>
    <row r="942" s="1" customFormat="1" ht="12.75" customHeight="1" x14ac:dyDescent="0.3"/>
    <row r="943" s="1" customFormat="1" ht="12.75" customHeight="1" x14ac:dyDescent="0.3"/>
    <row r="944" s="1" customFormat="1" ht="12.75" customHeight="1" x14ac:dyDescent="0.3"/>
    <row r="945" s="1" customFormat="1" ht="12.75" customHeight="1" x14ac:dyDescent="0.3"/>
    <row r="946" s="1" customFormat="1" ht="12.75" customHeight="1" x14ac:dyDescent="0.3"/>
    <row r="947" s="1" customFormat="1" ht="12.75" customHeight="1" x14ac:dyDescent="0.3"/>
    <row r="948" s="1" customFormat="1" ht="12.75" customHeight="1" x14ac:dyDescent="0.3"/>
    <row r="949" s="1" customFormat="1" ht="12.75" customHeight="1" x14ac:dyDescent="0.3"/>
    <row r="950" s="1" customFormat="1" ht="12.75" customHeight="1" x14ac:dyDescent="0.3"/>
    <row r="951" s="1" customFormat="1" ht="12.75" customHeight="1" x14ac:dyDescent="0.3"/>
    <row r="952" s="1" customFormat="1" ht="12.75" customHeight="1" x14ac:dyDescent="0.3"/>
    <row r="953" s="1" customFormat="1" ht="12.75" customHeight="1" x14ac:dyDescent="0.3"/>
    <row r="954" s="1" customFormat="1" ht="12.75" customHeight="1" x14ac:dyDescent="0.3"/>
    <row r="955" s="1" customFormat="1" ht="12.75" customHeight="1" x14ac:dyDescent="0.3"/>
    <row r="956" s="1" customFormat="1" ht="12.75" customHeight="1" x14ac:dyDescent="0.3"/>
    <row r="957" s="1" customFormat="1" ht="12.75" customHeight="1" x14ac:dyDescent="0.3"/>
    <row r="958" s="1" customFormat="1" ht="12.75" customHeight="1" x14ac:dyDescent="0.3"/>
    <row r="959" s="1" customFormat="1" ht="12.75" customHeight="1" x14ac:dyDescent="0.3"/>
    <row r="960" s="1" customFormat="1" ht="12.75" customHeight="1" x14ac:dyDescent="0.3"/>
    <row r="961" s="1" customFormat="1" ht="12.75" customHeight="1" x14ac:dyDescent="0.3"/>
    <row r="962" s="1" customFormat="1" ht="12.75" customHeight="1" x14ac:dyDescent="0.3"/>
    <row r="963" s="1" customFormat="1" ht="12.75" customHeight="1" x14ac:dyDescent="0.3"/>
    <row r="964" s="1" customFormat="1" ht="12.75" customHeight="1" x14ac:dyDescent="0.3"/>
    <row r="965" s="1" customFormat="1" ht="12.75" customHeight="1" x14ac:dyDescent="0.3"/>
    <row r="966" s="1" customFormat="1" ht="12.75" customHeight="1" x14ac:dyDescent="0.3"/>
    <row r="967" s="1" customFormat="1" ht="12.75" customHeight="1" x14ac:dyDescent="0.3"/>
    <row r="968" s="1" customFormat="1" ht="12.75" customHeight="1" x14ac:dyDescent="0.3"/>
    <row r="969" s="1" customFormat="1" ht="12.75" customHeight="1" x14ac:dyDescent="0.3"/>
    <row r="970" s="1" customFormat="1" ht="12.75" customHeight="1" x14ac:dyDescent="0.3"/>
    <row r="971" s="1" customFormat="1" ht="12.75" customHeight="1" x14ac:dyDescent="0.3"/>
    <row r="972" s="1" customFormat="1" ht="12.75" customHeight="1" x14ac:dyDescent="0.3"/>
    <row r="973" s="1" customFormat="1" ht="12.75" customHeight="1" x14ac:dyDescent="0.3"/>
    <row r="974" s="1" customFormat="1" ht="12.75" customHeight="1" x14ac:dyDescent="0.3"/>
    <row r="975" s="1" customFormat="1" ht="12.75" customHeight="1" x14ac:dyDescent="0.3"/>
    <row r="976" s="1" customFormat="1" ht="12.75" customHeight="1" x14ac:dyDescent="0.3"/>
    <row r="977" s="1" customFormat="1" ht="12.75" customHeight="1" x14ac:dyDescent="0.3"/>
    <row r="978" s="1" customFormat="1" ht="12.75" customHeight="1" x14ac:dyDescent="0.3"/>
    <row r="979" s="1" customFormat="1" ht="12.75" customHeight="1" x14ac:dyDescent="0.3"/>
    <row r="980" s="1" customFormat="1" ht="12.75" customHeight="1" x14ac:dyDescent="0.3"/>
    <row r="981" s="1" customFormat="1" ht="12.75" customHeight="1" x14ac:dyDescent="0.3"/>
    <row r="982" s="1" customFormat="1" ht="12.75" customHeight="1" x14ac:dyDescent="0.3"/>
    <row r="983" s="1" customFormat="1" ht="12.75" customHeight="1" x14ac:dyDescent="0.3"/>
    <row r="984" s="1" customFormat="1" ht="12.75" customHeight="1" x14ac:dyDescent="0.3"/>
    <row r="985" s="1" customFormat="1" ht="12.75" customHeight="1" x14ac:dyDescent="0.3"/>
    <row r="986" s="1" customFormat="1" ht="12.75" customHeight="1" x14ac:dyDescent="0.3"/>
    <row r="987" s="1" customFormat="1" ht="12.75" customHeight="1" x14ac:dyDescent="0.3"/>
    <row r="988" s="1" customFormat="1" ht="12.75" customHeight="1" x14ac:dyDescent="0.3"/>
    <row r="989" s="1" customFormat="1" ht="12.75" customHeight="1" x14ac:dyDescent="0.3"/>
    <row r="990" s="1" customFormat="1" ht="12.75" customHeight="1" x14ac:dyDescent="0.3"/>
    <row r="991" s="1" customFormat="1" ht="12.75" customHeight="1" x14ac:dyDescent="0.3"/>
    <row r="992" s="1" customFormat="1" ht="12.75" customHeight="1" x14ac:dyDescent="0.3"/>
    <row r="993" s="1" customFormat="1" ht="12.75" customHeight="1" x14ac:dyDescent="0.3"/>
    <row r="994" s="1" customFormat="1" ht="12.75" customHeight="1" x14ac:dyDescent="0.3"/>
    <row r="995" s="1" customFormat="1" ht="12.75" customHeight="1" x14ac:dyDescent="0.3"/>
    <row r="996" s="1" customFormat="1" ht="12.75" customHeight="1" x14ac:dyDescent="0.3"/>
    <row r="997" s="1" customFormat="1" ht="12.75" customHeight="1" x14ac:dyDescent="0.3"/>
    <row r="998" s="1" customFormat="1" ht="12.75" customHeight="1" x14ac:dyDescent="0.3"/>
    <row r="999" s="1" customFormat="1" ht="12.75" customHeight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9AA9E-99CC-4DBE-AAF5-9C0AC4247314}">
  <dimension ref="A1:M999"/>
  <sheetViews>
    <sheetView workbookViewId="0">
      <selection sqref="A1:XFD1048576"/>
    </sheetView>
  </sheetViews>
  <sheetFormatPr baseColWidth="10" defaultColWidth="12.6328125" defaultRowHeight="15" customHeight="1" x14ac:dyDescent="0.3"/>
  <cols>
    <col min="1" max="1" width="15.7265625" style="1" customWidth="1"/>
    <col min="2" max="7" width="10.6328125" style="1" customWidth="1"/>
    <col min="8" max="8" width="11.36328125" style="1" customWidth="1"/>
    <col min="9" max="25" width="10.6328125" style="1" customWidth="1"/>
    <col min="26" max="16384" width="12.6328125" style="1"/>
  </cols>
  <sheetData>
    <row r="1" spans="1:13" ht="12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2.75" customHeight="1" x14ac:dyDescent="0.3">
      <c r="A2" s="1" t="s">
        <v>12</v>
      </c>
      <c r="B2" s="1" t="s">
        <v>13</v>
      </c>
      <c r="E2" s="1">
        <v>1</v>
      </c>
      <c r="H2" s="2" t="s">
        <v>14</v>
      </c>
      <c r="I2" s="3">
        <f t="shared" ref="I2:L2" si="0">SUM(C22+C37+C55+C65+C66+C96+C105+C113+C128+C146+C150)</f>
        <v>10</v>
      </c>
      <c r="J2" s="3">
        <f t="shared" si="0"/>
        <v>1</v>
      </c>
      <c r="K2" s="3">
        <f t="shared" si="0"/>
        <v>0</v>
      </c>
      <c r="L2" s="3">
        <f t="shared" si="0"/>
        <v>0</v>
      </c>
      <c r="M2" s="3">
        <f t="shared" ref="M2:M13" si="1">SUM(I2:L2)</f>
        <v>11</v>
      </c>
    </row>
    <row r="3" spans="1:13" ht="13.5" customHeight="1" x14ac:dyDescent="0.3">
      <c r="A3" s="1" t="s">
        <v>15</v>
      </c>
      <c r="B3" s="1" t="s">
        <v>16</v>
      </c>
      <c r="C3" s="1">
        <v>1</v>
      </c>
      <c r="H3" s="2" t="s">
        <v>17</v>
      </c>
      <c r="I3" s="3">
        <f t="shared" ref="I3:L3" si="2">SUM(C6+C32+C50+C52+C58+C69+C76+C94+C115+C122+C123+C152)</f>
        <v>4</v>
      </c>
      <c r="J3" s="3">
        <f t="shared" si="2"/>
        <v>6</v>
      </c>
      <c r="K3" s="3">
        <f t="shared" si="2"/>
        <v>1</v>
      </c>
      <c r="L3" s="3">
        <f t="shared" si="2"/>
        <v>1</v>
      </c>
      <c r="M3" s="3">
        <f t="shared" si="1"/>
        <v>12</v>
      </c>
    </row>
    <row r="4" spans="1:13" ht="12.75" customHeight="1" x14ac:dyDescent="0.3">
      <c r="A4" s="1" t="s">
        <v>18</v>
      </c>
      <c r="B4" s="1" t="s">
        <v>13</v>
      </c>
      <c r="D4" s="1">
        <v>1</v>
      </c>
      <c r="H4" s="2" t="s">
        <v>19</v>
      </c>
      <c r="I4" s="3">
        <f t="shared" ref="I4:L4" si="3">SUM(C26+C14+C27+C62+C68+C124+C138+C142+C153+C155)</f>
        <v>10</v>
      </c>
      <c r="J4" s="3">
        <f t="shared" si="3"/>
        <v>0</v>
      </c>
      <c r="K4" s="3">
        <f t="shared" si="3"/>
        <v>0</v>
      </c>
      <c r="L4" s="3">
        <f t="shared" si="3"/>
        <v>0</v>
      </c>
      <c r="M4" s="3">
        <f t="shared" si="1"/>
        <v>10</v>
      </c>
    </row>
    <row r="5" spans="1:13" ht="12.75" customHeight="1" x14ac:dyDescent="0.3">
      <c r="A5" s="1" t="s">
        <v>20</v>
      </c>
      <c r="B5" s="1" t="s">
        <v>21</v>
      </c>
      <c r="E5" s="1">
        <v>1</v>
      </c>
      <c r="H5" s="2" t="s">
        <v>22</v>
      </c>
      <c r="I5" s="3">
        <f t="shared" ref="I5:L5" si="4">SUM(C5+C36+C56+C63+C73+C85+C87+C95+C135)</f>
        <v>0</v>
      </c>
      <c r="J5" s="3">
        <f t="shared" si="4"/>
        <v>0</v>
      </c>
      <c r="K5" s="3">
        <f t="shared" si="4"/>
        <v>8</v>
      </c>
      <c r="L5" s="3">
        <f t="shared" si="4"/>
        <v>1</v>
      </c>
      <c r="M5" s="3">
        <f t="shared" si="1"/>
        <v>9</v>
      </c>
    </row>
    <row r="6" spans="1:13" ht="12.75" customHeight="1" x14ac:dyDescent="0.3">
      <c r="A6" s="1" t="s">
        <v>23</v>
      </c>
      <c r="B6" s="1" t="s">
        <v>24</v>
      </c>
      <c r="C6" s="1">
        <v>1</v>
      </c>
      <c r="H6" s="2" t="s">
        <v>25</v>
      </c>
      <c r="I6" s="3">
        <f t="shared" ref="I6:L6" si="5">SUM(C12+C15+C18+C28+C41+C59+C78+C64+C82+C83+C86+C106+C119+C143+C148+C154)</f>
        <v>16</v>
      </c>
      <c r="J6" s="3">
        <f t="shared" si="5"/>
        <v>0</v>
      </c>
      <c r="K6" s="3">
        <f t="shared" si="5"/>
        <v>0</v>
      </c>
      <c r="L6" s="3">
        <f t="shared" si="5"/>
        <v>0</v>
      </c>
      <c r="M6" s="3">
        <f t="shared" si="1"/>
        <v>16</v>
      </c>
    </row>
    <row r="7" spans="1:13" ht="12" customHeight="1" x14ac:dyDescent="0.3">
      <c r="A7" s="1" t="s">
        <v>26</v>
      </c>
      <c r="B7" s="1" t="s">
        <v>27</v>
      </c>
      <c r="D7" s="1">
        <v>1</v>
      </c>
      <c r="H7" s="2" t="s">
        <v>28</v>
      </c>
      <c r="I7" s="3">
        <f t="shared" ref="I7:L7" si="6">SUM(C3+C20+C46+C49+C54+C89+C90+C102+C112+C114+C129+C141)</f>
        <v>5</v>
      </c>
      <c r="J7" s="3">
        <f t="shared" si="6"/>
        <v>5</v>
      </c>
      <c r="K7" s="3">
        <f t="shared" si="6"/>
        <v>2</v>
      </c>
      <c r="L7" s="3">
        <f t="shared" si="6"/>
        <v>0</v>
      </c>
      <c r="M7" s="3">
        <f t="shared" si="1"/>
        <v>12</v>
      </c>
    </row>
    <row r="8" spans="1:13" ht="12" customHeight="1" x14ac:dyDescent="0.3">
      <c r="A8" s="1" t="s">
        <v>29</v>
      </c>
      <c r="B8" s="1" t="s">
        <v>30</v>
      </c>
      <c r="E8" s="1">
        <v>1</v>
      </c>
      <c r="H8" s="2" t="s">
        <v>27</v>
      </c>
      <c r="I8" s="3">
        <f t="shared" ref="I8:L8" si="7">SUM(C7+C30+C29+C44+C51+C60+C72+C79+C101+C99+C107+C111+C117+C140+C144)</f>
        <v>2</v>
      </c>
      <c r="J8" s="3">
        <f t="shared" si="7"/>
        <v>12</v>
      </c>
      <c r="K8" s="3">
        <f t="shared" si="7"/>
        <v>1</v>
      </c>
      <c r="L8" s="3">
        <f t="shared" si="7"/>
        <v>0</v>
      </c>
      <c r="M8" s="3">
        <f t="shared" si="1"/>
        <v>15</v>
      </c>
    </row>
    <row r="9" spans="1:13" ht="12" customHeight="1" x14ac:dyDescent="0.3">
      <c r="A9" s="1" t="s">
        <v>31</v>
      </c>
      <c r="B9" s="1" t="s">
        <v>13</v>
      </c>
      <c r="D9" s="1">
        <v>1</v>
      </c>
      <c r="H9" s="2" t="s">
        <v>13</v>
      </c>
      <c r="I9" s="3">
        <f t="shared" ref="I9:J9" si="8">SUM(C4+C9+C17+C19+C2+C48+C92+C120+C126+C127+C130+C133+C151)</f>
        <v>1</v>
      </c>
      <c r="J9" s="3">
        <f t="shared" si="8"/>
        <v>8</v>
      </c>
      <c r="K9" s="3">
        <f>SUM(D4+D9+D17+D19+D2+D48+D92+D120+D126+D127+D130+D133+D151)</f>
        <v>8</v>
      </c>
      <c r="L9" s="3">
        <f>SUM(F4+F9+F17+F19+F2+F48+F92+F120+F126+F127+F130+F133+F151)</f>
        <v>1</v>
      </c>
      <c r="M9" s="3">
        <f t="shared" si="1"/>
        <v>18</v>
      </c>
    </row>
    <row r="10" spans="1:13" ht="13.5" customHeight="1" x14ac:dyDescent="0.3">
      <c r="A10" s="1" t="s">
        <v>32</v>
      </c>
      <c r="B10" s="1" t="s">
        <v>33</v>
      </c>
      <c r="C10" s="1">
        <v>1</v>
      </c>
      <c r="H10" s="2" t="s">
        <v>30</v>
      </c>
      <c r="I10" s="3">
        <f t="shared" ref="I10:L10" si="9">SUM(C8+C13+C16+C25+C31+C35+C43+C45+C70+C71+C75+C81+C88+C93+C98+C100+C104+C118+C136+C137+C156)</f>
        <v>0</v>
      </c>
      <c r="J10" s="3">
        <f t="shared" si="9"/>
        <v>4</v>
      </c>
      <c r="K10" s="3">
        <f t="shared" si="9"/>
        <v>17</v>
      </c>
      <c r="L10" s="3">
        <f t="shared" si="9"/>
        <v>0</v>
      </c>
      <c r="M10" s="3">
        <f t="shared" si="1"/>
        <v>21</v>
      </c>
    </row>
    <row r="11" spans="1:13" ht="12" customHeight="1" x14ac:dyDescent="0.3">
      <c r="A11" s="1" t="s">
        <v>34</v>
      </c>
      <c r="B11" s="1" t="s">
        <v>33</v>
      </c>
      <c r="C11" s="1">
        <v>1</v>
      </c>
      <c r="H11" s="2" t="s">
        <v>35</v>
      </c>
      <c r="I11" s="3">
        <f t="shared" ref="I11:L11" si="10">SUM(C38+C42+C47+C53+C74+C77+C80+C91+C97+C103+C108+C116+C131+C145+C147)</f>
        <v>5</v>
      </c>
      <c r="J11" s="3">
        <f t="shared" si="10"/>
        <v>0</v>
      </c>
      <c r="K11" s="3">
        <f t="shared" si="10"/>
        <v>10</v>
      </c>
      <c r="L11" s="3">
        <f t="shared" si="10"/>
        <v>0</v>
      </c>
      <c r="M11" s="3">
        <f t="shared" si="1"/>
        <v>15</v>
      </c>
    </row>
    <row r="12" spans="1:13" ht="13.5" customHeight="1" x14ac:dyDescent="0.3">
      <c r="A12" s="1" t="s">
        <v>36</v>
      </c>
      <c r="B12" s="1" t="s">
        <v>37</v>
      </c>
      <c r="C12" s="1">
        <v>1</v>
      </c>
      <c r="H12" s="2" t="s">
        <v>38</v>
      </c>
      <c r="I12" s="3">
        <f t="shared" ref="I12:L12" si="11">SUM(C21+C24+C34+C40+C67+C84+C132)</f>
        <v>4</v>
      </c>
      <c r="J12" s="3">
        <f t="shared" si="11"/>
        <v>2</v>
      </c>
      <c r="K12" s="3">
        <f t="shared" si="11"/>
        <v>0</v>
      </c>
      <c r="L12" s="3">
        <f t="shared" si="11"/>
        <v>1</v>
      </c>
      <c r="M12" s="3">
        <f t="shared" si="1"/>
        <v>7</v>
      </c>
    </row>
    <row r="13" spans="1:13" ht="12.75" customHeight="1" x14ac:dyDescent="0.3">
      <c r="A13" s="1" t="s">
        <v>39</v>
      </c>
      <c r="B13" s="1" t="s">
        <v>30</v>
      </c>
      <c r="E13" s="1">
        <v>1</v>
      </c>
      <c r="H13" s="2" t="s">
        <v>33</v>
      </c>
      <c r="I13" s="3">
        <f t="shared" ref="I13:L13" si="12">SUM(C10+C11+C57+C125+C149)</f>
        <v>5</v>
      </c>
      <c r="J13" s="3">
        <f t="shared" si="12"/>
        <v>0</v>
      </c>
      <c r="K13" s="3">
        <f t="shared" si="12"/>
        <v>0</v>
      </c>
      <c r="L13" s="3">
        <f t="shared" si="12"/>
        <v>0</v>
      </c>
      <c r="M13" s="3">
        <f t="shared" si="1"/>
        <v>5</v>
      </c>
    </row>
    <row r="14" spans="1:13" ht="12.75" customHeight="1" x14ac:dyDescent="0.3">
      <c r="A14" s="1" t="s">
        <v>40</v>
      </c>
      <c r="B14" s="1" t="s">
        <v>19</v>
      </c>
      <c r="C14" s="1">
        <v>1</v>
      </c>
      <c r="I14" s="4"/>
      <c r="J14" s="4"/>
      <c r="K14" s="4"/>
      <c r="L14" s="4"/>
    </row>
    <row r="15" spans="1:13" ht="12.75" customHeight="1" x14ac:dyDescent="0.3">
      <c r="A15" s="1" t="s">
        <v>41</v>
      </c>
      <c r="B15" s="1" t="s">
        <v>42</v>
      </c>
      <c r="C15" s="1">
        <v>1</v>
      </c>
      <c r="I15" s="4"/>
      <c r="J15" s="4"/>
      <c r="K15" s="4"/>
      <c r="L15" s="4"/>
    </row>
    <row r="16" spans="1:13" ht="12.75" customHeight="1" x14ac:dyDescent="0.3">
      <c r="A16" s="1" t="s">
        <v>43</v>
      </c>
      <c r="B16" s="1" t="s">
        <v>30</v>
      </c>
      <c r="D16" s="1">
        <v>1</v>
      </c>
      <c r="I16" s="4"/>
      <c r="J16" s="4"/>
      <c r="K16" s="4"/>
      <c r="L16" s="4"/>
    </row>
    <row r="17" spans="1:12" ht="12.75" customHeight="1" x14ac:dyDescent="0.3">
      <c r="A17" s="1" t="s">
        <v>44</v>
      </c>
      <c r="B17" s="1" t="s">
        <v>13</v>
      </c>
      <c r="D17" s="1">
        <v>1</v>
      </c>
      <c r="I17" s="4"/>
      <c r="J17" s="4"/>
      <c r="K17" s="4"/>
      <c r="L17" s="4"/>
    </row>
    <row r="18" spans="1:12" ht="12.75" customHeight="1" x14ac:dyDescent="0.3">
      <c r="A18" s="1" t="s">
        <v>45</v>
      </c>
      <c r="B18" s="1" t="s">
        <v>37</v>
      </c>
      <c r="C18" s="1">
        <v>1</v>
      </c>
      <c r="I18" s="4"/>
      <c r="J18" s="4"/>
      <c r="K18" s="4"/>
      <c r="L18" s="4"/>
    </row>
    <row r="19" spans="1:12" ht="12.75" customHeight="1" x14ac:dyDescent="0.3">
      <c r="A19" s="1" t="s">
        <v>46</v>
      </c>
      <c r="B19" s="1" t="s">
        <v>13</v>
      </c>
      <c r="D19" s="1">
        <v>1</v>
      </c>
    </row>
    <row r="20" spans="1:12" ht="12.75" customHeight="1" x14ac:dyDescent="0.3">
      <c r="A20" s="1" t="s">
        <v>47</v>
      </c>
      <c r="B20" s="1" t="s">
        <v>16</v>
      </c>
      <c r="C20" s="1">
        <v>1</v>
      </c>
    </row>
    <row r="21" spans="1:12" ht="12.75" customHeight="1" x14ac:dyDescent="0.3">
      <c r="A21" s="1" t="s">
        <v>48</v>
      </c>
      <c r="B21" s="1" t="s">
        <v>38</v>
      </c>
      <c r="C21" s="1">
        <v>1</v>
      </c>
    </row>
    <row r="22" spans="1:12" ht="12.75" customHeight="1" x14ac:dyDescent="0.3">
      <c r="A22" s="1" t="s">
        <v>49</v>
      </c>
      <c r="B22" s="1" t="s">
        <v>14</v>
      </c>
      <c r="C22" s="1">
        <v>1</v>
      </c>
    </row>
    <row r="23" spans="1:12" ht="12.75" customHeight="1" x14ac:dyDescent="0.3">
      <c r="A23" s="1" t="s">
        <v>50</v>
      </c>
      <c r="B23" s="1" t="s">
        <v>13</v>
      </c>
      <c r="D23" s="1">
        <v>1</v>
      </c>
    </row>
    <row r="24" spans="1:12" ht="12.75" customHeight="1" x14ac:dyDescent="0.3">
      <c r="A24" s="1" t="s">
        <v>51</v>
      </c>
      <c r="B24" s="1" t="s">
        <v>38</v>
      </c>
      <c r="F24" s="1">
        <v>1</v>
      </c>
    </row>
    <row r="25" spans="1:12" ht="12.75" customHeight="1" x14ac:dyDescent="0.3">
      <c r="A25" s="1" t="s">
        <v>52</v>
      </c>
      <c r="B25" s="1" t="s">
        <v>30</v>
      </c>
      <c r="E25" s="1">
        <v>1</v>
      </c>
    </row>
    <row r="26" spans="1:12" ht="12.75" customHeight="1" x14ac:dyDescent="0.3">
      <c r="A26" s="1" t="s">
        <v>53</v>
      </c>
      <c r="B26" s="1" t="s">
        <v>19</v>
      </c>
      <c r="C26" s="1">
        <v>1</v>
      </c>
    </row>
    <row r="27" spans="1:12" ht="12.75" customHeight="1" x14ac:dyDescent="0.3">
      <c r="A27" s="1" t="s">
        <v>54</v>
      </c>
      <c r="B27" s="1" t="s">
        <v>19</v>
      </c>
      <c r="C27" s="1">
        <v>1</v>
      </c>
    </row>
    <row r="28" spans="1:12" ht="12.75" customHeight="1" x14ac:dyDescent="0.3">
      <c r="A28" s="1" t="s">
        <v>55</v>
      </c>
      <c r="B28" s="1" t="s">
        <v>37</v>
      </c>
      <c r="C28" s="1">
        <v>1</v>
      </c>
    </row>
    <row r="29" spans="1:12" ht="12.75" customHeight="1" x14ac:dyDescent="0.3">
      <c r="A29" s="1" t="s">
        <v>56</v>
      </c>
      <c r="B29" s="1" t="s">
        <v>27</v>
      </c>
      <c r="C29" s="1">
        <v>1</v>
      </c>
    </row>
    <row r="30" spans="1:12" ht="12.75" customHeight="1" x14ac:dyDescent="0.3">
      <c r="A30" s="1" t="s">
        <v>57</v>
      </c>
      <c r="B30" s="1" t="s">
        <v>27</v>
      </c>
      <c r="D30" s="1">
        <v>1</v>
      </c>
    </row>
    <row r="31" spans="1:12" ht="12.75" customHeight="1" x14ac:dyDescent="0.3">
      <c r="A31" s="1" t="s">
        <v>58</v>
      </c>
      <c r="B31" s="1" t="s">
        <v>30</v>
      </c>
      <c r="D31" s="1">
        <v>1</v>
      </c>
    </row>
    <row r="32" spans="1:12" ht="12.75" customHeight="1" x14ac:dyDescent="0.3">
      <c r="A32" s="1" t="s">
        <v>59</v>
      </c>
      <c r="B32" s="1" t="s">
        <v>24</v>
      </c>
      <c r="D32" s="1">
        <v>1</v>
      </c>
    </row>
    <row r="33" spans="1:12" ht="12.75" customHeight="1" x14ac:dyDescent="0.3">
      <c r="A33" s="1" t="s">
        <v>60</v>
      </c>
      <c r="B33" s="1" t="s">
        <v>27</v>
      </c>
      <c r="D33" s="1">
        <v>1</v>
      </c>
    </row>
    <row r="34" spans="1:12" ht="12.75" customHeight="1" x14ac:dyDescent="0.3">
      <c r="A34" s="1" t="s">
        <v>61</v>
      </c>
      <c r="B34" s="1" t="s">
        <v>38</v>
      </c>
      <c r="C34" s="1">
        <v>1</v>
      </c>
    </row>
    <row r="35" spans="1:12" ht="12.75" customHeight="1" x14ac:dyDescent="0.3">
      <c r="A35" s="1" t="s">
        <v>62</v>
      </c>
      <c r="B35" s="1" t="s">
        <v>30</v>
      </c>
      <c r="E35" s="1">
        <v>1</v>
      </c>
    </row>
    <row r="36" spans="1:12" ht="12.75" customHeight="1" x14ac:dyDescent="0.3">
      <c r="A36" s="1" t="s">
        <v>63</v>
      </c>
      <c r="B36" s="1" t="s">
        <v>21</v>
      </c>
      <c r="E36" s="1">
        <v>1</v>
      </c>
    </row>
    <row r="37" spans="1:12" ht="12.75" customHeight="1" x14ac:dyDescent="0.3">
      <c r="A37" s="1" t="s">
        <v>64</v>
      </c>
      <c r="B37" s="1" t="s">
        <v>14</v>
      </c>
      <c r="C37" s="1">
        <v>1</v>
      </c>
    </row>
    <row r="38" spans="1:12" ht="12.75" customHeight="1" x14ac:dyDescent="0.3">
      <c r="A38" s="1" t="s">
        <v>65</v>
      </c>
      <c r="B38" s="1" t="s">
        <v>66</v>
      </c>
      <c r="E38" s="1">
        <v>1</v>
      </c>
    </row>
    <row r="39" spans="1:12" ht="12.75" customHeight="1" x14ac:dyDescent="0.3">
      <c r="A39" s="1" t="s">
        <v>67</v>
      </c>
      <c r="B39" s="1" t="s">
        <v>16</v>
      </c>
      <c r="D39" s="1">
        <v>1</v>
      </c>
    </row>
    <row r="40" spans="1:12" ht="12.75" customHeight="1" x14ac:dyDescent="0.3">
      <c r="A40" s="1" t="s">
        <v>68</v>
      </c>
      <c r="B40" s="1" t="s">
        <v>38</v>
      </c>
      <c r="D40" s="1">
        <v>1</v>
      </c>
    </row>
    <row r="41" spans="1:12" ht="12.75" customHeight="1" x14ac:dyDescent="0.3">
      <c r="A41" s="1" t="s">
        <v>69</v>
      </c>
      <c r="B41" s="1" t="s">
        <v>37</v>
      </c>
      <c r="C41" s="1">
        <v>1</v>
      </c>
    </row>
    <row r="42" spans="1:12" ht="12.75" customHeight="1" x14ac:dyDescent="0.3">
      <c r="A42" s="1" t="s">
        <v>70</v>
      </c>
      <c r="B42" s="1" t="s">
        <v>66</v>
      </c>
      <c r="E42" s="1">
        <v>1</v>
      </c>
    </row>
    <row r="43" spans="1:12" ht="12.75" customHeight="1" x14ac:dyDescent="0.3">
      <c r="A43" s="1" t="s">
        <v>71</v>
      </c>
      <c r="B43" s="1" t="s">
        <v>30</v>
      </c>
      <c r="E43" s="1">
        <v>1</v>
      </c>
    </row>
    <row r="44" spans="1:12" ht="12.75" customHeight="1" x14ac:dyDescent="0.3">
      <c r="A44" s="1" t="s">
        <v>72</v>
      </c>
      <c r="B44" s="1" t="s">
        <v>27</v>
      </c>
      <c r="D44" s="1">
        <v>1</v>
      </c>
    </row>
    <row r="45" spans="1:12" ht="12.75" customHeight="1" x14ac:dyDescent="0.3">
      <c r="A45" s="1" t="s">
        <v>73</v>
      </c>
      <c r="B45" s="1" t="s">
        <v>30</v>
      </c>
      <c r="E45" s="1">
        <v>1</v>
      </c>
      <c r="H45" s="1" t="s">
        <v>6</v>
      </c>
      <c r="I45" s="1" t="s">
        <v>7</v>
      </c>
      <c r="J45" s="1" t="s">
        <v>8</v>
      </c>
      <c r="K45" s="1" t="s">
        <v>9</v>
      </c>
      <c r="L45" s="1" t="s">
        <v>10</v>
      </c>
    </row>
    <row r="46" spans="1:12" ht="12.75" customHeight="1" x14ac:dyDescent="0.3">
      <c r="A46" s="1" t="s">
        <v>74</v>
      </c>
      <c r="B46" s="1" t="s">
        <v>16</v>
      </c>
      <c r="D46" s="1">
        <v>1</v>
      </c>
      <c r="H46" s="2" t="s">
        <v>14</v>
      </c>
      <c r="I46" s="4">
        <f t="shared" ref="I46:I57" si="13">I2/M2</f>
        <v>0.90909090909090906</v>
      </c>
      <c r="J46" s="4">
        <f t="shared" ref="J46:J57" si="14">J2/M2</f>
        <v>9.0909090909090912E-2</v>
      </c>
      <c r="K46" s="4">
        <f t="shared" ref="K46:K57" si="15">K2/M2</f>
        <v>0</v>
      </c>
      <c r="L46" s="4">
        <f t="shared" ref="L46:L57" si="16">L2/M2</f>
        <v>0</v>
      </c>
    </row>
    <row r="47" spans="1:12" ht="12.75" customHeight="1" x14ac:dyDescent="0.3">
      <c r="A47" s="1" t="s">
        <v>75</v>
      </c>
      <c r="B47" s="1" t="s">
        <v>66</v>
      </c>
      <c r="C47" s="1">
        <v>1</v>
      </c>
      <c r="H47" s="2" t="s">
        <v>17</v>
      </c>
      <c r="I47" s="4">
        <f t="shared" si="13"/>
        <v>0.33333333333333331</v>
      </c>
      <c r="J47" s="4">
        <f t="shared" si="14"/>
        <v>0.5</v>
      </c>
      <c r="K47" s="4">
        <f t="shared" si="15"/>
        <v>8.3333333333333329E-2</v>
      </c>
      <c r="L47" s="4">
        <f t="shared" si="16"/>
        <v>8.3333333333333329E-2</v>
      </c>
    </row>
    <row r="48" spans="1:12" ht="14.25" customHeight="1" x14ac:dyDescent="0.3">
      <c r="A48" s="1" t="s">
        <v>76</v>
      </c>
      <c r="B48" s="1" t="s">
        <v>13</v>
      </c>
      <c r="E48" s="1">
        <v>1</v>
      </c>
      <c r="H48" s="2" t="s">
        <v>19</v>
      </c>
      <c r="I48" s="4">
        <f t="shared" si="13"/>
        <v>1</v>
      </c>
      <c r="J48" s="4">
        <f t="shared" si="14"/>
        <v>0</v>
      </c>
      <c r="K48" s="4">
        <f t="shared" si="15"/>
        <v>0</v>
      </c>
      <c r="L48" s="4">
        <f t="shared" si="16"/>
        <v>0</v>
      </c>
    </row>
    <row r="49" spans="1:12" ht="13.5" customHeight="1" x14ac:dyDescent="0.3">
      <c r="A49" s="1" t="s">
        <v>77</v>
      </c>
      <c r="B49" s="1" t="s">
        <v>16</v>
      </c>
      <c r="E49" s="1">
        <v>1</v>
      </c>
      <c r="H49" s="2" t="s">
        <v>22</v>
      </c>
      <c r="I49" s="4">
        <f t="shared" si="13"/>
        <v>0</v>
      </c>
      <c r="J49" s="4">
        <f t="shared" si="14"/>
        <v>0</v>
      </c>
      <c r="K49" s="4">
        <f t="shared" si="15"/>
        <v>0.88888888888888884</v>
      </c>
      <c r="L49" s="4">
        <f t="shared" si="16"/>
        <v>0.1111111111111111</v>
      </c>
    </row>
    <row r="50" spans="1:12" ht="15.75" customHeight="1" x14ac:dyDescent="0.3">
      <c r="A50" s="1" t="s">
        <v>78</v>
      </c>
      <c r="B50" s="1" t="s">
        <v>24</v>
      </c>
      <c r="F50" s="1">
        <v>1</v>
      </c>
      <c r="H50" s="2" t="s">
        <v>25</v>
      </c>
      <c r="I50" s="4">
        <f t="shared" si="13"/>
        <v>1</v>
      </c>
      <c r="J50" s="4">
        <f t="shared" si="14"/>
        <v>0</v>
      </c>
      <c r="K50" s="4">
        <f t="shared" si="15"/>
        <v>0</v>
      </c>
      <c r="L50" s="4">
        <f t="shared" si="16"/>
        <v>0</v>
      </c>
    </row>
    <row r="51" spans="1:12" ht="15.75" customHeight="1" x14ac:dyDescent="0.3">
      <c r="A51" s="1" t="s">
        <v>79</v>
      </c>
      <c r="B51" s="1" t="s">
        <v>27</v>
      </c>
      <c r="D51" s="1">
        <v>1</v>
      </c>
      <c r="H51" s="2" t="s">
        <v>28</v>
      </c>
      <c r="I51" s="4">
        <f t="shared" si="13"/>
        <v>0.41666666666666669</v>
      </c>
      <c r="J51" s="4">
        <f t="shared" si="14"/>
        <v>0.41666666666666669</v>
      </c>
      <c r="K51" s="4">
        <f t="shared" si="15"/>
        <v>0.16666666666666666</v>
      </c>
      <c r="L51" s="4">
        <f t="shared" si="16"/>
        <v>0</v>
      </c>
    </row>
    <row r="52" spans="1:12" ht="13.5" customHeight="1" x14ac:dyDescent="0.3">
      <c r="A52" s="1" t="s">
        <v>80</v>
      </c>
      <c r="B52" s="1" t="s">
        <v>24</v>
      </c>
      <c r="D52" s="1">
        <v>1</v>
      </c>
      <c r="H52" s="2" t="s">
        <v>27</v>
      </c>
      <c r="I52" s="4">
        <f t="shared" si="13"/>
        <v>0.13333333333333333</v>
      </c>
      <c r="J52" s="4">
        <f t="shared" si="14"/>
        <v>0.8</v>
      </c>
      <c r="K52" s="4">
        <f t="shared" si="15"/>
        <v>6.6666666666666666E-2</v>
      </c>
      <c r="L52" s="4">
        <f t="shared" si="16"/>
        <v>0</v>
      </c>
    </row>
    <row r="53" spans="1:12" ht="12" customHeight="1" x14ac:dyDescent="0.3">
      <c r="A53" s="1" t="s">
        <v>81</v>
      </c>
      <c r="B53" s="1" t="s">
        <v>66</v>
      </c>
      <c r="C53" s="1">
        <v>1</v>
      </c>
      <c r="H53" s="2" t="s">
        <v>13</v>
      </c>
      <c r="I53" s="4">
        <f t="shared" si="13"/>
        <v>5.5555555555555552E-2</v>
      </c>
      <c r="J53" s="4">
        <f t="shared" si="14"/>
        <v>0.44444444444444442</v>
      </c>
      <c r="K53" s="4">
        <f t="shared" si="15"/>
        <v>0.44444444444444442</v>
      </c>
      <c r="L53" s="4">
        <f t="shared" si="16"/>
        <v>5.5555555555555552E-2</v>
      </c>
    </row>
    <row r="54" spans="1:12" ht="12.75" customHeight="1" x14ac:dyDescent="0.3">
      <c r="A54" s="1" t="s">
        <v>82</v>
      </c>
      <c r="B54" s="1" t="s">
        <v>16</v>
      </c>
      <c r="D54" s="1">
        <v>1</v>
      </c>
      <c r="H54" s="2" t="s">
        <v>30</v>
      </c>
      <c r="I54" s="4">
        <f t="shared" si="13"/>
        <v>0</v>
      </c>
      <c r="J54" s="4">
        <f t="shared" si="14"/>
        <v>0.19047619047619047</v>
      </c>
      <c r="K54" s="4">
        <f t="shared" si="15"/>
        <v>0.80952380952380953</v>
      </c>
      <c r="L54" s="4">
        <f t="shared" si="16"/>
        <v>0</v>
      </c>
    </row>
    <row r="55" spans="1:12" ht="13.5" customHeight="1" x14ac:dyDescent="0.3">
      <c r="A55" s="1" t="s">
        <v>83</v>
      </c>
      <c r="B55" s="1" t="s">
        <v>14</v>
      </c>
      <c r="C55" s="1">
        <v>1</v>
      </c>
      <c r="H55" s="2" t="s">
        <v>35</v>
      </c>
      <c r="I55" s="4">
        <f t="shared" si="13"/>
        <v>0.33333333333333331</v>
      </c>
      <c r="J55" s="4">
        <f t="shared" si="14"/>
        <v>0</v>
      </c>
      <c r="K55" s="4">
        <f t="shared" si="15"/>
        <v>0.66666666666666663</v>
      </c>
      <c r="L55" s="4">
        <f t="shared" si="16"/>
        <v>0</v>
      </c>
    </row>
    <row r="56" spans="1:12" ht="13.5" customHeight="1" x14ac:dyDescent="0.3">
      <c r="A56" s="1" t="s">
        <v>84</v>
      </c>
      <c r="B56" s="1" t="s">
        <v>21</v>
      </c>
      <c r="E56" s="1">
        <v>1</v>
      </c>
      <c r="H56" s="2" t="s">
        <v>38</v>
      </c>
      <c r="I56" s="4">
        <f t="shared" si="13"/>
        <v>0.5714285714285714</v>
      </c>
      <c r="J56" s="4">
        <f t="shared" si="14"/>
        <v>0.2857142857142857</v>
      </c>
      <c r="K56" s="4">
        <f t="shared" si="15"/>
        <v>0</v>
      </c>
      <c r="L56" s="4">
        <f t="shared" si="16"/>
        <v>0.14285714285714285</v>
      </c>
    </row>
    <row r="57" spans="1:12" ht="12.75" customHeight="1" x14ac:dyDescent="0.3">
      <c r="A57" s="1" t="s">
        <v>85</v>
      </c>
      <c r="B57" s="1" t="s">
        <v>33</v>
      </c>
      <c r="C57" s="1">
        <v>1</v>
      </c>
      <c r="H57" s="2" t="s">
        <v>33</v>
      </c>
      <c r="I57" s="4">
        <f t="shared" si="13"/>
        <v>1</v>
      </c>
      <c r="J57" s="4">
        <f t="shared" si="14"/>
        <v>0</v>
      </c>
      <c r="K57" s="4">
        <f t="shared" si="15"/>
        <v>0</v>
      </c>
      <c r="L57" s="4">
        <f t="shared" si="16"/>
        <v>0</v>
      </c>
    </row>
    <row r="58" spans="1:12" ht="12.75" customHeight="1" x14ac:dyDescent="0.3">
      <c r="A58" s="1" t="s">
        <v>86</v>
      </c>
      <c r="B58" s="1" t="s">
        <v>24</v>
      </c>
      <c r="D58" s="1">
        <v>1</v>
      </c>
    </row>
    <row r="59" spans="1:12" ht="12.75" customHeight="1" x14ac:dyDescent="0.3">
      <c r="A59" s="1" t="s">
        <v>87</v>
      </c>
      <c r="B59" s="1" t="s">
        <v>37</v>
      </c>
      <c r="C59" s="1">
        <v>1</v>
      </c>
    </row>
    <row r="60" spans="1:12" ht="12.75" customHeight="1" x14ac:dyDescent="0.3">
      <c r="A60" s="1" t="s">
        <v>88</v>
      </c>
      <c r="B60" s="1" t="s">
        <v>27</v>
      </c>
      <c r="D60" s="1">
        <v>1</v>
      </c>
    </row>
    <row r="61" spans="1:12" ht="12.75" customHeight="1" x14ac:dyDescent="0.3">
      <c r="A61" s="1" t="s">
        <v>89</v>
      </c>
      <c r="B61" s="1" t="s">
        <v>13</v>
      </c>
      <c r="E61" s="1">
        <v>1</v>
      </c>
    </row>
    <row r="62" spans="1:12" ht="12.75" customHeight="1" x14ac:dyDescent="0.3">
      <c r="A62" s="1" t="s">
        <v>90</v>
      </c>
      <c r="B62" s="1" t="s">
        <v>19</v>
      </c>
      <c r="C62" s="1">
        <v>1</v>
      </c>
    </row>
    <row r="63" spans="1:12" ht="12.75" customHeight="1" x14ac:dyDescent="0.3">
      <c r="A63" s="1" t="s">
        <v>91</v>
      </c>
      <c r="B63" s="1" t="s">
        <v>21</v>
      </c>
      <c r="F63" s="1">
        <v>1</v>
      </c>
    </row>
    <row r="64" spans="1:12" ht="12.75" customHeight="1" x14ac:dyDescent="0.3">
      <c r="A64" s="1" t="s">
        <v>92</v>
      </c>
      <c r="B64" s="1" t="s">
        <v>42</v>
      </c>
      <c r="C64" s="1">
        <v>1</v>
      </c>
    </row>
    <row r="65" spans="1:5" ht="12.75" customHeight="1" x14ac:dyDescent="0.3">
      <c r="A65" s="1" t="s">
        <v>93</v>
      </c>
      <c r="B65" s="1" t="s">
        <v>14</v>
      </c>
      <c r="C65" s="1">
        <v>1</v>
      </c>
    </row>
    <row r="66" spans="1:5" ht="12.75" customHeight="1" x14ac:dyDescent="0.3">
      <c r="A66" s="1" t="s">
        <v>94</v>
      </c>
      <c r="B66" s="1" t="s">
        <v>14</v>
      </c>
      <c r="C66" s="1">
        <v>1</v>
      </c>
    </row>
    <row r="67" spans="1:5" ht="12.75" customHeight="1" x14ac:dyDescent="0.3">
      <c r="A67" s="1" t="s">
        <v>95</v>
      </c>
      <c r="B67" s="1" t="s">
        <v>38</v>
      </c>
      <c r="D67" s="1">
        <v>1</v>
      </c>
    </row>
    <row r="68" spans="1:5" ht="12.75" customHeight="1" x14ac:dyDescent="0.3">
      <c r="A68" s="1" t="s">
        <v>96</v>
      </c>
      <c r="B68" s="1" t="s">
        <v>19</v>
      </c>
      <c r="C68" s="1">
        <v>1</v>
      </c>
    </row>
    <row r="69" spans="1:5" ht="12.75" customHeight="1" x14ac:dyDescent="0.3">
      <c r="A69" s="1" t="s">
        <v>97</v>
      </c>
      <c r="B69" s="1" t="s">
        <v>24</v>
      </c>
      <c r="D69" s="1">
        <v>1</v>
      </c>
    </row>
    <row r="70" spans="1:5" ht="12.75" customHeight="1" x14ac:dyDescent="0.3">
      <c r="A70" s="1" t="s">
        <v>98</v>
      </c>
      <c r="B70" s="1" t="s">
        <v>30</v>
      </c>
      <c r="E70" s="1">
        <v>1</v>
      </c>
    </row>
    <row r="71" spans="1:5" ht="12.75" customHeight="1" x14ac:dyDescent="0.3">
      <c r="A71" s="1" t="s">
        <v>99</v>
      </c>
      <c r="B71" s="1" t="s">
        <v>30</v>
      </c>
      <c r="D71" s="1">
        <v>1</v>
      </c>
    </row>
    <row r="72" spans="1:5" ht="12.75" customHeight="1" x14ac:dyDescent="0.3">
      <c r="A72" s="1" t="s">
        <v>100</v>
      </c>
      <c r="B72" s="1" t="s">
        <v>27</v>
      </c>
      <c r="D72" s="1">
        <v>1</v>
      </c>
    </row>
    <row r="73" spans="1:5" ht="12.75" customHeight="1" x14ac:dyDescent="0.3">
      <c r="A73" s="1" t="s">
        <v>101</v>
      </c>
      <c r="B73" s="1" t="s">
        <v>21</v>
      </c>
      <c r="E73" s="1">
        <v>1</v>
      </c>
    </row>
    <row r="74" spans="1:5" ht="12.75" customHeight="1" x14ac:dyDescent="0.3">
      <c r="A74" s="1" t="s">
        <v>102</v>
      </c>
      <c r="B74" s="1" t="s">
        <v>66</v>
      </c>
      <c r="E74" s="1">
        <v>1</v>
      </c>
    </row>
    <row r="75" spans="1:5" ht="12.75" customHeight="1" x14ac:dyDescent="0.3">
      <c r="A75" s="1" t="s">
        <v>103</v>
      </c>
      <c r="B75" s="1" t="s">
        <v>30</v>
      </c>
      <c r="E75" s="1">
        <v>1</v>
      </c>
    </row>
    <row r="76" spans="1:5" ht="12.75" customHeight="1" x14ac:dyDescent="0.3">
      <c r="A76" s="1" t="s">
        <v>104</v>
      </c>
      <c r="B76" s="1" t="s">
        <v>24</v>
      </c>
      <c r="C76" s="1">
        <v>1</v>
      </c>
    </row>
    <row r="77" spans="1:5" ht="12.75" customHeight="1" x14ac:dyDescent="0.3">
      <c r="A77" s="1" t="s">
        <v>105</v>
      </c>
      <c r="B77" s="1" t="s">
        <v>66</v>
      </c>
      <c r="C77" s="1">
        <v>1</v>
      </c>
    </row>
    <row r="78" spans="1:5" ht="12.75" customHeight="1" x14ac:dyDescent="0.3">
      <c r="A78" s="1" t="s">
        <v>106</v>
      </c>
      <c r="B78" s="1" t="s">
        <v>42</v>
      </c>
      <c r="C78" s="1">
        <v>1</v>
      </c>
    </row>
    <row r="79" spans="1:5" ht="12.75" customHeight="1" x14ac:dyDescent="0.3">
      <c r="A79" s="1" t="s">
        <v>107</v>
      </c>
      <c r="B79" s="1" t="s">
        <v>27</v>
      </c>
      <c r="D79" s="1">
        <v>1</v>
      </c>
    </row>
    <row r="80" spans="1:5" ht="12.75" customHeight="1" x14ac:dyDescent="0.3">
      <c r="A80" s="1" t="s">
        <v>108</v>
      </c>
      <c r="B80" s="1" t="s">
        <v>66</v>
      </c>
      <c r="E80" s="1">
        <v>1</v>
      </c>
    </row>
    <row r="81" spans="1:5" ht="12.75" customHeight="1" x14ac:dyDescent="0.3">
      <c r="A81" s="1" t="s">
        <v>109</v>
      </c>
      <c r="B81" s="1" t="s">
        <v>30</v>
      </c>
      <c r="E81" s="1">
        <v>1</v>
      </c>
    </row>
    <row r="82" spans="1:5" ht="12.75" customHeight="1" x14ac:dyDescent="0.3">
      <c r="A82" s="1" t="s">
        <v>110</v>
      </c>
      <c r="B82" s="1" t="s">
        <v>37</v>
      </c>
      <c r="C82" s="1">
        <v>1</v>
      </c>
    </row>
    <row r="83" spans="1:5" ht="12.75" customHeight="1" x14ac:dyDescent="0.3">
      <c r="A83" s="1" t="s">
        <v>111</v>
      </c>
      <c r="B83" s="1" t="s">
        <v>37</v>
      </c>
      <c r="C83" s="1">
        <v>1</v>
      </c>
    </row>
    <row r="84" spans="1:5" ht="12.75" customHeight="1" x14ac:dyDescent="0.3">
      <c r="A84" s="1" t="s">
        <v>112</v>
      </c>
      <c r="B84" s="1" t="s">
        <v>38</v>
      </c>
      <c r="C84" s="1">
        <v>1</v>
      </c>
    </row>
    <row r="85" spans="1:5" ht="12.75" customHeight="1" x14ac:dyDescent="0.3">
      <c r="A85" s="1" t="s">
        <v>113</v>
      </c>
      <c r="B85" s="1" t="s">
        <v>21</v>
      </c>
      <c r="E85" s="1">
        <v>1</v>
      </c>
    </row>
    <row r="86" spans="1:5" ht="12.75" customHeight="1" x14ac:dyDescent="0.3">
      <c r="A86" s="1" t="s">
        <v>114</v>
      </c>
      <c r="B86" s="1" t="s">
        <v>42</v>
      </c>
      <c r="C86" s="1">
        <v>1</v>
      </c>
    </row>
    <row r="87" spans="1:5" ht="12.75" customHeight="1" x14ac:dyDescent="0.3">
      <c r="A87" s="1" t="s">
        <v>115</v>
      </c>
      <c r="B87" s="1" t="s">
        <v>21</v>
      </c>
      <c r="E87" s="1">
        <v>1</v>
      </c>
    </row>
    <row r="88" spans="1:5" ht="12.75" customHeight="1" x14ac:dyDescent="0.3">
      <c r="A88" s="1" t="s">
        <v>116</v>
      </c>
      <c r="B88" s="1" t="s">
        <v>30</v>
      </c>
      <c r="D88" s="1">
        <v>1</v>
      </c>
    </row>
    <row r="89" spans="1:5" ht="12.75" customHeight="1" x14ac:dyDescent="0.3">
      <c r="A89" s="1" t="s">
        <v>117</v>
      </c>
      <c r="B89" s="1" t="s">
        <v>16</v>
      </c>
      <c r="C89" s="1">
        <v>1</v>
      </c>
    </row>
    <row r="90" spans="1:5" ht="12.75" customHeight="1" x14ac:dyDescent="0.3">
      <c r="A90" s="1" t="s">
        <v>118</v>
      </c>
      <c r="B90" s="1" t="s">
        <v>16</v>
      </c>
      <c r="D90" s="1">
        <v>1</v>
      </c>
    </row>
    <row r="91" spans="1:5" ht="12.75" customHeight="1" x14ac:dyDescent="0.3">
      <c r="A91" s="1" t="s">
        <v>119</v>
      </c>
      <c r="B91" s="1" t="s">
        <v>66</v>
      </c>
      <c r="E91" s="1">
        <v>1</v>
      </c>
    </row>
    <row r="92" spans="1:5" ht="12.75" customHeight="1" x14ac:dyDescent="0.3">
      <c r="A92" s="1" t="s">
        <v>120</v>
      </c>
      <c r="B92" s="1" t="s">
        <v>13</v>
      </c>
      <c r="E92" s="1">
        <v>1</v>
      </c>
    </row>
    <row r="93" spans="1:5" ht="12.75" customHeight="1" x14ac:dyDescent="0.3">
      <c r="A93" s="1" t="s">
        <v>121</v>
      </c>
      <c r="B93" s="1" t="s">
        <v>30</v>
      </c>
      <c r="E93" s="1">
        <v>1</v>
      </c>
    </row>
    <row r="94" spans="1:5" ht="12.75" customHeight="1" x14ac:dyDescent="0.3">
      <c r="A94" s="1" t="s">
        <v>122</v>
      </c>
      <c r="B94" s="1" t="s">
        <v>24</v>
      </c>
      <c r="D94" s="1">
        <v>1</v>
      </c>
    </row>
    <row r="95" spans="1:5" ht="12.75" customHeight="1" x14ac:dyDescent="0.3">
      <c r="A95" s="1" t="s">
        <v>123</v>
      </c>
      <c r="B95" s="1" t="s">
        <v>21</v>
      </c>
      <c r="E95" s="1">
        <v>1</v>
      </c>
    </row>
    <row r="96" spans="1:5" ht="12.75" customHeight="1" x14ac:dyDescent="0.3">
      <c r="A96" s="1" t="s">
        <v>124</v>
      </c>
      <c r="B96" s="1" t="s">
        <v>14</v>
      </c>
      <c r="C96" s="1">
        <v>1</v>
      </c>
    </row>
    <row r="97" spans="1:5" ht="12.75" customHeight="1" x14ac:dyDescent="0.3">
      <c r="A97" s="1" t="s">
        <v>125</v>
      </c>
      <c r="B97" s="1" t="s">
        <v>66</v>
      </c>
      <c r="C97" s="1">
        <v>1</v>
      </c>
    </row>
    <row r="98" spans="1:5" ht="12.75" customHeight="1" x14ac:dyDescent="0.3">
      <c r="A98" s="1" t="s">
        <v>126</v>
      </c>
      <c r="B98" s="1" t="s">
        <v>30</v>
      </c>
      <c r="E98" s="1">
        <v>1</v>
      </c>
    </row>
    <row r="99" spans="1:5" ht="12.75" customHeight="1" x14ac:dyDescent="0.3">
      <c r="A99" s="1" t="s">
        <v>127</v>
      </c>
      <c r="B99" s="1" t="s">
        <v>27</v>
      </c>
      <c r="D99" s="1">
        <v>1</v>
      </c>
    </row>
    <row r="100" spans="1:5" ht="12.75" customHeight="1" x14ac:dyDescent="0.3">
      <c r="A100" s="1" t="s">
        <v>128</v>
      </c>
      <c r="B100" s="1" t="s">
        <v>30</v>
      </c>
      <c r="E100" s="1">
        <v>1</v>
      </c>
    </row>
    <row r="101" spans="1:5" ht="12.75" customHeight="1" x14ac:dyDescent="0.3">
      <c r="A101" s="1" t="s">
        <v>129</v>
      </c>
      <c r="B101" s="1" t="s">
        <v>27</v>
      </c>
      <c r="D101" s="1">
        <v>1</v>
      </c>
    </row>
    <row r="102" spans="1:5" ht="12.75" customHeight="1" x14ac:dyDescent="0.3">
      <c r="A102" s="1" t="s">
        <v>130</v>
      </c>
      <c r="B102" s="1" t="s">
        <v>16</v>
      </c>
      <c r="E102" s="1">
        <v>1</v>
      </c>
    </row>
    <row r="103" spans="1:5" ht="12.75" customHeight="1" x14ac:dyDescent="0.3">
      <c r="A103" s="1" t="s">
        <v>131</v>
      </c>
      <c r="B103" s="1" t="s">
        <v>66</v>
      </c>
      <c r="C103" s="1">
        <v>1</v>
      </c>
    </row>
    <row r="104" spans="1:5" ht="12.75" customHeight="1" x14ac:dyDescent="0.3">
      <c r="A104" s="1" t="s">
        <v>132</v>
      </c>
      <c r="B104" s="1" t="s">
        <v>30</v>
      </c>
      <c r="E104" s="1">
        <v>1</v>
      </c>
    </row>
    <row r="105" spans="1:5" ht="12.75" customHeight="1" x14ac:dyDescent="0.3">
      <c r="A105" s="1" t="s">
        <v>133</v>
      </c>
      <c r="B105" s="1" t="s">
        <v>14</v>
      </c>
      <c r="C105" s="1">
        <v>1</v>
      </c>
    </row>
    <row r="106" spans="1:5" ht="12.75" customHeight="1" x14ac:dyDescent="0.3">
      <c r="A106" s="1" t="s">
        <v>134</v>
      </c>
      <c r="B106" s="1" t="s">
        <v>42</v>
      </c>
      <c r="C106" s="1">
        <v>1</v>
      </c>
    </row>
    <row r="107" spans="1:5" ht="12.75" customHeight="1" x14ac:dyDescent="0.3">
      <c r="A107" s="1" t="s">
        <v>135</v>
      </c>
      <c r="B107" s="1" t="s">
        <v>27</v>
      </c>
      <c r="D107" s="1">
        <v>1</v>
      </c>
    </row>
    <row r="108" spans="1:5" ht="12.75" customHeight="1" x14ac:dyDescent="0.3">
      <c r="A108" s="1" t="s">
        <v>136</v>
      </c>
      <c r="B108" s="1" t="s">
        <v>66</v>
      </c>
      <c r="E108" s="1">
        <v>1</v>
      </c>
    </row>
    <row r="109" spans="1:5" ht="12.75" customHeight="1" x14ac:dyDescent="0.3">
      <c r="A109" s="1" t="s">
        <v>137</v>
      </c>
      <c r="B109" s="1" t="s">
        <v>13</v>
      </c>
      <c r="D109" s="1">
        <v>1</v>
      </c>
    </row>
    <row r="110" spans="1:5" ht="12.75" customHeight="1" x14ac:dyDescent="0.3">
      <c r="A110" s="1" t="s">
        <v>138</v>
      </c>
      <c r="B110" s="1" t="s">
        <v>42</v>
      </c>
      <c r="C110" s="1">
        <v>1</v>
      </c>
    </row>
    <row r="111" spans="1:5" ht="12.75" customHeight="1" x14ac:dyDescent="0.3">
      <c r="A111" s="1" t="s">
        <v>139</v>
      </c>
      <c r="B111" s="1" t="s">
        <v>27</v>
      </c>
      <c r="E111" s="1">
        <v>1</v>
      </c>
    </row>
    <row r="112" spans="1:5" ht="12.75" customHeight="1" x14ac:dyDescent="0.3">
      <c r="A112" s="1" t="s">
        <v>140</v>
      </c>
      <c r="B112" s="1" t="s">
        <v>16</v>
      </c>
      <c r="D112" s="1">
        <v>1</v>
      </c>
    </row>
    <row r="113" spans="1:6" ht="12.75" customHeight="1" x14ac:dyDescent="0.3">
      <c r="A113" s="1" t="s">
        <v>141</v>
      </c>
      <c r="B113" s="1" t="s">
        <v>14</v>
      </c>
      <c r="C113" s="1">
        <v>1</v>
      </c>
    </row>
    <row r="114" spans="1:6" ht="12.75" customHeight="1" x14ac:dyDescent="0.3">
      <c r="A114" s="1" t="s">
        <v>142</v>
      </c>
      <c r="B114" s="1" t="s">
        <v>16</v>
      </c>
      <c r="D114" s="1">
        <v>1</v>
      </c>
    </row>
    <row r="115" spans="1:6" ht="12.75" customHeight="1" x14ac:dyDescent="0.3">
      <c r="A115" s="1" t="s">
        <v>143</v>
      </c>
      <c r="B115" s="1" t="s">
        <v>24</v>
      </c>
      <c r="D115" s="1">
        <v>1</v>
      </c>
    </row>
    <row r="116" spans="1:6" ht="12.75" customHeight="1" x14ac:dyDescent="0.3">
      <c r="A116" s="1" t="s">
        <v>144</v>
      </c>
      <c r="B116" s="1" t="s">
        <v>66</v>
      </c>
      <c r="E116" s="1">
        <v>1</v>
      </c>
    </row>
    <row r="117" spans="1:6" ht="12.75" customHeight="1" x14ac:dyDescent="0.3">
      <c r="A117" s="1" t="s">
        <v>145</v>
      </c>
      <c r="B117" s="1" t="s">
        <v>27</v>
      </c>
      <c r="D117" s="1">
        <v>1</v>
      </c>
    </row>
    <row r="118" spans="1:6" ht="12.75" customHeight="1" x14ac:dyDescent="0.3">
      <c r="A118" s="1" t="s">
        <v>146</v>
      </c>
      <c r="B118" s="1" t="s">
        <v>30</v>
      </c>
      <c r="E118" s="1">
        <v>1</v>
      </c>
    </row>
    <row r="119" spans="1:6" ht="12.75" customHeight="1" x14ac:dyDescent="0.3">
      <c r="A119" s="1" t="s">
        <v>147</v>
      </c>
      <c r="B119" s="1" t="s">
        <v>42</v>
      </c>
      <c r="C119" s="1">
        <v>1</v>
      </c>
    </row>
    <row r="120" spans="1:6" ht="12.75" customHeight="1" x14ac:dyDescent="0.3">
      <c r="A120" s="1" t="s">
        <v>148</v>
      </c>
      <c r="B120" s="1" t="s">
        <v>13</v>
      </c>
      <c r="F120" s="1">
        <v>1</v>
      </c>
    </row>
    <row r="121" spans="1:6" ht="12.75" customHeight="1" x14ac:dyDescent="0.3">
      <c r="A121" s="1" t="s">
        <v>149</v>
      </c>
      <c r="B121" s="1" t="s">
        <v>150</v>
      </c>
      <c r="F121" s="1">
        <v>1</v>
      </c>
    </row>
    <row r="122" spans="1:6" ht="12.75" customHeight="1" x14ac:dyDescent="0.3">
      <c r="A122" s="1" t="s">
        <v>151</v>
      </c>
      <c r="B122" s="1" t="s">
        <v>24</v>
      </c>
      <c r="C122" s="1">
        <v>1</v>
      </c>
    </row>
    <row r="123" spans="1:6" ht="12.75" customHeight="1" x14ac:dyDescent="0.3">
      <c r="A123" s="1" t="s">
        <v>152</v>
      </c>
      <c r="B123" s="1" t="s">
        <v>24</v>
      </c>
      <c r="C123" s="1">
        <v>1</v>
      </c>
    </row>
    <row r="124" spans="1:6" ht="12.75" customHeight="1" x14ac:dyDescent="0.3">
      <c r="A124" s="1" t="s">
        <v>153</v>
      </c>
      <c r="B124" s="1" t="s">
        <v>19</v>
      </c>
      <c r="C124" s="1">
        <v>1</v>
      </c>
    </row>
    <row r="125" spans="1:6" ht="12.75" customHeight="1" x14ac:dyDescent="0.3">
      <c r="A125" s="1" t="s">
        <v>154</v>
      </c>
      <c r="B125" s="1" t="s">
        <v>33</v>
      </c>
      <c r="C125" s="1">
        <v>1</v>
      </c>
    </row>
    <row r="126" spans="1:6" ht="12.75" customHeight="1" x14ac:dyDescent="0.3">
      <c r="A126" s="1" t="s">
        <v>155</v>
      </c>
      <c r="B126" s="1" t="s">
        <v>13</v>
      </c>
      <c r="D126" s="1">
        <v>1</v>
      </c>
    </row>
    <row r="127" spans="1:6" ht="12.75" customHeight="1" x14ac:dyDescent="0.3">
      <c r="A127" s="1" t="s">
        <v>156</v>
      </c>
      <c r="B127" s="1" t="s">
        <v>13</v>
      </c>
      <c r="D127" s="1">
        <v>1</v>
      </c>
    </row>
    <row r="128" spans="1:6" ht="12.75" customHeight="1" x14ac:dyDescent="0.3">
      <c r="A128" s="1" t="s">
        <v>157</v>
      </c>
      <c r="B128" s="1" t="s">
        <v>14</v>
      </c>
      <c r="D128" s="1">
        <v>1</v>
      </c>
    </row>
    <row r="129" spans="1:5" ht="12.75" customHeight="1" x14ac:dyDescent="0.3">
      <c r="A129" s="1" t="s">
        <v>158</v>
      </c>
      <c r="B129" s="1" t="s">
        <v>16</v>
      </c>
      <c r="C129" s="1">
        <v>1</v>
      </c>
    </row>
    <row r="130" spans="1:5" ht="12.75" customHeight="1" x14ac:dyDescent="0.3">
      <c r="A130" s="1" t="s">
        <v>159</v>
      </c>
      <c r="B130" s="1" t="s">
        <v>13</v>
      </c>
      <c r="C130" s="1">
        <v>1</v>
      </c>
    </row>
    <row r="131" spans="1:5" ht="12.75" customHeight="1" x14ac:dyDescent="0.3">
      <c r="A131" s="1" t="s">
        <v>160</v>
      </c>
      <c r="B131" s="1" t="s">
        <v>66</v>
      </c>
      <c r="E131" s="1">
        <v>1</v>
      </c>
    </row>
    <row r="132" spans="1:5" ht="12.75" customHeight="1" x14ac:dyDescent="0.3">
      <c r="A132" s="1" t="s">
        <v>161</v>
      </c>
      <c r="B132" s="1" t="s">
        <v>38</v>
      </c>
      <c r="C132" s="1">
        <v>1</v>
      </c>
    </row>
    <row r="133" spans="1:5" ht="12.75" customHeight="1" x14ac:dyDescent="0.3">
      <c r="A133" s="1" t="s">
        <v>162</v>
      </c>
      <c r="B133" s="1" t="s">
        <v>13</v>
      </c>
      <c r="D133" s="1">
        <v>1</v>
      </c>
    </row>
    <row r="134" spans="1:5" ht="12.75" customHeight="1" x14ac:dyDescent="0.3">
      <c r="A134" s="1" t="s">
        <v>163</v>
      </c>
      <c r="B134" s="1" t="s">
        <v>66</v>
      </c>
      <c r="E134" s="1">
        <v>1</v>
      </c>
    </row>
    <row r="135" spans="1:5" ht="12.75" customHeight="1" x14ac:dyDescent="0.3">
      <c r="A135" s="1" t="s">
        <v>164</v>
      </c>
      <c r="B135" s="1" t="s">
        <v>21</v>
      </c>
      <c r="E135" s="1">
        <v>1</v>
      </c>
    </row>
    <row r="136" spans="1:5" ht="12.75" customHeight="1" x14ac:dyDescent="0.3">
      <c r="A136" s="1" t="s">
        <v>165</v>
      </c>
      <c r="B136" s="1" t="s">
        <v>30</v>
      </c>
      <c r="E136" s="1">
        <v>1</v>
      </c>
    </row>
    <row r="137" spans="1:5" ht="12.75" customHeight="1" x14ac:dyDescent="0.3">
      <c r="A137" s="1" t="s">
        <v>166</v>
      </c>
      <c r="B137" s="1" t="s">
        <v>30</v>
      </c>
      <c r="E137" s="1">
        <v>1</v>
      </c>
    </row>
    <row r="138" spans="1:5" ht="12.75" customHeight="1" x14ac:dyDescent="0.3">
      <c r="A138" s="1" t="s">
        <v>167</v>
      </c>
      <c r="B138" s="1" t="s">
        <v>19</v>
      </c>
      <c r="C138" s="1">
        <v>1</v>
      </c>
    </row>
    <row r="139" spans="1:5" ht="12.75" customHeight="1" x14ac:dyDescent="0.3">
      <c r="A139" s="1" t="s">
        <v>168</v>
      </c>
      <c r="B139" s="1" t="s">
        <v>13</v>
      </c>
      <c r="D139" s="1">
        <v>1</v>
      </c>
    </row>
    <row r="140" spans="1:5" ht="12.75" customHeight="1" x14ac:dyDescent="0.3">
      <c r="A140" s="1" t="s">
        <v>169</v>
      </c>
      <c r="B140" s="1" t="s">
        <v>27</v>
      </c>
      <c r="D140" s="1">
        <v>1</v>
      </c>
    </row>
    <row r="141" spans="1:5" ht="12.75" customHeight="1" x14ac:dyDescent="0.3">
      <c r="A141" s="1" t="s">
        <v>170</v>
      </c>
      <c r="B141" s="1" t="s">
        <v>16</v>
      </c>
      <c r="C141" s="1">
        <v>1</v>
      </c>
    </row>
    <row r="142" spans="1:5" ht="12.75" customHeight="1" x14ac:dyDescent="0.3">
      <c r="A142" s="1" t="s">
        <v>171</v>
      </c>
      <c r="B142" s="1" t="s">
        <v>19</v>
      </c>
      <c r="C142" s="1">
        <v>1</v>
      </c>
    </row>
    <row r="143" spans="1:5" ht="12.75" customHeight="1" x14ac:dyDescent="0.3">
      <c r="A143" s="1" t="s">
        <v>172</v>
      </c>
      <c r="B143" s="1" t="s">
        <v>37</v>
      </c>
      <c r="C143" s="1">
        <v>1</v>
      </c>
    </row>
    <row r="144" spans="1:5" ht="12.75" customHeight="1" x14ac:dyDescent="0.3">
      <c r="A144" s="1" t="s">
        <v>173</v>
      </c>
      <c r="B144" s="1" t="s">
        <v>27</v>
      </c>
      <c r="C144" s="1">
        <v>1</v>
      </c>
    </row>
    <row r="145" spans="1:5" ht="12.75" customHeight="1" x14ac:dyDescent="0.3">
      <c r="A145" s="1" t="s">
        <v>174</v>
      </c>
      <c r="B145" s="1" t="s">
        <v>66</v>
      </c>
      <c r="E145" s="1">
        <v>1</v>
      </c>
    </row>
    <row r="146" spans="1:5" ht="12.75" customHeight="1" x14ac:dyDescent="0.3">
      <c r="A146" s="1" t="s">
        <v>175</v>
      </c>
      <c r="B146" s="1" t="s">
        <v>14</v>
      </c>
      <c r="C146" s="1">
        <v>1</v>
      </c>
    </row>
    <row r="147" spans="1:5" ht="12.75" customHeight="1" x14ac:dyDescent="0.3">
      <c r="A147" s="1" t="s">
        <v>176</v>
      </c>
      <c r="B147" s="1" t="s">
        <v>66</v>
      </c>
      <c r="E147" s="1">
        <v>1</v>
      </c>
    </row>
    <row r="148" spans="1:5" ht="12.75" customHeight="1" x14ac:dyDescent="0.3">
      <c r="A148" s="1" t="s">
        <v>177</v>
      </c>
      <c r="B148" s="1" t="s">
        <v>42</v>
      </c>
      <c r="C148" s="1">
        <v>1</v>
      </c>
    </row>
    <row r="149" spans="1:5" ht="12.75" customHeight="1" x14ac:dyDescent="0.3">
      <c r="A149" s="1" t="s">
        <v>178</v>
      </c>
      <c r="B149" s="1" t="s">
        <v>33</v>
      </c>
      <c r="C149" s="1">
        <v>1</v>
      </c>
    </row>
    <row r="150" spans="1:5" ht="12.75" customHeight="1" x14ac:dyDescent="0.3">
      <c r="A150" s="1" t="s">
        <v>179</v>
      </c>
      <c r="B150" s="1" t="s">
        <v>14</v>
      </c>
      <c r="C150" s="1">
        <v>1</v>
      </c>
    </row>
    <row r="151" spans="1:5" ht="12.75" customHeight="1" x14ac:dyDescent="0.3">
      <c r="A151" s="1" t="s">
        <v>180</v>
      </c>
      <c r="B151" s="1" t="s">
        <v>13</v>
      </c>
      <c r="D151" s="1">
        <v>1</v>
      </c>
    </row>
    <row r="152" spans="1:5" ht="12.75" customHeight="1" x14ac:dyDescent="0.3">
      <c r="A152" s="1" t="s">
        <v>181</v>
      </c>
      <c r="B152" s="1" t="s">
        <v>24</v>
      </c>
      <c r="E152" s="1">
        <v>1</v>
      </c>
    </row>
    <row r="153" spans="1:5" ht="12.75" customHeight="1" x14ac:dyDescent="0.3">
      <c r="A153" s="1" t="s">
        <v>182</v>
      </c>
      <c r="B153" s="1" t="s">
        <v>19</v>
      </c>
      <c r="C153" s="1">
        <v>1</v>
      </c>
    </row>
    <row r="154" spans="1:5" ht="12.75" customHeight="1" x14ac:dyDescent="0.3">
      <c r="A154" s="1" t="s">
        <v>183</v>
      </c>
      <c r="B154" s="1" t="s">
        <v>42</v>
      </c>
      <c r="C154" s="1">
        <v>1</v>
      </c>
    </row>
    <row r="155" spans="1:5" ht="12.75" customHeight="1" x14ac:dyDescent="0.3">
      <c r="A155" s="1" t="s">
        <v>184</v>
      </c>
      <c r="B155" s="1" t="s">
        <v>19</v>
      </c>
      <c r="C155" s="1">
        <v>1</v>
      </c>
    </row>
    <row r="156" spans="1:5" ht="12.75" customHeight="1" x14ac:dyDescent="0.3">
      <c r="A156" s="1" t="s">
        <v>185</v>
      </c>
      <c r="B156" s="1" t="s">
        <v>30</v>
      </c>
      <c r="E156" s="1">
        <v>1</v>
      </c>
    </row>
    <row r="157" spans="1:5" ht="12.75" customHeight="1" x14ac:dyDescent="0.3"/>
    <row r="158" spans="1:5" ht="12.75" customHeight="1" x14ac:dyDescent="0.3"/>
    <row r="159" spans="1:5" ht="12.75" customHeight="1" x14ac:dyDescent="0.3"/>
    <row r="160" spans="1:5" ht="12.75" customHeight="1" x14ac:dyDescent="0.3"/>
    <row r="161" s="1" customFormat="1" ht="12.75" customHeight="1" x14ac:dyDescent="0.3"/>
    <row r="162" s="1" customFormat="1" ht="12.75" customHeight="1" x14ac:dyDescent="0.3"/>
    <row r="163" s="1" customFormat="1" ht="12.75" customHeight="1" x14ac:dyDescent="0.3"/>
    <row r="164" s="1" customFormat="1" ht="12.75" customHeight="1" x14ac:dyDescent="0.3"/>
    <row r="165" s="1" customFormat="1" ht="12.75" customHeight="1" x14ac:dyDescent="0.3"/>
    <row r="166" s="1" customFormat="1" ht="12.75" customHeight="1" x14ac:dyDescent="0.3"/>
    <row r="167" s="1" customFormat="1" ht="12.75" customHeight="1" x14ac:dyDescent="0.3"/>
    <row r="168" s="1" customFormat="1" ht="12.75" customHeight="1" x14ac:dyDescent="0.3"/>
    <row r="169" s="1" customFormat="1" ht="12.75" customHeight="1" x14ac:dyDescent="0.3"/>
    <row r="170" s="1" customFormat="1" ht="12.75" customHeight="1" x14ac:dyDescent="0.3"/>
    <row r="171" s="1" customFormat="1" ht="12.75" customHeight="1" x14ac:dyDescent="0.3"/>
    <row r="172" s="1" customFormat="1" ht="12.75" customHeight="1" x14ac:dyDescent="0.3"/>
    <row r="173" s="1" customFormat="1" ht="12.75" customHeight="1" x14ac:dyDescent="0.3"/>
    <row r="174" s="1" customFormat="1" ht="12.75" customHeight="1" x14ac:dyDescent="0.3"/>
    <row r="175" s="1" customFormat="1" ht="12.75" customHeight="1" x14ac:dyDescent="0.3"/>
    <row r="176" s="1" customFormat="1" ht="12.75" customHeight="1" x14ac:dyDescent="0.3"/>
    <row r="177" s="1" customFormat="1" ht="12.75" customHeight="1" x14ac:dyDescent="0.3"/>
    <row r="178" s="1" customFormat="1" ht="12.75" customHeight="1" x14ac:dyDescent="0.3"/>
    <row r="179" s="1" customFormat="1" ht="12.75" customHeight="1" x14ac:dyDescent="0.3"/>
    <row r="180" s="1" customFormat="1" ht="12.75" customHeight="1" x14ac:dyDescent="0.3"/>
    <row r="181" s="1" customFormat="1" ht="12.75" customHeight="1" x14ac:dyDescent="0.3"/>
    <row r="182" s="1" customFormat="1" ht="12.75" customHeight="1" x14ac:dyDescent="0.3"/>
    <row r="183" s="1" customFormat="1" ht="12.75" customHeight="1" x14ac:dyDescent="0.3"/>
    <row r="184" s="1" customFormat="1" ht="12.75" customHeight="1" x14ac:dyDescent="0.3"/>
    <row r="185" s="1" customFormat="1" ht="12.75" customHeight="1" x14ac:dyDescent="0.3"/>
    <row r="186" s="1" customFormat="1" ht="12.75" customHeight="1" x14ac:dyDescent="0.3"/>
    <row r="187" s="1" customFormat="1" ht="12.75" customHeight="1" x14ac:dyDescent="0.3"/>
    <row r="188" s="1" customFormat="1" ht="12.75" customHeight="1" x14ac:dyDescent="0.3"/>
    <row r="189" s="1" customFormat="1" ht="12.75" customHeight="1" x14ac:dyDescent="0.3"/>
    <row r="190" s="1" customFormat="1" ht="12.75" customHeight="1" x14ac:dyDescent="0.3"/>
    <row r="191" s="1" customFormat="1" ht="12.75" customHeight="1" x14ac:dyDescent="0.3"/>
    <row r="192" s="1" customFormat="1" ht="12.75" customHeight="1" x14ac:dyDescent="0.3"/>
    <row r="193" s="1" customFormat="1" ht="12.75" customHeight="1" x14ac:dyDescent="0.3"/>
    <row r="194" s="1" customFormat="1" ht="12.75" customHeight="1" x14ac:dyDescent="0.3"/>
    <row r="195" s="1" customFormat="1" ht="12.75" customHeight="1" x14ac:dyDescent="0.3"/>
    <row r="196" s="1" customFormat="1" ht="12.75" customHeight="1" x14ac:dyDescent="0.3"/>
    <row r="197" s="1" customFormat="1" ht="12.75" customHeight="1" x14ac:dyDescent="0.3"/>
    <row r="198" s="1" customFormat="1" ht="12.75" customHeight="1" x14ac:dyDescent="0.3"/>
    <row r="199" s="1" customFormat="1" ht="12.75" customHeight="1" x14ac:dyDescent="0.3"/>
    <row r="200" s="1" customFormat="1" ht="12.75" customHeight="1" x14ac:dyDescent="0.3"/>
    <row r="201" s="1" customFormat="1" ht="12.75" customHeight="1" x14ac:dyDescent="0.3"/>
    <row r="202" s="1" customFormat="1" ht="12.75" customHeight="1" x14ac:dyDescent="0.3"/>
    <row r="203" s="1" customFormat="1" ht="12.75" customHeight="1" x14ac:dyDescent="0.3"/>
    <row r="204" s="1" customFormat="1" ht="12.75" customHeight="1" x14ac:dyDescent="0.3"/>
    <row r="205" s="1" customFormat="1" ht="12.75" customHeight="1" x14ac:dyDescent="0.3"/>
    <row r="206" s="1" customFormat="1" ht="12.75" customHeight="1" x14ac:dyDescent="0.3"/>
    <row r="207" s="1" customFormat="1" ht="12.75" customHeight="1" x14ac:dyDescent="0.3"/>
    <row r="208" s="1" customFormat="1" ht="12.75" customHeight="1" x14ac:dyDescent="0.3"/>
    <row r="209" s="1" customFormat="1" ht="12.75" customHeight="1" x14ac:dyDescent="0.3"/>
    <row r="210" s="1" customFormat="1" ht="12.75" customHeight="1" x14ac:dyDescent="0.3"/>
    <row r="211" s="1" customFormat="1" ht="12.75" customHeight="1" x14ac:dyDescent="0.3"/>
    <row r="212" s="1" customFormat="1" ht="12.75" customHeight="1" x14ac:dyDescent="0.3"/>
    <row r="213" s="1" customFormat="1" ht="12.75" customHeight="1" x14ac:dyDescent="0.3"/>
    <row r="214" s="1" customFormat="1" ht="12.75" customHeight="1" x14ac:dyDescent="0.3"/>
    <row r="215" s="1" customFormat="1" ht="12.75" customHeight="1" x14ac:dyDescent="0.3"/>
    <row r="216" s="1" customFormat="1" ht="12.75" customHeight="1" x14ac:dyDescent="0.3"/>
    <row r="217" s="1" customFormat="1" ht="12.75" customHeight="1" x14ac:dyDescent="0.3"/>
    <row r="218" s="1" customFormat="1" ht="12.75" customHeight="1" x14ac:dyDescent="0.3"/>
    <row r="219" s="1" customFormat="1" ht="12.75" customHeight="1" x14ac:dyDescent="0.3"/>
    <row r="220" s="1" customFormat="1" ht="12.75" customHeight="1" x14ac:dyDescent="0.3"/>
    <row r="221" s="1" customFormat="1" ht="12.75" customHeight="1" x14ac:dyDescent="0.3"/>
    <row r="222" s="1" customFormat="1" ht="12.75" customHeight="1" x14ac:dyDescent="0.3"/>
    <row r="223" s="1" customFormat="1" ht="12.75" customHeight="1" x14ac:dyDescent="0.3"/>
    <row r="224" s="1" customFormat="1" ht="12.75" customHeight="1" x14ac:dyDescent="0.3"/>
    <row r="225" s="1" customFormat="1" ht="12.75" customHeight="1" x14ac:dyDescent="0.3"/>
    <row r="226" s="1" customFormat="1" ht="12.75" customHeight="1" x14ac:dyDescent="0.3"/>
    <row r="227" s="1" customFormat="1" ht="12.75" customHeight="1" x14ac:dyDescent="0.3"/>
    <row r="228" s="1" customFormat="1" ht="12.75" customHeight="1" x14ac:dyDescent="0.3"/>
    <row r="229" s="1" customFormat="1" ht="12.75" customHeight="1" x14ac:dyDescent="0.3"/>
    <row r="230" s="1" customFormat="1" ht="12.75" customHeight="1" x14ac:dyDescent="0.3"/>
    <row r="231" s="1" customFormat="1" ht="12.75" customHeight="1" x14ac:dyDescent="0.3"/>
    <row r="232" s="1" customFormat="1" ht="12.75" customHeight="1" x14ac:dyDescent="0.3"/>
    <row r="233" s="1" customFormat="1" ht="12.75" customHeight="1" x14ac:dyDescent="0.3"/>
    <row r="234" s="1" customFormat="1" ht="12.75" customHeight="1" x14ac:dyDescent="0.3"/>
    <row r="235" s="1" customFormat="1" ht="12.75" customHeight="1" x14ac:dyDescent="0.3"/>
    <row r="236" s="1" customFormat="1" ht="12.75" customHeight="1" x14ac:dyDescent="0.3"/>
    <row r="237" s="1" customFormat="1" ht="12.75" customHeight="1" x14ac:dyDescent="0.3"/>
    <row r="238" s="1" customFormat="1" ht="12.75" customHeight="1" x14ac:dyDescent="0.3"/>
    <row r="239" s="1" customFormat="1" ht="12.75" customHeight="1" x14ac:dyDescent="0.3"/>
    <row r="240" s="1" customFormat="1" ht="12.75" customHeight="1" x14ac:dyDescent="0.3"/>
    <row r="241" s="1" customFormat="1" ht="12.75" customHeight="1" x14ac:dyDescent="0.3"/>
    <row r="242" s="1" customFormat="1" ht="12.75" customHeight="1" x14ac:dyDescent="0.3"/>
    <row r="243" s="1" customFormat="1" ht="12.75" customHeight="1" x14ac:dyDescent="0.3"/>
    <row r="244" s="1" customFormat="1" ht="12.75" customHeight="1" x14ac:dyDescent="0.3"/>
    <row r="245" s="1" customFormat="1" ht="12.75" customHeight="1" x14ac:dyDescent="0.3"/>
    <row r="246" s="1" customFormat="1" ht="12.75" customHeight="1" x14ac:dyDescent="0.3"/>
    <row r="247" s="1" customFormat="1" ht="12.75" customHeight="1" x14ac:dyDescent="0.3"/>
    <row r="248" s="1" customFormat="1" ht="12.75" customHeight="1" x14ac:dyDescent="0.3"/>
    <row r="249" s="1" customFormat="1" ht="12.75" customHeight="1" x14ac:dyDescent="0.3"/>
    <row r="250" s="1" customFormat="1" ht="12.75" customHeight="1" x14ac:dyDescent="0.3"/>
    <row r="251" s="1" customFormat="1" ht="12.75" customHeight="1" x14ac:dyDescent="0.3"/>
    <row r="252" s="1" customFormat="1" ht="12.75" customHeight="1" x14ac:dyDescent="0.3"/>
    <row r="253" s="1" customFormat="1" ht="12.75" customHeight="1" x14ac:dyDescent="0.3"/>
    <row r="254" s="1" customFormat="1" ht="12.75" customHeight="1" x14ac:dyDescent="0.3"/>
    <row r="255" s="1" customFormat="1" ht="12.75" customHeight="1" x14ac:dyDescent="0.3"/>
    <row r="256" s="1" customFormat="1" ht="12.75" customHeight="1" x14ac:dyDescent="0.3"/>
    <row r="257" s="1" customFormat="1" ht="12.75" customHeight="1" x14ac:dyDescent="0.3"/>
    <row r="258" s="1" customFormat="1" ht="12.75" customHeight="1" x14ac:dyDescent="0.3"/>
    <row r="259" s="1" customFormat="1" ht="12.75" customHeight="1" x14ac:dyDescent="0.3"/>
    <row r="260" s="1" customFormat="1" ht="12.75" customHeight="1" x14ac:dyDescent="0.3"/>
    <row r="261" s="1" customFormat="1" ht="12.75" customHeight="1" x14ac:dyDescent="0.3"/>
    <row r="262" s="1" customFormat="1" ht="12.75" customHeight="1" x14ac:dyDescent="0.3"/>
    <row r="263" s="1" customFormat="1" ht="12.75" customHeight="1" x14ac:dyDescent="0.3"/>
    <row r="264" s="1" customFormat="1" ht="12.75" customHeight="1" x14ac:dyDescent="0.3"/>
    <row r="265" s="1" customFormat="1" ht="12.75" customHeight="1" x14ac:dyDescent="0.3"/>
    <row r="266" s="1" customFormat="1" ht="12.75" customHeight="1" x14ac:dyDescent="0.3"/>
    <row r="267" s="1" customFormat="1" ht="12.75" customHeight="1" x14ac:dyDescent="0.3"/>
    <row r="268" s="1" customFormat="1" ht="12.75" customHeight="1" x14ac:dyDescent="0.3"/>
    <row r="269" s="1" customFormat="1" ht="12.75" customHeight="1" x14ac:dyDescent="0.3"/>
    <row r="270" s="1" customFormat="1" ht="12.75" customHeight="1" x14ac:dyDescent="0.3"/>
    <row r="271" s="1" customFormat="1" ht="12.75" customHeight="1" x14ac:dyDescent="0.3"/>
    <row r="272" s="1" customFormat="1" ht="12.75" customHeight="1" x14ac:dyDescent="0.3"/>
    <row r="273" s="1" customFormat="1" ht="12.75" customHeight="1" x14ac:dyDescent="0.3"/>
    <row r="274" s="1" customFormat="1" ht="12.75" customHeight="1" x14ac:dyDescent="0.3"/>
    <row r="275" s="1" customFormat="1" ht="12.75" customHeight="1" x14ac:dyDescent="0.3"/>
    <row r="276" s="1" customFormat="1" ht="12.75" customHeight="1" x14ac:dyDescent="0.3"/>
    <row r="277" s="1" customFormat="1" ht="12.75" customHeight="1" x14ac:dyDescent="0.3"/>
    <row r="278" s="1" customFormat="1" ht="12.75" customHeight="1" x14ac:dyDescent="0.3"/>
    <row r="279" s="1" customFormat="1" ht="12.75" customHeight="1" x14ac:dyDescent="0.3"/>
    <row r="280" s="1" customFormat="1" ht="12.75" customHeight="1" x14ac:dyDescent="0.3"/>
    <row r="281" s="1" customFormat="1" ht="12.75" customHeight="1" x14ac:dyDescent="0.3"/>
    <row r="282" s="1" customFormat="1" ht="12.75" customHeight="1" x14ac:dyDescent="0.3"/>
    <row r="283" s="1" customFormat="1" ht="12.75" customHeight="1" x14ac:dyDescent="0.3"/>
    <row r="284" s="1" customFormat="1" ht="12.75" customHeight="1" x14ac:dyDescent="0.3"/>
    <row r="285" s="1" customFormat="1" ht="12.75" customHeight="1" x14ac:dyDescent="0.3"/>
    <row r="286" s="1" customFormat="1" ht="12.75" customHeight="1" x14ac:dyDescent="0.3"/>
    <row r="287" s="1" customFormat="1" ht="12.75" customHeight="1" x14ac:dyDescent="0.3"/>
    <row r="288" s="1" customFormat="1" ht="12.75" customHeight="1" x14ac:dyDescent="0.3"/>
    <row r="289" s="1" customFormat="1" ht="12.75" customHeight="1" x14ac:dyDescent="0.3"/>
    <row r="290" s="1" customFormat="1" ht="12.75" customHeight="1" x14ac:dyDescent="0.3"/>
    <row r="291" s="1" customFormat="1" ht="12.75" customHeight="1" x14ac:dyDescent="0.3"/>
    <row r="292" s="1" customFormat="1" ht="12.75" customHeight="1" x14ac:dyDescent="0.3"/>
    <row r="293" s="1" customFormat="1" ht="12.75" customHeight="1" x14ac:dyDescent="0.3"/>
    <row r="294" s="1" customFormat="1" ht="12.75" customHeight="1" x14ac:dyDescent="0.3"/>
    <row r="295" s="1" customFormat="1" ht="12.75" customHeight="1" x14ac:dyDescent="0.3"/>
    <row r="296" s="1" customFormat="1" ht="12.75" customHeight="1" x14ac:dyDescent="0.3"/>
    <row r="297" s="1" customFormat="1" ht="12.75" customHeight="1" x14ac:dyDescent="0.3"/>
    <row r="298" s="1" customFormat="1" ht="12.75" customHeight="1" x14ac:dyDescent="0.3"/>
    <row r="299" s="1" customFormat="1" ht="12.75" customHeight="1" x14ac:dyDescent="0.3"/>
    <row r="300" s="1" customFormat="1" ht="12.75" customHeight="1" x14ac:dyDescent="0.3"/>
    <row r="301" s="1" customFormat="1" ht="12.75" customHeight="1" x14ac:dyDescent="0.3"/>
    <row r="302" s="1" customFormat="1" ht="12.75" customHeight="1" x14ac:dyDescent="0.3"/>
    <row r="303" s="1" customFormat="1" ht="12.75" customHeight="1" x14ac:dyDescent="0.3"/>
    <row r="304" s="1" customFormat="1" ht="12.75" customHeight="1" x14ac:dyDescent="0.3"/>
    <row r="305" s="1" customFormat="1" ht="12.75" customHeight="1" x14ac:dyDescent="0.3"/>
    <row r="306" s="1" customFormat="1" ht="12.75" customHeight="1" x14ac:dyDescent="0.3"/>
    <row r="307" s="1" customFormat="1" ht="12.75" customHeight="1" x14ac:dyDescent="0.3"/>
    <row r="308" s="1" customFormat="1" ht="12.75" customHeight="1" x14ac:dyDescent="0.3"/>
    <row r="309" s="1" customFormat="1" ht="12.75" customHeight="1" x14ac:dyDescent="0.3"/>
    <row r="310" s="1" customFormat="1" ht="12.75" customHeight="1" x14ac:dyDescent="0.3"/>
    <row r="311" s="1" customFormat="1" ht="12.75" customHeight="1" x14ac:dyDescent="0.3"/>
    <row r="312" s="1" customFormat="1" ht="12.75" customHeight="1" x14ac:dyDescent="0.3"/>
    <row r="313" s="1" customFormat="1" ht="12.75" customHeight="1" x14ac:dyDescent="0.3"/>
    <row r="314" s="1" customFormat="1" ht="12.75" customHeight="1" x14ac:dyDescent="0.3"/>
    <row r="315" s="1" customFormat="1" ht="12.75" customHeight="1" x14ac:dyDescent="0.3"/>
    <row r="316" s="1" customFormat="1" ht="12.75" customHeight="1" x14ac:dyDescent="0.3"/>
    <row r="317" s="1" customFormat="1" ht="12.75" customHeight="1" x14ac:dyDescent="0.3"/>
    <row r="318" s="1" customFormat="1" ht="12.75" customHeight="1" x14ac:dyDescent="0.3"/>
    <row r="319" s="1" customFormat="1" ht="12.75" customHeight="1" x14ac:dyDescent="0.3"/>
    <row r="320" s="1" customFormat="1" ht="12.75" customHeight="1" x14ac:dyDescent="0.3"/>
    <row r="321" s="1" customFormat="1" ht="12.75" customHeight="1" x14ac:dyDescent="0.3"/>
    <row r="322" s="1" customFormat="1" ht="12.75" customHeight="1" x14ac:dyDescent="0.3"/>
    <row r="323" s="1" customFormat="1" ht="12.75" customHeight="1" x14ac:dyDescent="0.3"/>
    <row r="324" s="1" customFormat="1" ht="12.75" customHeight="1" x14ac:dyDescent="0.3"/>
    <row r="325" s="1" customFormat="1" ht="12.75" customHeight="1" x14ac:dyDescent="0.3"/>
    <row r="326" s="1" customFormat="1" ht="12.75" customHeight="1" x14ac:dyDescent="0.3"/>
    <row r="327" s="1" customFormat="1" ht="12.75" customHeight="1" x14ac:dyDescent="0.3"/>
    <row r="328" s="1" customFormat="1" ht="12.75" customHeight="1" x14ac:dyDescent="0.3"/>
    <row r="329" s="1" customFormat="1" ht="12.75" customHeight="1" x14ac:dyDescent="0.3"/>
    <row r="330" s="1" customFormat="1" ht="12.75" customHeight="1" x14ac:dyDescent="0.3"/>
    <row r="331" s="1" customFormat="1" ht="12.75" customHeight="1" x14ac:dyDescent="0.3"/>
    <row r="332" s="1" customFormat="1" ht="12.75" customHeight="1" x14ac:dyDescent="0.3"/>
    <row r="333" s="1" customFormat="1" ht="12.75" customHeight="1" x14ac:dyDescent="0.3"/>
    <row r="334" s="1" customFormat="1" ht="12.75" customHeight="1" x14ac:dyDescent="0.3"/>
    <row r="335" s="1" customFormat="1" ht="12.75" customHeight="1" x14ac:dyDescent="0.3"/>
    <row r="336" s="1" customFormat="1" ht="12.75" customHeight="1" x14ac:dyDescent="0.3"/>
    <row r="337" s="1" customFormat="1" ht="12.75" customHeight="1" x14ac:dyDescent="0.3"/>
    <row r="338" s="1" customFormat="1" ht="12.75" customHeight="1" x14ac:dyDescent="0.3"/>
    <row r="339" s="1" customFormat="1" ht="12.75" customHeight="1" x14ac:dyDescent="0.3"/>
    <row r="340" s="1" customFormat="1" ht="12.75" customHeight="1" x14ac:dyDescent="0.3"/>
    <row r="341" s="1" customFormat="1" ht="12.75" customHeight="1" x14ac:dyDescent="0.3"/>
    <row r="342" s="1" customFormat="1" ht="12.75" customHeight="1" x14ac:dyDescent="0.3"/>
    <row r="343" s="1" customFormat="1" ht="12.75" customHeight="1" x14ac:dyDescent="0.3"/>
    <row r="344" s="1" customFormat="1" ht="12.75" customHeight="1" x14ac:dyDescent="0.3"/>
    <row r="345" s="1" customFormat="1" ht="12.75" customHeight="1" x14ac:dyDescent="0.3"/>
    <row r="346" s="1" customFormat="1" ht="12.75" customHeight="1" x14ac:dyDescent="0.3"/>
    <row r="347" s="1" customFormat="1" ht="12.75" customHeight="1" x14ac:dyDescent="0.3"/>
    <row r="348" s="1" customFormat="1" ht="12.75" customHeight="1" x14ac:dyDescent="0.3"/>
    <row r="349" s="1" customFormat="1" ht="12.75" customHeight="1" x14ac:dyDescent="0.3"/>
    <row r="350" s="1" customFormat="1" ht="12.75" customHeight="1" x14ac:dyDescent="0.3"/>
    <row r="351" s="1" customFormat="1" ht="12.75" customHeight="1" x14ac:dyDescent="0.3"/>
    <row r="352" s="1" customFormat="1" ht="12.75" customHeight="1" x14ac:dyDescent="0.3"/>
    <row r="353" s="1" customFormat="1" ht="12.75" customHeight="1" x14ac:dyDescent="0.3"/>
    <row r="354" s="1" customFormat="1" ht="12.75" customHeight="1" x14ac:dyDescent="0.3"/>
    <row r="355" s="1" customFormat="1" ht="12.75" customHeight="1" x14ac:dyDescent="0.3"/>
    <row r="356" s="1" customFormat="1" ht="12.75" customHeight="1" x14ac:dyDescent="0.3"/>
    <row r="357" s="1" customFormat="1" ht="12.75" customHeight="1" x14ac:dyDescent="0.3"/>
    <row r="358" s="1" customFormat="1" ht="12.75" customHeight="1" x14ac:dyDescent="0.3"/>
    <row r="359" s="1" customFormat="1" ht="12.75" customHeight="1" x14ac:dyDescent="0.3"/>
    <row r="360" s="1" customFormat="1" ht="12.75" customHeight="1" x14ac:dyDescent="0.3"/>
    <row r="361" s="1" customFormat="1" ht="12.75" customHeight="1" x14ac:dyDescent="0.3"/>
    <row r="362" s="1" customFormat="1" ht="12.75" customHeight="1" x14ac:dyDescent="0.3"/>
    <row r="363" s="1" customFormat="1" ht="12.75" customHeight="1" x14ac:dyDescent="0.3"/>
    <row r="364" s="1" customFormat="1" ht="12.75" customHeight="1" x14ac:dyDescent="0.3"/>
    <row r="365" s="1" customFormat="1" ht="12.75" customHeight="1" x14ac:dyDescent="0.3"/>
    <row r="366" s="1" customFormat="1" ht="12.75" customHeight="1" x14ac:dyDescent="0.3"/>
    <row r="367" s="1" customFormat="1" ht="12.75" customHeight="1" x14ac:dyDescent="0.3"/>
    <row r="368" s="1" customFormat="1" ht="12.75" customHeight="1" x14ac:dyDescent="0.3"/>
    <row r="369" s="1" customFormat="1" ht="12.75" customHeight="1" x14ac:dyDescent="0.3"/>
    <row r="370" s="1" customFormat="1" ht="12.75" customHeight="1" x14ac:dyDescent="0.3"/>
    <row r="371" s="1" customFormat="1" ht="12.75" customHeight="1" x14ac:dyDescent="0.3"/>
    <row r="372" s="1" customFormat="1" ht="12.75" customHeight="1" x14ac:dyDescent="0.3"/>
    <row r="373" s="1" customFormat="1" ht="12.75" customHeight="1" x14ac:dyDescent="0.3"/>
    <row r="374" s="1" customFormat="1" ht="12.75" customHeight="1" x14ac:dyDescent="0.3"/>
    <row r="375" s="1" customFormat="1" ht="12.75" customHeight="1" x14ac:dyDescent="0.3"/>
    <row r="376" s="1" customFormat="1" ht="12.75" customHeight="1" x14ac:dyDescent="0.3"/>
    <row r="377" s="1" customFormat="1" ht="12.75" customHeight="1" x14ac:dyDescent="0.3"/>
    <row r="378" s="1" customFormat="1" ht="12.75" customHeight="1" x14ac:dyDescent="0.3"/>
    <row r="379" s="1" customFormat="1" ht="12.75" customHeight="1" x14ac:dyDescent="0.3"/>
    <row r="380" s="1" customFormat="1" ht="12.75" customHeight="1" x14ac:dyDescent="0.3"/>
    <row r="381" s="1" customFormat="1" ht="12.75" customHeight="1" x14ac:dyDescent="0.3"/>
    <row r="382" s="1" customFormat="1" ht="12.75" customHeight="1" x14ac:dyDescent="0.3"/>
    <row r="383" s="1" customFormat="1" ht="12.75" customHeight="1" x14ac:dyDescent="0.3"/>
    <row r="384" s="1" customFormat="1" ht="12.75" customHeight="1" x14ac:dyDescent="0.3"/>
    <row r="385" s="1" customFormat="1" ht="12.75" customHeight="1" x14ac:dyDescent="0.3"/>
    <row r="386" s="1" customFormat="1" ht="12.75" customHeight="1" x14ac:dyDescent="0.3"/>
    <row r="387" s="1" customFormat="1" ht="12.75" customHeight="1" x14ac:dyDescent="0.3"/>
    <row r="388" s="1" customFormat="1" ht="12.75" customHeight="1" x14ac:dyDescent="0.3"/>
    <row r="389" s="1" customFormat="1" ht="12.75" customHeight="1" x14ac:dyDescent="0.3"/>
    <row r="390" s="1" customFormat="1" ht="12.75" customHeight="1" x14ac:dyDescent="0.3"/>
    <row r="391" s="1" customFormat="1" ht="12.75" customHeight="1" x14ac:dyDescent="0.3"/>
    <row r="392" s="1" customFormat="1" ht="12.75" customHeight="1" x14ac:dyDescent="0.3"/>
    <row r="393" s="1" customFormat="1" ht="12.75" customHeight="1" x14ac:dyDescent="0.3"/>
    <row r="394" s="1" customFormat="1" ht="12.75" customHeight="1" x14ac:dyDescent="0.3"/>
    <row r="395" s="1" customFormat="1" ht="12.75" customHeight="1" x14ac:dyDescent="0.3"/>
    <row r="396" s="1" customFormat="1" ht="12.75" customHeight="1" x14ac:dyDescent="0.3"/>
    <row r="397" s="1" customFormat="1" ht="12.75" customHeight="1" x14ac:dyDescent="0.3"/>
    <row r="398" s="1" customFormat="1" ht="12.75" customHeight="1" x14ac:dyDescent="0.3"/>
    <row r="399" s="1" customFormat="1" ht="12.75" customHeight="1" x14ac:dyDescent="0.3"/>
    <row r="400" s="1" customFormat="1" ht="12.75" customHeight="1" x14ac:dyDescent="0.3"/>
    <row r="401" s="1" customFormat="1" ht="12.75" customHeight="1" x14ac:dyDescent="0.3"/>
    <row r="402" s="1" customFormat="1" ht="12.75" customHeight="1" x14ac:dyDescent="0.3"/>
    <row r="403" s="1" customFormat="1" ht="12.75" customHeight="1" x14ac:dyDescent="0.3"/>
    <row r="404" s="1" customFormat="1" ht="12.75" customHeight="1" x14ac:dyDescent="0.3"/>
    <row r="405" s="1" customFormat="1" ht="12.75" customHeight="1" x14ac:dyDescent="0.3"/>
    <row r="406" s="1" customFormat="1" ht="12.75" customHeight="1" x14ac:dyDescent="0.3"/>
    <row r="407" s="1" customFormat="1" ht="12.75" customHeight="1" x14ac:dyDescent="0.3"/>
    <row r="408" s="1" customFormat="1" ht="12.75" customHeight="1" x14ac:dyDescent="0.3"/>
    <row r="409" s="1" customFormat="1" ht="12.75" customHeight="1" x14ac:dyDescent="0.3"/>
    <row r="410" s="1" customFormat="1" ht="12.75" customHeight="1" x14ac:dyDescent="0.3"/>
    <row r="411" s="1" customFormat="1" ht="12.75" customHeight="1" x14ac:dyDescent="0.3"/>
    <row r="412" s="1" customFormat="1" ht="12.75" customHeight="1" x14ac:dyDescent="0.3"/>
    <row r="413" s="1" customFormat="1" ht="12.75" customHeight="1" x14ac:dyDescent="0.3"/>
    <row r="414" s="1" customFormat="1" ht="12.75" customHeight="1" x14ac:dyDescent="0.3"/>
    <row r="415" s="1" customFormat="1" ht="12.75" customHeight="1" x14ac:dyDescent="0.3"/>
    <row r="416" s="1" customFormat="1" ht="12.75" customHeight="1" x14ac:dyDescent="0.3"/>
    <row r="417" s="1" customFormat="1" ht="12.75" customHeight="1" x14ac:dyDescent="0.3"/>
    <row r="418" s="1" customFormat="1" ht="12.75" customHeight="1" x14ac:dyDescent="0.3"/>
    <row r="419" s="1" customFormat="1" ht="12.75" customHeight="1" x14ac:dyDescent="0.3"/>
    <row r="420" s="1" customFormat="1" ht="12.75" customHeight="1" x14ac:dyDescent="0.3"/>
    <row r="421" s="1" customFormat="1" ht="12.75" customHeight="1" x14ac:dyDescent="0.3"/>
    <row r="422" s="1" customFormat="1" ht="12.75" customHeight="1" x14ac:dyDescent="0.3"/>
    <row r="423" s="1" customFormat="1" ht="12.75" customHeight="1" x14ac:dyDescent="0.3"/>
    <row r="424" s="1" customFormat="1" ht="12.75" customHeight="1" x14ac:dyDescent="0.3"/>
    <row r="425" s="1" customFormat="1" ht="12.75" customHeight="1" x14ac:dyDescent="0.3"/>
    <row r="426" s="1" customFormat="1" ht="12.75" customHeight="1" x14ac:dyDescent="0.3"/>
    <row r="427" s="1" customFormat="1" ht="12.75" customHeight="1" x14ac:dyDescent="0.3"/>
    <row r="428" s="1" customFormat="1" ht="12.75" customHeight="1" x14ac:dyDescent="0.3"/>
    <row r="429" s="1" customFormat="1" ht="12.75" customHeight="1" x14ac:dyDescent="0.3"/>
    <row r="430" s="1" customFormat="1" ht="12.75" customHeight="1" x14ac:dyDescent="0.3"/>
    <row r="431" s="1" customFormat="1" ht="12.75" customHeight="1" x14ac:dyDescent="0.3"/>
    <row r="432" s="1" customFormat="1" ht="12.75" customHeight="1" x14ac:dyDescent="0.3"/>
    <row r="433" s="1" customFormat="1" ht="12.75" customHeight="1" x14ac:dyDescent="0.3"/>
    <row r="434" s="1" customFormat="1" ht="12.75" customHeight="1" x14ac:dyDescent="0.3"/>
    <row r="435" s="1" customFormat="1" ht="12.75" customHeight="1" x14ac:dyDescent="0.3"/>
    <row r="436" s="1" customFormat="1" ht="12.75" customHeight="1" x14ac:dyDescent="0.3"/>
    <row r="437" s="1" customFormat="1" ht="12.75" customHeight="1" x14ac:dyDescent="0.3"/>
    <row r="438" s="1" customFormat="1" ht="12.75" customHeight="1" x14ac:dyDescent="0.3"/>
    <row r="439" s="1" customFormat="1" ht="12.75" customHeight="1" x14ac:dyDescent="0.3"/>
    <row r="440" s="1" customFormat="1" ht="12.75" customHeight="1" x14ac:dyDescent="0.3"/>
    <row r="441" s="1" customFormat="1" ht="12.75" customHeight="1" x14ac:dyDescent="0.3"/>
    <row r="442" s="1" customFormat="1" ht="12.75" customHeight="1" x14ac:dyDescent="0.3"/>
    <row r="443" s="1" customFormat="1" ht="12.75" customHeight="1" x14ac:dyDescent="0.3"/>
    <row r="444" s="1" customFormat="1" ht="12.75" customHeight="1" x14ac:dyDescent="0.3"/>
    <row r="445" s="1" customFormat="1" ht="12.75" customHeight="1" x14ac:dyDescent="0.3"/>
    <row r="446" s="1" customFormat="1" ht="12.75" customHeight="1" x14ac:dyDescent="0.3"/>
    <row r="447" s="1" customFormat="1" ht="12.75" customHeight="1" x14ac:dyDescent="0.3"/>
    <row r="448" s="1" customFormat="1" ht="12.75" customHeight="1" x14ac:dyDescent="0.3"/>
    <row r="449" s="1" customFormat="1" ht="12.75" customHeight="1" x14ac:dyDescent="0.3"/>
    <row r="450" s="1" customFormat="1" ht="12.75" customHeight="1" x14ac:dyDescent="0.3"/>
    <row r="451" s="1" customFormat="1" ht="12.75" customHeight="1" x14ac:dyDescent="0.3"/>
    <row r="452" s="1" customFormat="1" ht="12.75" customHeight="1" x14ac:dyDescent="0.3"/>
    <row r="453" s="1" customFormat="1" ht="12.75" customHeight="1" x14ac:dyDescent="0.3"/>
    <row r="454" s="1" customFormat="1" ht="12.75" customHeight="1" x14ac:dyDescent="0.3"/>
    <row r="455" s="1" customFormat="1" ht="12.75" customHeight="1" x14ac:dyDescent="0.3"/>
    <row r="456" s="1" customFormat="1" ht="12.75" customHeight="1" x14ac:dyDescent="0.3"/>
    <row r="457" s="1" customFormat="1" ht="12.75" customHeight="1" x14ac:dyDescent="0.3"/>
    <row r="458" s="1" customFormat="1" ht="12.75" customHeight="1" x14ac:dyDescent="0.3"/>
    <row r="459" s="1" customFormat="1" ht="12.75" customHeight="1" x14ac:dyDescent="0.3"/>
    <row r="460" s="1" customFormat="1" ht="12.75" customHeight="1" x14ac:dyDescent="0.3"/>
    <row r="461" s="1" customFormat="1" ht="12.75" customHeight="1" x14ac:dyDescent="0.3"/>
    <row r="462" s="1" customFormat="1" ht="12.75" customHeight="1" x14ac:dyDescent="0.3"/>
    <row r="463" s="1" customFormat="1" ht="12.75" customHeight="1" x14ac:dyDescent="0.3"/>
    <row r="464" s="1" customFormat="1" ht="12.75" customHeight="1" x14ac:dyDescent="0.3"/>
    <row r="465" s="1" customFormat="1" ht="12.75" customHeight="1" x14ac:dyDescent="0.3"/>
    <row r="466" s="1" customFormat="1" ht="12.75" customHeight="1" x14ac:dyDescent="0.3"/>
    <row r="467" s="1" customFormat="1" ht="12.75" customHeight="1" x14ac:dyDescent="0.3"/>
    <row r="468" s="1" customFormat="1" ht="12.75" customHeight="1" x14ac:dyDescent="0.3"/>
    <row r="469" s="1" customFormat="1" ht="12.75" customHeight="1" x14ac:dyDescent="0.3"/>
    <row r="470" s="1" customFormat="1" ht="12.75" customHeight="1" x14ac:dyDescent="0.3"/>
    <row r="471" s="1" customFormat="1" ht="12.75" customHeight="1" x14ac:dyDescent="0.3"/>
    <row r="472" s="1" customFormat="1" ht="12.75" customHeight="1" x14ac:dyDescent="0.3"/>
    <row r="473" s="1" customFormat="1" ht="12.75" customHeight="1" x14ac:dyDescent="0.3"/>
    <row r="474" s="1" customFormat="1" ht="12.75" customHeight="1" x14ac:dyDescent="0.3"/>
    <row r="475" s="1" customFormat="1" ht="12.75" customHeight="1" x14ac:dyDescent="0.3"/>
    <row r="476" s="1" customFormat="1" ht="12.75" customHeight="1" x14ac:dyDescent="0.3"/>
    <row r="477" s="1" customFormat="1" ht="12.75" customHeight="1" x14ac:dyDescent="0.3"/>
    <row r="478" s="1" customFormat="1" ht="12.75" customHeight="1" x14ac:dyDescent="0.3"/>
    <row r="479" s="1" customFormat="1" ht="12.75" customHeight="1" x14ac:dyDescent="0.3"/>
    <row r="480" s="1" customFormat="1" ht="12.75" customHeight="1" x14ac:dyDescent="0.3"/>
    <row r="481" s="1" customFormat="1" ht="12.75" customHeight="1" x14ac:dyDescent="0.3"/>
    <row r="482" s="1" customFormat="1" ht="12.75" customHeight="1" x14ac:dyDescent="0.3"/>
    <row r="483" s="1" customFormat="1" ht="12.75" customHeight="1" x14ac:dyDescent="0.3"/>
    <row r="484" s="1" customFormat="1" ht="12.75" customHeight="1" x14ac:dyDescent="0.3"/>
    <row r="485" s="1" customFormat="1" ht="12.75" customHeight="1" x14ac:dyDescent="0.3"/>
    <row r="486" s="1" customFormat="1" ht="12.75" customHeight="1" x14ac:dyDescent="0.3"/>
    <row r="487" s="1" customFormat="1" ht="12.75" customHeight="1" x14ac:dyDescent="0.3"/>
    <row r="488" s="1" customFormat="1" ht="12.75" customHeight="1" x14ac:dyDescent="0.3"/>
    <row r="489" s="1" customFormat="1" ht="12.75" customHeight="1" x14ac:dyDescent="0.3"/>
    <row r="490" s="1" customFormat="1" ht="12.75" customHeight="1" x14ac:dyDescent="0.3"/>
    <row r="491" s="1" customFormat="1" ht="12.75" customHeight="1" x14ac:dyDescent="0.3"/>
    <row r="492" s="1" customFormat="1" ht="12.75" customHeight="1" x14ac:dyDescent="0.3"/>
    <row r="493" s="1" customFormat="1" ht="12.75" customHeight="1" x14ac:dyDescent="0.3"/>
    <row r="494" s="1" customFormat="1" ht="12.75" customHeight="1" x14ac:dyDescent="0.3"/>
    <row r="495" s="1" customFormat="1" ht="12.75" customHeight="1" x14ac:dyDescent="0.3"/>
    <row r="496" s="1" customFormat="1" ht="12.75" customHeight="1" x14ac:dyDescent="0.3"/>
    <row r="497" s="1" customFormat="1" ht="12.75" customHeight="1" x14ac:dyDescent="0.3"/>
    <row r="498" s="1" customFormat="1" ht="12.75" customHeight="1" x14ac:dyDescent="0.3"/>
    <row r="499" s="1" customFormat="1" ht="12.75" customHeight="1" x14ac:dyDescent="0.3"/>
    <row r="500" s="1" customFormat="1" ht="12.75" customHeight="1" x14ac:dyDescent="0.3"/>
    <row r="501" s="1" customFormat="1" ht="12.75" customHeight="1" x14ac:dyDescent="0.3"/>
    <row r="502" s="1" customFormat="1" ht="12.75" customHeight="1" x14ac:dyDescent="0.3"/>
    <row r="503" s="1" customFormat="1" ht="12.75" customHeight="1" x14ac:dyDescent="0.3"/>
    <row r="504" s="1" customFormat="1" ht="12.75" customHeight="1" x14ac:dyDescent="0.3"/>
    <row r="505" s="1" customFormat="1" ht="12.75" customHeight="1" x14ac:dyDescent="0.3"/>
    <row r="506" s="1" customFormat="1" ht="12.75" customHeight="1" x14ac:dyDescent="0.3"/>
    <row r="507" s="1" customFormat="1" ht="12.75" customHeight="1" x14ac:dyDescent="0.3"/>
    <row r="508" s="1" customFormat="1" ht="12.75" customHeight="1" x14ac:dyDescent="0.3"/>
    <row r="509" s="1" customFormat="1" ht="12.75" customHeight="1" x14ac:dyDescent="0.3"/>
    <row r="510" s="1" customFormat="1" ht="12.75" customHeight="1" x14ac:dyDescent="0.3"/>
    <row r="511" s="1" customFormat="1" ht="12.75" customHeight="1" x14ac:dyDescent="0.3"/>
    <row r="512" s="1" customFormat="1" ht="12.75" customHeight="1" x14ac:dyDescent="0.3"/>
    <row r="513" s="1" customFormat="1" ht="12.75" customHeight="1" x14ac:dyDescent="0.3"/>
    <row r="514" s="1" customFormat="1" ht="12.75" customHeight="1" x14ac:dyDescent="0.3"/>
    <row r="515" s="1" customFormat="1" ht="12.75" customHeight="1" x14ac:dyDescent="0.3"/>
    <row r="516" s="1" customFormat="1" ht="12.75" customHeight="1" x14ac:dyDescent="0.3"/>
    <row r="517" s="1" customFormat="1" ht="12.75" customHeight="1" x14ac:dyDescent="0.3"/>
    <row r="518" s="1" customFormat="1" ht="12.75" customHeight="1" x14ac:dyDescent="0.3"/>
    <row r="519" s="1" customFormat="1" ht="12.75" customHeight="1" x14ac:dyDescent="0.3"/>
    <row r="520" s="1" customFormat="1" ht="12.75" customHeight="1" x14ac:dyDescent="0.3"/>
    <row r="521" s="1" customFormat="1" ht="12.75" customHeight="1" x14ac:dyDescent="0.3"/>
    <row r="522" s="1" customFormat="1" ht="12.75" customHeight="1" x14ac:dyDescent="0.3"/>
    <row r="523" s="1" customFormat="1" ht="12.75" customHeight="1" x14ac:dyDescent="0.3"/>
    <row r="524" s="1" customFormat="1" ht="12.75" customHeight="1" x14ac:dyDescent="0.3"/>
    <row r="525" s="1" customFormat="1" ht="12.75" customHeight="1" x14ac:dyDescent="0.3"/>
    <row r="526" s="1" customFormat="1" ht="12.75" customHeight="1" x14ac:dyDescent="0.3"/>
    <row r="527" s="1" customFormat="1" ht="12.75" customHeight="1" x14ac:dyDescent="0.3"/>
    <row r="528" s="1" customFormat="1" ht="12.75" customHeight="1" x14ac:dyDescent="0.3"/>
    <row r="529" s="1" customFormat="1" ht="12.75" customHeight="1" x14ac:dyDescent="0.3"/>
    <row r="530" s="1" customFormat="1" ht="12.75" customHeight="1" x14ac:dyDescent="0.3"/>
    <row r="531" s="1" customFormat="1" ht="12.75" customHeight="1" x14ac:dyDescent="0.3"/>
    <row r="532" s="1" customFormat="1" ht="12.75" customHeight="1" x14ac:dyDescent="0.3"/>
    <row r="533" s="1" customFormat="1" ht="12.75" customHeight="1" x14ac:dyDescent="0.3"/>
    <row r="534" s="1" customFormat="1" ht="12.75" customHeight="1" x14ac:dyDescent="0.3"/>
    <row r="535" s="1" customFormat="1" ht="12.75" customHeight="1" x14ac:dyDescent="0.3"/>
    <row r="536" s="1" customFormat="1" ht="12.75" customHeight="1" x14ac:dyDescent="0.3"/>
    <row r="537" s="1" customFormat="1" ht="12.75" customHeight="1" x14ac:dyDescent="0.3"/>
    <row r="538" s="1" customFormat="1" ht="12.75" customHeight="1" x14ac:dyDescent="0.3"/>
    <row r="539" s="1" customFormat="1" ht="12.75" customHeight="1" x14ac:dyDescent="0.3"/>
    <row r="540" s="1" customFormat="1" ht="12.75" customHeight="1" x14ac:dyDescent="0.3"/>
    <row r="541" s="1" customFormat="1" ht="12.75" customHeight="1" x14ac:dyDescent="0.3"/>
    <row r="542" s="1" customFormat="1" ht="12.75" customHeight="1" x14ac:dyDescent="0.3"/>
    <row r="543" s="1" customFormat="1" ht="12.75" customHeight="1" x14ac:dyDescent="0.3"/>
    <row r="544" s="1" customFormat="1" ht="12.75" customHeight="1" x14ac:dyDescent="0.3"/>
    <row r="545" s="1" customFormat="1" ht="12.75" customHeight="1" x14ac:dyDescent="0.3"/>
    <row r="546" s="1" customFormat="1" ht="12.75" customHeight="1" x14ac:dyDescent="0.3"/>
    <row r="547" s="1" customFormat="1" ht="12.75" customHeight="1" x14ac:dyDescent="0.3"/>
    <row r="548" s="1" customFormat="1" ht="12.75" customHeight="1" x14ac:dyDescent="0.3"/>
    <row r="549" s="1" customFormat="1" ht="12.75" customHeight="1" x14ac:dyDescent="0.3"/>
    <row r="550" s="1" customFormat="1" ht="12.75" customHeight="1" x14ac:dyDescent="0.3"/>
    <row r="551" s="1" customFormat="1" ht="12.75" customHeight="1" x14ac:dyDescent="0.3"/>
    <row r="552" s="1" customFormat="1" ht="12.75" customHeight="1" x14ac:dyDescent="0.3"/>
    <row r="553" s="1" customFormat="1" ht="12.75" customHeight="1" x14ac:dyDescent="0.3"/>
    <row r="554" s="1" customFormat="1" ht="12.75" customHeight="1" x14ac:dyDescent="0.3"/>
    <row r="555" s="1" customFormat="1" ht="12.75" customHeight="1" x14ac:dyDescent="0.3"/>
    <row r="556" s="1" customFormat="1" ht="12.75" customHeight="1" x14ac:dyDescent="0.3"/>
    <row r="557" s="1" customFormat="1" ht="12.75" customHeight="1" x14ac:dyDescent="0.3"/>
    <row r="558" s="1" customFormat="1" ht="12.75" customHeight="1" x14ac:dyDescent="0.3"/>
    <row r="559" s="1" customFormat="1" ht="12.75" customHeight="1" x14ac:dyDescent="0.3"/>
    <row r="560" s="1" customFormat="1" ht="12.75" customHeight="1" x14ac:dyDescent="0.3"/>
    <row r="561" s="1" customFormat="1" ht="12.75" customHeight="1" x14ac:dyDescent="0.3"/>
    <row r="562" s="1" customFormat="1" ht="12.75" customHeight="1" x14ac:dyDescent="0.3"/>
    <row r="563" s="1" customFormat="1" ht="12.75" customHeight="1" x14ac:dyDescent="0.3"/>
    <row r="564" s="1" customFormat="1" ht="12.75" customHeight="1" x14ac:dyDescent="0.3"/>
    <row r="565" s="1" customFormat="1" ht="12.75" customHeight="1" x14ac:dyDescent="0.3"/>
    <row r="566" s="1" customFormat="1" ht="12.75" customHeight="1" x14ac:dyDescent="0.3"/>
    <row r="567" s="1" customFormat="1" ht="12.75" customHeight="1" x14ac:dyDescent="0.3"/>
    <row r="568" s="1" customFormat="1" ht="12.75" customHeight="1" x14ac:dyDescent="0.3"/>
    <row r="569" s="1" customFormat="1" ht="12.75" customHeight="1" x14ac:dyDescent="0.3"/>
    <row r="570" s="1" customFormat="1" ht="12.75" customHeight="1" x14ac:dyDescent="0.3"/>
    <row r="571" s="1" customFormat="1" ht="12.75" customHeight="1" x14ac:dyDescent="0.3"/>
    <row r="572" s="1" customFormat="1" ht="12.75" customHeight="1" x14ac:dyDescent="0.3"/>
    <row r="573" s="1" customFormat="1" ht="12.75" customHeight="1" x14ac:dyDescent="0.3"/>
    <row r="574" s="1" customFormat="1" ht="12.75" customHeight="1" x14ac:dyDescent="0.3"/>
    <row r="575" s="1" customFormat="1" ht="12.75" customHeight="1" x14ac:dyDescent="0.3"/>
    <row r="576" s="1" customFormat="1" ht="12.75" customHeight="1" x14ac:dyDescent="0.3"/>
    <row r="577" s="1" customFormat="1" ht="12.75" customHeight="1" x14ac:dyDescent="0.3"/>
    <row r="578" s="1" customFormat="1" ht="12.75" customHeight="1" x14ac:dyDescent="0.3"/>
    <row r="579" s="1" customFormat="1" ht="12.75" customHeight="1" x14ac:dyDescent="0.3"/>
    <row r="580" s="1" customFormat="1" ht="12.75" customHeight="1" x14ac:dyDescent="0.3"/>
    <row r="581" s="1" customFormat="1" ht="12.75" customHeight="1" x14ac:dyDescent="0.3"/>
    <row r="582" s="1" customFormat="1" ht="12.75" customHeight="1" x14ac:dyDescent="0.3"/>
    <row r="583" s="1" customFormat="1" ht="12.75" customHeight="1" x14ac:dyDescent="0.3"/>
    <row r="584" s="1" customFormat="1" ht="12.75" customHeight="1" x14ac:dyDescent="0.3"/>
    <row r="585" s="1" customFormat="1" ht="12.75" customHeight="1" x14ac:dyDescent="0.3"/>
    <row r="586" s="1" customFormat="1" ht="12.75" customHeight="1" x14ac:dyDescent="0.3"/>
    <row r="587" s="1" customFormat="1" ht="12.75" customHeight="1" x14ac:dyDescent="0.3"/>
    <row r="588" s="1" customFormat="1" ht="12.75" customHeight="1" x14ac:dyDescent="0.3"/>
    <row r="589" s="1" customFormat="1" ht="12.75" customHeight="1" x14ac:dyDescent="0.3"/>
    <row r="590" s="1" customFormat="1" ht="12.75" customHeight="1" x14ac:dyDescent="0.3"/>
    <row r="591" s="1" customFormat="1" ht="12.75" customHeight="1" x14ac:dyDescent="0.3"/>
    <row r="592" s="1" customFormat="1" ht="12.75" customHeight="1" x14ac:dyDescent="0.3"/>
    <row r="593" s="1" customFormat="1" ht="12.75" customHeight="1" x14ac:dyDescent="0.3"/>
    <row r="594" s="1" customFormat="1" ht="12.75" customHeight="1" x14ac:dyDescent="0.3"/>
    <row r="595" s="1" customFormat="1" ht="12.75" customHeight="1" x14ac:dyDescent="0.3"/>
    <row r="596" s="1" customFormat="1" ht="12.75" customHeight="1" x14ac:dyDescent="0.3"/>
    <row r="597" s="1" customFormat="1" ht="12.75" customHeight="1" x14ac:dyDescent="0.3"/>
    <row r="598" s="1" customFormat="1" ht="12.75" customHeight="1" x14ac:dyDescent="0.3"/>
    <row r="599" s="1" customFormat="1" ht="12.75" customHeight="1" x14ac:dyDescent="0.3"/>
    <row r="600" s="1" customFormat="1" ht="12.75" customHeight="1" x14ac:dyDescent="0.3"/>
    <row r="601" s="1" customFormat="1" ht="12.75" customHeight="1" x14ac:dyDescent="0.3"/>
    <row r="602" s="1" customFormat="1" ht="12.75" customHeight="1" x14ac:dyDescent="0.3"/>
    <row r="603" s="1" customFormat="1" ht="12.75" customHeight="1" x14ac:dyDescent="0.3"/>
    <row r="604" s="1" customFormat="1" ht="12.75" customHeight="1" x14ac:dyDescent="0.3"/>
    <row r="605" s="1" customFormat="1" ht="12.75" customHeight="1" x14ac:dyDescent="0.3"/>
    <row r="606" s="1" customFormat="1" ht="12.75" customHeight="1" x14ac:dyDescent="0.3"/>
    <row r="607" s="1" customFormat="1" ht="12.75" customHeight="1" x14ac:dyDescent="0.3"/>
    <row r="608" s="1" customFormat="1" ht="12.75" customHeight="1" x14ac:dyDescent="0.3"/>
    <row r="609" s="1" customFormat="1" ht="12.75" customHeight="1" x14ac:dyDescent="0.3"/>
    <row r="610" s="1" customFormat="1" ht="12.75" customHeight="1" x14ac:dyDescent="0.3"/>
    <row r="611" s="1" customFormat="1" ht="12.75" customHeight="1" x14ac:dyDescent="0.3"/>
    <row r="612" s="1" customFormat="1" ht="12.75" customHeight="1" x14ac:dyDescent="0.3"/>
    <row r="613" s="1" customFormat="1" ht="12.75" customHeight="1" x14ac:dyDescent="0.3"/>
    <row r="614" s="1" customFormat="1" ht="12.75" customHeight="1" x14ac:dyDescent="0.3"/>
    <row r="615" s="1" customFormat="1" ht="12.75" customHeight="1" x14ac:dyDescent="0.3"/>
    <row r="616" s="1" customFormat="1" ht="12.75" customHeight="1" x14ac:dyDescent="0.3"/>
    <row r="617" s="1" customFormat="1" ht="12.75" customHeight="1" x14ac:dyDescent="0.3"/>
    <row r="618" s="1" customFormat="1" ht="12.75" customHeight="1" x14ac:dyDescent="0.3"/>
    <row r="619" s="1" customFormat="1" ht="12.75" customHeight="1" x14ac:dyDescent="0.3"/>
    <row r="620" s="1" customFormat="1" ht="12.75" customHeight="1" x14ac:dyDescent="0.3"/>
    <row r="621" s="1" customFormat="1" ht="12.75" customHeight="1" x14ac:dyDescent="0.3"/>
    <row r="622" s="1" customFormat="1" ht="12.75" customHeight="1" x14ac:dyDescent="0.3"/>
    <row r="623" s="1" customFormat="1" ht="12.75" customHeight="1" x14ac:dyDescent="0.3"/>
    <row r="624" s="1" customFormat="1" ht="12.75" customHeight="1" x14ac:dyDescent="0.3"/>
    <row r="625" s="1" customFormat="1" ht="12.75" customHeight="1" x14ac:dyDescent="0.3"/>
    <row r="626" s="1" customFormat="1" ht="12.75" customHeight="1" x14ac:dyDescent="0.3"/>
    <row r="627" s="1" customFormat="1" ht="12.75" customHeight="1" x14ac:dyDescent="0.3"/>
    <row r="628" s="1" customFormat="1" ht="12.75" customHeight="1" x14ac:dyDescent="0.3"/>
    <row r="629" s="1" customFormat="1" ht="12.75" customHeight="1" x14ac:dyDescent="0.3"/>
    <row r="630" s="1" customFormat="1" ht="12.75" customHeight="1" x14ac:dyDescent="0.3"/>
    <row r="631" s="1" customFormat="1" ht="12.75" customHeight="1" x14ac:dyDescent="0.3"/>
    <row r="632" s="1" customFormat="1" ht="12.75" customHeight="1" x14ac:dyDescent="0.3"/>
    <row r="633" s="1" customFormat="1" ht="12.75" customHeight="1" x14ac:dyDescent="0.3"/>
    <row r="634" s="1" customFormat="1" ht="12.75" customHeight="1" x14ac:dyDescent="0.3"/>
    <row r="635" s="1" customFormat="1" ht="12.75" customHeight="1" x14ac:dyDescent="0.3"/>
    <row r="636" s="1" customFormat="1" ht="12.75" customHeight="1" x14ac:dyDescent="0.3"/>
    <row r="637" s="1" customFormat="1" ht="12.75" customHeight="1" x14ac:dyDescent="0.3"/>
    <row r="638" s="1" customFormat="1" ht="12.75" customHeight="1" x14ac:dyDescent="0.3"/>
    <row r="639" s="1" customFormat="1" ht="12.75" customHeight="1" x14ac:dyDescent="0.3"/>
    <row r="640" s="1" customFormat="1" ht="12.75" customHeight="1" x14ac:dyDescent="0.3"/>
    <row r="641" s="1" customFormat="1" ht="12.75" customHeight="1" x14ac:dyDescent="0.3"/>
    <row r="642" s="1" customFormat="1" ht="12.75" customHeight="1" x14ac:dyDescent="0.3"/>
    <row r="643" s="1" customFormat="1" ht="12.75" customHeight="1" x14ac:dyDescent="0.3"/>
    <row r="644" s="1" customFormat="1" ht="12.75" customHeight="1" x14ac:dyDescent="0.3"/>
    <row r="645" s="1" customFormat="1" ht="12.75" customHeight="1" x14ac:dyDescent="0.3"/>
    <row r="646" s="1" customFormat="1" ht="12.75" customHeight="1" x14ac:dyDescent="0.3"/>
    <row r="647" s="1" customFormat="1" ht="12.75" customHeight="1" x14ac:dyDescent="0.3"/>
    <row r="648" s="1" customFormat="1" ht="12.75" customHeight="1" x14ac:dyDescent="0.3"/>
    <row r="649" s="1" customFormat="1" ht="12.75" customHeight="1" x14ac:dyDescent="0.3"/>
    <row r="650" s="1" customFormat="1" ht="12.75" customHeight="1" x14ac:dyDescent="0.3"/>
    <row r="651" s="1" customFormat="1" ht="12.75" customHeight="1" x14ac:dyDescent="0.3"/>
    <row r="652" s="1" customFormat="1" ht="12.75" customHeight="1" x14ac:dyDescent="0.3"/>
    <row r="653" s="1" customFormat="1" ht="12.75" customHeight="1" x14ac:dyDescent="0.3"/>
    <row r="654" s="1" customFormat="1" ht="12.75" customHeight="1" x14ac:dyDescent="0.3"/>
    <row r="655" s="1" customFormat="1" ht="12.75" customHeight="1" x14ac:dyDescent="0.3"/>
    <row r="656" s="1" customFormat="1" ht="12.75" customHeight="1" x14ac:dyDescent="0.3"/>
    <row r="657" s="1" customFormat="1" ht="12.75" customHeight="1" x14ac:dyDescent="0.3"/>
    <row r="658" s="1" customFormat="1" ht="12.75" customHeight="1" x14ac:dyDescent="0.3"/>
    <row r="659" s="1" customFormat="1" ht="12.75" customHeight="1" x14ac:dyDescent="0.3"/>
    <row r="660" s="1" customFormat="1" ht="12.75" customHeight="1" x14ac:dyDescent="0.3"/>
    <row r="661" s="1" customFormat="1" ht="12.75" customHeight="1" x14ac:dyDescent="0.3"/>
    <row r="662" s="1" customFormat="1" ht="12.75" customHeight="1" x14ac:dyDescent="0.3"/>
    <row r="663" s="1" customFormat="1" ht="12.75" customHeight="1" x14ac:dyDescent="0.3"/>
    <row r="664" s="1" customFormat="1" ht="12.75" customHeight="1" x14ac:dyDescent="0.3"/>
    <row r="665" s="1" customFormat="1" ht="12.75" customHeight="1" x14ac:dyDescent="0.3"/>
    <row r="666" s="1" customFormat="1" ht="12.75" customHeight="1" x14ac:dyDescent="0.3"/>
    <row r="667" s="1" customFormat="1" ht="12.75" customHeight="1" x14ac:dyDescent="0.3"/>
    <row r="668" s="1" customFormat="1" ht="12.75" customHeight="1" x14ac:dyDescent="0.3"/>
    <row r="669" s="1" customFormat="1" ht="12.75" customHeight="1" x14ac:dyDescent="0.3"/>
    <row r="670" s="1" customFormat="1" ht="12.75" customHeight="1" x14ac:dyDescent="0.3"/>
    <row r="671" s="1" customFormat="1" ht="12.75" customHeight="1" x14ac:dyDescent="0.3"/>
    <row r="672" s="1" customFormat="1" ht="12.75" customHeight="1" x14ac:dyDescent="0.3"/>
    <row r="673" s="1" customFormat="1" ht="12.75" customHeight="1" x14ac:dyDescent="0.3"/>
    <row r="674" s="1" customFormat="1" ht="12.75" customHeight="1" x14ac:dyDescent="0.3"/>
    <row r="675" s="1" customFormat="1" ht="12.75" customHeight="1" x14ac:dyDescent="0.3"/>
    <row r="676" s="1" customFormat="1" ht="12.75" customHeight="1" x14ac:dyDescent="0.3"/>
    <row r="677" s="1" customFormat="1" ht="12.75" customHeight="1" x14ac:dyDescent="0.3"/>
    <row r="678" s="1" customFormat="1" ht="12.75" customHeight="1" x14ac:dyDescent="0.3"/>
    <row r="679" s="1" customFormat="1" ht="12.75" customHeight="1" x14ac:dyDescent="0.3"/>
    <row r="680" s="1" customFormat="1" ht="12.75" customHeight="1" x14ac:dyDescent="0.3"/>
    <row r="681" s="1" customFormat="1" ht="12.75" customHeight="1" x14ac:dyDescent="0.3"/>
    <row r="682" s="1" customFormat="1" ht="12.75" customHeight="1" x14ac:dyDescent="0.3"/>
    <row r="683" s="1" customFormat="1" ht="12.75" customHeight="1" x14ac:dyDescent="0.3"/>
    <row r="684" s="1" customFormat="1" ht="12.75" customHeight="1" x14ac:dyDescent="0.3"/>
    <row r="685" s="1" customFormat="1" ht="12.75" customHeight="1" x14ac:dyDescent="0.3"/>
    <row r="686" s="1" customFormat="1" ht="12.75" customHeight="1" x14ac:dyDescent="0.3"/>
    <row r="687" s="1" customFormat="1" ht="12.75" customHeight="1" x14ac:dyDescent="0.3"/>
    <row r="688" s="1" customFormat="1" ht="12.75" customHeight="1" x14ac:dyDescent="0.3"/>
    <row r="689" s="1" customFormat="1" ht="12.75" customHeight="1" x14ac:dyDescent="0.3"/>
    <row r="690" s="1" customFormat="1" ht="12.75" customHeight="1" x14ac:dyDescent="0.3"/>
    <row r="691" s="1" customFormat="1" ht="12.75" customHeight="1" x14ac:dyDescent="0.3"/>
    <row r="692" s="1" customFormat="1" ht="12.75" customHeight="1" x14ac:dyDescent="0.3"/>
    <row r="693" s="1" customFormat="1" ht="12.75" customHeight="1" x14ac:dyDescent="0.3"/>
    <row r="694" s="1" customFormat="1" ht="12.75" customHeight="1" x14ac:dyDescent="0.3"/>
    <row r="695" s="1" customFormat="1" ht="12.75" customHeight="1" x14ac:dyDescent="0.3"/>
    <row r="696" s="1" customFormat="1" ht="12.75" customHeight="1" x14ac:dyDescent="0.3"/>
    <row r="697" s="1" customFormat="1" ht="12.75" customHeight="1" x14ac:dyDescent="0.3"/>
    <row r="698" s="1" customFormat="1" ht="12.75" customHeight="1" x14ac:dyDescent="0.3"/>
    <row r="699" s="1" customFormat="1" ht="12.75" customHeight="1" x14ac:dyDescent="0.3"/>
    <row r="700" s="1" customFormat="1" ht="12.75" customHeight="1" x14ac:dyDescent="0.3"/>
    <row r="701" s="1" customFormat="1" ht="12.75" customHeight="1" x14ac:dyDescent="0.3"/>
    <row r="702" s="1" customFormat="1" ht="12.75" customHeight="1" x14ac:dyDescent="0.3"/>
    <row r="703" s="1" customFormat="1" ht="12.75" customHeight="1" x14ac:dyDescent="0.3"/>
    <row r="704" s="1" customFormat="1" ht="12.75" customHeight="1" x14ac:dyDescent="0.3"/>
    <row r="705" s="1" customFormat="1" ht="12.75" customHeight="1" x14ac:dyDescent="0.3"/>
    <row r="706" s="1" customFormat="1" ht="12.75" customHeight="1" x14ac:dyDescent="0.3"/>
    <row r="707" s="1" customFormat="1" ht="12.75" customHeight="1" x14ac:dyDescent="0.3"/>
    <row r="708" s="1" customFormat="1" ht="12.75" customHeight="1" x14ac:dyDescent="0.3"/>
    <row r="709" s="1" customFormat="1" ht="12.75" customHeight="1" x14ac:dyDescent="0.3"/>
    <row r="710" s="1" customFormat="1" ht="12.75" customHeight="1" x14ac:dyDescent="0.3"/>
    <row r="711" s="1" customFormat="1" ht="12.75" customHeight="1" x14ac:dyDescent="0.3"/>
    <row r="712" s="1" customFormat="1" ht="12.75" customHeight="1" x14ac:dyDescent="0.3"/>
    <row r="713" s="1" customFormat="1" ht="12.75" customHeight="1" x14ac:dyDescent="0.3"/>
    <row r="714" s="1" customFormat="1" ht="12.75" customHeight="1" x14ac:dyDescent="0.3"/>
    <row r="715" s="1" customFormat="1" ht="12.75" customHeight="1" x14ac:dyDescent="0.3"/>
    <row r="716" s="1" customFormat="1" ht="12.75" customHeight="1" x14ac:dyDescent="0.3"/>
    <row r="717" s="1" customFormat="1" ht="12.75" customHeight="1" x14ac:dyDescent="0.3"/>
    <row r="718" s="1" customFormat="1" ht="12.75" customHeight="1" x14ac:dyDescent="0.3"/>
    <row r="719" s="1" customFormat="1" ht="12.75" customHeight="1" x14ac:dyDescent="0.3"/>
    <row r="720" s="1" customFormat="1" ht="12.75" customHeight="1" x14ac:dyDescent="0.3"/>
    <row r="721" s="1" customFormat="1" ht="12.75" customHeight="1" x14ac:dyDescent="0.3"/>
    <row r="722" s="1" customFormat="1" ht="12.75" customHeight="1" x14ac:dyDescent="0.3"/>
    <row r="723" s="1" customFormat="1" ht="12.75" customHeight="1" x14ac:dyDescent="0.3"/>
    <row r="724" s="1" customFormat="1" ht="12.75" customHeight="1" x14ac:dyDescent="0.3"/>
    <row r="725" s="1" customFormat="1" ht="12.75" customHeight="1" x14ac:dyDescent="0.3"/>
    <row r="726" s="1" customFormat="1" ht="12.75" customHeight="1" x14ac:dyDescent="0.3"/>
    <row r="727" s="1" customFormat="1" ht="12.75" customHeight="1" x14ac:dyDescent="0.3"/>
    <row r="728" s="1" customFormat="1" ht="12.75" customHeight="1" x14ac:dyDescent="0.3"/>
    <row r="729" s="1" customFormat="1" ht="12.75" customHeight="1" x14ac:dyDescent="0.3"/>
    <row r="730" s="1" customFormat="1" ht="12.75" customHeight="1" x14ac:dyDescent="0.3"/>
    <row r="731" s="1" customFormat="1" ht="12.75" customHeight="1" x14ac:dyDescent="0.3"/>
    <row r="732" s="1" customFormat="1" ht="12.75" customHeight="1" x14ac:dyDescent="0.3"/>
    <row r="733" s="1" customFormat="1" ht="12.75" customHeight="1" x14ac:dyDescent="0.3"/>
    <row r="734" s="1" customFormat="1" ht="12.75" customHeight="1" x14ac:dyDescent="0.3"/>
    <row r="735" s="1" customFormat="1" ht="12.75" customHeight="1" x14ac:dyDescent="0.3"/>
    <row r="736" s="1" customFormat="1" ht="12.75" customHeight="1" x14ac:dyDescent="0.3"/>
    <row r="737" s="1" customFormat="1" ht="12.75" customHeight="1" x14ac:dyDescent="0.3"/>
    <row r="738" s="1" customFormat="1" ht="12.75" customHeight="1" x14ac:dyDescent="0.3"/>
    <row r="739" s="1" customFormat="1" ht="12.75" customHeight="1" x14ac:dyDescent="0.3"/>
    <row r="740" s="1" customFormat="1" ht="12.75" customHeight="1" x14ac:dyDescent="0.3"/>
    <row r="741" s="1" customFormat="1" ht="12.75" customHeight="1" x14ac:dyDescent="0.3"/>
    <row r="742" s="1" customFormat="1" ht="12.75" customHeight="1" x14ac:dyDescent="0.3"/>
    <row r="743" s="1" customFormat="1" ht="12.75" customHeight="1" x14ac:dyDescent="0.3"/>
    <row r="744" s="1" customFormat="1" ht="12.75" customHeight="1" x14ac:dyDescent="0.3"/>
    <row r="745" s="1" customFormat="1" ht="12.75" customHeight="1" x14ac:dyDescent="0.3"/>
    <row r="746" s="1" customFormat="1" ht="12.75" customHeight="1" x14ac:dyDescent="0.3"/>
    <row r="747" s="1" customFormat="1" ht="12.75" customHeight="1" x14ac:dyDescent="0.3"/>
    <row r="748" s="1" customFormat="1" ht="12.75" customHeight="1" x14ac:dyDescent="0.3"/>
    <row r="749" s="1" customFormat="1" ht="12.75" customHeight="1" x14ac:dyDescent="0.3"/>
    <row r="750" s="1" customFormat="1" ht="12.75" customHeight="1" x14ac:dyDescent="0.3"/>
    <row r="751" s="1" customFormat="1" ht="12.75" customHeight="1" x14ac:dyDescent="0.3"/>
    <row r="752" s="1" customFormat="1" ht="12.75" customHeight="1" x14ac:dyDescent="0.3"/>
    <row r="753" s="1" customFormat="1" ht="12.75" customHeight="1" x14ac:dyDescent="0.3"/>
    <row r="754" s="1" customFormat="1" ht="12.75" customHeight="1" x14ac:dyDescent="0.3"/>
    <row r="755" s="1" customFormat="1" ht="12.75" customHeight="1" x14ac:dyDescent="0.3"/>
    <row r="756" s="1" customFormat="1" ht="12.75" customHeight="1" x14ac:dyDescent="0.3"/>
    <row r="757" s="1" customFormat="1" ht="12.75" customHeight="1" x14ac:dyDescent="0.3"/>
    <row r="758" s="1" customFormat="1" ht="12.75" customHeight="1" x14ac:dyDescent="0.3"/>
    <row r="759" s="1" customFormat="1" ht="12.75" customHeight="1" x14ac:dyDescent="0.3"/>
    <row r="760" s="1" customFormat="1" ht="12.75" customHeight="1" x14ac:dyDescent="0.3"/>
    <row r="761" s="1" customFormat="1" ht="12.75" customHeight="1" x14ac:dyDescent="0.3"/>
    <row r="762" s="1" customFormat="1" ht="12.75" customHeight="1" x14ac:dyDescent="0.3"/>
    <row r="763" s="1" customFormat="1" ht="12.75" customHeight="1" x14ac:dyDescent="0.3"/>
    <row r="764" s="1" customFormat="1" ht="12.75" customHeight="1" x14ac:dyDescent="0.3"/>
    <row r="765" s="1" customFormat="1" ht="12.75" customHeight="1" x14ac:dyDescent="0.3"/>
    <row r="766" s="1" customFormat="1" ht="12.75" customHeight="1" x14ac:dyDescent="0.3"/>
    <row r="767" s="1" customFormat="1" ht="12.75" customHeight="1" x14ac:dyDescent="0.3"/>
    <row r="768" s="1" customFormat="1" ht="12.75" customHeight="1" x14ac:dyDescent="0.3"/>
    <row r="769" s="1" customFormat="1" ht="12.75" customHeight="1" x14ac:dyDescent="0.3"/>
    <row r="770" s="1" customFormat="1" ht="12.75" customHeight="1" x14ac:dyDescent="0.3"/>
    <row r="771" s="1" customFormat="1" ht="12.75" customHeight="1" x14ac:dyDescent="0.3"/>
    <row r="772" s="1" customFormat="1" ht="12.75" customHeight="1" x14ac:dyDescent="0.3"/>
    <row r="773" s="1" customFormat="1" ht="12.75" customHeight="1" x14ac:dyDescent="0.3"/>
    <row r="774" s="1" customFormat="1" ht="12.75" customHeight="1" x14ac:dyDescent="0.3"/>
    <row r="775" s="1" customFormat="1" ht="12.75" customHeight="1" x14ac:dyDescent="0.3"/>
    <row r="776" s="1" customFormat="1" ht="12.75" customHeight="1" x14ac:dyDescent="0.3"/>
    <row r="777" s="1" customFormat="1" ht="12.75" customHeight="1" x14ac:dyDescent="0.3"/>
    <row r="778" s="1" customFormat="1" ht="12.75" customHeight="1" x14ac:dyDescent="0.3"/>
    <row r="779" s="1" customFormat="1" ht="12.75" customHeight="1" x14ac:dyDescent="0.3"/>
    <row r="780" s="1" customFormat="1" ht="12.75" customHeight="1" x14ac:dyDescent="0.3"/>
    <row r="781" s="1" customFormat="1" ht="12.75" customHeight="1" x14ac:dyDescent="0.3"/>
    <row r="782" s="1" customFormat="1" ht="12.75" customHeight="1" x14ac:dyDescent="0.3"/>
    <row r="783" s="1" customFormat="1" ht="12.75" customHeight="1" x14ac:dyDescent="0.3"/>
    <row r="784" s="1" customFormat="1" ht="12.75" customHeight="1" x14ac:dyDescent="0.3"/>
    <row r="785" s="1" customFormat="1" ht="12.75" customHeight="1" x14ac:dyDescent="0.3"/>
    <row r="786" s="1" customFormat="1" ht="12.75" customHeight="1" x14ac:dyDescent="0.3"/>
    <row r="787" s="1" customFormat="1" ht="12.75" customHeight="1" x14ac:dyDescent="0.3"/>
    <row r="788" s="1" customFormat="1" ht="12.75" customHeight="1" x14ac:dyDescent="0.3"/>
    <row r="789" s="1" customFormat="1" ht="12.75" customHeight="1" x14ac:dyDescent="0.3"/>
    <row r="790" s="1" customFormat="1" ht="12.75" customHeight="1" x14ac:dyDescent="0.3"/>
    <row r="791" s="1" customFormat="1" ht="12.75" customHeight="1" x14ac:dyDescent="0.3"/>
    <row r="792" s="1" customFormat="1" ht="12.75" customHeight="1" x14ac:dyDescent="0.3"/>
    <row r="793" s="1" customFormat="1" ht="12.75" customHeight="1" x14ac:dyDescent="0.3"/>
    <row r="794" s="1" customFormat="1" ht="12.75" customHeight="1" x14ac:dyDescent="0.3"/>
    <row r="795" s="1" customFormat="1" ht="12.75" customHeight="1" x14ac:dyDescent="0.3"/>
    <row r="796" s="1" customFormat="1" ht="12.75" customHeight="1" x14ac:dyDescent="0.3"/>
    <row r="797" s="1" customFormat="1" ht="12.75" customHeight="1" x14ac:dyDescent="0.3"/>
    <row r="798" s="1" customFormat="1" ht="12.75" customHeight="1" x14ac:dyDescent="0.3"/>
    <row r="799" s="1" customFormat="1" ht="12.75" customHeight="1" x14ac:dyDescent="0.3"/>
    <row r="800" s="1" customFormat="1" ht="12.75" customHeight="1" x14ac:dyDescent="0.3"/>
    <row r="801" s="1" customFormat="1" ht="12.75" customHeight="1" x14ac:dyDescent="0.3"/>
    <row r="802" s="1" customFormat="1" ht="12.75" customHeight="1" x14ac:dyDescent="0.3"/>
    <row r="803" s="1" customFormat="1" ht="12.75" customHeight="1" x14ac:dyDescent="0.3"/>
    <row r="804" s="1" customFormat="1" ht="12.75" customHeight="1" x14ac:dyDescent="0.3"/>
    <row r="805" s="1" customFormat="1" ht="12.75" customHeight="1" x14ac:dyDescent="0.3"/>
    <row r="806" s="1" customFormat="1" ht="12.75" customHeight="1" x14ac:dyDescent="0.3"/>
    <row r="807" s="1" customFormat="1" ht="12.75" customHeight="1" x14ac:dyDescent="0.3"/>
    <row r="808" s="1" customFormat="1" ht="12.75" customHeight="1" x14ac:dyDescent="0.3"/>
    <row r="809" s="1" customFormat="1" ht="12.75" customHeight="1" x14ac:dyDescent="0.3"/>
    <row r="810" s="1" customFormat="1" ht="12.75" customHeight="1" x14ac:dyDescent="0.3"/>
    <row r="811" s="1" customFormat="1" ht="12.75" customHeight="1" x14ac:dyDescent="0.3"/>
    <row r="812" s="1" customFormat="1" ht="12.75" customHeight="1" x14ac:dyDescent="0.3"/>
    <row r="813" s="1" customFormat="1" ht="12.75" customHeight="1" x14ac:dyDescent="0.3"/>
    <row r="814" s="1" customFormat="1" ht="12.75" customHeight="1" x14ac:dyDescent="0.3"/>
    <row r="815" s="1" customFormat="1" ht="12.75" customHeight="1" x14ac:dyDescent="0.3"/>
    <row r="816" s="1" customFormat="1" ht="12.75" customHeight="1" x14ac:dyDescent="0.3"/>
    <row r="817" s="1" customFormat="1" ht="12.75" customHeight="1" x14ac:dyDescent="0.3"/>
    <row r="818" s="1" customFormat="1" ht="12.75" customHeight="1" x14ac:dyDescent="0.3"/>
    <row r="819" s="1" customFormat="1" ht="12.75" customHeight="1" x14ac:dyDescent="0.3"/>
    <row r="820" s="1" customFormat="1" ht="12.75" customHeight="1" x14ac:dyDescent="0.3"/>
    <row r="821" s="1" customFormat="1" ht="12.75" customHeight="1" x14ac:dyDescent="0.3"/>
    <row r="822" s="1" customFormat="1" ht="12.75" customHeight="1" x14ac:dyDescent="0.3"/>
    <row r="823" s="1" customFormat="1" ht="12.75" customHeight="1" x14ac:dyDescent="0.3"/>
    <row r="824" s="1" customFormat="1" ht="12.75" customHeight="1" x14ac:dyDescent="0.3"/>
    <row r="825" s="1" customFormat="1" ht="12.75" customHeight="1" x14ac:dyDescent="0.3"/>
    <row r="826" s="1" customFormat="1" ht="12.75" customHeight="1" x14ac:dyDescent="0.3"/>
    <row r="827" s="1" customFormat="1" ht="12.75" customHeight="1" x14ac:dyDescent="0.3"/>
    <row r="828" s="1" customFormat="1" ht="12.75" customHeight="1" x14ac:dyDescent="0.3"/>
    <row r="829" s="1" customFormat="1" ht="12.75" customHeight="1" x14ac:dyDescent="0.3"/>
    <row r="830" s="1" customFormat="1" ht="12.75" customHeight="1" x14ac:dyDescent="0.3"/>
    <row r="831" s="1" customFormat="1" ht="12.75" customHeight="1" x14ac:dyDescent="0.3"/>
    <row r="832" s="1" customFormat="1" ht="12.75" customHeight="1" x14ac:dyDescent="0.3"/>
    <row r="833" s="1" customFormat="1" ht="12.75" customHeight="1" x14ac:dyDescent="0.3"/>
    <row r="834" s="1" customFormat="1" ht="12.75" customHeight="1" x14ac:dyDescent="0.3"/>
    <row r="835" s="1" customFormat="1" ht="12.75" customHeight="1" x14ac:dyDescent="0.3"/>
    <row r="836" s="1" customFormat="1" ht="12.75" customHeight="1" x14ac:dyDescent="0.3"/>
    <row r="837" s="1" customFormat="1" ht="12.75" customHeight="1" x14ac:dyDescent="0.3"/>
    <row r="838" s="1" customFormat="1" ht="12.75" customHeight="1" x14ac:dyDescent="0.3"/>
    <row r="839" s="1" customFormat="1" ht="12.75" customHeight="1" x14ac:dyDescent="0.3"/>
    <row r="840" s="1" customFormat="1" ht="12.75" customHeight="1" x14ac:dyDescent="0.3"/>
    <row r="841" s="1" customFormat="1" ht="12.75" customHeight="1" x14ac:dyDescent="0.3"/>
    <row r="842" s="1" customFormat="1" ht="12.75" customHeight="1" x14ac:dyDescent="0.3"/>
    <row r="843" s="1" customFormat="1" ht="12.75" customHeight="1" x14ac:dyDescent="0.3"/>
    <row r="844" s="1" customFormat="1" ht="12.75" customHeight="1" x14ac:dyDescent="0.3"/>
    <row r="845" s="1" customFormat="1" ht="12.75" customHeight="1" x14ac:dyDescent="0.3"/>
    <row r="846" s="1" customFormat="1" ht="12.75" customHeight="1" x14ac:dyDescent="0.3"/>
    <row r="847" s="1" customFormat="1" ht="12.75" customHeight="1" x14ac:dyDescent="0.3"/>
    <row r="848" s="1" customFormat="1" ht="12.75" customHeight="1" x14ac:dyDescent="0.3"/>
    <row r="849" s="1" customFormat="1" ht="12.75" customHeight="1" x14ac:dyDescent="0.3"/>
    <row r="850" s="1" customFormat="1" ht="12.75" customHeight="1" x14ac:dyDescent="0.3"/>
    <row r="851" s="1" customFormat="1" ht="12.75" customHeight="1" x14ac:dyDescent="0.3"/>
    <row r="852" s="1" customFormat="1" ht="12.75" customHeight="1" x14ac:dyDescent="0.3"/>
    <row r="853" s="1" customFormat="1" ht="12.75" customHeight="1" x14ac:dyDescent="0.3"/>
    <row r="854" s="1" customFormat="1" ht="12.75" customHeight="1" x14ac:dyDescent="0.3"/>
    <row r="855" s="1" customFormat="1" ht="12.75" customHeight="1" x14ac:dyDescent="0.3"/>
    <row r="856" s="1" customFormat="1" ht="12.75" customHeight="1" x14ac:dyDescent="0.3"/>
    <row r="857" s="1" customFormat="1" ht="12.75" customHeight="1" x14ac:dyDescent="0.3"/>
    <row r="858" s="1" customFormat="1" ht="12.75" customHeight="1" x14ac:dyDescent="0.3"/>
    <row r="859" s="1" customFormat="1" ht="12.75" customHeight="1" x14ac:dyDescent="0.3"/>
    <row r="860" s="1" customFormat="1" ht="12.75" customHeight="1" x14ac:dyDescent="0.3"/>
    <row r="861" s="1" customFormat="1" ht="12.75" customHeight="1" x14ac:dyDescent="0.3"/>
    <row r="862" s="1" customFormat="1" ht="12.75" customHeight="1" x14ac:dyDescent="0.3"/>
    <row r="863" s="1" customFormat="1" ht="12.75" customHeight="1" x14ac:dyDescent="0.3"/>
    <row r="864" s="1" customFormat="1" ht="12.75" customHeight="1" x14ac:dyDescent="0.3"/>
    <row r="865" s="1" customFormat="1" ht="12.75" customHeight="1" x14ac:dyDescent="0.3"/>
    <row r="866" s="1" customFormat="1" ht="12.75" customHeight="1" x14ac:dyDescent="0.3"/>
    <row r="867" s="1" customFormat="1" ht="12.75" customHeight="1" x14ac:dyDescent="0.3"/>
    <row r="868" s="1" customFormat="1" ht="12.75" customHeight="1" x14ac:dyDescent="0.3"/>
    <row r="869" s="1" customFormat="1" ht="12.75" customHeight="1" x14ac:dyDescent="0.3"/>
    <row r="870" s="1" customFormat="1" ht="12.75" customHeight="1" x14ac:dyDescent="0.3"/>
    <row r="871" s="1" customFormat="1" ht="12.75" customHeight="1" x14ac:dyDescent="0.3"/>
    <row r="872" s="1" customFormat="1" ht="12.75" customHeight="1" x14ac:dyDescent="0.3"/>
    <row r="873" s="1" customFormat="1" ht="12.75" customHeight="1" x14ac:dyDescent="0.3"/>
    <row r="874" s="1" customFormat="1" ht="12.75" customHeight="1" x14ac:dyDescent="0.3"/>
    <row r="875" s="1" customFormat="1" ht="12.75" customHeight="1" x14ac:dyDescent="0.3"/>
    <row r="876" s="1" customFormat="1" ht="12.75" customHeight="1" x14ac:dyDescent="0.3"/>
    <row r="877" s="1" customFormat="1" ht="12.75" customHeight="1" x14ac:dyDescent="0.3"/>
    <row r="878" s="1" customFormat="1" ht="12.75" customHeight="1" x14ac:dyDescent="0.3"/>
    <row r="879" s="1" customFormat="1" ht="12.75" customHeight="1" x14ac:dyDescent="0.3"/>
    <row r="880" s="1" customFormat="1" ht="12.75" customHeight="1" x14ac:dyDescent="0.3"/>
    <row r="881" s="1" customFormat="1" ht="12.75" customHeight="1" x14ac:dyDescent="0.3"/>
    <row r="882" s="1" customFormat="1" ht="12.75" customHeight="1" x14ac:dyDescent="0.3"/>
    <row r="883" s="1" customFormat="1" ht="12.75" customHeight="1" x14ac:dyDescent="0.3"/>
    <row r="884" s="1" customFormat="1" ht="12.75" customHeight="1" x14ac:dyDescent="0.3"/>
    <row r="885" s="1" customFormat="1" ht="12.75" customHeight="1" x14ac:dyDescent="0.3"/>
    <row r="886" s="1" customFormat="1" ht="12.75" customHeight="1" x14ac:dyDescent="0.3"/>
    <row r="887" s="1" customFormat="1" ht="12.75" customHeight="1" x14ac:dyDescent="0.3"/>
    <row r="888" s="1" customFormat="1" ht="12.75" customHeight="1" x14ac:dyDescent="0.3"/>
    <row r="889" s="1" customFormat="1" ht="12.75" customHeight="1" x14ac:dyDescent="0.3"/>
    <row r="890" s="1" customFormat="1" ht="12.75" customHeight="1" x14ac:dyDescent="0.3"/>
    <row r="891" s="1" customFormat="1" ht="12.75" customHeight="1" x14ac:dyDescent="0.3"/>
    <row r="892" s="1" customFormat="1" ht="12.75" customHeight="1" x14ac:dyDescent="0.3"/>
    <row r="893" s="1" customFormat="1" ht="12.75" customHeight="1" x14ac:dyDescent="0.3"/>
    <row r="894" s="1" customFormat="1" ht="12.75" customHeight="1" x14ac:dyDescent="0.3"/>
    <row r="895" s="1" customFormat="1" ht="12.75" customHeight="1" x14ac:dyDescent="0.3"/>
    <row r="896" s="1" customFormat="1" ht="12.75" customHeight="1" x14ac:dyDescent="0.3"/>
    <row r="897" s="1" customFormat="1" ht="12.75" customHeight="1" x14ac:dyDescent="0.3"/>
    <row r="898" s="1" customFormat="1" ht="12.75" customHeight="1" x14ac:dyDescent="0.3"/>
    <row r="899" s="1" customFormat="1" ht="12.75" customHeight="1" x14ac:dyDescent="0.3"/>
    <row r="900" s="1" customFormat="1" ht="12.75" customHeight="1" x14ac:dyDescent="0.3"/>
    <row r="901" s="1" customFormat="1" ht="12.75" customHeight="1" x14ac:dyDescent="0.3"/>
    <row r="902" s="1" customFormat="1" ht="12.75" customHeight="1" x14ac:dyDescent="0.3"/>
    <row r="903" s="1" customFormat="1" ht="12.75" customHeight="1" x14ac:dyDescent="0.3"/>
    <row r="904" s="1" customFormat="1" ht="12.75" customHeight="1" x14ac:dyDescent="0.3"/>
    <row r="905" s="1" customFormat="1" ht="12.75" customHeight="1" x14ac:dyDescent="0.3"/>
    <row r="906" s="1" customFormat="1" ht="12.75" customHeight="1" x14ac:dyDescent="0.3"/>
    <row r="907" s="1" customFormat="1" ht="12.75" customHeight="1" x14ac:dyDescent="0.3"/>
    <row r="908" s="1" customFormat="1" ht="12.75" customHeight="1" x14ac:dyDescent="0.3"/>
    <row r="909" s="1" customFormat="1" ht="12.75" customHeight="1" x14ac:dyDescent="0.3"/>
    <row r="910" s="1" customFormat="1" ht="12.75" customHeight="1" x14ac:dyDescent="0.3"/>
    <row r="911" s="1" customFormat="1" ht="12.75" customHeight="1" x14ac:dyDescent="0.3"/>
    <row r="912" s="1" customFormat="1" ht="12.75" customHeight="1" x14ac:dyDescent="0.3"/>
    <row r="913" s="1" customFormat="1" ht="12.75" customHeight="1" x14ac:dyDescent="0.3"/>
    <row r="914" s="1" customFormat="1" ht="12.75" customHeight="1" x14ac:dyDescent="0.3"/>
    <row r="915" s="1" customFormat="1" ht="12.75" customHeight="1" x14ac:dyDescent="0.3"/>
    <row r="916" s="1" customFormat="1" ht="12.75" customHeight="1" x14ac:dyDescent="0.3"/>
    <row r="917" s="1" customFormat="1" ht="12.75" customHeight="1" x14ac:dyDescent="0.3"/>
    <row r="918" s="1" customFormat="1" ht="12.75" customHeight="1" x14ac:dyDescent="0.3"/>
    <row r="919" s="1" customFormat="1" ht="12.75" customHeight="1" x14ac:dyDescent="0.3"/>
    <row r="920" s="1" customFormat="1" ht="12.75" customHeight="1" x14ac:dyDescent="0.3"/>
    <row r="921" s="1" customFormat="1" ht="12.75" customHeight="1" x14ac:dyDescent="0.3"/>
    <row r="922" s="1" customFormat="1" ht="12.75" customHeight="1" x14ac:dyDescent="0.3"/>
    <row r="923" s="1" customFormat="1" ht="12.75" customHeight="1" x14ac:dyDescent="0.3"/>
    <row r="924" s="1" customFormat="1" ht="12.75" customHeight="1" x14ac:dyDescent="0.3"/>
    <row r="925" s="1" customFormat="1" ht="12.75" customHeight="1" x14ac:dyDescent="0.3"/>
    <row r="926" s="1" customFormat="1" ht="12.75" customHeight="1" x14ac:dyDescent="0.3"/>
    <row r="927" s="1" customFormat="1" ht="12.75" customHeight="1" x14ac:dyDescent="0.3"/>
    <row r="928" s="1" customFormat="1" ht="12.75" customHeight="1" x14ac:dyDescent="0.3"/>
    <row r="929" s="1" customFormat="1" ht="12.75" customHeight="1" x14ac:dyDescent="0.3"/>
    <row r="930" s="1" customFormat="1" ht="12.75" customHeight="1" x14ac:dyDescent="0.3"/>
    <row r="931" s="1" customFormat="1" ht="12.75" customHeight="1" x14ac:dyDescent="0.3"/>
    <row r="932" s="1" customFormat="1" ht="12.75" customHeight="1" x14ac:dyDescent="0.3"/>
    <row r="933" s="1" customFormat="1" ht="12.75" customHeight="1" x14ac:dyDescent="0.3"/>
    <row r="934" s="1" customFormat="1" ht="12.75" customHeight="1" x14ac:dyDescent="0.3"/>
    <row r="935" s="1" customFormat="1" ht="12.75" customHeight="1" x14ac:dyDescent="0.3"/>
    <row r="936" s="1" customFormat="1" ht="12.75" customHeight="1" x14ac:dyDescent="0.3"/>
    <row r="937" s="1" customFormat="1" ht="12.75" customHeight="1" x14ac:dyDescent="0.3"/>
    <row r="938" s="1" customFormat="1" ht="12.75" customHeight="1" x14ac:dyDescent="0.3"/>
    <row r="939" s="1" customFormat="1" ht="12.75" customHeight="1" x14ac:dyDescent="0.3"/>
    <row r="940" s="1" customFormat="1" ht="12.75" customHeight="1" x14ac:dyDescent="0.3"/>
    <row r="941" s="1" customFormat="1" ht="12.75" customHeight="1" x14ac:dyDescent="0.3"/>
    <row r="942" s="1" customFormat="1" ht="12.75" customHeight="1" x14ac:dyDescent="0.3"/>
    <row r="943" s="1" customFormat="1" ht="12.75" customHeight="1" x14ac:dyDescent="0.3"/>
    <row r="944" s="1" customFormat="1" ht="12.75" customHeight="1" x14ac:dyDescent="0.3"/>
    <row r="945" s="1" customFormat="1" ht="12.75" customHeight="1" x14ac:dyDescent="0.3"/>
    <row r="946" s="1" customFormat="1" ht="12.75" customHeight="1" x14ac:dyDescent="0.3"/>
    <row r="947" s="1" customFormat="1" ht="12.75" customHeight="1" x14ac:dyDescent="0.3"/>
    <row r="948" s="1" customFormat="1" ht="12.75" customHeight="1" x14ac:dyDescent="0.3"/>
    <row r="949" s="1" customFormat="1" ht="12.75" customHeight="1" x14ac:dyDescent="0.3"/>
    <row r="950" s="1" customFormat="1" ht="12.75" customHeight="1" x14ac:dyDescent="0.3"/>
    <row r="951" s="1" customFormat="1" ht="12.75" customHeight="1" x14ac:dyDescent="0.3"/>
    <row r="952" s="1" customFormat="1" ht="12.75" customHeight="1" x14ac:dyDescent="0.3"/>
    <row r="953" s="1" customFormat="1" ht="12.75" customHeight="1" x14ac:dyDescent="0.3"/>
    <row r="954" s="1" customFormat="1" ht="12.75" customHeight="1" x14ac:dyDescent="0.3"/>
    <row r="955" s="1" customFormat="1" ht="12.75" customHeight="1" x14ac:dyDescent="0.3"/>
    <row r="956" s="1" customFormat="1" ht="12.75" customHeight="1" x14ac:dyDescent="0.3"/>
    <row r="957" s="1" customFormat="1" ht="12.75" customHeight="1" x14ac:dyDescent="0.3"/>
    <row r="958" s="1" customFormat="1" ht="12.75" customHeight="1" x14ac:dyDescent="0.3"/>
    <row r="959" s="1" customFormat="1" ht="12.75" customHeight="1" x14ac:dyDescent="0.3"/>
    <row r="960" s="1" customFormat="1" ht="12.75" customHeight="1" x14ac:dyDescent="0.3"/>
    <row r="961" s="1" customFormat="1" ht="12.75" customHeight="1" x14ac:dyDescent="0.3"/>
    <row r="962" s="1" customFormat="1" ht="12.75" customHeight="1" x14ac:dyDescent="0.3"/>
    <row r="963" s="1" customFormat="1" ht="12.75" customHeight="1" x14ac:dyDescent="0.3"/>
    <row r="964" s="1" customFormat="1" ht="12.75" customHeight="1" x14ac:dyDescent="0.3"/>
    <row r="965" s="1" customFormat="1" ht="12.75" customHeight="1" x14ac:dyDescent="0.3"/>
    <row r="966" s="1" customFormat="1" ht="12.75" customHeight="1" x14ac:dyDescent="0.3"/>
    <row r="967" s="1" customFormat="1" ht="12.75" customHeight="1" x14ac:dyDescent="0.3"/>
    <row r="968" s="1" customFormat="1" ht="12.75" customHeight="1" x14ac:dyDescent="0.3"/>
    <row r="969" s="1" customFormat="1" ht="12.75" customHeight="1" x14ac:dyDescent="0.3"/>
    <row r="970" s="1" customFormat="1" ht="12.75" customHeight="1" x14ac:dyDescent="0.3"/>
    <row r="971" s="1" customFormat="1" ht="12.75" customHeight="1" x14ac:dyDescent="0.3"/>
    <row r="972" s="1" customFormat="1" ht="12.75" customHeight="1" x14ac:dyDescent="0.3"/>
    <row r="973" s="1" customFormat="1" ht="12.75" customHeight="1" x14ac:dyDescent="0.3"/>
    <row r="974" s="1" customFormat="1" ht="12.75" customHeight="1" x14ac:dyDescent="0.3"/>
    <row r="975" s="1" customFormat="1" ht="12.75" customHeight="1" x14ac:dyDescent="0.3"/>
    <row r="976" s="1" customFormat="1" ht="12.75" customHeight="1" x14ac:dyDescent="0.3"/>
    <row r="977" s="1" customFormat="1" ht="12.75" customHeight="1" x14ac:dyDescent="0.3"/>
    <row r="978" s="1" customFormat="1" ht="12.75" customHeight="1" x14ac:dyDescent="0.3"/>
    <row r="979" s="1" customFormat="1" ht="12.75" customHeight="1" x14ac:dyDescent="0.3"/>
    <row r="980" s="1" customFormat="1" ht="12.75" customHeight="1" x14ac:dyDescent="0.3"/>
    <row r="981" s="1" customFormat="1" ht="12.75" customHeight="1" x14ac:dyDescent="0.3"/>
    <row r="982" s="1" customFormat="1" ht="12.75" customHeight="1" x14ac:dyDescent="0.3"/>
    <row r="983" s="1" customFormat="1" ht="12.75" customHeight="1" x14ac:dyDescent="0.3"/>
    <row r="984" s="1" customFormat="1" ht="12.75" customHeight="1" x14ac:dyDescent="0.3"/>
    <row r="985" s="1" customFormat="1" ht="12.75" customHeight="1" x14ac:dyDescent="0.3"/>
    <row r="986" s="1" customFormat="1" ht="12.75" customHeight="1" x14ac:dyDescent="0.3"/>
    <row r="987" s="1" customFormat="1" ht="12.75" customHeight="1" x14ac:dyDescent="0.3"/>
    <row r="988" s="1" customFormat="1" ht="12.75" customHeight="1" x14ac:dyDescent="0.3"/>
    <row r="989" s="1" customFormat="1" ht="12.75" customHeight="1" x14ac:dyDescent="0.3"/>
    <row r="990" s="1" customFormat="1" ht="12.75" customHeight="1" x14ac:dyDescent="0.3"/>
    <row r="991" s="1" customFormat="1" ht="12.75" customHeight="1" x14ac:dyDescent="0.3"/>
    <row r="992" s="1" customFormat="1" ht="12.75" customHeight="1" x14ac:dyDescent="0.3"/>
    <row r="993" s="1" customFormat="1" ht="12.75" customHeight="1" x14ac:dyDescent="0.3"/>
    <row r="994" s="1" customFormat="1" ht="12.75" customHeight="1" x14ac:dyDescent="0.3"/>
    <row r="995" s="1" customFormat="1" ht="12.75" customHeight="1" x14ac:dyDescent="0.3"/>
    <row r="996" s="1" customFormat="1" ht="12.75" customHeight="1" x14ac:dyDescent="0.3"/>
    <row r="997" s="1" customFormat="1" ht="12.75" customHeight="1" x14ac:dyDescent="0.3"/>
    <row r="998" s="1" customFormat="1" ht="12.75" customHeight="1" x14ac:dyDescent="0.3"/>
    <row r="999" s="1" customFormat="1" ht="12.75" customHeight="1" x14ac:dyDescent="0.3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7FF46-C3CB-4374-825C-B2EC9B47326B}">
  <dimension ref="A1:M999"/>
  <sheetViews>
    <sheetView workbookViewId="0">
      <selection sqref="A1:XFD1048576"/>
    </sheetView>
  </sheetViews>
  <sheetFormatPr baseColWidth="10" defaultColWidth="12.6328125" defaultRowHeight="15" customHeight="1" x14ac:dyDescent="0.3"/>
  <cols>
    <col min="1" max="1" width="15.7265625" style="1" customWidth="1"/>
    <col min="2" max="7" width="10.6328125" style="1" customWidth="1"/>
    <col min="8" max="8" width="11.36328125" style="1" customWidth="1"/>
    <col min="9" max="25" width="10.6328125" style="1" customWidth="1"/>
    <col min="26" max="16384" width="12.6328125" style="1"/>
  </cols>
  <sheetData>
    <row r="1" spans="1:13" ht="12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2.75" customHeight="1" x14ac:dyDescent="0.3">
      <c r="A2" s="1" t="s">
        <v>12</v>
      </c>
      <c r="B2" s="1" t="s">
        <v>13</v>
      </c>
      <c r="C2" s="1">
        <v>1</v>
      </c>
      <c r="H2" s="2" t="s">
        <v>14</v>
      </c>
      <c r="I2" s="3">
        <f t="shared" ref="I2:L2" si="0">SUM(C22+C37+C55+C65+C66+C96+C105+C113+C128+C146+C150)</f>
        <v>11</v>
      </c>
      <c r="J2" s="3">
        <f t="shared" si="0"/>
        <v>0</v>
      </c>
      <c r="K2" s="3">
        <f t="shared" si="0"/>
        <v>0</v>
      </c>
      <c r="L2" s="3">
        <f t="shared" si="0"/>
        <v>0</v>
      </c>
      <c r="M2" s="3">
        <f t="shared" ref="M2:M13" si="1">SUM(I2:L2)</f>
        <v>11</v>
      </c>
    </row>
    <row r="3" spans="1:13" ht="12.75" customHeight="1" x14ac:dyDescent="0.3">
      <c r="A3" s="1" t="s">
        <v>15</v>
      </c>
      <c r="B3" s="1" t="s">
        <v>16</v>
      </c>
      <c r="C3" s="1">
        <v>1</v>
      </c>
      <c r="H3" s="2" t="s">
        <v>17</v>
      </c>
      <c r="I3" s="3">
        <f t="shared" ref="I3:L3" si="2">SUM(C6+C32+C50+C52+C58+C69+C76+C94+C115+C122+C123+C152)</f>
        <v>11</v>
      </c>
      <c r="J3" s="3">
        <f t="shared" si="2"/>
        <v>0</v>
      </c>
      <c r="K3" s="3">
        <f t="shared" si="2"/>
        <v>0</v>
      </c>
      <c r="L3" s="3">
        <f t="shared" si="2"/>
        <v>1</v>
      </c>
      <c r="M3" s="3">
        <f t="shared" si="1"/>
        <v>12</v>
      </c>
    </row>
    <row r="4" spans="1:13" ht="12.75" customHeight="1" x14ac:dyDescent="0.3">
      <c r="A4" s="1" t="s">
        <v>18</v>
      </c>
      <c r="B4" s="1" t="s">
        <v>13</v>
      </c>
      <c r="D4" s="1">
        <v>1</v>
      </c>
      <c r="H4" s="2" t="s">
        <v>19</v>
      </c>
      <c r="I4" s="3">
        <f t="shared" ref="I4:L4" si="3">SUM(C26+C14+C27+C62+C68+C124+C138+C142+C153+C155)</f>
        <v>10</v>
      </c>
      <c r="J4" s="3">
        <f t="shared" si="3"/>
        <v>0</v>
      </c>
      <c r="K4" s="3">
        <f t="shared" si="3"/>
        <v>0</v>
      </c>
      <c r="L4" s="3">
        <f t="shared" si="3"/>
        <v>0</v>
      </c>
      <c r="M4" s="3">
        <f t="shared" si="1"/>
        <v>10</v>
      </c>
    </row>
    <row r="5" spans="1:13" ht="12.75" customHeight="1" x14ac:dyDescent="0.3">
      <c r="A5" s="1" t="s">
        <v>20</v>
      </c>
      <c r="B5" s="1" t="s">
        <v>21</v>
      </c>
      <c r="C5" s="1">
        <v>1</v>
      </c>
      <c r="H5" s="2" t="s">
        <v>22</v>
      </c>
      <c r="I5" s="3">
        <f t="shared" ref="I5:L5" si="4">SUM(C5+C36+C56+C63+C73+C85+C87+C95+C135)</f>
        <v>8</v>
      </c>
      <c r="J5" s="3">
        <f t="shared" si="4"/>
        <v>0</v>
      </c>
      <c r="K5" s="3">
        <f t="shared" si="4"/>
        <v>0</v>
      </c>
      <c r="L5" s="3">
        <f t="shared" si="4"/>
        <v>1</v>
      </c>
      <c r="M5" s="3">
        <f t="shared" si="1"/>
        <v>9</v>
      </c>
    </row>
    <row r="6" spans="1:13" ht="12.75" customHeight="1" x14ac:dyDescent="0.3">
      <c r="A6" s="1" t="s">
        <v>23</v>
      </c>
      <c r="B6" s="1" t="s">
        <v>24</v>
      </c>
      <c r="C6" s="1">
        <v>1</v>
      </c>
      <c r="H6" s="2" t="s">
        <v>25</v>
      </c>
      <c r="I6" s="3">
        <f t="shared" ref="I6:L6" si="5">SUM(C12+C15+C18+C28+C41+C59+C78+C64+C82+C83+C86+C106+C119+C143+C148+C154)</f>
        <v>15</v>
      </c>
      <c r="J6" s="3">
        <f t="shared" si="5"/>
        <v>0</v>
      </c>
      <c r="K6" s="3">
        <f t="shared" si="5"/>
        <v>0</v>
      </c>
      <c r="L6" s="3">
        <f t="shared" si="5"/>
        <v>1</v>
      </c>
      <c r="M6" s="3">
        <f t="shared" si="1"/>
        <v>16</v>
      </c>
    </row>
    <row r="7" spans="1:13" ht="12.75" customHeight="1" x14ac:dyDescent="0.3">
      <c r="A7" s="1" t="s">
        <v>26</v>
      </c>
      <c r="B7" s="1" t="s">
        <v>27</v>
      </c>
      <c r="C7" s="1">
        <v>1</v>
      </c>
      <c r="H7" s="2" t="s">
        <v>28</v>
      </c>
      <c r="I7" s="3">
        <f t="shared" ref="I7:L7" si="6">SUM(C3+C20+C46+C49+C54+C89+C90+C102+C112+C114+C129+C141)</f>
        <v>12</v>
      </c>
      <c r="J7" s="3">
        <f t="shared" si="6"/>
        <v>0</v>
      </c>
      <c r="K7" s="3">
        <f t="shared" si="6"/>
        <v>0</v>
      </c>
      <c r="L7" s="3">
        <f t="shared" si="6"/>
        <v>0</v>
      </c>
      <c r="M7" s="3">
        <f t="shared" si="1"/>
        <v>12</v>
      </c>
    </row>
    <row r="8" spans="1:13" ht="12.75" customHeight="1" x14ac:dyDescent="0.3">
      <c r="A8" s="1" t="s">
        <v>29</v>
      </c>
      <c r="B8" s="1" t="s">
        <v>30</v>
      </c>
      <c r="D8" s="1">
        <v>1</v>
      </c>
      <c r="H8" s="2" t="s">
        <v>27</v>
      </c>
      <c r="I8" s="3">
        <f t="shared" ref="I8:L8" si="7">SUM(C7+C30+C29+C44+C51+C60+C72+C79+C101+C99+C107+C111+C117+C140+C144)</f>
        <v>13</v>
      </c>
      <c r="J8" s="3">
        <f t="shared" si="7"/>
        <v>1</v>
      </c>
      <c r="K8" s="3">
        <f t="shared" si="7"/>
        <v>1</v>
      </c>
      <c r="L8" s="3">
        <f t="shared" si="7"/>
        <v>0</v>
      </c>
      <c r="M8" s="3">
        <f t="shared" si="1"/>
        <v>15</v>
      </c>
    </row>
    <row r="9" spans="1:13" ht="12.75" customHeight="1" x14ac:dyDescent="0.3">
      <c r="A9" s="1" t="s">
        <v>31</v>
      </c>
      <c r="B9" s="1" t="s">
        <v>13</v>
      </c>
      <c r="C9" s="1">
        <v>1</v>
      </c>
      <c r="H9" s="2" t="s">
        <v>13</v>
      </c>
      <c r="I9" s="3">
        <f t="shared" ref="I9:J9" si="8">SUM(C4+C9+C17+C19+C2+C48+C92+C120+C126+C127+C130+C133+C151)</f>
        <v>5</v>
      </c>
      <c r="J9" s="3">
        <f t="shared" si="8"/>
        <v>7</v>
      </c>
      <c r="K9" s="3">
        <f>SUM(D4+D9+D17+D19+D2+D48+D92+D120+D126+D127+D130+D133+D151)</f>
        <v>7</v>
      </c>
      <c r="L9" s="3">
        <f>SUM(F4+F9+F17+F19+F2+F48+F92+F120+F126+F127+F130+F133+F151)</f>
        <v>0</v>
      </c>
      <c r="M9" s="3">
        <f t="shared" si="1"/>
        <v>19</v>
      </c>
    </row>
    <row r="10" spans="1:13" ht="12.75" customHeight="1" x14ac:dyDescent="0.3">
      <c r="A10" s="1" t="s">
        <v>32</v>
      </c>
      <c r="B10" s="1" t="s">
        <v>33</v>
      </c>
      <c r="C10" s="1">
        <v>1</v>
      </c>
      <c r="H10" s="2" t="s">
        <v>30</v>
      </c>
      <c r="I10" s="3">
        <f t="shared" ref="I10:L10" si="9">SUM(C8+C13+C16+C25+C31+C35+C43+C45+C70+C71+C75+C81+C88+C93+C98+C100+C104+C118+C136+C137+C156)</f>
        <v>0</v>
      </c>
      <c r="J10" s="3">
        <f t="shared" si="9"/>
        <v>21</v>
      </c>
      <c r="K10" s="3">
        <f t="shared" si="9"/>
        <v>0</v>
      </c>
      <c r="L10" s="3">
        <f t="shared" si="9"/>
        <v>0</v>
      </c>
      <c r="M10" s="3">
        <f t="shared" si="1"/>
        <v>21</v>
      </c>
    </row>
    <row r="11" spans="1:13" ht="12.75" customHeight="1" x14ac:dyDescent="0.3">
      <c r="A11" s="1" t="s">
        <v>34</v>
      </c>
      <c r="B11" s="1" t="s">
        <v>33</v>
      </c>
      <c r="C11" s="1">
        <v>1</v>
      </c>
      <c r="H11" s="2" t="s">
        <v>35</v>
      </c>
      <c r="I11" s="3">
        <f t="shared" ref="I11:L11" si="10">SUM(C38+C42+C47+C53+C74+C77+C80+C91+C97+C103+C108+C116+C131+C145+C147)</f>
        <v>0</v>
      </c>
      <c r="J11" s="3">
        <f t="shared" si="10"/>
        <v>15</v>
      </c>
      <c r="K11" s="3">
        <f t="shared" si="10"/>
        <v>0</v>
      </c>
      <c r="L11" s="3">
        <f t="shared" si="10"/>
        <v>0</v>
      </c>
      <c r="M11" s="3">
        <f t="shared" si="1"/>
        <v>15</v>
      </c>
    </row>
    <row r="12" spans="1:13" ht="12.75" customHeight="1" x14ac:dyDescent="0.3">
      <c r="A12" s="1" t="s">
        <v>36</v>
      </c>
      <c r="B12" s="1" t="s">
        <v>37</v>
      </c>
      <c r="C12" s="1">
        <v>1</v>
      </c>
      <c r="H12" s="2" t="s">
        <v>38</v>
      </c>
      <c r="I12" s="3">
        <f t="shared" ref="I12:L12" si="11">SUM(C21+C24+C34+C40+C67+C84+C132)</f>
        <v>1</v>
      </c>
      <c r="J12" s="3">
        <f t="shared" si="11"/>
        <v>3</v>
      </c>
      <c r="K12" s="3">
        <f t="shared" si="11"/>
        <v>2</v>
      </c>
      <c r="L12" s="3">
        <f t="shared" si="11"/>
        <v>1</v>
      </c>
      <c r="M12" s="3">
        <f t="shared" si="1"/>
        <v>7</v>
      </c>
    </row>
    <row r="13" spans="1:13" ht="12.75" customHeight="1" x14ac:dyDescent="0.3">
      <c r="A13" s="1" t="s">
        <v>39</v>
      </c>
      <c r="B13" s="1" t="s">
        <v>30</v>
      </c>
      <c r="D13" s="1">
        <v>1</v>
      </c>
      <c r="H13" s="2" t="s">
        <v>33</v>
      </c>
      <c r="I13" s="3">
        <f t="shared" ref="I13:L13" si="12">SUM(C10+C11+C57+C125+C149)</f>
        <v>5</v>
      </c>
      <c r="J13" s="3">
        <f t="shared" si="12"/>
        <v>0</v>
      </c>
      <c r="K13" s="3">
        <f t="shared" si="12"/>
        <v>0</v>
      </c>
      <c r="L13" s="3">
        <f t="shared" si="12"/>
        <v>0</v>
      </c>
      <c r="M13" s="3">
        <f t="shared" si="1"/>
        <v>5</v>
      </c>
    </row>
    <row r="14" spans="1:13" ht="12.75" customHeight="1" x14ac:dyDescent="0.3">
      <c r="A14" s="1" t="s">
        <v>40</v>
      </c>
      <c r="B14" s="1" t="s">
        <v>19</v>
      </c>
      <c r="C14" s="1">
        <v>1</v>
      </c>
      <c r="I14" s="4"/>
      <c r="J14" s="4"/>
      <c r="K14" s="4"/>
      <c r="L14" s="4"/>
    </row>
    <row r="15" spans="1:13" ht="12.75" customHeight="1" x14ac:dyDescent="0.3">
      <c r="A15" s="1" t="s">
        <v>41</v>
      </c>
      <c r="B15" s="1" t="s">
        <v>42</v>
      </c>
      <c r="C15" s="1">
        <v>1</v>
      </c>
      <c r="I15" s="4"/>
      <c r="J15" s="4"/>
      <c r="K15" s="4"/>
      <c r="L15" s="4"/>
    </row>
    <row r="16" spans="1:13" ht="12.75" customHeight="1" x14ac:dyDescent="0.3">
      <c r="A16" s="1" t="s">
        <v>43</v>
      </c>
      <c r="B16" s="1" t="s">
        <v>30</v>
      </c>
      <c r="D16" s="1">
        <v>1</v>
      </c>
      <c r="I16" s="4"/>
      <c r="J16" s="4"/>
      <c r="K16" s="4"/>
      <c r="L16" s="4"/>
    </row>
    <row r="17" spans="1:12" ht="12.75" customHeight="1" x14ac:dyDescent="0.3">
      <c r="A17" s="1" t="s">
        <v>44</v>
      </c>
      <c r="B17" s="1" t="s">
        <v>13</v>
      </c>
      <c r="D17" s="1">
        <v>1</v>
      </c>
      <c r="I17" s="4"/>
      <c r="J17" s="4"/>
      <c r="K17" s="4"/>
      <c r="L17" s="4"/>
    </row>
    <row r="18" spans="1:12" ht="12.75" customHeight="1" x14ac:dyDescent="0.3">
      <c r="A18" s="1" t="s">
        <v>45</v>
      </c>
      <c r="B18" s="1" t="s">
        <v>37</v>
      </c>
      <c r="C18" s="1">
        <v>1</v>
      </c>
      <c r="I18" s="4"/>
      <c r="J18" s="4"/>
      <c r="K18" s="4"/>
      <c r="L18" s="4"/>
    </row>
    <row r="19" spans="1:12" ht="12.75" customHeight="1" x14ac:dyDescent="0.3">
      <c r="A19" s="1" t="s">
        <v>46</v>
      </c>
      <c r="B19" s="1" t="s">
        <v>13</v>
      </c>
      <c r="D19" s="1">
        <v>1</v>
      </c>
    </row>
    <row r="20" spans="1:12" ht="12.75" customHeight="1" x14ac:dyDescent="0.3">
      <c r="A20" s="1" t="s">
        <v>47</v>
      </c>
      <c r="B20" s="1" t="s">
        <v>16</v>
      </c>
      <c r="C20" s="1">
        <v>1</v>
      </c>
    </row>
    <row r="21" spans="1:12" ht="12.75" customHeight="1" x14ac:dyDescent="0.3">
      <c r="A21" s="1" t="s">
        <v>48</v>
      </c>
      <c r="B21" s="1" t="s">
        <v>38</v>
      </c>
      <c r="D21" s="1">
        <v>1</v>
      </c>
    </row>
    <row r="22" spans="1:12" ht="12.75" customHeight="1" x14ac:dyDescent="0.3">
      <c r="A22" s="1" t="s">
        <v>49</v>
      </c>
      <c r="B22" s="1" t="s">
        <v>14</v>
      </c>
      <c r="C22" s="1">
        <v>1</v>
      </c>
    </row>
    <row r="23" spans="1:12" ht="12.75" customHeight="1" x14ac:dyDescent="0.3">
      <c r="A23" s="1" t="s">
        <v>50</v>
      </c>
      <c r="B23" s="1" t="s">
        <v>13</v>
      </c>
      <c r="E23" s="1">
        <v>1</v>
      </c>
    </row>
    <row r="24" spans="1:12" ht="12.75" customHeight="1" x14ac:dyDescent="0.3">
      <c r="A24" s="1" t="s">
        <v>51</v>
      </c>
      <c r="B24" s="1" t="s">
        <v>38</v>
      </c>
      <c r="F24" s="1">
        <v>1</v>
      </c>
    </row>
    <row r="25" spans="1:12" ht="12.75" customHeight="1" x14ac:dyDescent="0.3">
      <c r="A25" s="1" t="s">
        <v>52</v>
      </c>
      <c r="B25" s="1" t="s">
        <v>30</v>
      </c>
      <c r="D25" s="1">
        <v>1</v>
      </c>
    </row>
    <row r="26" spans="1:12" ht="12.75" customHeight="1" x14ac:dyDescent="0.3">
      <c r="A26" s="1" t="s">
        <v>53</v>
      </c>
      <c r="B26" s="1" t="s">
        <v>19</v>
      </c>
      <c r="C26" s="1">
        <v>1</v>
      </c>
    </row>
    <row r="27" spans="1:12" ht="12.75" customHeight="1" x14ac:dyDescent="0.3">
      <c r="A27" s="1" t="s">
        <v>54</v>
      </c>
      <c r="B27" s="1" t="s">
        <v>19</v>
      </c>
      <c r="C27" s="1">
        <v>1</v>
      </c>
    </row>
    <row r="28" spans="1:12" ht="12.75" customHeight="1" x14ac:dyDescent="0.3">
      <c r="A28" s="1" t="s">
        <v>55</v>
      </c>
      <c r="B28" s="1" t="s">
        <v>37</v>
      </c>
      <c r="C28" s="1">
        <v>1</v>
      </c>
    </row>
    <row r="29" spans="1:12" ht="12.75" customHeight="1" x14ac:dyDescent="0.3">
      <c r="A29" s="1" t="s">
        <v>56</v>
      </c>
      <c r="B29" s="1" t="s">
        <v>27</v>
      </c>
      <c r="C29" s="1">
        <v>1</v>
      </c>
    </row>
    <row r="30" spans="1:12" ht="12.75" customHeight="1" x14ac:dyDescent="0.3">
      <c r="A30" s="1" t="s">
        <v>57</v>
      </c>
      <c r="B30" s="1" t="s">
        <v>27</v>
      </c>
      <c r="C30" s="1">
        <v>1</v>
      </c>
    </row>
    <row r="31" spans="1:12" ht="12.75" customHeight="1" x14ac:dyDescent="0.3">
      <c r="A31" s="1" t="s">
        <v>58</v>
      </c>
      <c r="B31" s="1" t="s">
        <v>30</v>
      </c>
      <c r="D31" s="1">
        <v>1</v>
      </c>
    </row>
    <row r="32" spans="1:12" ht="12.75" customHeight="1" x14ac:dyDescent="0.3">
      <c r="A32" s="1" t="s">
        <v>59</v>
      </c>
      <c r="B32" s="1" t="s">
        <v>24</v>
      </c>
      <c r="C32" s="1">
        <v>1</v>
      </c>
    </row>
    <row r="33" spans="1:12" ht="12.75" customHeight="1" x14ac:dyDescent="0.3">
      <c r="A33" s="1" t="s">
        <v>60</v>
      </c>
      <c r="B33" s="1" t="s">
        <v>27</v>
      </c>
      <c r="C33" s="1">
        <v>1</v>
      </c>
    </row>
    <row r="34" spans="1:12" ht="12.75" customHeight="1" x14ac:dyDescent="0.3">
      <c r="A34" s="1" t="s">
        <v>61</v>
      </c>
      <c r="B34" s="1" t="s">
        <v>38</v>
      </c>
      <c r="D34" s="1">
        <v>1</v>
      </c>
    </row>
    <row r="35" spans="1:12" ht="12.75" customHeight="1" x14ac:dyDescent="0.3">
      <c r="A35" s="1" t="s">
        <v>62</v>
      </c>
      <c r="B35" s="1" t="s">
        <v>30</v>
      </c>
      <c r="D35" s="1">
        <v>1</v>
      </c>
    </row>
    <row r="36" spans="1:12" ht="12.75" customHeight="1" x14ac:dyDescent="0.3">
      <c r="A36" s="1" t="s">
        <v>63</v>
      </c>
      <c r="B36" s="1" t="s">
        <v>21</v>
      </c>
      <c r="C36" s="1">
        <v>1</v>
      </c>
    </row>
    <row r="37" spans="1:12" ht="12.75" customHeight="1" x14ac:dyDescent="0.3">
      <c r="A37" s="1" t="s">
        <v>64</v>
      </c>
      <c r="B37" s="1" t="s">
        <v>14</v>
      </c>
      <c r="C37" s="1">
        <v>1</v>
      </c>
    </row>
    <row r="38" spans="1:12" ht="12.75" customHeight="1" x14ac:dyDescent="0.3">
      <c r="A38" s="1" t="s">
        <v>65</v>
      </c>
      <c r="B38" s="1" t="s">
        <v>66</v>
      </c>
      <c r="D38" s="1">
        <v>1</v>
      </c>
    </row>
    <row r="39" spans="1:12" ht="12.75" customHeight="1" x14ac:dyDescent="0.3">
      <c r="A39" s="1" t="s">
        <v>67</v>
      </c>
      <c r="B39" s="1" t="s">
        <v>16</v>
      </c>
      <c r="C39" s="1">
        <v>1</v>
      </c>
    </row>
    <row r="40" spans="1:12" ht="12.75" customHeight="1" x14ac:dyDescent="0.3">
      <c r="A40" s="1" t="s">
        <v>68</v>
      </c>
      <c r="B40" s="1" t="s">
        <v>38</v>
      </c>
      <c r="E40" s="1">
        <v>1</v>
      </c>
    </row>
    <row r="41" spans="1:12" ht="12.75" customHeight="1" x14ac:dyDescent="0.3">
      <c r="A41" s="1" t="s">
        <v>69</v>
      </c>
      <c r="B41" s="1" t="s">
        <v>37</v>
      </c>
      <c r="C41" s="1">
        <v>1</v>
      </c>
    </row>
    <row r="42" spans="1:12" ht="12.75" customHeight="1" x14ac:dyDescent="0.3">
      <c r="A42" s="1" t="s">
        <v>70</v>
      </c>
      <c r="B42" s="1" t="s">
        <v>66</v>
      </c>
      <c r="D42" s="1">
        <v>1</v>
      </c>
    </row>
    <row r="43" spans="1:12" ht="12.75" customHeight="1" x14ac:dyDescent="0.3">
      <c r="A43" s="1" t="s">
        <v>71</v>
      </c>
      <c r="B43" s="1" t="s">
        <v>30</v>
      </c>
      <c r="D43" s="1">
        <v>1</v>
      </c>
    </row>
    <row r="44" spans="1:12" ht="12.75" customHeight="1" x14ac:dyDescent="0.3">
      <c r="A44" s="1" t="s">
        <v>72</v>
      </c>
      <c r="B44" s="1" t="s">
        <v>27</v>
      </c>
      <c r="D44" s="1">
        <v>1</v>
      </c>
    </row>
    <row r="45" spans="1:12" ht="12.75" customHeight="1" x14ac:dyDescent="0.3">
      <c r="A45" s="1" t="s">
        <v>73</v>
      </c>
      <c r="B45" s="1" t="s">
        <v>30</v>
      </c>
      <c r="D45" s="1">
        <v>1</v>
      </c>
      <c r="H45" s="1" t="s">
        <v>6</v>
      </c>
      <c r="I45" s="1" t="s">
        <v>7</v>
      </c>
      <c r="J45" s="1" t="s">
        <v>8</v>
      </c>
      <c r="K45" s="1" t="s">
        <v>9</v>
      </c>
      <c r="L45" s="1" t="s">
        <v>10</v>
      </c>
    </row>
    <row r="46" spans="1:12" ht="12.75" customHeight="1" x14ac:dyDescent="0.3">
      <c r="A46" s="1" t="s">
        <v>74</v>
      </c>
      <c r="B46" s="1" t="s">
        <v>16</v>
      </c>
      <c r="C46" s="1">
        <v>1</v>
      </c>
      <c r="H46" s="2" t="s">
        <v>14</v>
      </c>
      <c r="I46" s="4">
        <f t="shared" ref="I46:I57" si="13">I2/M2</f>
        <v>1</v>
      </c>
      <c r="J46" s="4">
        <f t="shared" ref="J46:J57" si="14">J2/M2</f>
        <v>0</v>
      </c>
      <c r="K46" s="4">
        <f t="shared" ref="K46:K57" si="15">K2/M2</f>
        <v>0</v>
      </c>
      <c r="L46" s="4">
        <f t="shared" ref="L46:L57" si="16">L2/M2</f>
        <v>0</v>
      </c>
    </row>
    <row r="47" spans="1:12" ht="12.75" customHeight="1" x14ac:dyDescent="0.3">
      <c r="A47" s="1" t="s">
        <v>75</v>
      </c>
      <c r="B47" s="1" t="s">
        <v>66</v>
      </c>
      <c r="D47" s="1">
        <v>1</v>
      </c>
      <c r="H47" s="2" t="s">
        <v>17</v>
      </c>
      <c r="I47" s="4">
        <f t="shared" si="13"/>
        <v>0.91666666666666663</v>
      </c>
      <c r="J47" s="4">
        <f t="shared" si="14"/>
        <v>0</v>
      </c>
      <c r="K47" s="4">
        <f t="shared" si="15"/>
        <v>0</v>
      </c>
      <c r="L47" s="4">
        <f t="shared" si="16"/>
        <v>8.3333333333333329E-2</v>
      </c>
    </row>
    <row r="48" spans="1:12" ht="12.75" customHeight="1" x14ac:dyDescent="0.3">
      <c r="A48" s="1" t="s">
        <v>76</v>
      </c>
      <c r="B48" s="1" t="s">
        <v>13</v>
      </c>
      <c r="C48" s="1">
        <v>1</v>
      </c>
      <c r="H48" s="2" t="s">
        <v>19</v>
      </c>
      <c r="I48" s="4">
        <f t="shared" si="13"/>
        <v>1</v>
      </c>
      <c r="J48" s="4">
        <f t="shared" si="14"/>
        <v>0</v>
      </c>
      <c r="K48" s="4">
        <f t="shared" si="15"/>
        <v>0</v>
      </c>
      <c r="L48" s="4">
        <f t="shared" si="16"/>
        <v>0</v>
      </c>
    </row>
    <row r="49" spans="1:12" ht="12.75" customHeight="1" x14ac:dyDescent="0.3">
      <c r="A49" s="1" t="s">
        <v>77</v>
      </c>
      <c r="B49" s="1" t="s">
        <v>16</v>
      </c>
      <c r="C49" s="1">
        <v>1</v>
      </c>
      <c r="H49" s="2" t="s">
        <v>22</v>
      </c>
      <c r="I49" s="4">
        <f t="shared" si="13"/>
        <v>0.88888888888888884</v>
      </c>
      <c r="J49" s="4">
        <f t="shared" si="14"/>
        <v>0</v>
      </c>
      <c r="K49" s="4">
        <f t="shared" si="15"/>
        <v>0</v>
      </c>
      <c r="L49" s="4">
        <f t="shared" si="16"/>
        <v>0.1111111111111111</v>
      </c>
    </row>
    <row r="50" spans="1:12" ht="12.75" customHeight="1" x14ac:dyDescent="0.3">
      <c r="A50" s="1" t="s">
        <v>78</v>
      </c>
      <c r="B50" s="1" t="s">
        <v>24</v>
      </c>
      <c r="F50" s="1">
        <v>1</v>
      </c>
      <c r="H50" s="2" t="s">
        <v>25</v>
      </c>
      <c r="I50" s="4">
        <f t="shared" si="13"/>
        <v>0.9375</v>
      </c>
      <c r="J50" s="4">
        <f t="shared" si="14"/>
        <v>0</v>
      </c>
      <c r="K50" s="4">
        <f t="shared" si="15"/>
        <v>0</v>
      </c>
      <c r="L50" s="4">
        <f t="shared" si="16"/>
        <v>6.25E-2</v>
      </c>
    </row>
    <row r="51" spans="1:12" ht="12.75" customHeight="1" x14ac:dyDescent="0.3">
      <c r="A51" s="1" t="s">
        <v>79</v>
      </c>
      <c r="B51" s="1" t="s">
        <v>27</v>
      </c>
      <c r="E51" s="1">
        <v>1</v>
      </c>
      <c r="H51" s="2" t="s">
        <v>28</v>
      </c>
      <c r="I51" s="4">
        <f t="shared" si="13"/>
        <v>1</v>
      </c>
      <c r="J51" s="4">
        <f t="shared" si="14"/>
        <v>0</v>
      </c>
      <c r="K51" s="4">
        <f t="shared" si="15"/>
        <v>0</v>
      </c>
      <c r="L51" s="4">
        <f t="shared" si="16"/>
        <v>0</v>
      </c>
    </row>
    <row r="52" spans="1:12" ht="12.75" customHeight="1" x14ac:dyDescent="0.3">
      <c r="A52" s="1" t="s">
        <v>80</v>
      </c>
      <c r="B52" s="1" t="s">
        <v>24</v>
      </c>
      <c r="C52" s="1">
        <v>1</v>
      </c>
      <c r="H52" s="2" t="s">
        <v>27</v>
      </c>
      <c r="I52" s="4">
        <f t="shared" si="13"/>
        <v>0.8666666666666667</v>
      </c>
      <c r="J52" s="4">
        <f t="shared" si="14"/>
        <v>6.6666666666666666E-2</v>
      </c>
      <c r="K52" s="4">
        <f t="shared" si="15"/>
        <v>6.6666666666666666E-2</v>
      </c>
      <c r="L52" s="4">
        <f t="shared" si="16"/>
        <v>0</v>
      </c>
    </row>
    <row r="53" spans="1:12" ht="12.75" customHeight="1" x14ac:dyDescent="0.3">
      <c r="A53" s="1" t="s">
        <v>81</v>
      </c>
      <c r="B53" s="1" t="s">
        <v>66</v>
      </c>
      <c r="D53" s="1">
        <v>1</v>
      </c>
      <c r="H53" s="2" t="s">
        <v>13</v>
      </c>
      <c r="I53" s="4">
        <f t="shared" si="13"/>
        <v>0.26315789473684209</v>
      </c>
      <c r="J53" s="4">
        <f t="shared" si="14"/>
        <v>0.36842105263157893</v>
      </c>
      <c r="K53" s="4">
        <f t="shared" si="15"/>
        <v>0.36842105263157893</v>
      </c>
      <c r="L53" s="4">
        <f t="shared" si="16"/>
        <v>0</v>
      </c>
    </row>
    <row r="54" spans="1:12" ht="12.75" customHeight="1" x14ac:dyDescent="0.3">
      <c r="A54" s="1" t="s">
        <v>82</v>
      </c>
      <c r="B54" s="1" t="s">
        <v>16</v>
      </c>
      <c r="C54" s="1">
        <v>1</v>
      </c>
      <c r="H54" s="2" t="s">
        <v>30</v>
      </c>
      <c r="I54" s="4">
        <f t="shared" si="13"/>
        <v>0</v>
      </c>
      <c r="J54" s="4">
        <f t="shared" si="14"/>
        <v>1</v>
      </c>
      <c r="K54" s="4">
        <f t="shared" si="15"/>
        <v>0</v>
      </c>
      <c r="L54" s="4">
        <f t="shared" si="16"/>
        <v>0</v>
      </c>
    </row>
    <row r="55" spans="1:12" ht="12.75" customHeight="1" x14ac:dyDescent="0.3">
      <c r="A55" s="1" t="s">
        <v>83</v>
      </c>
      <c r="B55" s="1" t="s">
        <v>14</v>
      </c>
      <c r="C55" s="1">
        <v>1</v>
      </c>
      <c r="H55" s="2" t="s">
        <v>35</v>
      </c>
      <c r="I55" s="4">
        <f t="shared" si="13"/>
        <v>0</v>
      </c>
      <c r="J55" s="4">
        <f t="shared" si="14"/>
        <v>1</v>
      </c>
      <c r="K55" s="4">
        <f t="shared" si="15"/>
        <v>0</v>
      </c>
      <c r="L55" s="4">
        <f t="shared" si="16"/>
        <v>0</v>
      </c>
    </row>
    <row r="56" spans="1:12" ht="12.75" customHeight="1" x14ac:dyDescent="0.3">
      <c r="A56" s="1" t="s">
        <v>84</v>
      </c>
      <c r="B56" s="1" t="s">
        <v>21</v>
      </c>
      <c r="C56" s="1">
        <v>1</v>
      </c>
      <c r="H56" s="2" t="s">
        <v>38</v>
      </c>
      <c r="I56" s="4">
        <f t="shared" si="13"/>
        <v>0.14285714285714285</v>
      </c>
      <c r="J56" s="4">
        <f t="shared" si="14"/>
        <v>0.42857142857142855</v>
      </c>
      <c r="K56" s="4">
        <f t="shared" si="15"/>
        <v>0.2857142857142857</v>
      </c>
      <c r="L56" s="4">
        <f t="shared" si="16"/>
        <v>0.14285714285714285</v>
      </c>
    </row>
    <row r="57" spans="1:12" ht="12.75" customHeight="1" x14ac:dyDescent="0.3">
      <c r="A57" s="1" t="s">
        <v>85</v>
      </c>
      <c r="B57" s="1" t="s">
        <v>33</v>
      </c>
      <c r="C57" s="1">
        <v>1</v>
      </c>
      <c r="H57" s="2" t="s">
        <v>33</v>
      </c>
      <c r="I57" s="4">
        <f t="shared" si="13"/>
        <v>1</v>
      </c>
      <c r="J57" s="4">
        <f t="shared" si="14"/>
        <v>0</v>
      </c>
      <c r="K57" s="4">
        <f t="shared" si="15"/>
        <v>0</v>
      </c>
      <c r="L57" s="4">
        <f t="shared" si="16"/>
        <v>0</v>
      </c>
    </row>
    <row r="58" spans="1:12" ht="12.75" customHeight="1" x14ac:dyDescent="0.3">
      <c r="A58" s="1" t="s">
        <v>86</v>
      </c>
      <c r="B58" s="1" t="s">
        <v>24</v>
      </c>
      <c r="C58" s="1">
        <v>1</v>
      </c>
    </row>
    <row r="59" spans="1:12" ht="12.75" customHeight="1" x14ac:dyDescent="0.3">
      <c r="A59" s="1" t="s">
        <v>87</v>
      </c>
      <c r="B59" s="1" t="s">
        <v>37</v>
      </c>
      <c r="C59" s="1">
        <v>1</v>
      </c>
    </row>
    <row r="60" spans="1:12" ht="12.75" customHeight="1" x14ac:dyDescent="0.3">
      <c r="A60" s="1" t="s">
        <v>88</v>
      </c>
      <c r="B60" s="1" t="s">
        <v>27</v>
      </c>
      <c r="C60" s="1">
        <v>1</v>
      </c>
    </row>
    <row r="61" spans="1:12" ht="12.75" customHeight="1" x14ac:dyDescent="0.3">
      <c r="A61" s="1" t="s">
        <v>89</v>
      </c>
      <c r="B61" s="1" t="s">
        <v>13</v>
      </c>
      <c r="C61" s="1">
        <v>1</v>
      </c>
    </row>
    <row r="62" spans="1:12" ht="12.75" customHeight="1" x14ac:dyDescent="0.3">
      <c r="A62" s="1" t="s">
        <v>90</v>
      </c>
      <c r="B62" s="1" t="s">
        <v>19</v>
      </c>
      <c r="C62" s="1">
        <v>1</v>
      </c>
    </row>
    <row r="63" spans="1:12" ht="12.75" customHeight="1" x14ac:dyDescent="0.3">
      <c r="A63" s="1" t="s">
        <v>91</v>
      </c>
      <c r="B63" s="1" t="s">
        <v>21</v>
      </c>
      <c r="F63" s="1">
        <v>1</v>
      </c>
    </row>
    <row r="64" spans="1:12" ht="12.75" customHeight="1" x14ac:dyDescent="0.3">
      <c r="A64" s="1" t="s">
        <v>92</v>
      </c>
      <c r="B64" s="1" t="s">
        <v>42</v>
      </c>
      <c r="C64" s="1">
        <v>1</v>
      </c>
    </row>
    <row r="65" spans="1:4" ht="12.75" customHeight="1" x14ac:dyDescent="0.3">
      <c r="A65" s="1" t="s">
        <v>93</v>
      </c>
      <c r="B65" s="1" t="s">
        <v>14</v>
      </c>
      <c r="C65" s="1">
        <v>1</v>
      </c>
    </row>
    <row r="66" spans="1:4" ht="12.75" customHeight="1" x14ac:dyDescent="0.3">
      <c r="A66" s="1" t="s">
        <v>94</v>
      </c>
      <c r="B66" s="1" t="s">
        <v>14</v>
      </c>
      <c r="C66" s="1">
        <v>1</v>
      </c>
    </row>
    <row r="67" spans="1:4" ht="12.75" customHeight="1" x14ac:dyDescent="0.3">
      <c r="A67" s="1" t="s">
        <v>95</v>
      </c>
      <c r="B67" s="1" t="s">
        <v>38</v>
      </c>
      <c r="C67" s="1">
        <v>1</v>
      </c>
    </row>
    <row r="68" spans="1:4" ht="12.75" customHeight="1" x14ac:dyDescent="0.3">
      <c r="A68" s="1" t="s">
        <v>96</v>
      </c>
      <c r="B68" s="1" t="s">
        <v>19</v>
      </c>
      <c r="C68" s="1">
        <v>1</v>
      </c>
    </row>
    <row r="69" spans="1:4" ht="12.75" customHeight="1" x14ac:dyDescent="0.3">
      <c r="A69" s="1" t="s">
        <v>97</v>
      </c>
      <c r="B69" s="1" t="s">
        <v>24</v>
      </c>
      <c r="C69" s="1">
        <v>1</v>
      </c>
    </row>
    <row r="70" spans="1:4" ht="12.75" customHeight="1" x14ac:dyDescent="0.3">
      <c r="A70" s="1" t="s">
        <v>98</v>
      </c>
      <c r="B70" s="1" t="s">
        <v>30</v>
      </c>
      <c r="D70" s="1">
        <v>1</v>
      </c>
    </row>
    <row r="71" spans="1:4" ht="12.75" customHeight="1" x14ac:dyDescent="0.3">
      <c r="A71" s="1" t="s">
        <v>99</v>
      </c>
      <c r="B71" s="1" t="s">
        <v>30</v>
      </c>
      <c r="D71" s="1">
        <v>1</v>
      </c>
    </row>
    <row r="72" spans="1:4" ht="12.75" customHeight="1" x14ac:dyDescent="0.3">
      <c r="A72" s="1" t="s">
        <v>100</v>
      </c>
      <c r="B72" s="1" t="s">
        <v>27</v>
      </c>
      <c r="C72" s="1">
        <v>1</v>
      </c>
    </row>
    <row r="73" spans="1:4" ht="12.75" customHeight="1" x14ac:dyDescent="0.3">
      <c r="A73" s="1" t="s">
        <v>101</v>
      </c>
      <c r="B73" s="1" t="s">
        <v>21</v>
      </c>
      <c r="C73" s="1">
        <v>1</v>
      </c>
    </row>
    <row r="74" spans="1:4" ht="12.75" customHeight="1" x14ac:dyDescent="0.3">
      <c r="A74" s="1" t="s">
        <v>102</v>
      </c>
      <c r="B74" s="1" t="s">
        <v>66</v>
      </c>
      <c r="D74" s="1">
        <v>1</v>
      </c>
    </row>
    <row r="75" spans="1:4" ht="12.75" customHeight="1" x14ac:dyDescent="0.3">
      <c r="A75" s="1" t="s">
        <v>103</v>
      </c>
      <c r="B75" s="1" t="s">
        <v>30</v>
      </c>
      <c r="D75" s="1">
        <v>1</v>
      </c>
    </row>
    <row r="76" spans="1:4" ht="12.75" customHeight="1" x14ac:dyDescent="0.3">
      <c r="A76" s="1" t="s">
        <v>104</v>
      </c>
      <c r="B76" s="1" t="s">
        <v>24</v>
      </c>
      <c r="C76" s="1">
        <v>1</v>
      </c>
    </row>
    <row r="77" spans="1:4" ht="12.75" customHeight="1" x14ac:dyDescent="0.3">
      <c r="A77" s="1" t="s">
        <v>105</v>
      </c>
      <c r="B77" s="1" t="s">
        <v>66</v>
      </c>
      <c r="D77" s="1">
        <v>1</v>
      </c>
    </row>
    <row r="78" spans="1:4" ht="12.75" customHeight="1" x14ac:dyDescent="0.3">
      <c r="A78" s="1" t="s">
        <v>106</v>
      </c>
      <c r="B78" s="1" t="s">
        <v>42</v>
      </c>
      <c r="C78" s="1">
        <v>1</v>
      </c>
    </row>
    <row r="79" spans="1:4" ht="12.75" customHeight="1" x14ac:dyDescent="0.3">
      <c r="A79" s="1" t="s">
        <v>107</v>
      </c>
      <c r="B79" s="1" t="s">
        <v>27</v>
      </c>
      <c r="C79" s="1">
        <v>1</v>
      </c>
    </row>
    <row r="80" spans="1:4" ht="12.75" customHeight="1" x14ac:dyDescent="0.3">
      <c r="A80" s="1" t="s">
        <v>108</v>
      </c>
      <c r="B80" s="1" t="s">
        <v>66</v>
      </c>
      <c r="D80" s="1">
        <v>1</v>
      </c>
    </row>
    <row r="81" spans="1:5" ht="12.75" customHeight="1" x14ac:dyDescent="0.3">
      <c r="A81" s="1" t="s">
        <v>109</v>
      </c>
      <c r="B81" s="1" t="s">
        <v>30</v>
      </c>
      <c r="D81" s="1">
        <v>1</v>
      </c>
    </row>
    <row r="82" spans="1:5" ht="12.75" customHeight="1" x14ac:dyDescent="0.3">
      <c r="A82" s="1" t="s">
        <v>110</v>
      </c>
      <c r="B82" s="1" t="s">
        <v>37</v>
      </c>
      <c r="C82" s="1">
        <v>1</v>
      </c>
    </row>
    <row r="83" spans="1:5" ht="12.75" customHeight="1" x14ac:dyDescent="0.3">
      <c r="A83" s="1" t="s">
        <v>111</v>
      </c>
      <c r="B83" s="1" t="s">
        <v>37</v>
      </c>
      <c r="C83" s="1">
        <v>1</v>
      </c>
    </row>
    <row r="84" spans="1:5" ht="12.75" customHeight="1" x14ac:dyDescent="0.3">
      <c r="A84" s="1" t="s">
        <v>112</v>
      </c>
      <c r="B84" s="1" t="s">
        <v>38</v>
      </c>
      <c r="E84" s="1">
        <v>1</v>
      </c>
    </row>
    <row r="85" spans="1:5" ht="12.75" customHeight="1" x14ac:dyDescent="0.3">
      <c r="A85" s="1" t="s">
        <v>113</v>
      </c>
      <c r="B85" s="1" t="s">
        <v>21</v>
      </c>
      <c r="C85" s="1">
        <v>1</v>
      </c>
    </row>
    <row r="86" spans="1:5" ht="12.75" customHeight="1" x14ac:dyDescent="0.3">
      <c r="A86" s="1" t="s">
        <v>114</v>
      </c>
      <c r="B86" s="1" t="s">
        <v>42</v>
      </c>
      <c r="C86" s="1">
        <v>1</v>
      </c>
    </row>
    <row r="87" spans="1:5" ht="12.75" customHeight="1" x14ac:dyDescent="0.3">
      <c r="A87" s="1" t="s">
        <v>115</v>
      </c>
      <c r="B87" s="1" t="s">
        <v>21</v>
      </c>
      <c r="C87" s="1">
        <v>1</v>
      </c>
    </row>
    <row r="88" spans="1:5" ht="12.75" customHeight="1" x14ac:dyDescent="0.3">
      <c r="A88" s="1" t="s">
        <v>116</v>
      </c>
      <c r="B88" s="1" t="s">
        <v>30</v>
      </c>
      <c r="D88" s="1">
        <v>1</v>
      </c>
    </row>
    <row r="89" spans="1:5" ht="12.75" customHeight="1" x14ac:dyDescent="0.3">
      <c r="A89" s="1" t="s">
        <v>117</v>
      </c>
      <c r="B89" s="1" t="s">
        <v>16</v>
      </c>
      <c r="C89" s="1">
        <v>1</v>
      </c>
    </row>
    <row r="90" spans="1:5" ht="12.75" customHeight="1" x14ac:dyDescent="0.3">
      <c r="A90" s="1" t="s">
        <v>118</v>
      </c>
      <c r="B90" s="1" t="s">
        <v>16</v>
      </c>
      <c r="C90" s="1">
        <v>1</v>
      </c>
    </row>
    <row r="91" spans="1:5" ht="12.75" customHeight="1" x14ac:dyDescent="0.3">
      <c r="A91" s="1" t="s">
        <v>119</v>
      </c>
      <c r="B91" s="1" t="s">
        <v>66</v>
      </c>
      <c r="D91" s="1">
        <v>1</v>
      </c>
    </row>
    <row r="92" spans="1:5" ht="12.75" customHeight="1" x14ac:dyDescent="0.3">
      <c r="A92" s="1" t="s">
        <v>120</v>
      </c>
      <c r="B92" s="1" t="s">
        <v>13</v>
      </c>
      <c r="C92" s="1">
        <v>1</v>
      </c>
    </row>
    <row r="93" spans="1:5" ht="12.75" customHeight="1" x14ac:dyDescent="0.3">
      <c r="A93" s="1" t="s">
        <v>121</v>
      </c>
      <c r="B93" s="1" t="s">
        <v>30</v>
      </c>
      <c r="D93" s="1">
        <v>1</v>
      </c>
    </row>
    <row r="94" spans="1:5" ht="12.75" customHeight="1" x14ac:dyDescent="0.3">
      <c r="A94" s="1" t="s">
        <v>122</v>
      </c>
      <c r="B94" s="1" t="s">
        <v>24</v>
      </c>
      <c r="C94" s="1">
        <v>1</v>
      </c>
    </row>
    <row r="95" spans="1:5" ht="12.75" customHeight="1" x14ac:dyDescent="0.3">
      <c r="A95" s="1" t="s">
        <v>123</v>
      </c>
      <c r="B95" s="1" t="s">
        <v>21</v>
      </c>
      <c r="C95" s="1">
        <v>1</v>
      </c>
    </row>
    <row r="96" spans="1:5" ht="12.75" customHeight="1" x14ac:dyDescent="0.3">
      <c r="A96" s="1" t="s">
        <v>124</v>
      </c>
      <c r="B96" s="1" t="s">
        <v>14</v>
      </c>
      <c r="C96" s="1">
        <v>1</v>
      </c>
    </row>
    <row r="97" spans="1:4" ht="12.75" customHeight="1" x14ac:dyDescent="0.3">
      <c r="A97" s="1" t="s">
        <v>125</v>
      </c>
      <c r="B97" s="1" t="s">
        <v>66</v>
      </c>
      <c r="D97" s="1">
        <v>1</v>
      </c>
    </row>
    <row r="98" spans="1:4" ht="12.75" customHeight="1" x14ac:dyDescent="0.3">
      <c r="A98" s="1" t="s">
        <v>126</v>
      </c>
      <c r="B98" s="1" t="s">
        <v>30</v>
      </c>
      <c r="D98" s="1">
        <v>1</v>
      </c>
    </row>
    <row r="99" spans="1:4" ht="12.75" customHeight="1" x14ac:dyDescent="0.3">
      <c r="A99" s="1" t="s">
        <v>127</v>
      </c>
      <c r="B99" s="1" t="s">
        <v>27</v>
      </c>
      <c r="C99" s="1">
        <v>1</v>
      </c>
    </row>
    <row r="100" spans="1:4" ht="12.75" customHeight="1" x14ac:dyDescent="0.3">
      <c r="A100" s="1" t="s">
        <v>128</v>
      </c>
      <c r="B100" s="1" t="s">
        <v>30</v>
      </c>
      <c r="D100" s="1">
        <v>1</v>
      </c>
    </row>
    <row r="101" spans="1:4" ht="12.75" customHeight="1" x14ac:dyDescent="0.3">
      <c r="A101" s="1" t="s">
        <v>129</v>
      </c>
      <c r="B101" s="1" t="s">
        <v>27</v>
      </c>
      <c r="C101" s="1">
        <v>1</v>
      </c>
    </row>
    <row r="102" spans="1:4" ht="12.75" customHeight="1" x14ac:dyDescent="0.3">
      <c r="A102" s="1" t="s">
        <v>130</v>
      </c>
      <c r="B102" s="1" t="s">
        <v>16</v>
      </c>
      <c r="C102" s="1">
        <v>1</v>
      </c>
    </row>
    <row r="103" spans="1:4" ht="12.75" customHeight="1" x14ac:dyDescent="0.3">
      <c r="A103" s="1" t="s">
        <v>131</v>
      </c>
      <c r="B103" s="1" t="s">
        <v>66</v>
      </c>
      <c r="D103" s="1">
        <v>1</v>
      </c>
    </row>
    <row r="104" spans="1:4" ht="12.75" customHeight="1" x14ac:dyDescent="0.3">
      <c r="A104" s="1" t="s">
        <v>132</v>
      </c>
      <c r="B104" s="1" t="s">
        <v>30</v>
      </c>
      <c r="D104" s="1">
        <v>1</v>
      </c>
    </row>
    <row r="105" spans="1:4" ht="12.75" customHeight="1" x14ac:dyDescent="0.3">
      <c r="A105" s="1" t="s">
        <v>133</v>
      </c>
      <c r="B105" s="1" t="s">
        <v>14</v>
      </c>
      <c r="C105" s="1">
        <v>1</v>
      </c>
    </row>
    <row r="106" spans="1:4" ht="12.75" customHeight="1" x14ac:dyDescent="0.3">
      <c r="A106" s="1" t="s">
        <v>134</v>
      </c>
      <c r="B106" s="1" t="s">
        <v>42</v>
      </c>
      <c r="C106" s="1">
        <v>1</v>
      </c>
    </row>
    <row r="107" spans="1:4" ht="12.75" customHeight="1" x14ac:dyDescent="0.3">
      <c r="A107" s="1" t="s">
        <v>135</v>
      </c>
      <c r="B107" s="1" t="s">
        <v>27</v>
      </c>
      <c r="C107" s="1">
        <v>1</v>
      </c>
    </row>
    <row r="108" spans="1:4" ht="12.75" customHeight="1" x14ac:dyDescent="0.3">
      <c r="A108" s="1" t="s">
        <v>136</v>
      </c>
      <c r="B108" s="1" t="s">
        <v>66</v>
      </c>
      <c r="D108" s="1">
        <v>1</v>
      </c>
    </row>
    <row r="109" spans="1:4" ht="12.75" customHeight="1" x14ac:dyDescent="0.3">
      <c r="A109" s="1" t="s">
        <v>137</v>
      </c>
      <c r="B109" s="1" t="s">
        <v>13</v>
      </c>
      <c r="D109" s="1">
        <v>1</v>
      </c>
    </row>
    <row r="110" spans="1:4" ht="12.75" customHeight="1" x14ac:dyDescent="0.3">
      <c r="A110" s="1" t="s">
        <v>138</v>
      </c>
      <c r="B110" s="1" t="s">
        <v>42</v>
      </c>
      <c r="C110" s="1">
        <v>1</v>
      </c>
    </row>
    <row r="111" spans="1:4" ht="12.75" customHeight="1" x14ac:dyDescent="0.3">
      <c r="A111" s="1" t="s">
        <v>139</v>
      </c>
      <c r="B111" s="1" t="s">
        <v>27</v>
      </c>
      <c r="C111" s="1">
        <v>1</v>
      </c>
    </row>
    <row r="112" spans="1:4" ht="12.75" customHeight="1" x14ac:dyDescent="0.3">
      <c r="A112" s="1" t="s">
        <v>140</v>
      </c>
      <c r="B112" s="1" t="s">
        <v>16</v>
      </c>
      <c r="C112" s="1">
        <v>1</v>
      </c>
    </row>
    <row r="113" spans="1:6" ht="12.75" customHeight="1" x14ac:dyDescent="0.3">
      <c r="A113" s="1" t="s">
        <v>141</v>
      </c>
      <c r="B113" s="1" t="s">
        <v>14</v>
      </c>
      <c r="C113" s="1">
        <v>1</v>
      </c>
    </row>
    <row r="114" spans="1:6" ht="12.75" customHeight="1" x14ac:dyDescent="0.3">
      <c r="A114" s="1" t="s">
        <v>142</v>
      </c>
      <c r="B114" s="1" t="s">
        <v>16</v>
      </c>
      <c r="C114" s="1">
        <v>1</v>
      </c>
    </row>
    <row r="115" spans="1:6" ht="12.75" customHeight="1" x14ac:dyDescent="0.3">
      <c r="A115" s="1" t="s">
        <v>143</v>
      </c>
      <c r="B115" s="1" t="s">
        <v>24</v>
      </c>
      <c r="C115" s="1">
        <v>1</v>
      </c>
    </row>
    <row r="116" spans="1:6" ht="12.75" customHeight="1" x14ac:dyDescent="0.3">
      <c r="A116" s="1" t="s">
        <v>144</v>
      </c>
      <c r="B116" s="1" t="s">
        <v>66</v>
      </c>
      <c r="D116" s="1">
        <v>1</v>
      </c>
    </row>
    <row r="117" spans="1:6" ht="12.75" customHeight="1" x14ac:dyDescent="0.3">
      <c r="A117" s="1" t="s">
        <v>145</v>
      </c>
      <c r="B117" s="1" t="s">
        <v>27</v>
      </c>
      <c r="C117" s="1">
        <v>1</v>
      </c>
    </row>
    <row r="118" spans="1:6" ht="12.75" customHeight="1" x14ac:dyDescent="0.3">
      <c r="A118" s="1" t="s">
        <v>146</v>
      </c>
      <c r="B118" s="1" t="s">
        <v>30</v>
      </c>
      <c r="D118" s="1">
        <v>1</v>
      </c>
    </row>
    <row r="119" spans="1:6" ht="12.75" customHeight="1" x14ac:dyDescent="0.3">
      <c r="A119" s="1" t="s">
        <v>147</v>
      </c>
      <c r="B119" s="1" t="s">
        <v>42</v>
      </c>
      <c r="F119" s="1">
        <v>1</v>
      </c>
    </row>
    <row r="120" spans="1:6" ht="12.75" customHeight="1" x14ac:dyDescent="0.3">
      <c r="A120" s="1" t="s">
        <v>148</v>
      </c>
      <c r="B120" s="1" t="s">
        <v>13</v>
      </c>
      <c r="D120" s="1">
        <v>1</v>
      </c>
    </row>
    <row r="121" spans="1:6" ht="12.75" customHeight="1" x14ac:dyDescent="0.3">
      <c r="A121" s="1" t="s">
        <v>149</v>
      </c>
      <c r="B121" s="1" t="s">
        <v>150</v>
      </c>
      <c r="F121" s="1">
        <v>1</v>
      </c>
    </row>
    <row r="122" spans="1:6" ht="12.75" customHeight="1" x14ac:dyDescent="0.3">
      <c r="A122" s="1" t="s">
        <v>151</v>
      </c>
      <c r="B122" s="1" t="s">
        <v>24</v>
      </c>
      <c r="C122" s="1">
        <v>1</v>
      </c>
    </row>
    <row r="123" spans="1:6" ht="12.75" customHeight="1" x14ac:dyDescent="0.3">
      <c r="A123" s="1" t="s">
        <v>152</v>
      </c>
      <c r="B123" s="1" t="s">
        <v>24</v>
      </c>
      <c r="C123" s="1">
        <v>1</v>
      </c>
    </row>
    <row r="124" spans="1:6" ht="12.75" customHeight="1" x14ac:dyDescent="0.3">
      <c r="A124" s="1" t="s">
        <v>153</v>
      </c>
      <c r="B124" s="1" t="s">
        <v>19</v>
      </c>
      <c r="C124" s="1">
        <v>1</v>
      </c>
    </row>
    <row r="125" spans="1:6" ht="12.75" customHeight="1" x14ac:dyDescent="0.3">
      <c r="A125" s="1" t="s">
        <v>154</v>
      </c>
      <c r="B125" s="1" t="s">
        <v>33</v>
      </c>
      <c r="C125" s="1">
        <v>1</v>
      </c>
    </row>
    <row r="126" spans="1:6" ht="12.75" customHeight="1" x14ac:dyDescent="0.3">
      <c r="A126" s="1" t="s">
        <v>155</v>
      </c>
      <c r="B126" s="1" t="s">
        <v>13</v>
      </c>
      <c r="D126" s="1">
        <v>1</v>
      </c>
    </row>
    <row r="127" spans="1:6" ht="12.75" customHeight="1" x14ac:dyDescent="0.3">
      <c r="A127" s="1" t="s">
        <v>156</v>
      </c>
      <c r="B127" s="1" t="s">
        <v>13</v>
      </c>
      <c r="D127" s="1">
        <v>1</v>
      </c>
    </row>
    <row r="128" spans="1:6" ht="12.75" customHeight="1" x14ac:dyDescent="0.3">
      <c r="A128" s="1" t="s">
        <v>157</v>
      </c>
      <c r="B128" s="1" t="s">
        <v>14</v>
      </c>
      <c r="C128" s="1">
        <v>1</v>
      </c>
    </row>
    <row r="129" spans="1:5" ht="12.75" customHeight="1" x14ac:dyDescent="0.3">
      <c r="A129" s="1" t="s">
        <v>158</v>
      </c>
      <c r="B129" s="1" t="s">
        <v>16</v>
      </c>
      <c r="C129" s="1">
        <v>1</v>
      </c>
    </row>
    <row r="130" spans="1:5" ht="12.75" customHeight="1" x14ac:dyDescent="0.3">
      <c r="A130" s="1" t="s">
        <v>159</v>
      </c>
      <c r="B130" s="1" t="s">
        <v>13</v>
      </c>
      <c r="C130" s="1">
        <v>1</v>
      </c>
    </row>
    <row r="131" spans="1:5" ht="12.75" customHeight="1" x14ac:dyDescent="0.3">
      <c r="A131" s="1" t="s">
        <v>160</v>
      </c>
      <c r="B131" s="1" t="s">
        <v>66</v>
      </c>
      <c r="D131" s="1">
        <v>1</v>
      </c>
    </row>
    <row r="132" spans="1:5" ht="12.75" customHeight="1" x14ac:dyDescent="0.3">
      <c r="A132" s="1" t="s">
        <v>161</v>
      </c>
      <c r="B132" s="1" t="s">
        <v>38</v>
      </c>
      <c r="D132" s="1">
        <v>1</v>
      </c>
    </row>
    <row r="133" spans="1:5" ht="12.75" customHeight="1" x14ac:dyDescent="0.3">
      <c r="A133" s="1" t="s">
        <v>162</v>
      </c>
      <c r="B133" s="1" t="s">
        <v>13</v>
      </c>
      <c r="E133" s="1">
        <v>1</v>
      </c>
    </row>
    <row r="134" spans="1:5" ht="12.75" customHeight="1" x14ac:dyDescent="0.3">
      <c r="A134" s="1" t="s">
        <v>163</v>
      </c>
      <c r="B134" s="1" t="s">
        <v>66</v>
      </c>
      <c r="D134" s="1">
        <v>1</v>
      </c>
    </row>
    <row r="135" spans="1:5" ht="12.75" customHeight="1" x14ac:dyDescent="0.3">
      <c r="A135" s="1" t="s">
        <v>164</v>
      </c>
      <c r="B135" s="1" t="s">
        <v>21</v>
      </c>
      <c r="C135" s="1">
        <v>1</v>
      </c>
    </row>
    <row r="136" spans="1:5" ht="12.75" customHeight="1" x14ac:dyDescent="0.3">
      <c r="A136" s="1" t="s">
        <v>165</v>
      </c>
      <c r="B136" s="1" t="s">
        <v>30</v>
      </c>
      <c r="D136" s="1">
        <v>1</v>
      </c>
    </row>
    <row r="137" spans="1:5" ht="12.75" customHeight="1" x14ac:dyDescent="0.3">
      <c r="A137" s="1" t="s">
        <v>166</v>
      </c>
      <c r="B137" s="1" t="s">
        <v>30</v>
      </c>
      <c r="D137" s="1">
        <v>1</v>
      </c>
    </row>
    <row r="138" spans="1:5" ht="12.75" customHeight="1" x14ac:dyDescent="0.3">
      <c r="A138" s="1" t="s">
        <v>167</v>
      </c>
      <c r="B138" s="1" t="s">
        <v>19</v>
      </c>
      <c r="C138" s="1">
        <v>1</v>
      </c>
    </row>
    <row r="139" spans="1:5" ht="12.75" customHeight="1" x14ac:dyDescent="0.3">
      <c r="A139" s="1" t="s">
        <v>168</v>
      </c>
      <c r="B139" s="1" t="s">
        <v>13</v>
      </c>
      <c r="D139" s="1">
        <v>1</v>
      </c>
    </row>
    <row r="140" spans="1:5" ht="12.75" customHeight="1" x14ac:dyDescent="0.3">
      <c r="A140" s="1" t="s">
        <v>169</v>
      </c>
      <c r="B140" s="1" t="s">
        <v>27</v>
      </c>
      <c r="C140" s="1">
        <v>1</v>
      </c>
    </row>
    <row r="141" spans="1:5" ht="12.75" customHeight="1" x14ac:dyDescent="0.3">
      <c r="A141" s="1" t="s">
        <v>170</v>
      </c>
      <c r="B141" s="1" t="s">
        <v>16</v>
      </c>
      <c r="C141" s="1">
        <v>1</v>
      </c>
    </row>
    <row r="142" spans="1:5" ht="12.75" customHeight="1" x14ac:dyDescent="0.3">
      <c r="A142" s="1" t="s">
        <v>171</v>
      </c>
      <c r="B142" s="1" t="s">
        <v>19</v>
      </c>
      <c r="C142" s="1">
        <v>1</v>
      </c>
    </row>
    <row r="143" spans="1:5" ht="12.75" customHeight="1" x14ac:dyDescent="0.3">
      <c r="A143" s="1" t="s">
        <v>172</v>
      </c>
      <c r="B143" s="1" t="s">
        <v>37</v>
      </c>
      <c r="C143" s="1">
        <v>1</v>
      </c>
    </row>
    <row r="144" spans="1:5" ht="12.75" customHeight="1" x14ac:dyDescent="0.3">
      <c r="A144" s="1" t="s">
        <v>173</v>
      </c>
      <c r="B144" s="1" t="s">
        <v>27</v>
      </c>
      <c r="C144" s="1">
        <v>1</v>
      </c>
    </row>
    <row r="145" spans="1:4" ht="12.75" customHeight="1" x14ac:dyDescent="0.3">
      <c r="A145" s="1" t="s">
        <v>174</v>
      </c>
      <c r="B145" s="1" t="s">
        <v>66</v>
      </c>
      <c r="D145" s="1">
        <v>1</v>
      </c>
    </row>
    <row r="146" spans="1:4" ht="12.75" customHeight="1" x14ac:dyDescent="0.3">
      <c r="A146" s="1" t="s">
        <v>175</v>
      </c>
      <c r="B146" s="1" t="s">
        <v>14</v>
      </c>
      <c r="C146" s="1">
        <v>1</v>
      </c>
    </row>
    <row r="147" spans="1:4" ht="12.75" customHeight="1" x14ac:dyDescent="0.3">
      <c r="A147" s="1" t="s">
        <v>176</v>
      </c>
      <c r="B147" s="1" t="s">
        <v>66</v>
      </c>
      <c r="D147" s="1">
        <v>1</v>
      </c>
    </row>
    <row r="148" spans="1:4" ht="12.75" customHeight="1" x14ac:dyDescent="0.3">
      <c r="A148" s="1" t="s">
        <v>177</v>
      </c>
      <c r="B148" s="1" t="s">
        <v>42</v>
      </c>
      <c r="C148" s="1">
        <v>1</v>
      </c>
    </row>
    <row r="149" spans="1:4" ht="12.75" customHeight="1" x14ac:dyDescent="0.3">
      <c r="A149" s="1" t="s">
        <v>178</v>
      </c>
      <c r="B149" s="1" t="s">
        <v>33</v>
      </c>
      <c r="C149" s="1">
        <v>1</v>
      </c>
    </row>
    <row r="150" spans="1:4" ht="12.75" customHeight="1" x14ac:dyDescent="0.3">
      <c r="A150" s="1" t="s">
        <v>179</v>
      </c>
      <c r="B150" s="1" t="s">
        <v>14</v>
      </c>
      <c r="C150" s="1">
        <v>1</v>
      </c>
    </row>
    <row r="151" spans="1:4" ht="12.75" customHeight="1" x14ac:dyDescent="0.3">
      <c r="A151" s="1" t="s">
        <v>180</v>
      </c>
      <c r="B151" s="1" t="s">
        <v>13</v>
      </c>
      <c r="D151" s="1">
        <v>1</v>
      </c>
    </row>
    <row r="152" spans="1:4" ht="12.75" customHeight="1" x14ac:dyDescent="0.3">
      <c r="A152" s="1" t="s">
        <v>181</v>
      </c>
      <c r="B152" s="1" t="s">
        <v>24</v>
      </c>
      <c r="C152" s="1">
        <v>1</v>
      </c>
    </row>
    <row r="153" spans="1:4" ht="12.75" customHeight="1" x14ac:dyDescent="0.3">
      <c r="A153" s="1" t="s">
        <v>182</v>
      </c>
      <c r="B153" s="1" t="s">
        <v>19</v>
      </c>
      <c r="C153" s="1">
        <v>1</v>
      </c>
    </row>
    <row r="154" spans="1:4" ht="12.75" customHeight="1" x14ac:dyDescent="0.3">
      <c r="A154" s="1" t="s">
        <v>183</v>
      </c>
      <c r="B154" s="1" t="s">
        <v>42</v>
      </c>
      <c r="C154" s="1">
        <v>1</v>
      </c>
    </row>
    <row r="155" spans="1:4" ht="12.75" customHeight="1" x14ac:dyDescent="0.3">
      <c r="A155" s="1" t="s">
        <v>184</v>
      </c>
      <c r="B155" s="1" t="s">
        <v>19</v>
      </c>
      <c r="C155" s="1">
        <v>1</v>
      </c>
    </row>
    <row r="156" spans="1:4" ht="12.75" customHeight="1" x14ac:dyDescent="0.3">
      <c r="A156" s="1" t="s">
        <v>185</v>
      </c>
      <c r="B156" s="1" t="s">
        <v>30</v>
      </c>
      <c r="D156" s="1">
        <v>1</v>
      </c>
    </row>
    <row r="157" spans="1:4" ht="12.75" customHeight="1" x14ac:dyDescent="0.3"/>
    <row r="158" spans="1:4" ht="12.75" customHeight="1" x14ac:dyDescent="0.3"/>
    <row r="159" spans="1:4" ht="12.75" customHeight="1" x14ac:dyDescent="0.3"/>
    <row r="160" spans="1:4" ht="12.75" customHeight="1" x14ac:dyDescent="0.3"/>
    <row r="161" s="1" customFormat="1" ht="12.75" customHeight="1" x14ac:dyDescent="0.3"/>
    <row r="162" s="1" customFormat="1" ht="12.75" customHeight="1" x14ac:dyDescent="0.3"/>
    <row r="163" s="1" customFormat="1" ht="12.75" customHeight="1" x14ac:dyDescent="0.3"/>
    <row r="164" s="1" customFormat="1" ht="12.75" customHeight="1" x14ac:dyDescent="0.3"/>
    <row r="165" s="1" customFormat="1" ht="12.75" customHeight="1" x14ac:dyDescent="0.3"/>
    <row r="166" s="1" customFormat="1" ht="12.75" customHeight="1" x14ac:dyDescent="0.3"/>
    <row r="167" s="1" customFormat="1" ht="12.75" customHeight="1" x14ac:dyDescent="0.3"/>
    <row r="168" s="1" customFormat="1" ht="12.75" customHeight="1" x14ac:dyDescent="0.3"/>
    <row r="169" s="1" customFormat="1" ht="12.75" customHeight="1" x14ac:dyDescent="0.3"/>
    <row r="170" s="1" customFormat="1" ht="12.75" customHeight="1" x14ac:dyDescent="0.3"/>
    <row r="171" s="1" customFormat="1" ht="12.75" customHeight="1" x14ac:dyDescent="0.3"/>
    <row r="172" s="1" customFormat="1" ht="12.75" customHeight="1" x14ac:dyDescent="0.3"/>
    <row r="173" s="1" customFormat="1" ht="12.75" customHeight="1" x14ac:dyDescent="0.3"/>
    <row r="174" s="1" customFormat="1" ht="12.75" customHeight="1" x14ac:dyDescent="0.3"/>
    <row r="175" s="1" customFormat="1" ht="12.75" customHeight="1" x14ac:dyDescent="0.3"/>
    <row r="176" s="1" customFormat="1" ht="12.75" customHeight="1" x14ac:dyDescent="0.3"/>
    <row r="177" s="1" customFormat="1" ht="12.75" customHeight="1" x14ac:dyDescent="0.3"/>
    <row r="178" s="1" customFormat="1" ht="12.75" customHeight="1" x14ac:dyDescent="0.3"/>
    <row r="179" s="1" customFormat="1" ht="12.75" customHeight="1" x14ac:dyDescent="0.3"/>
    <row r="180" s="1" customFormat="1" ht="12.75" customHeight="1" x14ac:dyDescent="0.3"/>
    <row r="181" s="1" customFormat="1" ht="12.75" customHeight="1" x14ac:dyDescent="0.3"/>
    <row r="182" s="1" customFormat="1" ht="12.75" customHeight="1" x14ac:dyDescent="0.3"/>
    <row r="183" s="1" customFormat="1" ht="12.75" customHeight="1" x14ac:dyDescent="0.3"/>
    <row r="184" s="1" customFormat="1" ht="12.75" customHeight="1" x14ac:dyDescent="0.3"/>
    <row r="185" s="1" customFormat="1" ht="12.75" customHeight="1" x14ac:dyDescent="0.3"/>
    <row r="186" s="1" customFormat="1" ht="12.75" customHeight="1" x14ac:dyDescent="0.3"/>
    <row r="187" s="1" customFormat="1" ht="12.75" customHeight="1" x14ac:dyDescent="0.3"/>
    <row r="188" s="1" customFormat="1" ht="12.75" customHeight="1" x14ac:dyDescent="0.3"/>
    <row r="189" s="1" customFormat="1" ht="12.75" customHeight="1" x14ac:dyDescent="0.3"/>
    <row r="190" s="1" customFormat="1" ht="12.75" customHeight="1" x14ac:dyDescent="0.3"/>
    <row r="191" s="1" customFormat="1" ht="12.75" customHeight="1" x14ac:dyDescent="0.3"/>
    <row r="192" s="1" customFormat="1" ht="12.75" customHeight="1" x14ac:dyDescent="0.3"/>
    <row r="193" s="1" customFormat="1" ht="12.75" customHeight="1" x14ac:dyDescent="0.3"/>
    <row r="194" s="1" customFormat="1" ht="12.75" customHeight="1" x14ac:dyDescent="0.3"/>
    <row r="195" s="1" customFormat="1" ht="12.75" customHeight="1" x14ac:dyDescent="0.3"/>
    <row r="196" s="1" customFormat="1" ht="12.75" customHeight="1" x14ac:dyDescent="0.3"/>
    <row r="197" s="1" customFormat="1" ht="12.75" customHeight="1" x14ac:dyDescent="0.3"/>
    <row r="198" s="1" customFormat="1" ht="12.75" customHeight="1" x14ac:dyDescent="0.3"/>
    <row r="199" s="1" customFormat="1" ht="12.75" customHeight="1" x14ac:dyDescent="0.3"/>
    <row r="200" s="1" customFormat="1" ht="12.75" customHeight="1" x14ac:dyDescent="0.3"/>
    <row r="201" s="1" customFormat="1" ht="12.75" customHeight="1" x14ac:dyDescent="0.3"/>
    <row r="202" s="1" customFormat="1" ht="12.75" customHeight="1" x14ac:dyDescent="0.3"/>
    <row r="203" s="1" customFormat="1" ht="12.75" customHeight="1" x14ac:dyDescent="0.3"/>
    <row r="204" s="1" customFormat="1" ht="12.75" customHeight="1" x14ac:dyDescent="0.3"/>
    <row r="205" s="1" customFormat="1" ht="12.75" customHeight="1" x14ac:dyDescent="0.3"/>
    <row r="206" s="1" customFormat="1" ht="12.75" customHeight="1" x14ac:dyDescent="0.3"/>
    <row r="207" s="1" customFormat="1" ht="12.75" customHeight="1" x14ac:dyDescent="0.3"/>
    <row r="208" s="1" customFormat="1" ht="12.75" customHeight="1" x14ac:dyDescent="0.3"/>
    <row r="209" s="1" customFormat="1" ht="12.75" customHeight="1" x14ac:dyDescent="0.3"/>
    <row r="210" s="1" customFormat="1" ht="12.75" customHeight="1" x14ac:dyDescent="0.3"/>
    <row r="211" s="1" customFormat="1" ht="12.75" customHeight="1" x14ac:dyDescent="0.3"/>
    <row r="212" s="1" customFormat="1" ht="12.75" customHeight="1" x14ac:dyDescent="0.3"/>
    <row r="213" s="1" customFormat="1" ht="12.75" customHeight="1" x14ac:dyDescent="0.3"/>
    <row r="214" s="1" customFormat="1" ht="12.75" customHeight="1" x14ac:dyDescent="0.3"/>
    <row r="215" s="1" customFormat="1" ht="12.75" customHeight="1" x14ac:dyDescent="0.3"/>
    <row r="216" s="1" customFormat="1" ht="12.75" customHeight="1" x14ac:dyDescent="0.3"/>
    <row r="217" s="1" customFormat="1" ht="12.75" customHeight="1" x14ac:dyDescent="0.3"/>
    <row r="218" s="1" customFormat="1" ht="12.75" customHeight="1" x14ac:dyDescent="0.3"/>
    <row r="219" s="1" customFormat="1" ht="12.75" customHeight="1" x14ac:dyDescent="0.3"/>
    <row r="220" s="1" customFormat="1" ht="12.75" customHeight="1" x14ac:dyDescent="0.3"/>
    <row r="221" s="1" customFormat="1" ht="12.75" customHeight="1" x14ac:dyDescent="0.3"/>
    <row r="222" s="1" customFormat="1" ht="12.75" customHeight="1" x14ac:dyDescent="0.3"/>
    <row r="223" s="1" customFormat="1" ht="12.75" customHeight="1" x14ac:dyDescent="0.3"/>
    <row r="224" s="1" customFormat="1" ht="12.75" customHeight="1" x14ac:dyDescent="0.3"/>
    <row r="225" s="1" customFormat="1" ht="12.75" customHeight="1" x14ac:dyDescent="0.3"/>
    <row r="226" s="1" customFormat="1" ht="12.75" customHeight="1" x14ac:dyDescent="0.3"/>
    <row r="227" s="1" customFormat="1" ht="12.75" customHeight="1" x14ac:dyDescent="0.3"/>
    <row r="228" s="1" customFormat="1" ht="12.75" customHeight="1" x14ac:dyDescent="0.3"/>
    <row r="229" s="1" customFormat="1" ht="12.75" customHeight="1" x14ac:dyDescent="0.3"/>
    <row r="230" s="1" customFormat="1" ht="12.75" customHeight="1" x14ac:dyDescent="0.3"/>
    <row r="231" s="1" customFormat="1" ht="12.75" customHeight="1" x14ac:dyDescent="0.3"/>
    <row r="232" s="1" customFormat="1" ht="12.75" customHeight="1" x14ac:dyDescent="0.3"/>
    <row r="233" s="1" customFormat="1" ht="12.75" customHeight="1" x14ac:dyDescent="0.3"/>
    <row r="234" s="1" customFormat="1" ht="12.75" customHeight="1" x14ac:dyDescent="0.3"/>
    <row r="235" s="1" customFormat="1" ht="12.75" customHeight="1" x14ac:dyDescent="0.3"/>
    <row r="236" s="1" customFormat="1" ht="12.75" customHeight="1" x14ac:dyDescent="0.3"/>
    <row r="237" s="1" customFormat="1" ht="12.75" customHeight="1" x14ac:dyDescent="0.3"/>
    <row r="238" s="1" customFormat="1" ht="12.75" customHeight="1" x14ac:dyDescent="0.3"/>
    <row r="239" s="1" customFormat="1" ht="12.75" customHeight="1" x14ac:dyDescent="0.3"/>
    <row r="240" s="1" customFormat="1" ht="12.75" customHeight="1" x14ac:dyDescent="0.3"/>
    <row r="241" s="1" customFormat="1" ht="12.75" customHeight="1" x14ac:dyDescent="0.3"/>
    <row r="242" s="1" customFormat="1" ht="12.75" customHeight="1" x14ac:dyDescent="0.3"/>
    <row r="243" s="1" customFormat="1" ht="12.75" customHeight="1" x14ac:dyDescent="0.3"/>
    <row r="244" s="1" customFormat="1" ht="12.75" customHeight="1" x14ac:dyDescent="0.3"/>
    <row r="245" s="1" customFormat="1" ht="12.75" customHeight="1" x14ac:dyDescent="0.3"/>
    <row r="246" s="1" customFormat="1" ht="12.75" customHeight="1" x14ac:dyDescent="0.3"/>
    <row r="247" s="1" customFormat="1" ht="12.75" customHeight="1" x14ac:dyDescent="0.3"/>
    <row r="248" s="1" customFormat="1" ht="12.75" customHeight="1" x14ac:dyDescent="0.3"/>
    <row r="249" s="1" customFormat="1" ht="12.75" customHeight="1" x14ac:dyDescent="0.3"/>
    <row r="250" s="1" customFormat="1" ht="12.75" customHeight="1" x14ac:dyDescent="0.3"/>
    <row r="251" s="1" customFormat="1" ht="12.75" customHeight="1" x14ac:dyDescent="0.3"/>
    <row r="252" s="1" customFormat="1" ht="12.75" customHeight="1" x14ac:dyDescent="0.3"/>
    <row r="253" s="1" customFormat="1" ht="12.75" customHeight="1" x14ac:dyDescent="0.3"/>
    <row r="254" s="1" customFormat="1" ht="12.75" customHeight="1" x14ac:dyDescent="0.3"/>
    <row r="255" s="1" customFormat="1" ht="12.75" customHeight="1" x14ac:dyDescent="0.3"/>
    <row r="256" s="1" customFormat="1" ht="12.75" customHeight="1" x14ac:dyDescent="0.3"/>
    <row r="257" s="1" customFormat="1" ht="12.75" customHeight="1" x14ac:dyDescent="0.3"/>
    <row r="258" s="1" customFormat="1" ht="12.75" customHeight="1" x14ac:dyDescent="0.3"/>
    <row r="259" s="1" customFormat="1" ht="12.75" customHeight="1" x14ac:dyDescent="0.3"/>
    <row r="260" s="1" customFormat="1" ht="12.75" customHeight="1" x14ac:dyDescent="0.3"/>
    <row r="261" s="1" customFormat="1" ht="12.75" customHeight="1" x14ac:dyDescent="0.3"/>
    <row r="262" s="1" customFormat="1" ht="12.75" customHeight="1" x14ac:dyDescent="0.3"/>
    <row r="263" s="1" customFormat="1" ht="12.75" customHeight="1" x14ac:dyDescent="0.3"/>
    <row r="264" s="1" customFormat="1" ht="12.75" customHeight="1" x14ac:dyDescent="0.3"/>
    <row r="265" s="1" customFormat="1" ht="12.75" customHeight="1" x14ac:dyDescent="0.3"/>
    <row r="266" s="1" customFormat="1" ht="12.75" customHeight="1" x14ac:dyDescent="0.3"/>
    <row r="267" s="1" customFormat="1" ht="12.75" customHeight="1" x14ac:dyDescent="0.3"/>
    <row r="268" s="1" customFormat="1" ht="12.75" customHeight="1" x14ac:dyDescent="0.3"/>
    <row r="269" s="1" customFormat="1" ht="12.75" customHeight="1" x14ac:dyDescent="0.3"/>
    <row r="270" s="1" customFormat="1" ht="12.75" customHeight="1" x14ac:dyDescent="0.3"/>
    <row r="271" s="1" customFormat="1" ht="12.75" customHeight="1" x14ac:dyDescent="0.3"/>
    <row r="272" s="1" customFormat="1" ht="12.75" customHeight="1" x14ac:dyDescent="0.3"/>
    <row r="273" s="1" customFormat="1" ht="12.75" customHeight="1" x14ac:dyDescent="0.3"/>
    <row r="274" s="1" customFormat="1" ht="12.75" customHeight="1" x14ac:dyDescent="0.3"/>
    <row r="275" s="1" customFormat="1" ht="12.75" customHeight="1" x14ac:dyDescent="0.3"/>
    <row r="276" s="1" customFormat="1" ht="12.75" customHeight="1" x14ac:dyDescent="0.3"/>
    <row r="277" s="1" customFormat="1" ht="12.75" customHeight="1" x14ac:dyDescent="0.3"/>
    <row r="278" s="1" customFormat="1" ht="12.75" customHeight="1" x14ac:dyDescent="0.3"/>
    <row r="279" s="1" customFormat="1" ht="12.75" customHeight="1" x14ac:dyDescent="0.3"/>
    <row r="280" s="1" customFormat="1" ht="12.75" customHeight="1" x14ac:dyDescent="0.3"/>
    <row r="281" s="1" customFormat="1" ht="12.75" customHeight="1" x14ac:dyDescent="0.3"/>
    <row r="282" s="1" customFormat="1" ht="12.75" customHeight="1" x14ac:dyDescent="0.3"/>
    <row r="283" s="1" customFormat="1" ht="12.75" customHeight="1" x14ac:dyDescent="0.3"/>
    <row r="284" s="1" customFormat="1" ht="12.75" customHeight="1" x14ac:dyDescent="0.3"/>
    <row r="285" s="1" customFormat="1" ht="12.75" customHeight="1" x14ac:dyDescent="0.3"/>
    <row r="286" s="1" customFormat="1" ht="12.75" customHeight="1" x14ac:dyDescent="0.3"/>
    <row r="287" s="1" customFormat="1" ht="12.75" customHeight="1" x14ac:dyDescent="0.3"/>
    <row r="288" s="1" customFormat="1" ht="12.75" customHeight="1" x14ac:dyDescent="0.3"/>
    <row r="289" s="1" customFormat="1" ht="12.75" customHeight="1" x14ac:dyDescent="0.3"/>
    <row r="290" s="1" customFormat="1" ht="12.75" customHeight="1" x14ac:dyDescent="0.3"/>
    <row r="291" s="1" customFormat="1" ht="12.75" customHeight="1" x14ac:dyDescent="0.3"/>
    <row r="292" s="1" customFormat="1" ht="12.75" customHeight="1" x14ac:dyDescent="0.3"/>
    <row r="293" s="1" customFormat="1" ht="12.75" customHeight="1" x14ac:dyDescent="0.3"/>
    <row r="294" s="1" customFormat="1" ht="12.75" customHeight="1" x14ac:dyDescent="0.3"/>
    <row r="295" s="1" customFormat="1" ht="12.75" customHeight="1" x14ac:dyDescent="0.3"/>
    <row r="296" s="1" customFormat="1" ht="12.75" customHeight="1" x14ac:dyDescent="0.3"/>
    <row r="297" s="1" customFormat="1" ht="12.75" customHeight="1" x14ac:dyDescent="0.3"/>
    <row r="298" s="1" customFormat="1" ht="12.75" customHeight="1" x14ac:dyDescent="0.3"/>
    <row r="299" s="1" customFormat="1" ht="12.75" customHeight="1" x14ac:dyDescent="0.3"/>
    <row r="300" s="1" customFormat="1" ht="12.75" customHeight="1" x14ac:dyDescent="0.3"/>
    <row r="301" s="1" customFormat="1" ht="12.75" customHeight="1" x14ac:dyDescent="0.3"/>
    <row r="302" s="1" customFormat="1" ht="12.75" customHeight="1" x14ac:dyDescent="0.3"/>
    <row r="303" s="1" customFormat="1" ht="12.75" customHeight="1" x14ac:dyDescent="0.3"/>
    <row r="304" s="1" customFormat="1" ht="12.75" customHeight="1" x14ac:dyDescent="0.3"/>
    <row r="305" s="1" customFormat="1" ht="12.75" customHeight="1" x14ac:dyDescent="0.3"/>
    <row r="306" s="1" customFormat="1" ht="12.75" customHeight="1" x14ac:dyDescent="0.3"/>
    <row r="307" s="1" customFormat="1" ht="12.75" customHeight="1" x14ac:dyDescent="0.3"/>
    <row r="308" s="1" customFormat="1" ht="12.75" customHeight="1" x14ac:dyDescent="0.3"/>
    <row r="309" s="1" customFormat="1" ht="12.75" customHeight="1" x14ac:dyDescent="0.3"/>
    <row r="310" s="1" customFormat="1" ht="12.75" customHeight="1" x14ac:dyDescent="0.3"/>
    <row r="311" s="1" customFormat="1" ht="12.75" customHeight="1" x14ac:dyDescent="0.3"/>
    <row r="312" s="1" customFormat="1" ht="12.75" customHeight="1" x14ac:dyDescent="0.3"/>
    <row r="313" s="1" customFormat="1" ht="12.75" customHeight="1" x14ac:dyDescent="0.3"/>
    <row r="314" s="1" customFormat="1" ht="12.75" customHeight="1" x14ac:dyDescent="0.3"/>
    <row r="315" s="1" customFormat="1" ht="12.75" customHeight="1" x14ac:dyDescent="0.3"/>
    <row r="316" s="1" customFormat="1" ht="12.75" customHeight="1" x14ac:dyDescent="0.3"/>
    <row r="317" s="1" customFormat="1" ht="12.75" customHeight="1" x14ac:dyDescent="0.3"/>
    <row r="318" s="1" customFormat="1" ht="12.75" customHeight="1" x14ac:dyDescent="0.3"/>
    <row r="319" s="1" customFormat="1" ht="12.75" customHeight="1" x14ac:dyDescent="0.3"/>
    <row r="320" s="1" customFormat="1" ht="12.75" customHeight="1" x14ac:dyDescent="0.3"/>
    <row r="321" s="1" customFormat="1" ht="12.75" customHeight="1" x14ac:dyDescent="0.3"/>
    <row r="322" s="1" customFormat="1" ht="12.75" customHeight="1" x14ac:dyDescent="0.3"/>
    <row r="323" s="1" customFormat="1" ht="12.75" customHeight="1" x14ac:dyDescent="0.3"/>
    <row r="324" s="1" customFormat="1" ht="12.75" customHeight="1" x14ac:dyDescent="0.3"/>
    <row r="325" s="1" customFormat="1" ht="12.75" customHeight="1" x14ac:dyDescent="0.3"/>
    <row r="326" s="1" customFormat="1" ht="12.75" customHeight="1" x14ac:dyDescent="0.3"/>
    <row r="327" s="1" customFormat="1" ht="12.75" customHeight="1" x14ac:dyDescent="0.3"/>
    <row r="328" s="1" customFormat="1" ht="12.75" customHeight="1" x14ac:dyDescent="0.3"/>
    <row r="329" s="1" customFormat="1" ht="12.75" customHeight="1" x14ac:dyDescent="0.3"/>
    <row r="330" s="1" customFormat="1" ht="12.75" customHeight="1" x14ac:dyDescent="0.3"/>
    <row r="331" s="1" customFormat="1" ht="12.75" customHeight="1" x14ac:dyDescent="0.3"/>
    <row r="332" s="1" customFormat="1" ht="12.75" customHeight="1" x14ac:dyDescent="0.3"/>
    <row r="333" s="1" customFormat="1" ht="12.75" customHeight="1" x14ac:dyDescent="0.3"/>
    <row r="334" s="1" customFormat="1" ht="12.75" customHeight="1" x14ac:dyDescent="0.3"/>
    <row r="335" s="1" customFormat="1" ht="12.75" customHeight="1" x14ac:dyDescent="0.3"/>
    <row r="336" s="1" customFormat="1" ht="12.75" customHeight="1" x14ac:dyDescent="0.3"/>
    <row r="337" s="1" customFormat="1" ht="12.75" customHeight="1" x14ac:dyDescent="0.3"/>
    <row r="338" s="1" customFormat="1" ht="12.75" customHeight="1" x14ac:dyDescent="0.3"/>
    <row r="339" s="1" customFormat="1" ht="12.75" customHeight="1" x14ac:dyDescent="0.3"/>
    <row r="340" s="1" customFormat="1" ht="12.75" customHeight="1" x14ac:dyDescent="0.3"/>
    <row r="341" s="1" customFormat="1" ht="12.75" customHeight="1" x14ac:dyDescent="0.3"/>
    <row r="342" s="1" customFormat="1" ht="12.75" customHeight="1" x14ac:dyDescent="0.3"/>
    <row r="343" s="1" customFormat="1" ht="12.75" customHeight="1" x14ac:dyDescent="0.3"/>
    <row r="344" s="1" customFormat="1" ht="12.75" customHeight="1" x14ac:dyDescent="0.3"/>
    <row r="345" s="1" customFormat="1" ht="12.75" customHeight="1" x14ac:dyDescent="0.3"/>
    <row r="346" s="1" customFormat="1" ht="12.75" customHeight="1" x14ac:dyDescent="0.3"/>
    <row r="347" s="1" customFormat="1" ht="12.75" customHeight="1" x14ac:dyDescent="0.3"/>
    <row r="348" s="1" customFormat="1" ht="12.75" customHeight="1" x14ac:dyDescent="0.3"/>
    <row r="349" s="1" customFormat="1" ht="12.75" customHeight="1" x14ac:dyDescent="0.3"/>
    <row r="350" s="1" customFormat="1" ht="12.75" customHeight="1" x14ac:dyDescent="0.3"/>
    <row r="351" s="1" customFormat="1" ht="12.75" customHeight="1" x14ac:dyDescent="0.3"/>
    <row r="352" s="1" customFormat="1" ht="12.75" customHeight="1" x14ac:dyDescent="0.3"/>
    <row r="353" s="1" customFormat="1" ht="12.75" customHeight="1" x14ac:dyDescent="0.3"/>
    <row r="354" s="1" customFormat="1" ht="12.75" customHeight="1" x14ac:dyDescent="0.3"/>
    <row r="355" s="1" customFormat="1" ht="12.75" customHeight="1" x14ac:dyDescent="0.3"/>
    <row r="356" s="1" customFormat="1" ht="12.75" customHeight="1" x14ac:dyDescent="0.3"/>
    <row r="357" s="1" customFormat="1" ht="12.75" customHeight="1" x14ac:dyDescent="0.3"/>
    <row r="358" s="1" customFormat="1" ht="12.75" customHeight="1" x14ac:dyDescent="0.3"/>
    <row r="359" s="1" customFormat="1" ht="12.75" customHeight="1" x14ac:dyDescent="0.3"/>
    <row r="360" s="1" customFormat="1" ht="12.75" customHeight="1" x14ac:dyDescent="0.3"/>
    <row r="361" s="1" customFormat="1" ht="12.75" customHeight="1" x14ac:dyDescent="0.3"/>
    <row r="362" s="1" customFormat="1" ht="12.75" customHeight="1" x14ac:dyDescent="0.3"/>
    <row r="363" s="1" customFormat="1" ht="12.75" customHeight="1" x14ac:dyDescent="0.3"/>
    <row r="364" s="1" customFormat="1" ht="12.75" customHeight="1" x14ac:dyDescent="0.3"/>
    <row r="365" s="1" customFormat="1" ht="12.75" customHeight="1" x14ac:dyDescent="0.3"/>
    <row r="366" s="1" customFormat="1" ht="12.75" customHeight="1" x14ac:dyDescent="0.3"/>
    <row r="367" s="1" customFormat="1" ht="12.75" customHeight="1" x14ac:dyDescent="0.3"/>
    <row r="368" s="1" customFormat="1" ht="12.75" customHeight="1" x14ac:dyDescent="0.3"/>
    <row r="369" s="1" customFormat="1" ht="12.75" customHeight="1" x14ac:dyDescent="0.3"/>
    <row r="370" s="1" customFormat="1" ht="12.75" customHeight="1" x14ac:dyDescent="0.3"/>
    <row r="371" s="1" customFormat="1" ht="12.75" customHeight="1" x14ac:dyDescent="0.3"/>
    <row r="372" s="1" customFormat="1" ht="12.75" customHeight="1" x14ac:dyDescent="0.3"/>
    <row r="373" s="1" customFormat="1" ht="12.75" customHeight="1" x14ac:dyDescent="0.3"/>
    <row r="374" s="1" customFormat="1" ht="12.75" customHeight="1" x14ac:dyDescent="0.3"/>
    <row r="375" s="1" customFormat="1" ht="12.75" customHeight="1" x14ac:dyDescent="0.3"/>
    <row r="376" s="1" customFormat="1" ht="12.75" customHeight="1" x14ac:dyDescent="0.3"/>
    <row r="377" s="1" customFormat="1" ht="12.75" customHeight="1" x14ac:dyDescent="0.3"/>
    <row r="378" s="1" customFormat="1" ht="12.75" customHeight="1" x14ac:dyDescent="0.3"/>
    <row r="379" s="1" customFormat="1" ht="12.75" customHeight="1" x14ac:dyDescent="0.3"/>
    <row r="380" s="1" customFormat="1" ht="12.75" customHeight="1" x14ac:dyDescent="0.3"/>
    <row r="381" s="1" customFormat="1" ht="12.75" customHeight="1" x14ac:dyDescent="0.3"/>
    <row r="382" s="1" customFormat="1" ht="12.75" customHeight="1" x14ac:dyDescent="0.3"/>
    <row r="383" s="1" customFormat="1" ht="12.75" customHeight="1" x14ac:dyDescent="0.3"/>
    <row r="384" s="1" customFormat="1" ht="12.75" customHeight="1" x14ac:dyDescent="0.3"/>
    <row r="385" s="1" customFormat="1" ht="12.75" customHeight="1" x14ac:dyDescent="0.3"/>
    <row r="386" s="1" customFormat="1" ht="12.75" customHeight="1" x14ac:dyDescent="0.3"/>
    <row r="387" s="1" customFormat="1" ht="12.75" customHeight="1" x14ac:dyDescent="0.3"/>
    <row r="388" s="1" customFormat="1" ht="12.75" customHeight="1" x14ac:dyDescent="0.3"/>
    <row r="389" s="1" customFormat="1" ht="12.75" customHeight="1" x14ac:dyDescent="0.3"/>
    <row r="390" s="1" customFormat="1" ht="12.75" customHeight="1" x14ac:dyDescent="0.3"/>
    <row r="391" s="1" customFormat="1" ht="12.75" customHeight="1" x14ac:dyDescent="0.3"/>
    <row r="392" s="1" customFormat="1" ht="12.75" customHeight="1" x14ac:dyDescent="0.3"/>
    <row r="393" s="1" customFormat="1" ht="12.75" customHeight="1" x14ac:dyDescent="0.3"/>
    <row r="394" s="1" customFormat="1" ht="12.75" customHeight="1" x14ac:dyDescent="0.3"/>
    <row r="395" s="1" customFormat="1" ht="12.75" customHeight="1" x14ac:dyDescent="0.3"/>
    <row r="396" s="1" customFormat="1" ht="12.75" customHeight="1" x14ac:dyDescent="0.3"/>
    <row r="397" s="1" customFormat="1" ht="12.75" customHeight="1" x14ac:dyDescent="0.3"/>
    <row r="398" s="1" customFormat="1" ht="12.75" customHeight="1" x14ac:dyDescent="0.3"/>
    <row r="399" s="1" customFormat="1" ht="12.75" customHeight="1" x14ac:dyDescent="0.3"/>
    <row r="400" s="1" customFormat="1" ht="12.75" customHeight="1" x14ac:dyDescent="0.3"/>
    <row r="401" s="1" customFormat="1" ht="12.75" customHeight="1" x14ac:dyDescent="0.3"/>
    <row r="402" s="1" customFormat="1" ht="12.75" customHeight="1" x14ac:dyDescent="0.3"/>
    <row r="403" s="1" customFormat="1" ht="12.75" customHeight="1" x14ac:dyDescent="0.3"/>
    <row r="404" s="1" customFormat="1" ht="12.75" customHeight="1" x14ac:dyDescent="0.3"/>
    <row r="405" s="1" customFormat="1" ht="12.75" customHeight="1" x14ac:dyDescent="0.3"/>
    <row r="406" s="1" customFormat="1" ht="12.75" customHeight="1" x14ac:dyDescent="0.3"/>
    <row r="407" s="1" customFormat="1" ht="12.75" customHeight="1" x14ac:dyDescent="0.3"/>
    <row r="408" s="1" customFormat="1" ht="12.75" customHeight="1" x14ac:dyDescent="0.3"/>
    <row r="409" s="1" customFormat="1" ht="12.75" customHeight="1" x14ac:dyDescent="0.3"/>
    <row r="410" s="1" customFormat="1" ht="12.75" customHeight="1" x14ac:dyDescent="0.3"/>
    <row r="411" s="1" customFormat="1" ht="12.75" customHeight="1" x14ac:dyDescent="0.3"/>
    <row r="412" s="1" customFormat="1" ht="12.75" customHeight="1" x14ac:dyDescent="0.3"/>
    <row r="413" s="1" customFormat="1" ht="12.75" customHeight="1" x14ac:dyDescent="0.3"/>
    <row r="414" s="1" customFormat="1" ht="12.75" customHeight="1" x14ac:dyDescent="0.3"/>
    <row r="415" s="1" customFormat="1" ht="12.75" customHeight="1" x14ac:dyDescent="0.3"/>
    <row r="416" s="1" customFormat="1" ht="12.75" customHeight="1" x14ac:dyDescent="0.3"/>
    <row r="417" s="1" customFormat="1" ht="12.75" customHeight="1" x14ac:dyDescent="0.3"/>
    <row r="418" s="1" customFormat="1" ht="12.75" customHeight="1" x14ac:dyDescent="0.3"/>
    <row r="419" s="1" customFormat="1" ht="12.75" customHeight="1" x14ac:dyDescent="0.3"/>
    <row r="420" s="1" customFormat="1" ht="12.75" customHeight="1" x14ac:dyDescent="0.3"/>
    <row r="421" s="1" customFormat="1" ht="12.75" customHeight="1" x14ac:dyDescent="0.3"/>
    <row r="422" s="1" customFormat="1" ht="12.75" customHeight="1" x14ac:dyDescent="0.3"/>
    <row r="423" s="1" customFormat="1" ht="12.75" customHeight="1" x14ac:dyDescent="0.3"/>
    <row r="424" s="1" customFormat="1" ht="12.75" customHeight="1" x14ac:dyDescent="0.3"/>
    <row r="425" s="1" customFormat="1" ht="12.75" customHeight="1" x14ac:dyDescent="0.3"/>
    <row r="426" s="1" customFormat="1" ht="12.75" customHeight="1" x14ac:dyDescent="0.3"/>
    <row r="427" s="1" customFormat="1" ht="12.75" customHeight="1" x14ac:dyDescent="0.3"/>
    <row r="428" s="1" customFormat="1" ht="12.75" customHeight="1" x14ac:dyDescent="0.3"/>
    <row r="429" s="1" customFormat="1" ht="12.75" customHeight="1" x14ac:dyDescent="0.3"/>
    <row r="430" s="1" customFormat="1" ht="12.75" customHeight="1" x14ac:dyDescent="0.3"/>
    <row r="431" s="1" customFormat="1" ht="12.75" customHeight="1" x14ac:dyDescent="0.3"/>
    <row r="432" s="1" customFormat="1" ht="12.75" customHeight="1" x14ac:dyDescent="0.3"/>
    <row r="433" s="1" customFormat="1" ht="12.75" customHeight="1" x14ac:dyDescent="0.3"/>
    <row r="434" s="1" customFormat="1" ht="12.75" customHeight="1" x14ac:dyDescent="0.3"/>
    <row r="435" s="1" customFormat="1" ht="12.75" customHeight="1" x14ac:dyDescent="0.3"/>
    <row r="436" s="1" customFormat="1" ht="12.75" customHeight="1" x14ac:dyDescent="0.3"/>
    <row r="437" s="1" customFormat="1" ht="12.75" customHeight="1" x14ac:dyDescent="0.3"/>
    <row r="438" s="1" customFormat="1" ht="12.75" customHeight="1" x14ac:dyDescent="0.3"/>
    <row r="439" s="1" customFormat="1" ht="12.75" customHeight="1" x14ac:dyDescent="0.3"/>
    <row r="440" s="1" customFormat="1" ht="12.75" customHeight="1" x14ac:dyDescent="0.3"/>
    <row r="441" s="1" customFormat="1" ht="12.75" customHeight="1" x14ac:dyDescent="0.3"/>
    <row r="442" s="1" customFormat="1" ht="12.75" customHeight="1" x14ac:dyDescent="0.3"/>
    <row r="443" s="1" customFormat="1" ht="12.75" customHeight="1" x14ac:dyDescent="0.3"/>
    <row r="444" s="1" customFormat="1" ht="12.75" customHeight="1" x14ac:dyDescent="0.3"/>
    <row r="445" s="1" customFormat="1" ht="12.75" customHeight="1" x14ac:dyDescent="0.3"/>
    <row r="446" s="1" customFormat="1" ht="12.75" customHeight="1" x14ac:dyDescent="0.3"/>
    <row r="447" s="1" customFormat="1" ht="12.75" customHeight="1" x14ac:dyDescent="0.3"/>
    <row r="448" s="1" customFormat="1" ht="12.75" customHeight="1" x14ac:dyDescent="0.3"/>
    <row r="449" s="1" customFormat="1" ht="12.75" customHeight="1" x14ac:dyDescent="0.3"/>
    <row r="450" s="1" customFormat="1" ht="12.75" customHeight="1" x14ac:dyDescent="0.3"/>
    <row r="451" s="1" customFormat="1" ht="12.75" customHeight="1" x14ac:dyDescent="0.3"/>
    <row r="452" s="1" customFormat="1" ht="12.75" customHeight="1" x14ac:dyDescent="0.3"/>
    <row r="453" s="1" customFormat="1" ht="12.75" customHeight="1" x14ac:dyDescent="0.3"/>
    <row r="454" s="1" customFormat="1" ht="12.75" customHeight="1" x14ac:dyDescent="0.3"/>
    <row r="455" s="1" customFormat="1" ht="12.75" customHeight="1" x14ac:dyDescent="0.3"/>
    <row r="456" s="1" customFormat="1" ht="12.75" customHeight="1" x14ac:dyDescent="0.3"/>
    <row r="457" s="1" customFormat="1" ht="12.75" customHeight="1" x14ac:dyDescent="0.3"/>
    <row r="458" s="1" customFormat="1" ht="12.75" customHeight="1" x14ac:dyDescent="0.3"/>
    <row r="459" s="1" customFormat="1" ht="12.75" customHeight="1" x14ac:dyDescent="0.3"/>
    <row r="460" s="1" customFormat="1" ht="12.75" customHeight="1" x14ac:dyDescent="0.3"/>
    <row r="461" s="1" customFormat="1" ht="12.75" customHeight="1" x14ac:dyDescent="0.3"/>
    <row r="462" s="1" customFormat="1" ht="12.75" customHeight="1" x14ac:dyDescent="0.3"/>
    <row r="463" s="1" customFormat="1" ht="12.75" customHeight="1" x14ac:dyDescent="0.3"/>
    <row r="464" s="1" customFormat="1" ht="12.75" customHeight="1" x14ac:dyDescent="0.3"/>
    <row r="465" s="1" customFormat="1" ht="12.75" customHeight="1" x14ac:dyDescent="0.3"/>
    <row r="466" s="1" customFormat="1" ht="12.75" customHeight="1" x14ac:dyDescent="0.3"/>
    <row r="467" s="1" customFormat="1" ht="12.75" customHeight="1" x14ac:dyDescent="0.3"/>
    <row r="468" s="1" customFormat="1" ht="12.75" customHeight="1" x14ac:dyDescent="0.3"/>
    <row r="469" s="1" customFormat="1" ht="12.75" customHeight="1" x14ac:dyDescent="0.3"/>
    <row r="470" s="1" customFormat="1" ht="12.75" customHeight="1" x14ac:dyDescent="0.3"/>
    <row r="471" s="1" customFormat="1" ht="12.75" customHeight="1" x14ac:dyDescent="0.3"/>
    <row r="472" s="1" customFormat="1" ht="12.75" customHeight="1" x14ac:dyDescent="0.3"/>
    <row r="473" s="1" customFormat="1" ht="12.75" customHeight="1" x14ac:dyDescent="0.3"/>
    <row r="474" s="1" customFormat="1" ht="12.75" customHeight="1" x14ac:dyDescent="0.3"/>
    <row r="475" s="1" customFormat="1" ht="12.75" customHeight="1" x14ac:dyDescent="0.3"/>
    <row r="476" s="1" customFormat="1" ht="12.75" customHeight="1" x14ac:dyDescent="0.3"/>
    <row r="477" s="1" customFormat="1" ht="12.75" customHeight="1" x14ac:dyDescent="0.3"/>
    <row r="478" s="1" customFormat="1" ht="12.75" customHeight="1" x14ac:dyDescent="0.3"/>
    <row r="479" s="1" customFormat="1" ht="12.75" customHeight="1" x14ac:dyDescent="0.3"/>
    <row r="480" s="1" customFormat="1" ht="12.75" customHeight="1" x14ac:dyDescent="0.3"/>
    <row r="481" s="1" customFormat="1" ht="12.75" customHeight="1" x14ac:dyDescent="0.3"/>
    <row r="482" s="1" customFormat="1" ht="12.75" customHeight="1" x14ac:dyDescent="0.3"/>
    <row r="483" s="1" customFormat="1" ht="12.75" customHeight="1" x14ac:dyDescent="0.3"/>
    <row r="484" s="1" customFormat="1" ht="12.75" customHeight="1" x14ac:dyDescent="0.3"/>
    <row r="485" s="1" customFormat="1" ht="12.75" customHeight="1" x14ac:dyDescent="0.3"/>
    <row r="486" s="1" customFormat="1" ht="12.75" customHeight="1" x14ac:dyDescent="0.3"/>
    <row r="487" s="1" customFormat="1" ht="12.75" customHeight="1" x14ac:dyDescent="0.3"/>
    <row r="488" s="1" customFormat="1" ht="12.75" customHeight="1" x14ac:dyDescent="0.3"/>
    <row r="489" s="1" customFormat="1" ht="12.75" customHeight="1" x14ac:dyDescent="0.3"/>
    <row r="490" s="1" customFormat="1" ht="12.75" customHeight="1" x14ac:dyDescent="0.3"/>
    <row r="491" s="1" customFormat="1" ht="12.75" customHeight="1" x14ac:dyDescent="0.3"/>
    <row r="492" s="1" customFormat="1" ht="12.75" customHeight="1" x14ac:dyDescent="0.3"/>
    <row r="493" s="1" customFormat="1" ht="12.75" customHeight="1" x14ac:dyDescent="0.3"/>
    <row r="494" s="1" customFormat="1" ht="12.75" customHeight="1" x14ac:dyDescent="0.3"/>
    <row r="495" s="1" customFormat="1" ht="12.75" customHeight="1" x14ac:dyDescent="0.3"/>
    <row r="496" s="1" customFormat="1" ht="12.75" customHeight="1" x14ac:dyDescent="0.3"/>
    <row r="497" s="1" customFormat="1" ht="12.75" customHeight="1" x14ac:dyDescent="0.3"/>
    <row r="498" s="1" customFormat="1" ht="12.75" customHeight="1" x14ac:dyDescent="0.3"/>
    <row r="499" s="1" customFormat="1" ht="12.75" customHeight="1" x14ac:dyDescent="0.3"/>
    <row r="500" s="1" customFormat="1" ht="12.75" customHeight="1" x14ac:dyDescent="0.3"/>
    <row r="501" s="1" customFormat="1" ht="12.75" customHeight="1" x14ac:dyDescent="0.3"/>
    <row r="502" s="1" customFormat="1" ht="12.75" customHeight="1" x14ac:dyDescent="0.3"/>
    <row r="503" s="1" customFormat="1" ht="12.75" customHeight="1" x14ac:dyDescent="0.3"/>
    <row r="504" s="1" customFormat="1" ht="12.75" customHeight="1" x14ac:dyDescent="0.3"/>
    <row r="505" s="1" customFormat="1" ht="12.75" customHeight="1" x14ac:dyDescent="0.3"/>
    <row r="506" s="1" customFormat="1" ht="12.75" customHeight="1" x14ac:dyDescent="0.3"/>
    <row r="507" s="1" customFormat="1" ht="12.75" customHeight="1" x14ac:dyDescent="0.3"/>
    <row r="508" s="1" customFormat="1" ht="12.75" customHeight="1" x14ac:dyDescent="0.3"/>
    <row r="509" s="1" customFormat="1" ht="12.75" customHeight="1" x14ac:dyDescent="0.3"/>
    <row r="510" s="1" customFormat="1" ht="12.75" customHeight="1" x14ac:dyDescent="0.3"/>
    <row r="511" s="1" customFormat="1" ht="12.75" customHeight="1" x14ac:dyDescent="0.3"/>
    <row r="512" s="1" customFormat="1" ht="12.75" customHeight="1" x14ac:dyDescent="0.3"/>
    <row r="513" s="1" customFormat="1" ht="12.75" customHeight="1" x14ac:dyDescent="0.3"/>
    <row r="514" s="1" customFormat="1" ht="12.75" customHeight="1" x14ac:dyDescent="0.3"/>
    <row r="515" s="1" customFormat="1" ht="12.75" customHeight="1" x14ac:dyDescent="0.3"/>
    <row r="516" s="1" customFormat="1" ht="12.75" customHeight="1" x14ac:dyDescent="0.3"/>
    <row r="517" s="1" customFormat="1" ht="12.75" customHeight="1" x14ac:dyDescent="0.3"/>
    <row r="518" s="1" customFormat="1" ht="12.75" customHeight="1" x14ac:dyDescent="0.3"/>
    <row r="519" s="1" customFormat="1" ht="12.75" customHeight="1" x14ac:dyDescent="0.3"/>
    <row r="520" s="1" customFormat="1" ht="12.75" customHeight="1" x14ac:dyDescent="0.3"/>
    <row r="521" s="1" customFormat="1" ht="12.75" customHeight="1" x14ac:dyDescent="0.3"/>
    <row r="522" s="1" customFormat="1" ht="12.75" customHeight="1" x14ac:dyDescent="0.3"/>
    <row r="523" s="1" customFormat="1" ht="12.75" customHeight="1" x14ac:dyDescent="0.3"/>
    <row r="524" s="1" customFormat="1" ht="12.75" customHeight="1" x14ac:dyDescent="0.3"/>
    <row r="525" s="1" customFormat="1" ht="12.75" customHeight="1" x14ac:dyDescent="0.3"/>
    <row r="526" s="1" customFormat="1" ht="12.75" customHeight="1" x14ac:dyDescent="0.3"/>
    <row r="527" s="1" customFormat="1" ht="12.75" customHeight="1" x14ac:dyDescent="0.3"/>
    <row r="528" s="1" customFormat="1" ht="12.75" customHeight="1" x14ac:dyDescent="0.3"/>
    <row r="529" s="1" customFormat="1" ht="12.75" customHeight="1" x14ac:dyDescent="0.3"/>
    <row r="530" s="1" customFormat="1" ht="12.75" customHeight="1" x14ac:dyDescent="0.3"/>
    <row r="531" s="1" customFormat="1" ht="12.75" customHeight="1" x14ac:dyDescent="0.3"/>
    <row r="532" s="1" customFormat="1" ht="12.75" customHeight="1" x14ac:dyDescent="0.3"/>
    <row r="533" s="1" customFormat="1" ht="12.75" customHeight="1" x14ac:dyDescent="0.3"/>
    <row r="534" s="1" customFormat="1" ht="12.75" customHeight="1" x14ac:dyDescent="0.3"/>
    <row r="535" s="1" customFormat="1" ht="12.75" customHeight="1" x14ac:dyDescent="0.3"/>
    <row r="536" s="1" customFormat="1" ht="12.75" customHeight="1" x14ac:dyDescent="0.3"/>
    <row r="537" s="1" customFormat="1" ht="12.75" customHeight="1" x14ac:dyDescent="0.3"/>
    <row r="538" s="1" customFormat="1" ht="12.75" customHeight="1" x14ac:dyDescent="0.3"/>
    <row r="539" s="1" customFormat="1" ht="12.75" customHeight="1" x14ac:dyDescent="0.3"/>
    <row r="540" s="1" customFormat="1" ht="12.75" customHeight="1" x14ac:dyDescent="0.3"/>
    <row r="541" s="1" customFormat="1" ht="12.75" customHeight="1" x14ac:dyDescent="0.3"/>
    <row r="542" s="1" customFormat="1" ht="12.75" customHeight="1" x14ac:dyDescent="0.3"/>
    <row r="543" s="1" customFormat="1" ht="12.75" customHeight="1" x14ac:dyDescent="0.3"/>
    <row r="544" s="1" customFormat="1" ht="12.75" customHeight="1" x14ac:dyDescent="0.3"/>
    <row r="545" s="1" customFormat="1" ht="12.75" customHeight="1" x14ac:dyDescent="0.3"/>
    <row r="546" s="1" customFormat="1" ht="12.75" customHeight="1" x14ac:dyDescent="0.3"/>
    <row r="547" s="1" customFormat="1" ht="12.75" customHeight="1" x14ac:dyDescent="0.3"/>
    <row r="548" s="1" customFormat="1" ht="12.75" customHeight="1" x14ac:dyDescent="0.3"/>
    <row r="549" s="1" customFormat="1" ht="12.75" customHeight="1" x14ac:dyDescent="0.3"/>
    <row r="550" s="1" customFormat="1" ht="12.75" customHeight="1" x14ac:dyDescent="0.3"/>
    <row r="551" s="1" customFormat="1" ht="12.75" customHeight="1" x14ac:dyDescent="0.3"/>
    <row r="552" s="1" customFormat="1" ht="12.75" customHeight="1" x14ac:dyDescent="0.3"/>
    <row r="553" s="1" customFormat="1" ht="12.75" customHeight="1" x14ac:dyDescent="0.3"/>
    <row r="554" s="1" customFormat="1" ht="12.75" customHeight="1" x14ac:dyDescent="0.3"/>
    <row r="555" s="1" customFormat="1" ht="12.75" customHeight="1" x14ac:dyDescent="0.3"/>
    <row r="556" s="1" customFormat="1" ht="12.75" customHeight="1" x14ac:dyDescent="0.3"/>
    <row r="557" s="1" customFormat="1" ht="12.75" customHeight="1" x14ac:dyDescent="0.3"/>
    <row r="558" s="1" customFormat="1" ht="12.75" customHeight="1" x14ac:dyDescent="0.3"/>
    <row r="559" s="1" customFormat="1" ht="12.75" customHeight="1" x14ac:dyDescent="0.3"/>
    <row r="560" s="1" customFormat="1" ht="12.75" customHeight="1" x14ac:dyDescent="0.3"/>
    <row r="561" s="1" customFormat="1" ht="12.75" customHeight="1" x14ac:dyDescent="0.3"/>
    <row r="562" s="1" customFormat="1" ht="12.75" customHeight="1" x14ac:dyDescent="0.3"/>
    <row r="563" s="1" customFormat="1" ht="12.75" customHeight="1" x14ac:dyDescent="0.3"/>
    <row r="564" s="1" customFormat="1" ht="12.75" customHeight="1" x14ac:dyDescent="0.3"/>
    <row r="565" s="1" customFormat="1" ht="12.75" customHeight="1" x14ac:dyDescent="0.3"/>
    <row r="566" s="1" customFormat="1" ht="12.75" customHeight="1" x14ac:dyDescent="0.3"/>
    <row r="567" s="1" customFormat="1" ht="12.75" customHeight="1" x14ac:dyDescent="0.3"/>
    <row r="568" s="1" customFormat="1" ht="12.75" customHeight="1" x14ac:dyDescent="0.3"/>
    <row r="569" s="1" customFormat="1" ht="12.75" customHeight="1" x14ac:dyDescent="0.3"/>
    <row r="570" s="1" customFormat="1" ht="12.75" customHeight="1" x14ac:dyDescent="0.3"/>
    <row r="571" s="1" customFormat="1" ht="12.75" customHeight="1" x14ac:dyDescent="0.3"/>
    <row r="572" s="1" customFormat="1" ht="12.75" customHeight="1" x14ac:dyDescent="0.3"/>
    <row r="573" s="1" customFormat="1" ht="12.75" customHeight="1" x14ac:dyDescent="0.3"/>
    <row r="574" s="1" customFormat="1" ht="12.75" customHeight="1" x14ac:dyDescent="0.3"/>
    <row r="575" s="1" customFormat="1" ht="12.75" customHeight="1" x14ac:dyDescent="0.3"/>
    <row r="576" s="1" customFormat="1" ht="12.75" customHeight="1" x14ac:dyDescent="0.3"/>
    <row r="577" s="1" customFormat="1" ht="12.75" customHeight="1" x14ac:dyDescent="0.3"/>
    <row r="578" s="1" customFormat="1" ht="12.75" customHeight="1" x14ac:dyDescent="0.3"/>
    <row r="579" s="1" customFormat="1" ht="12.75" customHeight="1" x14ac:dyDescent="0.3"/>
    <row r="580" s="1" customFormat="1" ht="12.75" customHeight="1" x14ac:dyDescent="0.3"/>
    <row r="581" s="1" customFormat="1" ht="12.75" customHeight="1" x14ac:dyDescent="0.3"/>
    <row r="582" s="1" customFormat="1" ht="12.75" customHeight="1" x14ac:dyDescent="0.3"/>
    <row r="583" s="1" customFormat="1" ht="12.75" customHeight="1" x14ac:dyDescent="0.3"/>
    <row r="584" s="1" customFormat="1" ht="12.75" customHeight="1" x14ac:dyDescent="0.3"/>
    <row r="585" s="1" customFormat="1" ht="12.75" customHeight="1" x14ac:dyDescent="0.3"/>
    <row r="586" s="1" customFormat="1" ht="12.75" customHeight="1" x14ac:dyDescent="0.3"/>
    <row r="587" s="1" customFormat="1" ht="12.75" customHeight="1" x14ac:dyDescent="0.3"/>
    <row r="588" s="1" customFormat="1" ht="12.75" customHeight="1" x14ac:dyDescent="0.3"/>
    <row r="589" s="1" customFormat="1" ht="12.75" customHeight="1" x14ac:dyDescent="0.3"/>
    <row r="590" s="1" customFormat="1" ht="12.75" customHeight="1" x14ac:dyDescent="0.3"/>
    <row r="591" s="1" customFormat="1" ht="12.75" customHeight="1" x14ac:dyDescent="0.3"/>
    <row r="592" s="1" customFormat="1" ht="12.75" customHeight="1" x14ac:dyDescent="0.3"/>
    <row r="593" s="1" customFormat="1" ht="12.75" customHeight="1" x14ac:dyDescent="0.3"/>
    <row r="594" s="1" customFormat="1" ht="12.75" customHeight="1" x14ac:dyDescent="0.3"/>
    <row r="595" s="1" customFormat="1" ht="12.75" customHeight="1" x14ac:dyDescent="0.3"/>
    <row r="596" s="1" customFormat="1" ht="12.75" customHeight="1" x14ac:dyDescent="0.3"/>
    <row r="597" s="1" customFormat="1" ht="12.75" customHeight="1" x14ac:dyDescent="0.3"/>
    <row r="598" s="1" customFormat="1" ht="12.75" customHeight="1" x14ac:dyDescent="0.3"/>
    <row r="599" s="1" customFormat="1" ht="12.75" customHeight="1" x14ac:dyDescent="0.3"/>
    <row r="600" s="1" customFormat="1" ht="12.75" customHeight="1" x14ac:dyDescent="0.3"/>
    <row r="601" s="1" customFormat="1" ht="12.75" customHeight="1" x14ac:dyDescent="0.3"/>
    <row r="602" s="1" customFormat="1" ht="12.75" customHeight="1" x14ac:dyDescent="0.3"/>
    <row r="603" s="1" customFormat="1" ht="12.75" customHeight="1" x14ac:dyDescent="0.3"/>
    <row r="604" s="1" customFormat="1" ht="12.75" customHeight="1" x14ac:dyDescent="0.3"/>
    <row r="605" s="1" customFormat="1" ht="12.75" customHeight="1" x14ac:dyDescent="0.3"/>
    <row r="606" s="1" customFormat="1" ht="12.75" customHeight="1" x14ac:dyDescent="0.3"/>
    <row r="607" s="1" customFormat="1" ht="12.75" customHeight="1" x14ac:dyDescent="0.3"/>
    <row r="608" s="1" customFormat="1" ht="12.75" customHeight="1" x14ac:dyDescent="0.3"/>
    <row r="609" s="1" customFormat="1" ht="12.75" customHeight="1" x14ac:dyDescent="0.3"/>
    <row r="610" s="1" customFormat="1" ht="12.75" customHeight="1" x14ac:dyDescent="0.3"/>
    <row r="611" s="1" customFormat="1" ht="12.75" customHeight="1" x14ac:dyDescent="0.3"/>
    <row r="612" s="1" customFormat="1" ht="12.75" customHeight="1" x14ac:dyDescent="0.3"/>
    <row r="613" s="1" customFormat="1" ht="12.75" customHeight="1" x14ac:dyDescent="0.3"/>
    <row r="614" s="1" customFormat="1" ht="12.75" customHeight="1" x14ac:dyDescent="0.3"/>
    <row r="615" s="1" customFormat="1" ht="12.75" customHeight="1" x14ac:dyDescent="0.3"/>
    <row r="616" s="1" customFormat="1" ht="12.75" customHeight="1" x14ac:dyDescent="0.3"/>
    <row r="617" s="1" customFormat="1" ht="12.75" customHeight="1" x14ac:dyDescent="0.3"/>
    <row r="618" s="1" customFormat="1" ht="12.75" customHeight="1" x14ac:dyDescent="0.3"/>
    <row r="619" s="1" customFormat="1" ht="12.75" customHeight="1" x14ac:dyDescent="0.3"/>
    <row r="620" s="1" customFormat="1" ht="12.75" customHeight="1" x14ac:dyDescent="0.3"/>
    <row r="621" s="1" customFormat="1" ht="12.75" customHeight="1" x14ac:dyDescent="0.3"/>
    <row r="622" s="1" customFormat="1" ht="12.75" customHeight="1" x14ac:dyDescent="0.3"/>
    <row r="623" s="1" customFormat="1" ht="12.75" customHeight="1" x14ac:dyDescent="0.3"/>
    <row r="624" s="1" customFormat="1" ht="12.75" customHeight="1" x14ac:dyDescent="0.3"/>
    <row r="625" s="1" customFormat="1" ht="12.75" customHeight="1" x14ac:dyDescent="0.3"/>
    <row r="626" s="1" customFormat="1" ht="12.75" customHeight="1" x14ac:dyDescent="0.3"/>
    <row r="627" s="1" customFormat="1" ht="12.75" customHeight="1" x14ac:dyDescent="0.3"/>
    <row r="628" s="1" customFormat="1" ht="12.75" customHeight="1" x14ac:dyDescent="0.3"/>
    <row r="629" s="1" customFormat="1" ht="12.75" customHeight="1" x14ac:dyDescent="0.3"/>
    <row r="630" s="1" customFormat="1" ht="12.75" customHeight="1" x14ac:dyDescent="0.3"/>
    <row r="631" s="1" customFormat="1" ht="12.75" customHeight="1" x14ac:dyDescent="0.3"/>
    <row r="632" s="1" customFormat="1" ht="12.75" customHeight="1" x14ac:dyDescent="0.3"/>
    <row r="633" s="1" customFormat="1" ht="12.75" customHeight="1" x14ac:dyDescent="0.3"/>
    <row r="634" s="1" customFormat="1" ht="12.75" customHeight="1" x14ac:dyDescent="0.3"/>
    <row r="635" s="1" customFormat="1" ht="12.75" customHeight="1" x14ac:dyDescent="0.3"/>
    <row r="636" s="1" customFormat="1" ht="12.75" customHeight="1" x14ac:dyDescent="0.3"/>
    <row r="637" s="1" customFormat="1" ht="12.75" customHeight="1" x14ac:dyDescent="0.3"/>
    <row r="638" s="1" customFormat="1" ht="12.75" customHeight="1" x14ac:dyDescent="0.3"/>
    <row r="639" s="1" customFormat="1" ht="12.75" customHeight="1" x14ac:dyDescent="0.3"/>
    <row r="640" s="1" customFormat="1" ht="12.75" customHeight="1" x14ac:dyDescent="0.3"/>
    <row r="641" s="1" customFormat="1" ht="12.75" customHeight="1" x14ac:dyDescent="0.3"/>
    <row r="642" s="1" customFormat="1" ht="12.75" customHeight="1" x14ac:dyDescent="0.3"/>
    <row r="643" s="1" customFormat="1" ht="12.75" customHeight="1" x14ac:dyDescent="0.3"/>
    <row r="644" s="1" customFormat="1" ht="12.75" customHeight="1" x14ac:dyDescent="0.3"/>
    <row r="645" s="1" customFormat="1" ht="12.75" customHeight="1" x14ac:dyDescent="0.3"/>
    <row r="646" s="1" customFormat="1" ht="12.75" customHeight="1" x14ac:dyDescent="0.3"/>
    <row r="647" s="1" customFormat="1" ht="12.75" customHeight="1" x14ac:dyDescent="0.3"/>
    <row r="648" s="1" customFormat="1" ht="12.75" customHeight="1" x14ac:dyDescent="0.3"/>
    <row r="649" s="1" customFormat="1" ht="12.75" customHeight="1" x14ac:dyDescent="0.3"/>
    <row r="650" s="1" customFormat="1" ht="12.75" customHeight="1" x14ac:dyDescent="0.3"/>
    <row r="651" s="1" customFormat="1" ht="12.75" customHeight="1" x14ac:dyDescent="0.3"/>
    <row r="652" s="1" customFormat="1" ht="12.75" customHeight="1" x14ac:dyDescent="0.3"/>
    <row r="653" s="1" customFormat="1" ht="12.75" customHeight="1" x14ac:dyDescent="0.3"/>
    <row r="654" s="1" customFormat="1" ht="12.75" customHeight="1" x14ac:dyDescent="0.3"/>
    <row r="655" s="1" customFormat="1" ht="12.75" customHeight="1" x14ac:dyDescent="0.3"/>
    <row r="656" s="1" customFormat="1" ht="12.75" customHeight="1" x14ac:dyDescent="0.3"/>
    <row r="657" s="1" customFormat="1" ht="12.75" customHeight="1" x14ac:dyDescent="0.3"/>
    <row r="658" s="1" customFormat="1" ht="12.75" customHeight="1" x14ac:dyDescent="0.3"/>
    <row r="659" s="1" customFormat="1" ht="12.75" customHeight="1" x14ac:dyDescent="0.3"/>
    <row r="660" s="1" customFormat="1" ht="12.75" customHeight="1" x14ac:dyDescent="0.3"/>
    <row r="661" s="1" customFormat="1" ht="12.75" customHeight="1" x14ac:dyDescent="0.3"/>
    <row r="662" s="1" customFormat="1" ht="12.75" customHeight="1" x14ac:dyDescent="0.3"/>
    <row r="663" s="1" customFormat="1" ht="12.75" customHeight="1" x14ac:dyDescent="0.3"/>
    <row r="664" s="1" customFormat="1" ht="12.75" customHeight="1" x14ac:dyDescent="0.3"/>
    <row r="665" s="1" customFormat="1" ht="12.75" customHeight="1" x14ac:dyDescent="0.3"/>
    <row r="666" s="1" customFormat="1" ht="12.75" customHeight="1" x14ac:dyDescent="0.3"/>
    <row r="667" s="1" customFormat="1" ht="12.75" customHeight="1" x14ac:dyDescent="0.3"/>
    <row r="668" s="1" customFormat="1" ht="12.75" customHeight="1" x14ac:dyDescent="0.3"/>
    <row r="669" s="1" customFormat="1" ht="12.75" customHeight="1" x14ac:dyDescent="0.3"/>
    <row r="670" s="1" customFormat="1" ht="12.75" customHeight="1" x14ac:dyDescent="0.3"/>
    <row r="671" s="1" customFormat="1" ht="12.75" customHeight="1" x14ac:dyDescent="0.3"/>
    <row r="672" s="1" customFormat="1" ht="12.75" customHeight="1" x14ac:dyDescent="0.3"/>
    <row r="673" s="1" customFormat="1" ht="12.75" customHeight="1" x14ac:dyDescent="0.3"/>
    <row r="674" s="1" customFormat="1" ht="12.75" customHeight="1" x14ac:dyDescent="0.3"/>
    <row r="675" s="1" customFormat="1" ht="12.75" customHeight="1" x14ac:dyDescent="0.3"/>
    <row r="676" s="1" customFormat="1" ht="12.75" customHeight="1" x14ac:dyDescent="0.3"/>
    <row r="677" s="1" customFormat="1" ht="12.75" customHeight="1" x14ac:dyDescent="0.3"/>
    <row r="678" s="1" customFormat="1" ht="12.75" customHeight="1" x14ac:dyDescent="0.3"/>
    <row r="679" s="1" customFormat="1" ht="12.75" customHeight="1" x14ac:dyDescent="0.3"/>
    <row r="680" s="1" customFormat="1" ht="12.75" customHeight="1" x14ac:dyDescent="0.3"/>
    <row r="681" s="1" customFormat="1" ht="12.75" customHeight="1" x14ac:dyDescent="0.3"/>
    <row r="682" s="1" customFormat="1" ht="12.75" customHeight="1" x14ac:dyDescent="0.3"/>
    <row r="683" s="1" customFormat="1" ht="12.75" customHeight="1" x14ac:dyDescent="0.3"/>
    <row r="684" s="1" customFormat="1" ht="12.75" customHeight="1" x14ac:dyDescent="0.3"/>
    <row r="685" s="1" customFormat="1" ht="12.75" customHeight="1" x14ac:dyDescent="0.3"/>
    <row r="686" s="1" customFormat="1" ht="12.75" customHeight="1" x14ac:dyDescent="0.3"/>
    <row r="687" s="1" customFormat="1" ht="12.75" customHeight="1" x14ac:dyDescent="0.3"/>
    <row r="688" s="1" customFormat="1" ht="12.75" customHeight="1" x14ac:dyDescent="0.3"/>
    <row r="689" s="1" customFormat="1" ht="12.75" customHeight="1" x14ac:dyDescent="0.3"/>
    <row r="690" s="1" customFormat="1" ht="12.75" customHeight="1" x14ac:dyDescent="0.3"/>
    <row r="691" s="1" customFormat="1" ht="12.75" customHeight="1" x14ac:dyDescent="0.3"/>
    <row r="692" s="1" customFormat="1" ht="12.75" customHeight="1" x14ac:dyDescent="0.3"/>
    <row r="693" s="1" customFormat="1" ht="12.75" customHeight="1" x14ac:dyDescent="0.3"/>
    <row r="694" s="1" customFormat="1" ht="12.75" customHeight="1" x14ac:dyDescent="0.3"/>
    <row r="695" s="1" customFormat="1" ht="12.75" customHeight="1" x14ac:dyDescent="0.3"/>
    <row r="696" s="1" customFormat="1" ht="12.75" customHeight="1" x14ac:dyDescent="0.3"/>
    <row r="697" s="1" customFormat="1" ht="12.75" customHeight="1" x14ac:dyDescent="0.3"/>
    <row r="698" s="1" customFormat="1" ht="12.75" customHeight="1" x14ac:dyDescent="0.3"/>
    <row r="699" s="1" customFormat="1" ht="12.75" customHeight="1" x14ac:dyDescent="0.3"/>
    <row r="700" s="1" customFormat="1" ht="12.75" customHeight="1" x14ac:dyDescent="0.3"/>
    <row r="701" s="1" customFormat="1" ht="12.75" customHeight="1" x14ac:dyDescent="0.3"/>
    <row r="702" s="1" customFormat="1" ht="12.75" customHeight="1" x14ac:dyDescent="0.3"/>
    <row r="703" s="1" customFormat="1" ht="12.75" customHeight="1" x14ac:dyDescent="0.3"/>
    <row r="704" s="1" customFormat="1" ht="12.75" customHeight="1" x14ac:dyDescent="0.3"/>
    <row r="705" s="1" customFormat="1" ht="12.75" customHeight="1" x14ac:dyDescent="0.3"/>
    <row r="706" s="1" customFormat="1" ht="12.75" customHeight="1" x14ac:dyDescent="0.3"/>
    <row r="707" s="1" customFormat="1" ht="12.75" customHeight="1" x14ac:dyDescent="0.3"/>
    <row r="708" s="1" customFormat="1" ht="12.75" customHeight="1" x14ac:dyDescent="0.3"/>
    <row r="709" s="1" customFormat="1" ht="12.75" customHeight="1" x14ac:dyDescent="0.3"/>
    <row r="710" s="1" customFormat="1" ht="12.75" customHeight="1" x14ac:dyDescent="0.3"/>
    <row r="711" s="1" customFormat="1" ht="12.75" customHeight="1" x14ac:dyDescent="0.3"/>
    <row r="712" s="1" customFormat="1" ht="12.75" customHeight="1" x14ac:dyDescent="0.3"/>
    <row r="713" s="1" customFormat="1" ht="12.75" customHeight="1" x14ac:dyDescent="0.3"/>
    <row r="714" s="1" customFormat="1" ht="12.75" customHeight="1" x14ac:dyDescent="0.3"/>
    <row r="715" s="1" customFormat="1" ht="12.75" customHeight="1" x14ac:dyDescent="0.3"/>
    <row r="716" s="1" customFormat="1" ht="12.75" customHeight="1" x14ac:dyDescent="0.3"/>
    <row r="717" s="1" customFormat="1" ht="12.75" customHeight="1" x14ac:dyDescent="0.3"/>
    <row r="718" s="1" customFormat="1" ht="12.75" customHeight="1" x14ac:dyDescent="0.3"/>
    <row r="719" s="1" customFormat="1" ht="12.75" customHeight="1" x14ac:dyDescent="0.3"/>
    <row r="720" s="1" customFormat="1" ht="12.75" customHeight="1" x14ac:dyDescent="0.3"/>
    <row r="721" s="1" customFormat="1" ht="12.75" customHeight="1" x14ac:dyDescent="0.3"/>
    <row r="722" s="1" customFormat="1" ht="12.75" customHeight="1" x14ac:dyDescent="0.3"/>
    <row r="723" s="1" customFormat="1" ht="12.75" customHeight="1" x14ac:dyDescent="0.3"/>
    <row r="724" s="1" customFormat="1" ht="12.75" customHeight="1" x14ac:dyDescent="0.3"/>
    <row r="725" s="1" customFormat="1" ht="12.75" customHeight="1" x14ac:dyDescent="0.3"/>
    <row r="726" s="1" customFormat="1" ht="12.75" customHeight="1" x14ac:dyDescent="0.3"/>
    <row r="727" s="1" customFormat="1" ht="12.75" customHeight="1" x14ac:dyDescent="0.3"/>
    <row r="728" s="1" customFormat="1" ht="12.75" customHeight="1" x14ac:dyDescent="0.3"/>
    <row r="729" s="1" customFormat="1" ht="12.75" customHeight="1" x14ac:dyDescent="0.3"/>
    <row r="730" s="1" customFormat="1" ht="12.75" customHeight="1" x14ac:dyDescent="0.3"/>
    <row r="731" s="1" customFormat="1" ht="12.75" customHeight="1" x14ac:dyDescent="0.3"/>
    <row r="732" s="1" customFormat="1" ht="12.75" customHeight="1" x14ac:dyDescent="0.3"/>
    <row r="733" s="1" customFormat="1" ht="12.75" customHeight="1" x14ac:dyDescent="0.3"/>
    <row r="734" s="1" customFormat="1" ht="12.75" customHeight="1" x14ac:dyDescent="0.3"/>
    <row r="735" s="1" customFormat="1" ht="12.75" customHeight="1" x14ac:dyDescent="0.3"/>
    <row r="736" s="1" customFormat="1" ht="12.75" customHeight="1" x14ac:dyDescent="0.3"/>
    <row r="737" s="1" customFormat="1" ht="12.75" customHeight="1" x14ac:dyDescent="0.3"/>
    <row r="738" s="1" customFormat="1" ht="12.75" customHeight="1" x14ac:dyDescent="0.3"/>
    <row r="739" s="1" customFormat="1" ht="12.75" customHeight="1" x14ac:dyDescent="0.3"/>
    <row r="740" s="1" customFormat="1" ht="12.75" customHeight="1" x14ac:dyDescent="0.3"/>
    <row r="741" s="1" customFormat="1" ht="12.75" customHeight="1" x14ac:dyDescent="0.3"/>
    <row r="742" s="1" customFormat="1" ht="12.75" customHeight="1" x14ac:dyDescent="0.3"/>
    <row r="743" s="1" customFormat="1" ht="12.75" customHeight="1" x14ac:dyDescent="0.3"/>
    <row r="744" s="1" customFormat="1" ht="12.75" customHeight="1" x14ac:dyDescent="0.3"/>
    <row r="745" s="1" customFormat="1" ht="12.75" customHeight="1" x14ac:dyDescent="0.3"/>
    <row r="746" s="1" customFormat="1" ht="12.75" customHeight="1" x14ac:dyDescent="0.3"/>
    <row r="747" s="1" customFormat="1" ht="12.75" customHeight="1" x14ac:dyDescent="0.3"/>
    <row r="748" s="1" customFormat="1" ht="12.75" customHeight="1" x14ac:dyDescent="0.3"/>
    <row r="749" s="1" customFormat="1" ht="12.75" customHeight="1" x14ac:dyDescent="0.3"/>
    <row r="750" s="1" customFormat="1" ht="12.75" customHeight="1" x14ac:dyDescent="0.3"/>
    <row r="751" s="1" customFormat="1" ht="12.75" customHeight="1" x14ac:dyDescent="0.3"/>
    <row r="752" s="1" customFormat="1" ht="12.75" customHeight="1" x14ac:dyDescent="0.3"/>
    <row r="753" s="1" customFormat="1" ht="12.75" customHeight="1" x14ac:dyDescent="0.3"/>
    <row r="754" s="1" customFormat="1" ht="12.75" customHeight="1" x14ac:dyDescent="0.3"/>
    <row r="755" s="1" customFormat="1" ht="12.75" customHeight="1" x14ac:dyDescent="0.3"/>
    <row r="756" s="1" customFormat="1" ht="12.75" customHeight="1" x14ac:dyDescent="0.3"/>
    <row r="757" s="1" customFormat="1" ht="12.75" customHeight="1" x14ac:dyDescent="0.3"/>
    <row r="758" s="1" customFormat="1" ht="12.75" customHeight="1" x14ac:dyDescent="0.3"/>
    <row r="759" s="1" customFormat="1" ht="12.75" customHeight="1" x14ac:dyDescent="0.3"/>
    <row r="760" s="1" customFormat="1" ht="12.75" customHeight="1" x14ac:dyDescent="0.3"/>
    <row r="761" s="1" customFormat="1" ht="12.75" customHeight="1" x14ac:dyDescent="0.3"/>
    <row r="762" s="1" customFormat="1" ht="12.75" customHeight="1" x14ac:dyDescent="0.3"/>
    <row r="763" s="1" customFormat="1" ht="12.75" customHeight="1" x14ac:dyDescent="0.3"/>
    <row r="764" s="1" customFormat="1" ht="12.75" customHeight="1" x14ac:dyDescent="0.3"/>
    <row r="765" s="1" customFormat="1" ht="12.75" customHeight="1" x14ac:dyDescent="0.3"/>
    <row r="766" s="1" customFormat="1" ht="12.75" customHeight="1" x14ac:dyDescent="0.3"/>
    <row r="767" s="1" customFormat="1" ht="12.75" customHeight="1" x14ac:dyDescent="0.3"/>
    <row r="768" s="1" customFormat="1" ht="12.75" customHeight="1" x14ac:dyDescent="0.3"/>
    <row r="769" s="1" customFormat="1" ht="12.75" customHeight="1" x14ac:dyDescent="0.3"/>
    <row r="770" s="1" customFormat="1" ht="12.75" customHeight="1" x14ac:dyDescent="0.3"/>
    <row r="771" s="1" customFormat="1" ht="12.75" customHeight="1" x14ac:dyDescent="0.3"/>
    <row r="772" s="1" customFormat="1" ht="12.75" customHeight="1" x14ac:dyDescent="0.3"/>
    <row r="773" s="1" customFormat="1" ht="12.75" customHeight="1" x14ac:dyDescent="0.3"/>
    <row r="774" s="1" customFormat="1" ht="12.75" customHeight="1" x14ac:dyDescent="0.3"/>
    <row r="775" s="1" customFormat="1" ht="12.75" customHeight="1" x14ac:dyDescent="0.3"/>
    <row r="776" s="1" customFormat="1" ht="12.75" customHeight="1" x14ac:dyDescent="0.3"/>
    <row r="777" s="1" customFormat="1" ht="12.75" customHeight="1" x14ac:dyDescent="0.3"/>
    <row r="778" s="1" customFormat="1" ht="12.75" customHeight="1" x14ac:dyDescent="0.3"/>
    <row r="779" s="1" customFormat="1" ht="12.75" customHeight="1" x14ac:dyDescent="0.3"/>
    <row r="780" s="1" customFormat="1" ht="12.75" customHeight="1" x14ac:dyDescent="0.3"/>
    <row r="781" s="1" customFormat="1" ht="12.75" customHeight="1" x14ac:dyDescent="0.3"/>
    <row r="782" s="1" customFormat="1" ht="12.75" customHeight="1" x14ac:dyDescent="0.3"/>
    <row r="783" s="1" customFormat="1" ht="12.75" customHeight="1" x14ac:dyDescent="0.3"/>
    <row r="784" s="1" customFormat="1" ht="12.75" customHeight="1" x14ac:dyDescent="0.3"/>
    <row r="785" s="1" customFormat="1" ht="12.75" customHeight="1" x14ac:dyDescent="0.3"/>
    <row r="786" s="1" customFormat="1" ht="12.75" customHeight="1" x14ac:dyDescent="0.3"/>
    <row r="787" s="1" customFormat="1" ht="12.75" customHeight="1" x14ac:dyDescent="0.3"/>
    <row r="788" s="1" customFormat="1" ht="12.75" customHeight="1" x14ac:dyDescent="0.3"/>
    <row r="789" s="1" customFormat="1" ht="12.75" customHeight="1" x14ac:dyDescent="0.3"/>
    <row r="790" s="1" customFormat="1" ht="12.75" customHeight="1" x14ac:dyDescent="0.3"/>
    <row r="791" s="1" customFormat="1" ht="12.75" customHeight="1" x14ac:dyDescent="0.3"/>
    <row r="792" s="1" customFormat="1" ht="12.75" customHeight="1" x14ac:dyDescent="0.3"/>
    <row r="793" s="1" customFormat="1" ht="12.75" customHeight="1" x14ac:dyDescent="0.3"/>
    <row r="794" s="1" customFormat="1" ht="12.75" customHeight="1" x14ac:dyDescent="0.3"/>
    <row r="795" s="1" customFormat="1" ht="12.75" customHeight="1" x14ac:dyDescent="0.3"/>
    <row r="796" s="1" customFormat="1" ht="12.75" customHeight="1" x14ac:dyDescent="0.3"/>
    <row r="797" s="1" customFormat="1" ht="12.75" customHeight="1" x14ac:dyDescent="0.3"/>
    <row r="798" s="1" customFormat="1" ht="12.75" customHeight="1" x14ac:dyDescent="0.3"/>
    <row r="799" s="1" customFormat="1" ht="12.75" customHeight="1" x14ac:dyDescent="0.3"/>
    <row r="800" s="1" customFormat="1" ht="12.75" customHeight="1" x14ac:dyDescent="0.3"/>
    <row r="801" s="1" customFormat="1" ht="12.75" customHeight="1" x14ac:dyDescent="0.3"/>
    <row r="802" s="1" customFormat="1" ht="12.75" customHeight="1" x14ac:dyDescent="0.3"/>
    <row r="803" s="1" customFormat="1" ht="12.75" customHeight="1" x14ac:dyDescent="0.3"/>
    <row r="804" s="1" customFormat="1" ht="12.75" customHeight="1" x14ac:dyDescent="0.3"/>
    <row r="805" s="1" customFormat="1" ht="12.75" customHeight="1" x14ac:dyDescent="0.3"/>
    <row r="806" s="1" customFormat="1" ht="12.75" customHeight="1" x14ac:dyDescent="0.3"/>
    <row r="807" s="1" customFormat="1" ht="12.75" customHeight="1" x14ac:dyDescent="0.3"/>
    <row r="808" s="1" customFormat="1" ht="12.75" customHeight="1" x14ac:dyDescent="0.3"/>
    <row r="809" s="1" customFormat="1" ht="12.75" customHeight="1" x14ac:dyDescent="0.3"/>
    <row r="810" s="1" customFormat="1" ht="12.75" customHeight="1" x14ac:dyDescent="0.3"/>
    <row r="811" s="1" customFormat="1" ht="12.75" customHeight="1" x14ac:dyDescent="0.3"/>
    <row r="812" s="1" customFormat="1" ht="12.75" customHeight="1" x14ac:dyDescent="0.3"/>
    <row r="813" s="1" customFormat="1" ht="12.75" customHeight="1" x14ac:dyDescent="0.3"/>
    <row r="814" s="1" customFormat="1" ht="12.75" customHeight="1" x14ac:dyDescent="0.3"/>
    <row r="815" s="1" customFormat="1" ht="12.75" customHeight="1" x14ac:dyDescent="0.3"/>
    <row r="816" s="1" customFormat="1" ht="12.75" customHeight="1" x14ac:dyDescent="0.3"/>
    <row r="817" s="1" customFormat="1" ht="12.75" customHeight="1" x14ac:dyDescent="0.3"/>
    <row r="818" s="1" customFormat="1" ht="12.75" customHeight="1" x14ac:dyDescent="0.3"/>
    <row r="819" s="1" customFormat="1" ht="12.75" customHeight="1" x14ac:dyDescent="0.3"/>
    <row r="820" s="1" customFormat="1" ht="12.75" customHeight="1" x14ac:dyDescent="0.3"/>
    <row r="821" s="1" customFormat="1" ht="12.75" customHeight="1" x14ac:dyDescent="0.3"/>
    <row r="822" s="1" customFormat="1" ht="12.75" customHeight="1" x14ac:dyDescent="0.3"/>
    <row r="823" s="1" customFormat="1" ht="12.75" customHeight="1" x14ac:dyDescent="0.3"/>
    <row r="824" s="1" customFormat="1" ht="12.75" customHeight="1" x14ac:dyDescent="0.3"/>
    <row r="825" s="1" customFormat="1" ht="12.75" customHeight="1" x14ac:dyDescent="0.3"/>
    <row r="826" s="1" customFormat="1" ht="12.75" customHeight="1" x14ac:dyDescent="0.3"/>
    <row r="827" s="1" customFormat="1" ht="12.75" customHeight="1" x14ac:dyDescent="0.3"/>
    <row r="828" s="1" customFormat="1" ht="12.75" customHeight="1" x14ac:dyDescent="0.3"/>
    <row r="829" s="1" customFormat="1" ht="12.75" customHeight="1" x14ac:dyDescent="0.3"/>
    <row r="830" s="1" customFormat="1" ht="12.75" customHeight="1" x14ac:dyDescent="0.3"/>
    <row r="831" s="1" customFormat="1" ht="12.75" customHeight="1" x14ac:dyDescent="0.3"/>
    <row r="832" s="1" customFormat="1" ht="12.75" customHeight="1" x14ac:dyDescent="0.3"/>
    <row r="833" s="1" customFormat="1" ht="12.75" customHeight="1" x14ac:dyDescent="0.3"/>
    <row r="834" s="1" customFormat="1" ht="12.75" customHeight="1" x14ac:dyDescent="0.3"/>
    <row r="835" s="1" customFormat="1" ht="12.75" customHeight="1" x14ac:dyDescent="0.3"/>
    <row r="836" s="1" customFormat="1" ht="12.75" customHeight="1" x14ac:dyDescent="0.3"/>
    <row r="837" s="1" customFormat="1" ht="12.75" customHeight="1" x14ac:dyDescent="0.3"/>
    <row r="838" s="1" customFormat="1" ht="12.75" customHeight="1" x14ac:dyDescent="0.3"/>
    <row r="839" s="1" customFormat="1" ht="12.75" customHeight="1" x14ac:dyDescent="0.3"/>
    <row r="840" s="1" customFormat="1" ht="12.75" customHeight="1" x14ac:dyDescent="0.3"/>
    <row r="841" s="1" customFormat="1" ht="12.75" customHeight="1" x14ac:dyDescent="0.3"/>
    <row r="842" s="1" customFormat="1" ht="12.75" customHeight="1" x14ac:dyDescent="0.3"/>
    <row r="843" s="1" customFormat="1" ht="12.75" customHeight="1" x14ac:dyDescent="0.3"/>
    <row r="844" s="1" customFormat="1" ht="12.75" customHeight="1" x14ac:dyDescent="0.3"/>
    <row r="845" s="1" customFormat="1" ht="12.75" customHeight="1" x14ac:dyDescent="0.3"/>
    <row r="846" s="1" customFormat="1" ht="12.75" customHeight="1" x14ac:dyDescent="0.3"/>
    <row r="847" s="1" customFormat="1" ht="12.75" customHeight="1" x14ac:dyDescent="0.3"/>
    <row r="848" s="1" customFormat="1" ht="12.75" customHeight="1" x14ac:dyDescent="0.3"/>
    <row r="849" s="1" customFormat="1" ht="12.75" customHeight="1" x14ac:dyDescent="0.3"/>
    <row r="850" s="1" customFormat="1" ht="12.75" customHeight="1" x14ac:dyDescent="0.3"/>
    <row r="851" s="1" customFormat="1" ht="12.75" customHeight="1" x14ac:dyDescent="0.3"/>
    <row r="852" s="1" customFormat="1" ht="12.75" customHeight="1" x14ac:dyDescent="0.3"/>
    <row r="853" s="1" customFormat="1" ht="12.75" customHeight="1" x14ac:dyDescent="0.3"/>
    <row r="854" s="1" customFormat="1" ht="12.75" customHeight="1" x14ac:dyDescent="0.3"/>
    <row r="855" s="1" customFormat="1" ht="12.75" customHeight="1" x14ac:dyDescent="0.3"/>
    <row r="856" s="1" customFormat="1" ht="12.75" customHeight="1" x14ac:dyDescent="0.3"/>
    <row r="857" s="1" customFormat="1" ht="12.75" customHeight="1" x14ac:dyDescent="0.3"/>
    <row r="858" s="1" customFormat="1" ht="12.75" customHeight="1" x14ac:dyDescent="0.3"/>
    <row r="859" s="1" customFormat="1" ht="12.75" customHeight="1" x14ac:dyDescent="0.3"/>
    <row r="860" s="1" customFormat="1" ht="12.75" customHeight="1" x14ac:dyDescent="0.3"/>
    <row r="861" s="1" customFormat="1" ht="12.75" customHeight="1" x14ac:dyDescent="0.3"/>
    <row r="862" s="1" customFormat="1" ht="12.75" customHeight="1" x14ac:dyDescent="0.3"/>
    <row r="863" s="1" customFormat="1" ht="12.75" customHeight="1" x14ac:dyDescent="0.3"/>
    <row r="864" s="1" customFormat="1" ht="12.75" customHeight="1" x14ac:dyDescent="0.3"/>
    <row r="865" s="1" customFormat="1" ht="12.75" customHeight="1" x14ac:dyDescent="0.3"/>
    <row r="866" s="1" customFormat="1" ht="12.75" customHeight="1" x14ac:dyDescent="0.3"/>
    <row r="867" s="1" customFormat="1" ht="12.75" customHeight="1" x14ac:dyDescent="0.3"/>
    <row r="868" s="1" customFormat="1" ht="12.75" customHeight="1" x14ac:dyDescent="0.3"/>
    <row r="869" s="1" customFormat="1" ht="12.75" customHeight="1" x14ac:dyDescent="0.3"/>
    <row r="870" s="1" customFormat="1" ht="12.75" customHeight="1" x14ac:dyDescent="0.3"/>
    <row r="871" s="1" customFormat="1" ht="12.75" customHeight="1" x14ac:dyDescent="0.3"/>
    <row r="872" s="1" customFormat="1" ht="12.75" customHeight="1" x14ac:dyDescent="0.3"/>
    <row r="873" s="1" customFormat="1" ht="12.75" customHeight="1" x14ac:dyDescent="0.3"/>
    <row r="874" s="1" customFormat="1" ht="12.75" customHeight="1" x14ac:dyDescent="0.3"/>
    <row r="875" s="1" customFormat="1" ht="12.75" customHeight="1" x14ac:dyDescent="0.3"/>
    <row r="876" s="1" customFormat="1" ht="12.75" customHeight="1" x14ac:dyDescent="0.3"/>
    <row r="877" s="1" customFormat="1" ht="12.75" customHeight="1" x14ac:dyDescent="0.3"/>
    <row r="878" s="1" customFormat="1" ht="12.75" customHeight="1" x14ac:dyDescent="0.3"/>
    <row r="879" s="1" customFormat="1" ht="12.75" customHeight="1" x14ac:dyDescent="0.3"/>
    <row r="880" s="1" customFormat="1" ht="12.75" customHeight="1" x14ac:dyDescent="0.3"/>
    <row r="881" s="1" customFormat="1" ht="12.75" customHeight="1" x14ac:dyDescent="0.3"/>
    <row r="882" s="1" customFormat="1" ht="12.75" customHeight="1" x14ac:dyDescent="0.3"/>
    <row r="883" s="1" customFormat="1" ht="12.75" customHeight="1" x14ac:dyDescent="0.3"/>
    <row r="884" s="1" customFormat="1" ht="12.75" customHeight="1" x14ac:dyDescent="0.3"/>
    <row r="885" s="1" customFormat="1" ht="12.75" customHeight="1" x14ac:dyDescent="0.3"/>
    <row r="886" s="1" customFormat="1" ht="12.75" customHeight="1" x14ac:dyDescent="0.3"/>
    <row r="887" s="1" customFormat="1" ht="12.75" customHeight="1" x14ac:dyDescent="0.3"/>
    <row r="888" s="1" customFormat="1" ht="12.75" customHeight="1" x14ac:dyDescent="0.3"/>
    <row r="889" s="1" customFormat="1" ht="12.75" customHeight="1" x14ac:dyDescent="0.3"/>
    <row r="890" s="1" customFormat="1" ht="12.75" customHeight="1" x14ac:dyDescent="0.3"/>
    <row r="891" s="1" customFormat="1" ht="12.75" customHeight="1" x14ac:dyDescent="0.3"/>
    <row r="892" s="1" customFormat="1" ht="12.75" customHeight="1" x14ac:dyDescent="0.3"/>
    <row r="893" s="1" customFormat="1" ht="12.75" customHeight="1" x14ac:dyDescent="0.3"/>
    <row r="894" s="1" customFormat="1" ht="12.75" customHeight="1" x14ac:dyDescent="0.3"/>
    <row r="895" s="1" customFormat="1" ht="12.75" customHeight="1" x14ac:dyDescent="0.3"/>
    <row r="896" s="1" customFormat="1" ht="12.75" customHeight="1" x14ac:dyDescent="0.3"/>
    <row r="897" s="1" customFormat="1" ht="12.75" customHeight="1" x14ac:dyDescent="0.3"/>
    <row r="898" s="1" customFormat="1" ht="12.75" customHeight="1" x14ac:dyDescent="0.3"/>
    <row r="899" s="1" customFormat="1" ht="12.75" customHeight="1" x14ac:dyDescent="0.3"/>
    <row r="900" s="1" customFormat="1" ht="12.75" customHeight="1" x14ac:dyDescent="0.3"/>
    <row r="901" s="1" customFormat="1" ht="12.75" customHeight="1" x14ac:dyDescent="0.3"/>
    <row r="902" s="1" customFormat="1" ht="12.75" customHeight="1" x14ac:dyDescent="0.3"/>
    <row r="903" s="1" customFormat="1" ht="12.75" customHeight="1" x14ac:dyDescent="0.3"/>
    <row r="904" s="1" customFormat="1" ht="12.75" customHeight="1" x14ac:dyDescent="0.3"/>
    <row r="905" s="1" customFormat="1" ht="12.75" customHeight="1" x14ac:dyDescent="0.3"/>
    <row r="906" s="1" customFormat="1" ht="12.75" customHeight="1" x14ac:dyDescent="0.3"/>
    <row r="907" s="1" customFormat="1" ht="12.75" customHeight="1" x14ac:dyDescent="0.3"/>
    <row r="908" s="1" customFormat="1" ht="12.75" customHeight="1" x14ac:dyDescent="0.3"/>
    <row r="909" s="1" customFormat="1" ht="12.75" customHeight="1" x14ac:dyDescent="0.3"/>
    <row r="910" s="1" customFormat="1" ht="12.75" customHeight="1" x14ac:dyDescent="0.3"/>
    <row r="911" s="1" customFormat="1" ht="12.75" customHeight="1" x14ac:dyDescent="0.3"/>
    <row r="912" s="1" customFormat="1" ht="12.75" customHeight="1" x14ac:dyDescent="0.3"/>
    <row r="913" s="1" customFormat="1" ht="12.75" customHeight="1" x14ac:dyDescent="0.3"/>
    <row r="914" s="1" customFormat="1" ht="12.75" customHeight="1" x14ac:dyDescent="0.3"/>
    <row r="915" s="1" customFormat="1" ht="12.75" customHeight="1" x14ac:dyDescent="0.3"/>
    <row r="916" s="1" customFormat="1" ht="12.75" customHeight="1" x14ac:dyDescent="0.3"/>
    <row r="917" s="1" customFormat="1" ht="12.75" customHeight="1" x14ac:dyDescent="0.3"/>
    <row r="918" s="1" customFormat="1" ht="12.75" customHeight="1" x14ac:dyDescent="0.3"/>
    <row r="919" s="1" customFormat="1" ht="12.75" customHeight="1" x14ac:dyDescent="0.3"/>
    <row r="920" s="1" customFormat="1" ht="12.75" customHeight="1" x14ac:dyDescent="0.3"/>
    <row r="921" s="1" customFormat="1" ht="12.75" customHeight="1" x14ac:dyDescent="0.3"/>
    <row r="922" s="1" customFormat="1" ht="12.75" customHeight="1" x14ac:dyDescent="0.3"/>
    <row r="923" s="1" customFormat="1" ht="12.75" customHeight="1" x14ac:dyDescent="0.3"/>
    <row r="924" s="1" customFormat="1" ht="12.75" customHeight="1" x14ac:dyDescent="0.3"/>
    <row r="925" s="1" customFormat="1" ht="12.75" customHeight="1" x14ac:dyDescent="0.3"/>
    <row r="926" s="1" customFormat="1" ht="12.75" customHeight="1" x14ac:dyDescent="0.3"/>
    <row r="927" s="1" customFormat="1" ht="12.75" customHeight="1" x14ac:dyDescent="0.3"/>
    <row r="928" s="1" customFormat="1" ht="12.75" customHeight="1" x14ac:dyDescent="0.3"/>
    <row r="929" s="1" customFormat="1" ht="12.75" customHeight="1" x14ac:dyDescent="0.3"/>
    <row r="930" s="1" customFormat="1" ht="12.75" customHeight="1" x14ac:dyDescent="0.3"/>
    <row r="931" s="1" customFormat="1" ht="12.75" customHeight="1" x14ac:dyDescent="0.3"/>
    <row r="932" s="1" customFormat="1" ht="12.75" customHeight="1" x14ac:dyDescent="0.3"/>
    <row r="933" s="1" customFormat="1" ht="12.75" customHeight="1" x14ac:dyDescent="0.3"/>
    <row r="934" s="1" customFormat="1" ht="12.75" customHeight="1" x14ac:dyDescent="0.3"/>
    <row r="935" s="1" customFormat="1" ht="12.75" customHeight="1" x14ac:dyDescent="0.3"/>
    <row r="936" s="1" customFormat="1" ht="12.75" customHeight="1" x14ac:dyDescent="0.3"/>
    <row r="937" s="1" customFormat="1" ht="12.75" customHeight="1" x14ac:dyDescent="0.3"/>
    <row r="938" s="1" customFormat="1" ht="12.75" customHeight="1" x14ac:dyDescent="0.3"/>
    <row r="939" s="1" customFormat="1" ht="12.75" customHeight="1" x14ac:dyDescent="0.3"/>
    <row r="940" s="1" customFormat="1" ht="12.75" customHeight="1" x14ac:dyDescent="0.3"/>
    <row r="941" s="1" customFormat="1" ht="12.75" customHeight="1" x14ac:dyDescent="0.3"/>
    <row r="942" s="1" customFormat="1" ht="12.75" customHeight="1" x14ac:dyDescent="0.3"/>
    <row r="943" s="1" customFormat="1" ht="12.75" customHeight="1" x14ac:dyDescent="0.3"/>
    <row r="944" s="1" customFormat="1" ht="12.75" customHeight="1" x14ac:dyDescent="0.3"/>
    <row r="945" s="1" customFormat="1" ht="12.75" customHeight="1" x14ac:dyDescent="0.3"/>
    <row r="946" s="1" customFormat="1" ht="12.75" customHeight="1" x14ac:dyDescent="0.3"/>
    <row r="947" s="1" customFormat="1" ht="12.75" customHeight="1" x14ac:dyDescent="0.3"/>
    <row r="948" s="1" customFormat="1" ht="12.75" customHeight="1" x14ac:dyDescent="0.3"/>
    <row r="949" s="1" customFormat="1" ht="12.75" customHeight="1" x14ac:dyDescent="0.3"/>
    <row r="950" s="1" customFormat="1" ht="12.75" customHeight="1" x14ac:dyDescent="0.3"/>
    <row r="951" s="1" customFormat="1" ht="12.75" customHeight="1" x14ac:dyDescent="0.3"/>
    <row r="952" s="1" customFormat="1" ht="12.75" customHeight="1" x14ac:dyDescent="0.3"/>
    <row r="953" s="1" customFormat="1" ht="12.75" customHeight="1" x14ac:dyDescent="0.3"/>
    <row r="954" s="1" customFormat="1" ht="12.75" customHeight="1" x14ac:dyDescent="0.3"/>
    <row r="955" s="1" customFormat="1" ht="12.75" customHeight="1" x14ac:dyDescent="0.3"/>
    <row r="956" s="1" customFormat="1" ht="12.75" customHeight="1" x14ac:dyDescent="0.3"/>
    <row r="957" s="1" customFormat="1" ht="12.75" customHeight="1" x14ac:dyDescent="0.3"/>
    <row r="958" s="1" customFormat="1" ht="12.75" customHeight="1" x14ac:dyDescent="0.3"/>
    <row r="959" s="1" customFormat="1" ht="12.75" customHeight="1" x14ac:dyDescent="0.3"/>
    <row r="960" s="1" customFormat="1" ht="12.75" customHeight="1" x14ac:dyDescent="0.3"/>
    <row r="961" s="1" customFormat="1" ht="12.75" customHeight="1" x14ac:dyDescent="0.3"/>
    <row r="962" s="1" customFormat="1" ht="12.75" customHeight="1" x14ac:dyDescent="0.3"/>
    <row r="963" s="1" customFormat="1" ht="12.75" customHeight="1" x14ac:dyDescent="0.3"/>
    <row r="964" s="1" customFormat="1" ht="12.75" customHeight="1" x14ac:dyDescent="0.3"/>
    <row r="965" s="1" customFormat="1" ht="12.75" customHeight="1" x14ac:dyDescent="0.3"/>
    <row r="966" s="1" customFormat="1" ht="12.75" customHeight="1" x14ac:dyDescent="0.3"/>
    <row r="967" s="1" customFormat="1" ht="12.75" customHeight="1" x14ac:dyDescent="0.3"/>
    <row r="968" s="1" customFormat="1" ht="12.75" customHeight="1" x14ac:dyDescent="0.3"/>
    <row r="969" s="1" customFormat="1" ht="12.75" customHeight="1" x14ac:dyDescent="0.3"/>
    <row r="970" s="1" customFormat="1" ht="12.75" customHeight="1" x14ac:dyDescent="0.3"/>
    <row r="971" s="1" customFormat="1" ht="12.75" customHeight="1" x14ac:dyDescent="0.3"/>
    <row r="972" s="1" customFormat="1" ht="12.75" customHeight="1" x14ac:dyDescent="0.3"/>
    <row r="973" s="1" customFormat="1" ht="12.75" customHeight="1" x14ac:dyDescent="0.3"/>
    <row r="974" s="1" customFormat="1" ht="12.75" customHeight="1" x14ac:dyDescent="0.3"/>
    <row r="975" s="1" customFormat="1" ht="12.75" customHeight="1" x14ac:dyDescent="0.3"/>
    <row r="976" s="1" customFormat="1" ht="12.75" customHeight="1" x14ac:dyDescent="0.3"/>
    <row r="977" s="1" customFormat="1" ht="12.75" customHeight="1" x14ac:dyDescent="0.3"/>
    <row r="978" s="1" customFormat="1" ht="12.75" customHeight="1" x14ac:dyDescent="0.3"/>
    <row r="979" s="1" customFormat="1" ht="12.75" customHeight="1" x14ac:dyDescent="0.3"/>
    <row r="980" s="1" customFormat="1" ht="12.75" customHeight="1" x14ac:dyDescent="0.3"/>
    <row r="981" s="1" customFormat="1" ht="12.75" customHeight="1" x14ac:dyDescent="0.3"/>
    <row r="982" s="1" customFormat="1" ht="12.75" customHeight="1" x14ac:dyDescent="0.3"/>
    <row r="983" s="1" customFormat="1" ht="12.75" customHeight="1" x14ac:dyDescent="0.3"/>
    <row r="984" s="1" customFormat="1" ht="12.75" customHeight="1" x14ac:dyDescent="0.3"/>
    <row r="985" s="1" customFormat="1" ht="12.75" customHeight="1" x14ac:dyDescent="0.3"/>
    <row r="986" s="1" customFormat="1" ht="12.75" customHeight="1" x14ac:dyDescent="0.3"/>
    <row r="987" s="1" customFormat="1" ht="12.75" customHeight="1" x14ac:dyDescent="0.3"/>
    <row r="988" s="1" customFormat="1" ht="12.75" customHeight="1" x14ac:dyDescent="0.3"/>
    <row r="989" s="1" customFormat="1" ht="12.75" customHeight="1" x14ac:dyDescent="0.3"/>
    <row r="990" s="1" customFormat="1" ht="12.75" customHeight="1" x14ac:dyDescent="0.3"/>
    <row r="991" s="1" customFormat="1" ht="12.75" customHeight="1" x14ac:dyDescent="0.3"/>
    <row r="992" s="1" customFormat="1" ht="12.75" customHeight="1" x14ac:dyDescent="0.3"/>
    <row r="993" s="1" customFormat="1" ht="12.75" customHeight="1" x14ac:dyDescent="0.3"/>
    <row r="994" s="1" customFormat="1" ht="12.75" customHeight="1" x14ac:dyDescent="0.3"/>
    <row r="995" s="1" customFormat="1" ht="12.75" customHeight="1" x14ac:dyDescent="0.3"/>
    <row r="996" s="1" customFormat="1" ht="12.75" customHeight="1" x14ac:dyDescent="0.3"/>
    <row r="997" s="1" customFormat="1" ht="12.75" customHeight="1" x14ac:dyDescent="0.3"/>
    <row r="998" s="1" customFormat="1" ht="12.75" customHeight="1" x14ac:dyDescent="0.3"/>
    <row r="999" s="1" customFormat="1" ht="12.75" customHeight="1" x14ac:dyDescent="0.3"/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CB2A6-9DCF-4DA2-995F-AE5A574A944C}">
  <dimension ref="A1:M999"/>
  <sheetViews>
    <sheetView workbookViewId="0">
      <selection sqref="A1:XFD1048576"/>
    </sheetView>
  </sheetViews>
  <sheetFormatPr baseColWidth="10" defaultColWidth="12.6328125" defaultRowHeight="15" customHeight="1" x14ac:dyDescent="0.3"/>
  <cols>
    <col min="1" max="1" width="15.7265625" style="1" customWidth="1"/>
    <col min="2" max="7" width="10.6328125" style="1" customWidth="1"/>
    <col min="8" max="8" width="11.36328125" style="1" customWidth="1"/>
    <col min="9" max="25" width="10.6328125" style="1" customWidth="1"/>
    <col min="26" max="16384" width="12.6328125" style="1"/>
  </cols>
  <sheetData>
    <row r="1" spans="1:13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4.25" customHeight="1" x14ac:dyDescent="0.3">
      <c r="A2" s="1" t="s">
        <v>12</v>
      </c>
      <c r="B2" s="1" t="s">
        <v>13</v>
      </c>
      <c r="C2" s="1">
        <v>1</v>
      </c>
      <c r="H2" s="2" t="s">
        <v>14</v>
      </c>
      <c r="I2" s="3">
        <f t="shared" ref="I2:L2" si="0">SUM(C22+C37+C55+C65+C66+C96+C105+C113+C128+C146+C150)</f>
        <v>11</v>
      </c>
      <c r="J2" s="3">
        <f t="shared" si="0"/>
        <v>0</v>
      </c>
      <c r="K2" s="3">
        <f t="shared" si="0"/>
        <v>0</v>
      </c>
      <c r="L2" s="3">
        <f t="shared" si="0"/>
        <v>0</v>
      </c>
      <c r="M2" s="3">
        <f t="shared" ref="M2:M13" si="1">SUM(I2:L2)</f>
        <v>11</v>
      </c>
    </row>
    <row r="3" spans="1:13" ht="14.25" customHeight="1" x14ac:dyDescent="0.3">
      <c r="A3" s="1" t="s">
        <v>15</v>
      </c>
      <c r="B3" s="1" t="s">
        <v>16</v>
      </c>
      <c r="C3" s="1">
        <v>1</v>
      </c>
      <c r="H3" s="2" t="s">
        <v>17</v>
      </c>
      <c r="I3" s="3">
        <f t="shared" ref="I3:L3" si="2">SUM(C6+C32+C50+C52+C58+C69+C76+C94+C115+C122+C123+C152)</f>
        <v>12</v>
      </c>
      <c r="J3" s="3">
        <f t="shared" si="2"/>
        <v>0</v>
      </c>
      <c r="K3" s="3">
        <f t="shared" si="2"/>
        <v>0</v>
      </c>
      <c r="L3" s="3">
        <f t="shared" si="2"/>
        <v>0</v>
      </c>
      <c r="M3" s="3">
        <f t="shared" si="1"/>
        <v>12</v>
      </c>
    </row>
    <row r="4" spans="1:13" ht="14.25" customHeight="1" x14ac:dyDescent="0.3">
      <c r="A4" s="1" t="s">
        <v>18</v>
      </c>
      <c r="B4" s="1" t="s">
        <v>13</v>
      </c>
      <c r="C4" s="1">
        <v>1</v>
      </c>
      <c r="H4" s="2" t="s">
        <v>19</v>
      </c>
      <c r="I4" s="3">
        <f t="shared" ref="I4:L4" si="3">SUM(C26+C14+C27+C62+C68+C124+C138+C142+C153+C155)</f>
        <v>10</v>
      </c>
      <c r="J4" s="3">
        <f t="shared" si="3"/>
        <v>0</v>
      </c>
      <c r="K4" s="3">
        <f t="shared" si="3"/>
        <v>0</v>
      </c>
      <c r="L4" s="3">
        <f t="shared" si="3"/>
        <v>0</v>
      </c>
      <c r="M4" s="3">
        <f t="shared" si="1"/>
        <v>10</v>
      </c>
    </row>
    <row r="5" spans="1:13" ht="14.25" customHeight="1" x14ac:dyDescent="0.3">
      <c r="A5" s="1" t="s">
        <v>20</v>
      </c>
      <c r="B5" s="1" t="s">
        <v>21</v>
      </c>
      <c r="C5" s="1">
        <v>1</v>
      </c>
      <c r="H5" s="2" t="s">
        <v>22</v>
      </c>
      <c r="I5" s="3">
        <f t="shared" ref="I5:L5" si="4">SUM(C5+C36+C56+C63+C73+C85+C87+C95+C135)</f>
        <v>8</v>
      </c>
      <c r="J5" s="3">
        <f t="shared" si="4"/>
        <v>0</v>
      </c>
      <c r="K5" s="3">
        <f t="shared" si="4"/>
        <v>0</v>
      </c>
      <c r="L5" s="3">
        <f t="shared" si="4"/>
        <v>1</v>
      </c>
      <c r="M5" s="3">
        <f t="shared" si="1"/>
        <v>9</v>
      </c>
    </row>
    <row r="6" spans="1:13" ht="14.25" customHeight="1" x14ac:dyDescent="0.3">
      <c r="A6" s="1" t="s">
        <v>23</v>
      </c>
      <c r="B6" s="1" t="s">
        <v>24</v>
      </c>
      <c r="C6" s="1">
        <v>1</v>
      </c>
      <c r="H6" s="2" t="s">
        <v>25</v>
      </c>
      <c r="I6" s="3">
        <f t="shared" ref="I6:L6" si="5">SUM(C12+C15+C18+C28+C41+C59+C78+C64+C82+C83+C86+C106+C119+C143+C148+C154)</f>
        <v>15</v>
      </c>
      <c r="J6" s="3">
        <f t="shared" si="5"/>
        <v>0</v>
      </c>
      <c r="K6" s="3">
        <f t="shared" si="5"/>
        <v>0</v>
      </c>
      <c r="L6" s="3">
        <f t="shared" si="5"/>
        <v>1</v>
      </c>
      <c r="M6" s="3">
        <f t="shared" si="1"/>
        <v>16</v>
      </c>
    </row>
    <row r="7" spans="1:13" ht="14.25" customHeight="1" x14ac:dyDescent="0.3">
      <c r="A7" s="1" t="s">
        <v>26</v>
      </c>
      <c r="B7" s="1" t="s">
        <v>27</v>
      </c>
      <c r="C7" s="1">
        <v>1</v>
      </c>
      <c r="H7" s="2" t="s">
        <v>28</v>
      </c>
      <c r="I7" s="3">
        <f t="shared" ref="I7:L7" si="6">SUM(C3+C20+C46+C49+C54+C89+C90+C102+C112+C114+C129+C141)</f>
        <v>12</v>
      </c>
      <c r="J7" s="3">
        <f t="shared" si="6"/>
        <v>0</v>
      </c>
      <c r="K7" s="3">
        <f t="shared" si="6"/>
        <v>0</v>
      </c>
      <c r="L7" s="3">
        <f t="shared" si="6"/>
        <v>0</v>
      </c>
      <c r="M7" s="3">
        <f t="shared" si="1"/>
        <v>12</v>
      </c>
    </row>
    <row r="8" spans="1:13" ht="14.25" customHeight="1" x14ac:dyDescent="0.3">
      <c r="A8" s="1" t="s">
        <v>29</v>
      </c>
      <c r="B8" s="1" t="s">
        <v>30</v>
      </c>
      <c r="D8" s="1">
        <v>1</v>
      </c>
      <c r="H8" s="2" t="s">
        <v>27</v>
      </c>
      <c r="I8" s="3">
        <f t="shared" ref="I8:L8" si="7">SUM(C7+C30+C29+C44+C51+C60+C72+C79+C101+C99+C107+C111+C117+C140+C144)</f>
        <v>15</v>
      </c>
      <c r="J8" s="3">
        <f t="shared" si="7"/>
        <v>0</v>
      </c>
      <c r="K8" s="3">
        <f t="shared" si="7"/>
        <v>0</v>
      </c>
      <c r="L8" s="3">
        <f t="shared" si="7"/>
        <v>0</v>
      </c>
      <c r="M8" s="3">
        <f t="shared" si="1"/>
        <v>15</v>
      </c>
    </row>
    <row r="9" spans="1:13" ht="14.25" customHeight="1" x14ac:dyDescent="0.3">
      <c r="A9" s="1" t="s">
        <v>31</v>
      </c>
      <c r="B9" s="1" t="s">
        <v>13</v>
      </c>
      <c r="C9" s="1">
        <v>1</v>
      </c>
      <c r="H9" s="2" t="s">
        <v>13</v>
      </c>
      <c r="I9" s="3">
        <f t="shared" ref="I9:J9" si="8">SUM(C4+C9+C17+C19+C2+C48+C92+C120+C126+C127+C130+C133+C151)</f>
        <v>12</v>
      </c>
      <c r="J9" s="3">
        <f t="shared" si="8"/>
        <v>1</v>
      </c>
      <c r="K9" s="3">
        <f>SUM(D4+D9+D17+D19+D2+D48+D92+D120+D126+D127+D130+D133+D151)</f>
        <v>1</v>
      </c>
      <c r="L9" s="3">
        <f>SUM(F4+F9+F17+F19+F2+F48+F92+F120+F126+F127+F130+F133+F151)</f>
        <v>0</v>
      </c>
      <c r="M9" s="3">
        <f t="shared" si="1"/>
        <v>14</v>
      </c>
    </row>
    <row r="10" spans="1:13" ht="14.25" customHeight="1" x14ac:dyDescent="0.3">
      <c r="A10" s="1" t="s">
        <v>32</v>
      </c>
      <c r="B10" s="1" t="s">
        <v>33</v>
      </c>
      <c r="C10" s="1">
        <v>1</v>
      </c>
      <c r="H10" s="2" t="s">
        <v>30</v>
      </c>
      <c r="I10" s="3">
        <f t="shared" ref="I10:L10" si="9">SUM(C8+C13+C16+C25+C31+C35+C43+C45+C70+C71+C75+C81+C88+C93+C98+C100+C104+C118+C136+C137+C156)</f>
        <v>0</v>
      </c>
      <c r="J10" s="3">
        <f t="shared" si="9"/>
        <v>20</v>
      </c>
      <c r="K10" s="3">
        <f t="shared" si="9"/>
        <v>0</v>
      </c>
      <c r="L10" s="3">
        <f t="shared" si="9"/>
        <v>1</v>
      </c>
      <c r="M10" s="3">
        <f t="shared" si="1"/>
        <v>21</v>
      </c>
    </row>
    <row r="11" spans="1:13" ht="14.25" customHeight="1" x14ac:dyDescent="0.3">
      <c r="A11" s="1" t="s">
        <v>34</v>
      </c>
      <c r="B11" s="1" t="s">
        <v>33</v>
      </c>
      <c r="C11" s="1">
        <v>1</v>
      </c>
      <c r="H11" s="2" t="s">
        <v>35</v>
      </c>
      <c r="I11" s="3">
        <f t="shared" ref="I11:L11" si="10">SUM(C38+C42+C47+C53+C74+C77+C80+C91+C97+C103+C108+C116+C131+C145+C147)</f>
        <v>0</v>
      </c>
      <c r="J11" s="3">
        <f t="shared" si="10"/>
        <v>15</v>
      </c>
      <c r="K11" s="3">
        <f t="shared" si="10"/>
        <v>0</v>
      </c>
      <c r="L11" s="3">
        <f t="shared" si="10"/>
        <v>0</v>
      </c>
      <c r="M11" s="3">
        <f t="shared" si="1"/>
        <v>15</v>
      </c>
    </row>
    <row r="12" spans="1:13" ht="14.25" customHeight="1" x14ac:dyDescent="0.3">
      <c r="A12" s="1" t="s">
        <v>36</v>
      </c>
      <c r="B12" s="1" t="s">
        <v>37</v>
      </c>
      <c r="F12" s="1">
        <v>1</v>
      </c>
      <c r="H12" s="2" t="s">
        <v>38</v>
      </c>
      <c r="I12" s="3">
        <f t="shared" ref="I12:L12" si="11">SUM(C21+C24+C34+C40+C67+C84+C132)</f>
        <v>1</v>
      </c>
      <c r="J12" s="3">
        <f t="shared" si="11"/>
        <v>6</v>
      </c>
      <c r="K12" s="3">
        <f t="shared" si="11"/>
        <v>0</v>
      </c>
      <c r="L12" s="3">
        <f t="shared" si="11"/>
        <v>0</v>
      </c>
      <c r="M12" s="3">
        <f t="shared" si="1"/>
        <v>7</v>
      </c>
    </row>
    <row r="13" spans="1:13" ht="14.25" customHeight="1" x14ac:dyDescent="0.3">
      <c r="A13" s="1" t="s">
        <v>39</v>
      </c>
      <c r="B13" s="1" t="s">
        <v>30</v>
      </c>
      <c r="D13" s="1">
        <v>1</v>
      </c>
      <c r="H13" s="2" t="s">
        <v>33</v>
      </c>
      <c r="I13" s="3">
        <f t="shared" ref="I13:L13" si="12">SUM(C10+C11+C57+C125+C149)</f>
        <v>5</v>
      </c>
      <c r="J13" s="3">
        <f t="shared" si="12"/>
        <v>0</v>
      </c>
      <c r="K13" s="3">
        <f t="shared" si="12"/>
        <v>0</v>
      </c>
      <c r="L13" s="3">
        <f t="shared" si="12"/>
        <v>0</v>
      </c>
      <c r="M13" s="3">
        <f t="shared" si="1"/>
        <v>5</v>
      </c>
    </row>
    <row r="14" spans="1:13" ht="14.25" customHeight="1" x14ac:dyDescent="0.3">
      <c r="A14" s="1" t="s">
        <v>40</v>
      </c>
      <c r="B14" s="1" t="s">
        <v>19</v>
      </c>
      <c r="C14" s="1">
        <v>1</v>
      </c>
      <c r="I14" s="4"/>
      <c r="J14" s="4"/>
      <c r="K14" s="4"/>
      <c r="L14" s="4"/>
    </row>
    <row r="15" spans="1:13" ht="14.25" customHeight="1" x14ac:dyDescent="0.3">
      <c r="A15" s="1" t="s">
        <v>41</v>
      </c>
      <c r="B15" s="1" t="s">
        <v>42</v>
      </c>
      <c r="C15" s="1">
        <v>1</v>
      </c>
      <c r="I15" s="4"/>
      <c r="J15" s="4"/>
      <c r="K15" s="4"/>
      <c r="L15" s="4"/>
    </row>
    <row r="16" spans="1:13" ht="14.25" customHeight="1" x14ac:dyDescent="0.3">
      <c r="A16" s="1" t="s">
        <v>43</v>
      </c>
      <c r="B16" s="1" t="s">
        <v>30</v>
      </c>
      <c r="D16" s="1">
        <v>1</v>
      </c>
      <c r="I16" s="4"/>
      <c r="J16" s="4"/>
      <c r="K16" s="4"/>
      <c r="L16" s="4"/>
    </row>
    <row r="17" spans="1:12" ht="14.25" customHeight="1" x14ac:dyDescent="0.3">
      <c r="A17" s="1" t="s">
        <v>44</v>
      </c>
      <c r="B17" s="1" t="s">
        <v>13</v>
      </c>
      <c r="D17" s="1">
        <v>1</v>
      </c>
      <c r="I17" s="4"/>
      <c r="J17" s="4"/>
      <c r="K17" s="4"/>
      <c r="L17" s="4"/>
    </row>
    <row r="18" spans="1:12" ht="14.25" customHeight="1" x14ac:dyDescent="0.3">
      <c r="A18" s="1" t="s">
        <v>45</v>
      </c>
      <c r="B18" s="1" t="s">
        <v>37</v>
      </c>
      <c r="C18" s="1">
        <v>1</v>
      </c>
      <c r="I18" s="4"/>
      <c r="J18" s="4"/>
      <c r="K18" s="4"/>
      <c r="L18" s="4"/>
    </row>
    <row r="19" spans="1:12" ht="14.25" customHeight="1" x14ac:dyDescent="0.3">
      <c r="A19" s="1" t="s">
        <v>46</v>
      </c>
      <c r="B19" s="1" t="s">
        <v>13</v>
      </c>
      <c r="C19" s="1">
        <v>1</v>
      </c>
    </row>
    <row r="20" spans="1:12" ht="14.25" customHeight="1" x14ac:dyDescent="0.3">
      <c r="A20" s="1" t="s">
        <v>47</v>
      </c>
      <c r="B20" s="1" t="s">
        <v>16</v>
      </c>
      <c r="C20" s="1">
        <v>1</v>
      </c>
    </row>
    <row r="21" spans="1:12" ht="14.25" customHeight="1" x14ac:dyDescent="0.3">
      <c r="A21" s="1" t="s">
        <v>48</v>
      </c>
      <c r="B21" s="1" t="s">
        <v>38</v>
      </c>
      <c r="D21" s="1">
        <v>1</v>
      </c>
    </row>
    <row r="22" spans="1:12" ht="14.25" customHeight="1" x14ac:dyDescent="0.3">
      <c r="A22" s="1" t="s">
        <v>49</v>
      </c>
      <c r="B22" s="1" t="s">
        <v>14</v>
      </c>
      <c r="C22" s="1">
        <v>1</v>
      </c>
    </row>
    <row r="23" spans="1:12" ht="14.25" customHeight="1" x14ac:dyDescent="0.3">
      <c r="A23" s="1" t="s">
        <v>50</v>
      </c>
      <c r="B23" s="1" t="s">
        <v>13</v>
      </c>
      <c r="C23" s="1">
        <v>1</v>
      </c>
    </row>
    <row r="24" spans="1:12" ht="14.25" customHeight="1" x14ac:dyDescent="0.3">
      <c r="A24" s="1" t="s">
        <v>51</v>
      </c>
      <c r="B24" s="1" t="s">
        <v>38</v>
      </c>
      <c r="D24" s="1">
        <v>1</v>
      </c>
    </row>
    <row r="25" spans="1:12" ht="14.25" customHeight="1" x14ac:dyDescent="0.3">
      <c r="A25" s="1" t="s">
        <v>52</v>
      </c>
      <c r="B25" s="1" t="s">
        <v>30</v>
      </c>
      <c r="D25" s="1">
        <v>1</v>
      </c>
    </row>
    <row r="26" spans="1:12" ht="14.25" customHeight="1" x14ac:dyDescent="0.3">
      <c r="A26" s="1" t="s">
        <v>53</v>
      </c>
      <c r="B26" s="1" t="s">
        <v>19</v>
      </c>
      <c r="C26" s="1">
        <v>1</v>
      </c>
    </row>
    <row r="27" spans="1:12" ht="14.25" customHeight="1" x14ac:dyDescent="0.3">
      <c r="A27" s="1" t="s">
        <v>54</v>
      </c>
      <c r="B27" s="1" t="s">
        <v>19</v>
      </c>
      <c r="C27" s="1">
        <v>1</v>
      </c>
    </row>
    <row r="28" spans="1:12" ht="14.25" customHeight="1" x14ac:dyDescent="0.3">
      <c r="A28" s="1" t="s">
        <v>55</v>
      </c>
      <c r="B28" s="1" t="s">
        <v>37</v>
      </c>
      <c r="C28" s="1">
        <v>1</v>
      </c>
    </row>
    <row r="29" spans="1:12" ht="14.25" customHeight="1" x14ac:dyDescent="0.3">
      <c r="A29" s="1" t="s">
        <v>56</v>
      </c>
      <c r="B29" s="1" t="s">
        <v>27</v>
      </c>
      <c r="C29" s="1">
        <v>1</v>
      </c>
    </row>
    <row r="30" spans="1:12" ht="14.25" customHeight="1" x14ac:dyDescent="0.3">
      <c r="A30" s="1" t="s">
        <v>57</v>
      </c>
      <c r="B30" s="1" t="s">
        <v>27</v>
      </c>
      <c r="C30" s="1">
        <v>1</v>
      </c>
    </row>
    <row r="31" spans="1:12" ht="14.25" customHeight="1" x14ac:dyDescent="0.3">
      <c r="A31" s="1" t="s">
        <v>58</v>
      </c>
      <c r="B31" s="1" t="s">
        <v>30</v>
      </c>
      <c r="D31" s="1">
        <v>1</v>
      </c>
    </row>
    <row r="32" spans="1:12" ht="14.25" customHeight="1" x14ac:dyDescent="0.3">
      <c r="A32" s="1" t="s">
        <v>59</v>
      </c>
      <c r="B32" s="1" t="s">
        <v>24</v>
      </c>
      <c r="C32" s="1">
        <v>1</v>
      </c>
    </row>
    <row r="33" spans="1:12" ht="14.25" customHeight="1" x14ac:dyDescent="0.3">
      <c r="A33" s="1" t="s">
        <v>60</v>
      </c>
      <c r="B33" s="1" t="s">
        <v>27</v>
      </c>
      <c r="C33" s="1">
        <v>1</v>
      </c>
    </row>
    <row r="34" spans="1:12" ht="14.25" customHeight="1" x14ac:dyDescent="0.3">
      <c r="A34" s="1" t="s">
        <v>61</v>
      </c>
      <c r="B34" s="1" t="s">
        <v>38</v>
      </c>
      <c r="D34" s="1">
        <v>1</v>
      </c>
    </row>
    <row r="35" spans="1:12" ht="14.25" customHeight="1" x14ac:dyDescent="0.3">
      <c r="A35" s="1" t="s">
        <v>62</v>
      </c>
      <c r="B35" s="1" t="s">
        <v>30</v>
      </c>
      <c r="D35" s="1">
        <v>1</v>
      </c>
    </row>
    <row r="36" spans="1:12" ht="14.25" customHeight="1" x14ac:dyDescent="0.3">
      <c r="A36" s="1" t="s">
        <v>63</v>
      </c>
      <c r="B36" s="1" t="s">
        <v>21</v>
      </c>
      <c r="C36" s="1">
        <v>1</v>
      </c>
    </row>
    <row r="37" spans="1:12" ht="14.25" customHeight="1" x14ac:dyDescent="0.3">
      <c r="A37" s="1" t="s">
        <v>64</v>
      </c>
      <c r="B37" s="1" t="s">
        <v>14</v>
      </c>
      <c r="C37" s="1">
        <v>1</v>
      </c>
    </row>
    <row r="38" spans="1:12" ht="14.25" customHeight="1" x14ac:dyDescent="0.3">
      <c r="A38" s="1" t="s">
        <v>65</v>
      </c>
      <c r="B38" s="1" t="s">
        <v>66</v>
      </c>
      <c r="D38" s="1">
        <v>1</v>
      </c>
    </row>
    <row r="39" spans="1:12" ht="14.25" customHeight="1" x14ac:dyDescent="0.3">
      <c r="A39" s="1" t="s">
        <v>67</v>
      </c>
      <c r="B39" s="1" t="s">
        <v>16</v>
      </c>
      <c r="C39" s="1">
        <v>1</v>
      </c>
    </row>
    <row r="40" spans="1:12" ht="14.25" customHeight="1" x14ac:dyDescent="0.3">
      <c r="A40" s="1" t="s">
        <v>68</v>
      </c>
      <c r="B40" s="1" t="s">
        <v>38</v>
      </c>
      <c r="D40" s="1">
        <v>1</v>
      </c>
    </row>
    <row r="41" spans="1:12" ht="14.25" customHeight="1" x14ac:dyDescent="0.3">
      <c r="A41" s="1" t="s">
        <v>69</v>
      </c>
      <c r="B41" s="1" t="s">
        <v>37</v>
      </c>
      <c r="C41" s="1">
        <v>1</v>
      </c>
    </row>
    <row r="42" spans="1:12" ht="14.25" customHeight="1" x14ac:dyDescent="0.3">
      <c r="A42" s="1" t="s">
        <v>70</v>
      </c>
      <c r="B42" s="1" t="s">
        <v>66</v>
      </c>
      <c r="D42" s="1">
        <v>1</v>
      </c>
    </row>
    <row r="43" spans="1:12" ht="14.25" customHeight="1" x14ac:dyDescent="0.3">
      <c r="A43" s="1" t="s">
        <v>71</v>
      </c>
      <c r="B43" s="1" t="s">
        <v>30</v>
      </c>
      <c r="D43" s="1">
        <v>1</v>
      </c>
    </row>
    <row r="44" spans="1:12" ht="14.25" customHeight="1" x14ac:dyDescent="0.3">
      <c r="A44" s="1" t="s">
        <v>72</v>
      </c>
      <c r="B44" s="1" t="s">
        <v>27</v>
      </c>
      <c r="C44" s="1">
        <v>1</v>
      </c>
    </row>
    <row r="45" spans="1:12" ht="14.25" customHeight="1" x14ac:dyDescent="0.3">
      <c r="A45" s="1" t="s">
        <v>73</v>
      </c>
      <c r="B45" s="1" t="s">
        <v>30</v>
      </c>
      <c r="D45" s="1">
        <v>1</v>
      </c>
      <c r="H45" s="1" t="s">
        <v>6</v>
      </c>
      <c r="I45" s="1" t="s">
        <v>7</v>
      </c>
      <c r="J45" s="1" t="s">
        <v>8</v>
      </c>
      <c r="K45" s="1" t="s">
        <v>9</v>
      </c>
      <c r="L45" s="1" t="s">
        <v>10</v>
      </c>
    </row>
    <row r="46" spans="1:12" ht="14.25" customHeight="1" x14ac:dyDescent="0.3">
      <c r="A46" s="1" t="s">
        <v>74</v>
      </c>
      <c r="B46" s="1" t="s">
        <v>16</v>
      </c>
      <c r="C46" s="1">
        <v>1</v>
      </c>
      <c r="H46" s="2" t="s">
        <v>14</v>
      </c>
      <c r="I46" s="4">
        <f t="shared" ref="I46:I57" si="13">I2/M2</f>
        <v>1</v>
      </c>
      <c r="J46" s="4">
        <f t="shared" ref="J46:J57" si="14">J2/M2</f>
        <v>0</v>
      </c>
      <c r="K46" s="4">
        <f t="shared" ref="K46:K57" si="15">K2/M2</f>
        <v>0</v>
      </c>
      <c r="L46" s="4">
        <f t="shared" ref="L46:L57" si="16">L2/M2</f>
        <v>0</v>
      </c>
    </row>
    <row r="47" spans="1:12" ht="14.25" customHeight="1" x14ac:dyDescent="0.3">
      <c r="A47" s="1" t="s">
        <v>75</v>
      </c>
      <c r="B47" s="1" t="s">
        <v>66</v>
      </c>
      <c r="D47" s="1">
        <v>1</v>
      </c>
      <c r="H47" s="2" t="s">
        <v>17</v>
      </c>
      <c r="I47" s="4">
        <f t="shared" si="13"/>
        <v>1</v>
      </c>
      <c r="J47" s="4">
        <f t="shared" si="14"/>
        <v>0</v>
      </c>
      <c r="K47" s="4">
        <f t="shared" si="15"/>
        <v>0</v>
      </c>
      <c r="L47" s="4">
        <f t="shared" si="16"/>
        <v>0</v>
      </c>
    </row>
    <row r="48" spans="1:12" ht="14.25" customHeight="1" x14ac:dyDescent="0.3">
      <c r="A48" s="1" t="s">
        <v>76</v>
      </c>
      <c r="B48" s="1" t="s">
        <v>13</v>
      </c>
      <c r="C48" s="1">
        <v>1</v>
      </c>
      <c r="H48" s="2" t="s">
        <v>19</v>
      </c>
      <c r="I48" s="4">
        <f t="shared" si="13"/>
        <v>1</v>
      </c>
      <c r="J48" s="4">
        <f t="shared" si="14"/>
        <v>0</v>
      </c>
      <c r="K48" s="4">
        <f t="shared" si="15"/>
        <v>0</v>
      </c>
      <c r="L48" s="4">
        <f t="shared" si="16"/>
        <v>0</v>
      </c>
    </row>
    <row r="49" spans="1:12" ht="14.25" customHeight="1" x14ac:dyDescent="0.3">
      <c r="A49" s="1" t="s">
        <v>77</v>
      </c>
      <c r="B49" s="1" t="s">
        <v>16</v>
      </c>
      <c r="C49" s="1">
        <v>1</v>
      </c>
      <c r="H49" s="2" t="s">
        <v>22</v>
      </c>
      <c r="I49" s="4">
        <f t="shared" si="13"/>
        <v>0.88888888888888884</v>
      </c>
      <c r="J49" s="4">
        <f t="shared" si="14"/>
        <v>0</v>
      </c>
      <c r="K49" s="4">
        <f t="shared" si="15"/>
        <v>0</v>
      </c>
      <c r="L49" s="4">
        <f t="shared" si="16"/>
        <v>0.1111111111111111</v>
      </c>
    </row>
    <row r="50" spans="1:12" ht="14.25" customHeight="1" x14ac:dyDescent="0.3">
      <c r="A50" s="1" t="s">
        <v>78</v>
      </c>
      <c r="B50" s="1" t="s">
        <v>24</v>
      </c>
      <c r="C50" s="1">
        <v>1</v>
      </c>
      <c r="H50" s="2" t="s">
        <v>25</v>
      </c>
      <c r="I50" s="4">
        <f t="shared" si="13"/>
        <v>0.9375</v>
      </c>
      <c r="J50" s="4">
        <f t="shared" si="14"/>
        <v>0</v>
      </c>
      <c r="K50" s="4">
        <f t="shared" si="15"/>
        <v>0</v>
      </c>
      <c r="L50" s="4">
        <f t="shared" si="16"/>
        <v>6.25E-2</v>
      </c>
    </row>
    <row r="51" spans="1:12" ht="14.25" customHeight="1" x14ac:dyDescent="0.3">
      <c r="A51" s="1" t="s">
        <v>79</v>
      </c>
      <c r="B51" s="1" t="s">
        <v>27</v>
      </c>
      <c r="C51" s="1">
        <v>1</v>
      </c>
      <c r="H51" s="2" t="s">
        <v>28</v>
      </c>
      <c r="I51" s="4">
        <f t="shared" si="13"/>
        <v>1</v>
      </c>
      <c r="J51" s="4">
        <f t="shared" si="14"/>
        <v>0</v>
      </c>
      <c r="K51" s="4">
        <f t="shared" si="15"/>
        <v>0</v>
      </c>
      <c r="L51" s="4">
        <f t="shared" si="16"/>
        <v>0</v>
      </c>
    </row>
    <row r="52" spans="1:12" ht="14.25" customHeight="1" x14ac:dyDescent="0.3">
      <c r="A52" s="1" t="s">
        <v>80</v>
      </c>
      <c r="B52" s="1" t="s">
        <v>24</v>
      </c>
      <c r="C52" s="1">
        <v>1</v>
      </c>
      <c r="H52" s="2" t="s">
        <v>27</v>
      </c>
      <c r="I52" s="4">
        <f t="shared" si="13"/>
        <v>1</v>
      </c>
      <c r="J52" s="4">
        <f t="shared" si="14"/>
        <v>0</v>
      </c>
      <c r="K52" s="4">
        <f t="shared" si="15"/>
        <v>0</v>
      </c>
      <c r="L52" s="4">
        <f t="shared" si="16"/>
        <v>0</v>
      </c>
    </row>
    <row r="53" spans="1:12" ht="14.25" customHeight="1" x14ac:dyDescent="0.3">
      <c r="A53" s="1" t="s">
        <v>81</v>
      </c>
      <c r="B53" s="1" t="s">
        <v>66</v>
      </c>
      <c r="D53" s="1">
        <v>1</v>
      </c>
      <c r="H53" s="2" t="s">
        <v>13</v>
      </c>
      <c r="I53" s="4">
        <f t="shared" si="13"/>
        <v>0.8571428571428571</v>
      </c>
      <c r="J53" s="4">
        <f t="shared" si="14"/>
        <v>7.1428571428571425E-2</v>
      </c>
      <c r="K53" s="4">
        <f t="shared" si="15"/>
        <v>7.1428571428571425E-2</v>
      </c>
      <c r="L53" s="4">
        <f t="shared" si="16"/>
        <v>0</v>
      </c>
    </row>
    <row r="54" spans="1:12" ht="14.25" customHeight="1" x14ac:dyDescent="0.3">
      <c r="A54" s="1" t="s">
        <v>82</v>
      </c>
      <c r="B54" s="1" t="s">
        <v>16</v>
      </c>
      <c r="C54" s="1">
        <v>1</v>
      </c>
      <c r="H54" s="2" t="s">
        <v>30</v>
      </c>
      <c r="I54" s="4">
        <f t="shared" si="13"/>
        <v>0</v>
      </c>
      <c r="J54" s="4">
        <f t="shared" si="14"/>
        <v>0.95238095238095233</v>
      </c>
      <c r="K54" s="4">
        <f t="shared" si="15"/>
        <v>0</v>
      </c>
      <c r="L54" s="4">
        <f t="shared" si="16"/>
        <v>4.7619047619047616E-2</v>
      </c>
    </row>
    <row r="55" spans="1:12" ht="14.25" customHeight="1" x14ac:dyDescent="0.3">
      <c r="A55" s="1" t="s">
        <v>83</v>
      </c>
      <c r="B55" s="1" t="s">
        <v>14</v>
      </c>
      <c r="C55" s="1">
        <v>1</v>
      </c>
      <c r="H55" s="2" t="s">
        <v>35</v>
      </c>
      <c r="I55" s="4">
        <f t="shared" si="13"/>
        <v>0</v>
      </c>
      <c r="J55" s="4">
        <f t="shared" si="14"/>
        <v>1</v>
      </c>
      <c r="K55" s="4">
        <f t="shared" si="15"/>
        <v>0</v>
      </c>
      <c r="L55" s="4">
        <f t="shared" si="16"/>
        <v>0</v>
      </c>
    </row>
    <row r="56" spans="1:12" ht="14.25" customHeight="1" x14ac:dyDescent="0.3">
      <c r="A56" s="1" t="s">
        <v>84</v>
      </c>
      <c r="B56" s="1" t="s">
        <v>21</v>
      </c>
      <c r="C56" s="1">
        <v>1</v>
      </c>
      <c r="H56" s="2" t="s">
        <v>38</v>
      </c>
      <c r="I56" s="4">
        <f t="shared" si="13"/>
        <v>0.14285714285714285</v>
      </c>
      <c r="J56" s="4">
        <f t="shared" si="14"/>
        <v>0.8571428571428571</v>
      </c>
      <c r="K56" s="4">
        <f t="shared" si="15"/>
        <v>0</v>
      </c>
      <c r="L56" s="4">
        <f t="shared" si="16"/>
        <v>0</v>
      </c>
    </row>
    <row r="57" spans="1:12" ht="14.25" customHeight="1" x14ac:dyDescent="0.3">
      <c r="A57" s="1" t="s">
        <v>85</v>
      </c>
      <c r="B57" s="1" t="s">
        <v>33</v>
      </c>
      <c r="C57" s="1">
        <v>1</v>
      </c>
      <c r="H57" s="2" t="s">
        <v>33</v>
      </c>
      <c r="I57" s="4">
        <f t="shared" si="13"/>
        <v>1</v>
      </c>
      <c r="J57" s="4">
        <f t="shared" si="14"/>
        <v>0</v>
      </c>
      <c r="K57" s="4">
        <f t="shared" si="15"/>
        <v>0</v>
      </c>
      <c r="L57" s="4">
        <f t="shared" si="16"/>
        <v>0</v>
      </c>
    </row>
    <row r="58" spans="1:12" ht="14.25" customHeight="1" x14ac:dyDescent="0.3">
      <c r="A58" s="1" t="s">
        <v>86</v>
      </c>
      <c r="B58" s="1" t="s">
        <v>24</v>
      </c>
      <c r="C58" s="1">
        <v>1</v>
      </c>
    </row>
    <row r="59" spans="1:12" ht="14.25" customHeight="1" x14ac:dyDescent="0.3">
      <c r="A59" s="1" t="s">
        <v>87</v>
      </c>
      <c r="B59" s="1" t="s">
        <v>37</v>
      </c>
      <c r="C59" s="1">
        <v>1</v>
      </c>
    </row>
    <row r="60" spans="1:12" ht="14.25" customHeight="1" x14ac:dyDescent="0.3">
      <c r="A60" s="1" t="s">
        <v>88</v>
      </c>
      <c r="B60" s="1" t="s">
        <v>27</v>
      </c>
      <c r="C60" s="1">
        <v>1</v>
      </c>
    </row>
    <row r="61" spans="1:12" ht="14.25" customHeight="1" x14ac:dyDescent="0.3">
      <c r="A61" s="1" t="s">
        <v>89</v>
      </c>
      <c r="B61" s="1" t="s">
        <v>13</v>
      </c>
      <c r="C61" s="1">
        <v>1</v>
      </c>
    </row>
    <row r="62" spans="1:12" ht="14.25" customHeight="1" x14ac:dyDescent="0.3">
      <c r="A62" s="1" t="s">
        <v>90</v>
      </c>
      <c r="B62" s="1" t="s">
        <v>19</v>
      </c>
      <c r="C62" s="1">
        <v>1</v>
      </c>
    </row>
    <row r="63" spans="1:12" ht="14.25" customHeight="1" x14ac:dyDescent="0.3">
      <c r="A63" s="1" t="s">
        <v>91</v>
      </c>
      <c r="B63" s="1" t="s">
        <v>21</v>
      </c>
      <c r="F63" s="1">
        <v>1</v>
      </c>
    </row>
    <row r="64" spans="1:12" ht="14.25" customHeight="1" x14ac:dyDescent="0.3">
      <c r="A64" s="1" t="s">
        <v>92</v>
      </c>
      <c r="B64" s="1" t="s">
        <v>42</v>
      </c>
      <c r="C64" s="1">
        <v>1</v>
      </c>
    </row>
    <row r="65" spans="1:4" ht="14.25" customHeight="1" x14ac:dyDescent="0.3">
      <c r="A65" s="1" t="s">
        <v>93</v>
      </c>
      <c r="B65" s="1" t="s">
        <v>14</v>
      </c>
      <c r="C65" s="1">
        <v>1</v>
      </c>
    </row>
    <row r="66" spans="1:4" ht="14.25" customHeight="1" x14ac:dyDescent="0.3">
      <c r="A66" s="1" t="s">
        <v>94</v>
      </c>
      <c r="B66" s="1" t="s">
        <v>14</v>
      </c>
      <c r="C66" s="1">
        <v>1</v>
      </c>
    </row>
    <row r="67" spans="1:4" ht="14.25" customHeight="1" x14ac:dyDescent="0.3">
      <c r="A67" s="1" t="s">
        <v>95</v>
      </c>
      <c r="B67" s="1" t="s">
        <v>38</v>
      </c>
      <c r="C67" s="1">
        <v>1</v>
      </c>
    </row>
    <row r="68" spans="1:4" ht="14.25" customHeight="1" x14ac:dyDescent="0.3">
      <c r="A68" s="1" t="s">
        <v>96</v>
      </c>
      <c r="B68" s="1" t="s">
        <v>19</v>
      </c>
      <c r="C68" s="1">
        <v>1</v>
      </c>
    </row>
    <row r="69" spans="1:4" ht="14.25" customHeight="1" x14ac:dyDescent="0.3">
      <c r="A69" s="1" t="s">
        <v>97</v>
      </c>
      <c r="B69" s="1" t="s">
        <v>24</v>
      </c>
      <c r="C69" s="1">
        <v>1</v>
      </c>
    </row>
    <row r="70" spans="1:4" ht="14.25" customHeight="1" x14ac:dyDescent="0.3">
      <c r="A70" s="1" t="s">
        <v>98</v>
      </c>
      <c r="B70" s="1" t="s">
        <v>30</v>
      </c>
      <c r="D70" s="1">
        <v>1</v>
      </c>
    </row>
    <row r="71" spans="1:4" ht="14.25" customHeight="1" x14ac:dyDescent="0.3">
      <c r="A71" s="1" t="s">
        <v>99</v>
      </c>
      <c r="B71" s="1" t="s">
        <v>30</v>
      </c>
      <c r="D71" s="1">
        <v>1</v>
      </c>
    </row>
    <row r="72" spans="1:4" ht="14.25" customHeight="1" x14ac:dyDescent="0.3">
      <c r="A72" s="1" t="s">
        <v>100</v>
      </c>
      <c r="B72" s="1" t="s">
        <v>27</v>
      </c>
      <c r="C72" s="1">
        <v>1</v>
      </c>
    </row>
    <row r="73" spans="1:4" ht="14.25" customHeight="1" x14ac:dyDescent="0.3">
      <c r="A73" s="1" t="s">
        <v>101</v>
      </c>
      <c r="B73" s="1" t="s">
        <v>21</v>
      </c>
      <c r="C73" s="1">
        <v>1</v>
      </c>
    </row>
    <row r="74" spans="1:4" ht="14.25" customHeight="1" x14ac:dyDescent="0.3">
      <c r="A74" s="1" t="s">
        <v>102</v>
      </c>
      <c r="B74" s="1" t="s">
        <v>66</v>
      </c>
      <c r="D74" s="1">
        <v>1</v>
      </c>
    </row>
    <row r="75" spans="1:4" ht="14.25" customHeight="1" x14ac:dyDescent="0.3">
      <c r="A75" s="1" t="s">
        <v>103</v>
      </c>
      <c r="B75" s="1" t="s">
        <v>30</v>
      </c>
      <c r="D75" s="1">
        <v>1</v>
      </c>
    </row>
    <row r="76" spans="1:4" ht="14.25" customHeight="1" x14ac:dyDescent="0.3">
      <c r="A76" s="1" t="s">
        <v>104</v>
      </c>
      <c r="B76" s="1" t="s">
        <v>24</v>
      </c>
      <c r="C76" s="1">
        <v>1</v>
      </c>
    </row>
    <row r="77" spans="1:4" ht="14.25" customHeight="1" x14ac:dyDescent="0.3">
      <c r="A77" s="1" t="s">
        <v>105</v>
      </c>
      <c r="B77" s="1" t="s">
        <v>66</v>
      </c>
      <c r="D77" s="1">
        <v>1</v>
      </c>
    </row>
    <row r="78" spans="1:4" ht="14.25" customHeight="1" x14ac:dyDescent="0.3">
      <c r="A78" s="1" t="s">
        <v>106</v>
      </c>
      <c r="B78" s="1" t="s">
        <v>42</v>
      </c>
      <c r="C78" s="1">
        <v>1</v>
      </c>
    </row>
    <row r="79" spans="1:4" ht="14.25" customHeight="1" x14ac:dyDescent="0.3">
      <c r="A79" s="1" t="s">
        <v>107</v>
      </c>
      <c r="B79" s="1" t="s">
        <v>27</v>
      </c>
      <c r="C79" s="1">
        <v>1</v>
      </c>
    </row>
    <row r="80" spans="1:4" ht="14.25" customHeight="1" x14ac:dyDescent="0.3">
      <c r="A80" s="1" t="s">
        <v>108</v>
      </c>
      <c r="B80" s="1" t="s">
        <v>66</v>
      </c>
      <c r="D80" s="1">
        <v>1</v>
      </c>
    </row>
    <row r="81" spans="1:6" ht="14.25" customHeight="1" x14ac:dyDescent="0.3">
      <c r="A81" s="1" t="s">
        <v>109</v>
      </c>
      <c r="B81" s="1" t="s">
        <v>30</v>
      </c>
      <c r="D81" s="1">
        <v>1</v>
      </c>
    </row>
    <row r="82" spans="1:6" ht="14.25" customHeight="1" x14ac:dyDescent="0.3">
      <c r="A82" s="1" t="s">
        <v>110</v>
      </c>
      <c r="B82" s="1" t="s">
        <v>37</v>
      </c>
      <c r="C82" s="1">
        <v>1</v>
      </c>
    </row>
    <row r="83" spans="1:6" ht="14.25" customHeight="1" x14ac:dyDescent="0.3">
      <c r="A83" s="1" t="s">
        <v>111</v>
      </c>
      <c r="B83" s="1" t="s">
        <v>37</v>
      </c>
      <c r="C83" s="1">
        <v>1</v>
      </c>
    </row>
    <row r="84" spans="1:6" ht="14.25" customHeight="1" x14ac:dyDescent="0.3">
      <c r="A84" s="1" t="s">
        <v>112</v>
      </c>
      <c r="B84" s="1" t="s">
        <v>38</v>
      </c>
      <c r="D84" s="1">
        <v>1</v>
      </c>
    </row>
    <row r="85" spans="1:6" ht="14.25" customHeight="1" x14ac:dyDescent="0.3">
      <c r="A85" s="1" t="s">
        <v>113</v>
      </c>
      <c r="B85" s="1" t="s">
        <v>21</v>
      </c>
      <c r="C85" s="1">
        <v>1</v>
      </c>
    </row>
    <row r="86" spans="1:6" ht="14.25" customHeight="1" x14ac:dyDescent="0.3">
      <c r="A86" s="1" t="s">
        <v>114</v>
      </c>
      <c r="B86" s="1" t="s">
        <v>42</v>
      </c>
      <c r="C86" s="1">
        <v>1</v>
      </c>
    </row>
    <row r="87" spans="1:6" ht="14.25" customHeight="1" x14ac:dyDescent="0.3">
      <c r="A87" s="1" t="s">
        <v>115</v>
      </c>
      <c r="B87" s="1" t="s">
        <v>21</v>
      </c>
      <c r="C87" s="1">
        <v>1</v>
      </c>
    </row>
    <row r="88" spans="1:6" ht="14.25" customHeight="1" x14ac:dyDescent="0.3">
      <c r="A88" s="1" t="s">
        <v>116</v>
      </c>
      <c r="B88" s="1" t="s">
        <v>30</v>
      </c>
      <c r="F88" s="1">
        <v>1</v>
      </c>
    </row>
    <row r="89" spans="1:6" ht="14.25" customHeight="1" x14ac:dyDescent="0.3">
      <c r="A89" s="1" t="s">
        <v>117</v>
      </c>
      <c r="B89" s="1" t="s">
        <v>16</v>
      </c>
      <c r="C89" s="1">
        <v>1</v>
      </c>
    </row>
    <row r="90" spans="1:6" ht="14.25" customHeight="1" x14ac:dyDescent="0.3">
      <c r="A90" s="1" t="s">
        <v>118</v>
      </c>
      <c r="B90" s="1" t="s">
        <v>16</v>
      </c>
      <c r="C90" s="1">
        <v>1</v>
      </c>
    </row>
    <row r="91" spans="1:6" ht="14.25" customHeight="1" x14ac:dyDescent="0.3">
      <c r="A91" s="1" t="s">
        <v>119</v>
      </c>
      <c r="B91" s="1" t="s">
        <v>66</v>
      </c>
      <c r="D91" s="1">
        <v>1</v>
      </c>
    </row>
    <row r="92" spans="1:6" ht="14.25" customHeight="1" x14ac:dyDescent="0.3">
      <c r="A92" s="1" t="s">
        <v>120</v>
      </c>
      <c r="B92" s="1" t="s">
        <v>13</v>
      </c>
      <c r="C92" s="1">
        <v>1</v>
      </c>
    </row>
    <row r="93" spans="1:6" ht="14.25" customHeight="1" x14ac:dyDescent="0.3">
      <c r="A93" s="1" t="s">
        <v>121</v>
      </c>
      <c r="B93" s="1" t="s">
        <v>30</v>
      </c>
      <c r="D93" s="1">
        <v>1</v>
      </c>
    </row>
    <row r="94" spans="1:6" ht="14.25" customHeight="1" x14ac:dyDescent="0.3">
      <c r="A94" s="1" t="s">
        <v>122</v>
      </c>
      <c r="B94" s="1" t="s">
        <v>24</v>
      </c>
      <c r="C94" s="1">
        <v>1</v>
      </c>
    </row>
    <row r="95" spans="1:6" ht="14.25" customHeight="1" x14ac:dyDescent="0.3">
      <c r="A95" s="1" t="s">
        <v>123</v>
      </c>
      <c r="B95" s="1" t="s">
        <v>21</v>
      </c>
      <c r="C95" s="1">
        <v>1</v>
      </c>
    </row>
    <row r="96" spans="1:6" ht="14.25" customHeight="1" x14ac:dyDescent="0.3">
      <c r="A96" s="1" t="s">
        <v>124</v>
      </c>
      <c r="B96" s="1" t="s">
        <v>14</v>
      </c>
      <c r="C96" s="1">
        <v>1</v>
      </c>
    </row>
    <row r="97" spans="1:4" ht="14.25" customHeight="1" x14ac:dyDescent="0.3">
      <c r="A97" s="1" t="s">
        <v>125</v>
      </c>
      <c r="B97" s="1" t="s">
        <v>66</v>
      </c>
      <c r="D97" s="1">
        <v>1</v>
      </c>
    </row>
    <row r="98" spans="1:4" ht="14.25" customHeight="1" x14ac:dyDescent="0.3">
      <c r="A98" s="1" t="s">
        <v>126</v>
      </c>
      <c r="B98" s="1" t="s">
        <v>30</v>
      </c>
      <c r="D98" s="1">
        <v>1</v>
      </c>
    </row>
    <row r="99" spans="1:4" ht="14.25" customHeight="1" x14ac:dyDescent="0.3">
      <c r="A99" s="1" t="s">
        <v>127</v>
      </c>
      <c r="B99" s="1" t="s">
        <v>27</v>
      </c>
      <c r="C99" s="1">
        <v>1</v>
      </c>
    </row>
    <row r="100" spans="1:4" ht="14.25" customHeight="1" x14ac:dyDescent="0.3">
      <c r="A100" s="1" t="s">
        <v>128</v>
      </c>
      <c r="B100" s="1" t="s">
        <v>30</v>
      </c>
      <c r="D100" s="1">
        <v>1</v>
      </c>
    </row>
    <row r="101" spans="1:4" ht="14.25" customHeight="1" x14ac:dyDescent="0.3">
      <c r="A101" s="1" t="s">
        <v>129</v>
      </c>
      <c r="B101" s="1" t="s">
        <v>27</v>
      </c>
      <c r="C101" s="1">
        <v>1</v>
      </c>
    </row>
    <row r="102" spans="1:4" ht="14.25" customHeight="1" x14ac:dyDescent="0.3">
      <c r="A102" s="1" t="s">
        <v>130</v>
      </c>
      <c r="B102" s="1" t="s">
        <v>16</v>
      </c>
      <c r="C102" s="1">
        <v>1</v>
      </c>
    </row>
    <row r="103" spans="1:4" ht="14.25" customHeight="1" x14ac:dyDescent="0.3">
      <c r="A103" s="1" t="s">
        <v>131</v>
      </c>
      <c r="B103" s="1" t="s">
        <v>66</v>
      </c>
      <c r="D103" s="1">
        <v>1</v>
      </c>
    </row>
    <row r="104" spans="1:4" ht="14.25" customHeight="1" x14ac:dyDescent="0.3">
      <c r="A104" s="1" t="s">
        <v>132</v>
      </c>
      <c r="B104" s="1" t="s">
        <v>30</v>
      </c>
      <c r="D104" s="1">
        <v>1</v>
      </c>
    </row>
    <row r="105" spans="1:4" ht="14.25" customHeight="1" x14ac:dyDescent="0.3">
      <c r="A105" s="1" t="s">
        <v>133</v>
      </c>
      <c r="B105" s="1" t="s">
        <v>14</v>
      </c>
      <c r="C105" s="1">
        <v>1</v>
      </c>
    </row>
    <row r="106" spans="1:4" ht="14.25" customHeight="1" x14ac:dyDescent="0.3">
      <c r="A106" s="1" t="s">
        <v>134</v>
      </c>
      <c r="B106" s="1" t="s">
        <v>42</v>
      </c>
      <c r="C106" s="1">
        <v>1</v>
      </c>
    </row>
    <row r="107" spans="1:4" ht="14.25" customHeight="1" x14ac:dyDescent="0.3">
      <c r="A107" s="1" t="s">
        <v>135</v>
      </c>
      <c r="B107" s="1" t="s">
        <v>27</v>
      </c>
      <c r="C107" s="1">
        <v>1</v>
      </c>
    </row>
    <row r="108" spans="1:4" ht="14.25" customHeight="1" x14ac:dyDescent="0.3">
      <c r="A108" s="1" t="s">
        <v>136</v>
      </c>
      <c r="B108" s="1" t="s">
        <v>66</v>
      </c>
      <c r="D108" s="1">
        <v>1</v>
      </c>
    </row>
    <row r="109" spans="1:4" ht="14.25" customHeight="1" x14ac:dyDescent="0.3">
      <c r="A109" s="1" t="s">
        <v>137</v>
      </c>
      <c r="B109" s="1" t="s">
        <v>13</v>
      </c>
      <c r="C109" s="1">
        <v>1</v>
      </c>
    </row>
    <row r="110" spans="1:4" ht="14.25" customHeight="1" x14ac:dyDescent="0.3">
      <c r="A110" s="1" t="s">
        <v>138</v>
      </c>
      <c r="B110" s="1" t="s">
        <v>42</v>
      </c>
      <c r="C110" s="1">
        <v>1</v>
      </c>
    </row>
    <row r="111" spans="1:4" ht="14.25" customHeight="1" x14ac:dyDescent="0.3">
      <c r="A111" s="1" t="s">
        <v>139</v>
      </c>
      <c r="B111" s="1" t="s">
        <v>27</v>
      </c>
      <c r="C111" s="1">
        <v>1</v>
      </c>
    </row>
    <row r="112" spans="1:4" ht="14.25" customHeight="1" x14ac:dyDescent="0.3">
      <c r="A112" s="1" t="s">
        <v>140</v>
      </c>
      <c r="B112" s="1" t="s">
        <v>16</v>
      </c>
      <c r="C112" s="1">
        <v>1</v>
      </c>
    </row>
    <row r="113" spans="1:6" ht="14.25" customHeight="1" x14ac:dyDescent="0.3">
      <c r="A113" s="1" t="s">
        <v>141</v>
      </c>
      <c r="B113" s="1" t="s">
        <v>14</v>
      </c>
      <c r="C113" s="1">
        <v>1</v>
      </c>
    </row>
    <row r="114" spans="1:6" ht="14.25" customHeight="1" x14ac:dyDescent="0.3">
      <c r="A114" s="1" t="s">
        <v>142</v>
      </c>
      <c r="B114" s="1" t="s">
        <v>16</v>
      </c>
      <c r="C114" s="1">
        <v>1</v>
      </c>
    </row>
    <row r="115" spans="1:6" ht="14.25" customHeight="1" x14ac:dyDescent="0.3">
      <c r="A115" s="1" t="s">
        <v>143</v>
      </c>
      <c r="B115" s="1" t="s">
        <v>24</v>
      </c>
      <c r="C115" s="1">
        <v>1</v>
      </c>
    </row>
    <row r="116" spans="1:6" ht="14.25" customHeight="1" x14ac:dyDescent="0.3">
      <c r="A116" s="1" t="s">
        <v>144</v>
      </c>
      <c r="B116" s="1" t="s">
        <v>66</v>
      </c>
      <c r="D116" s="1">
        <v>1</v>
      </c>
    </row>
    <row r="117" spans="1:6" ht="14.25" customHeight="1" x14ac:dyDescent="0.3">
      <c r="A117" s="1" t="s">
        <v>145</v>
      </c>
      <c r="B117" s="1" t="s">
        <v>27</v>
      </c>
      <c r="C117" s="1">
        <v>1</v>
      </c>
    </row>
    <row r="118" spans="1:6" ht="14.25" customHeight="1" x14ac:dyDescent="0.3">
      <c r="A118" s="1" t="s">
        <v>146</v>
      </c>
      <c r="B118" s="1" t="s">
        <v>30</v>
      </c>
      <c r="D118" s="1">
        <v>1</v>
      </c>
    </row>
    <row r="119" spans="1:6" ht="14.25" customHeight="1" x14ac:dyDescent="0.3">
      <c r="A119" s="1" t="s">
        <v>147</v>
      </c>
      <c r="B119" s="1" t="s">
        <v>42</v>
      </c>
      <c r="C119" s="1">
        <v>1</v>
      </c>
    </row>
    <row r="120" spans="1:6" ht="14.25" customHeight="1" x14ac:dyDescent="0.3">
      <c r="A120" s="1" t="s">
        <v>148</v>
      </c>
      <c r="B120" s="1" t="s">
        <v>13</v>
      </c>
      <c r="C120" s="1">
        <v>1</v>
      </c>
    </row>
    <row r="121" spans="1:6" ht="14.25" customHeight="1" x14ac:dyDescent="0.3">
      <c r="A121" s="1" t="s">
        <v>149</v>
      </c>
      <c r="B121" s="1" t="s">
        <v>150</v>
      </c>
      <c r="F121" s="1">
        <v>1</v>
      </c>
    </row>
    <row r="122" spans="1:6" ht="14.25" customHeight="1" x14ac:dyDescent="0.3">
      <c r="A122" s="1" t="s">
        <v>151</v>
      </c>
      <c r="B122" s="1" t="s">
        <v>24</v>
      </c>
      <c r="C122" s="1">
        <v>1</v>
      </c>
    </row>
    <row r="123" spans="1:6" ht="14.25" customHeight="1" x14ac:dyDescent="0.3">
      <c r="A123" s="1" t="s">
        <v>152</v>
      </c>
      <c r="B123" s="1" t="s">
        <v>24</v>
      </c>
      <c r="C123" s="1">
        <v>1</v>
      </c>
    </row>
    <row r="124" spans="1:6" ht="14.25" customHeight="1" x14ac:dyDescent="0.3">
      <c r="A124" s="1" t="s">
        <v>153</v>
      </c>
      <c r="B124" s="1" t="s">
        <v>19</v>
      </c>
      <c r="C124" s="1">
        <v>1</v>
      </c>
    </row>
    <row r="125" spans="1:6" ht="14.25" customHeight="1" x14ac:dyDescent="0.3">
      <c r="A125" s="1" t="s">
        <v>154</v>
      </c>
      <c r="B125" s="1" t="s">
        <v>33</v>
      </c>
      <c r="C125" s="1">
        <v>1</v>
      </c>
    </row>
    <row r="126" spans="1:6" ht="14.25" customHeight="1" x14ac:dyDescent="0.3">
      <c r="A126" s="1" t="s">
        <v>155</v>
      </c>
      <c r="B126" s="1" t="s">
        <v>13</v>
      </c>
      <c r="C126" s="1">
        <v>1</v>
      </c>
    </row>
    <row r="127" spans="1:6" ht="14.25" customHeight="1" x14ac:dyDescent="0.3">
      <c r="A127" s="1" t="s">
        <v>156</v>
      </c>
      <c r="B127" s="1" t="s">
        <v>13</v>
      </c>
      <c r="C127" s="1">
        <v>1</v>
      </c>
    </row>
    <row r="128" spans="1:6" ht="14.25" customHeight="1" x14ac:dyDescent="0.3">
      <c r="A128" s="1" t="s">
        <v>157</v>
      </c>
      <c r="B128" s="1" t="s">
        <v>14</v>
      </c>
      <c r="C128" s="1">
        <v>1</v>
      </c>
    </row>
    <row r="129" spans="1:4" ht="14.25" customHeight="1" x14ac:dyDescent="0.3">
      <c r="A129" s="1" t="s">
        <v>158</v>
      </c>
      <c r="B129" s="1" t="s">
        <v>16</v>
      </c>
      <c r="C129" s="1">
        <v>1</v>
      </c>
    </row>
    <row r="130" spans="1:4" ht="14.25" customHeight="1" x14ac:dyDescent="0.3">
      <c r="A130" s="1" t="s">
        <v>159</v>
      </c>
      <c r="B130" s="1" t="s">
        <v>13</v>
      </c>
      <c r="C130" s="1">
        <v>1</v>
      </c>
    </row>
    <row r="131" spans="1:4" ht="14.25" customHeight="1" x14ac:dyDescent="0.3">
      <c r="A131" s="1" t="s">
        <v>160</v>
      </c>
      <c r="B131" s="1" t="s">
        <v>66</v>
      </c>
      <c r="D131" s="1">
        <v>1</v>
      </c>
    </row>
    <row r="132" spans="1:4" ht="14.25" customHeight="1" x14ac:dyDescent="0.3">
      <c r="A132" s="1" t="s">
        <v>161</v>
      </c>
      <c r="B132" s="1" t="s">
        <v>38</v>
      </c>
      <c r="D132" s="1">
        <v>1</v>
      </c>
    </row>
    <row r="133" spans="1:4" ht="14.25" customHeight="1" x14ac:dyDescent="0.3">
      <c r="A133" s="1" t="s">
        <v>162</v>
      </c>
      <c r="B133" s="1" t="s">
        <v>13</v>
      </c>
      <c r="C133" s="1">
        <v>1</v>
      </c>
    </row>
    <row r="134" spans="1:4" ht="14.25" customHeight="1" x14ac:dyDescent="0.3">
      <c r="A134" s="1" t="s">
        <v>163</v>
      </c>
      <c r="B134" s="1" t="s">
        <v>66</v>
      </c>
      <c r="D134" s="1">
        <v>1</v>
      </c>
    </row>
    <row r="135" spans="1:4" ht="14.25" customHeight="1" x14ac:dyDescent="0.3">
      <c r="A135" s="1" t="s">
        <v>164</v>
      </c>
      <c r="B135" s="1" t="s">
        <v>21</v>
      </c>
      <c r="C135" s="1">
        <v>1</v>
      </c>
    </row>
    <row r="136" spans="1:4" ht="14.25" customHeight="1" x14ac:dyDescent="0.3">
      <c r="A136" s="1" t="s">
        <v>165</v>
      </c>
      <c r="B136" s="1" t="s">
        <v>30</v>
      </c>
      <c r="D136" s="1">
        <v>1</v>
      </c>
    </row>
    <row r="137" spans="1:4" ht="14.25" customHeight="1" x14ac:dyDescent="0.3">
      <c r="A137" s="1" t="s">
        <v>166</v>
      </c>
      <c r="B137" s="1" t="s">
        <v>30</v>
      </c>
      <c r="D137" s="1">
        <v>1</v>
      </c>
    </row>
    <row r="138" spans="1:4" ht="14.25" customHeight="1" x14ac:dyDescent="0.3">
      <c r="A138" s="1" t="s">
        <v>167</v>
      </c>
      <c r="B138" s="1" t="s">
        <v>19</v>
      </c>
      <c r="C138" s="1">
        <v>1</v>
      </c>
    </row>
    <row r="139" spans="1:4" ht="14.25" customHeight="1" x14ac:dyDescent="0.3">
      <c r="A139" s="1" t="s">
        <v>168</v>
      </c>
      <c r="B139" s="1" t="s">
        <v>13</v>
      </c>
      <c r="C139" s="1">
        <v>1</v>
      </c>
    </row>
    <row r="140" spans="1:4" ht="14.25" customHeight="1" x14ac:dyDescent="0.3">
      <c r="A140" s="1" t="s">
        <v>169</v>
      </c>
      <c r="B140" s="1" t="s">
        <v>27</v>
      </c>
      <c r="C140" s="1">
        <v>1</v>
      </c>
    </row>
    <row r="141" spans="1:4" ht="14.25" customHeight="1" x14ac:dyDescent="0.3">
      <c r="A141" s="1" t="s">
        <v>170</v>
      </c>
      <c r="B141" s="1" t="s">
        <v>16</v>
      </c>
      <c r="C141" s="1">
        <v>1</v>
      </c>
    </row>
    <row r="142" spans="1:4" ht="14.25" customHeight="1" x14ac:dyDescent="0.3">
      <c r="A142" s="1" t="s">
        <v>171</v>
      </c>
      <c r="B142" s="1" t="s">
        <v>19</v>
      </c>
      <c r="C142" s="1">
        <v>1</v>
      </c>
    </row>
    <row r="143" spans="1:4" ht="14.25" customHeight="1" x14ac:dyDescent="0.3">
      <c r="A143" s="1" t="s">
        <v>172</v>
      </c>
      <c r="B143" s="1" t="s">
        <v>37</v>
      </c>
      <c r="C143" s="1">
        <v>1</v>
      </c>
    </row>
    <row r="144" spans="1:4" ht="14.25" customHeight="1" x14ac:dyDescent="0.3">
      <c r="A144" s="1" t="s">
        <v>173</v>
      </c>
      <c r="B144" s="1" t="s">
        <v>27</v>
      </c>
      <c r="C144" s="1">
        <v>1</v>
      </c>
    </row>
    <row r="145" spans="1:4" ht="14.25" customHeight="1" x14ac:dyDescent="0.3">
      <c r="A145" s="1" t="s">
        <v>174</v>
      </c>
      <c r="B145" s="1" t="s">
        <v>66</v>
      </c>
      <c r="D145" s="1">
        <v>1</v>
      </c>
    </row>
    <row r="146" spans="1:4" ht="14.25" customHeight="1" x14ac:dyDescent="0.3">
      <c r="A146" s="1" t="s">
        <v>175</v>
      </c>
      <c r="B146" s="1" t="s">
        <v>14</v>
      </c>
      <c r="C146" s="1">
        <v>1</v>
      </c>
    </row>
    <row r="147" spans="1:4" ht="14.25" customHeight="1" x14ac:dyDescent="0.3">
      <c r="A147" s="1" t="s">
        <v>176</v>
      </c>
      <c r="B147" s="1" t="s">
        <v>66</v>
      </c>
      <c r="D147" s="1">
        <v>1</v>
      </c>
    </row>
    <row r="148" spans="1:4" ht="14.25" customHeight="1" x14ac:dyDescent="0.3">
      <c r="A148" s="1" t="s">
        <v>177</v>
      </c>
      <c r="B148" s="1" t="s">
        <v>42</v>
      </c>
      <c r="C148" s="1">
        <v>1</v>
      </c>
    </row>
    <row r="149" spans="1:4" ht="14.25" customHeight="1" x14ac:dyDescent="0.3">
      <c r="A149" s="1" t="s">
        <v>178</v>
      </c>
      <c r="B149" s="1" t="s">
        <v>33</v>
      </c>
      <c r="C149" s="1">
        <v>1</v>
      </c>
    </row>
    <row r="150" spans="1:4" ht="14.25" customHeight="1" x14ac:dyDescent="0.3">
      <c r="A150" s="1" t="s">
        <v>179</v>
      </c>
      <c r="B150" s="1" t="s">
        <v>14</v>
      </c>
      <c r="C150" s="1">
        <v>1</v>
      </c>
    </row>
    <row r="151" spans="1:4" ht="14.25" customHeight="1" x14ac:dyDescent="0.3">
      <c r="A151" s="1" t="s">
        <v>180</v>
      </c>
      <c r="B151" s="1" t="s">
        <v>13</v>
      </c>
      <c r="C151" s="1">
        <v>1</v>
      </c>
    </row>
    <row r="152" spans="1:4" ht="14.25" customHeight="1" x14ac:dyDescent="0.3">
      <c r="A152" s="1" t="s">
        <v>181</v>
      </c>
      <c r="B152" s="1" t="s">
        <v>24</v>
      </c>
      <c r="C152" s="1">
        <v>1</v>
      </c>
    </row>
    <row r="153" spans="1:4" ht="14.25" customHeight="1" x14ac:dyDescent="0.3">
      <c r="A153" s="1" t="s">
        <v>182</v>
      </c>
      <c r="B153" s="1" t="s">
        <v>19</v>
      </c>
      <c r="C153" s="1">
        <v>1</v>
      </c>
    </row>
    <row r="154" spans="1:4" ht="14.25" customHeight="1" x14ac:dyDescent="0.3">
      <c r="A154" s="1" t="s">
        <v>183</v>
      </c>
      <c r="B154" s="1" t="s">
        <v>42</v>
      </c>
      <c r="C154" s="1">
        <v>1</v>
      </c>
    </row>
    <row r="155" spans="1:4" ht="14.25" customHeight="1" x14ac:dyDescent="0.3">
      <c r="A155" s="1" t="s">
        <v>184</v>
      </c>
      <c r="B155" s="1" t="s">
        <v>19</v>
      </c>
      <c r="C155" s="1">
        <v>1</v>
      </c>
    </row>
    <row r="156" spans="1:4" ht="14.25" customHeight="1" x14ac:dyDescent="0.3">
      <c r="A156" s="1" t="s">
        <v>185</v>
      </c>
      <c r="B156" s="1" t="s">
        <v>30</v>
      </c>
      <c r="D156" s="1">
        <v>1</v>
      </c>
    </row>
    <row r="157" spans="1:4" ht="14.25" customHeight="1" x14ac:dyDescent="0.3"/>
    <row r="158" spans="1:4" ht="14.25" customHeight="1" x14ac:dyDescent="0.3"/>
    <row r="159" spans="1:4" ht="14.25" customHeight="1" x14ac:dyDescent="0.3"/>
    <row r="160" spans="1:4" ht="14.25" customHeight="1" x14ac:dyDescent="0.3"/>
    <row r="161" s="1" customFormat="1" ht="14.25" customHeight="1" x14ac:dyDescent="0.3"/>
    <row r="162" s="1" customFormat="1" ht="14.25" customHeight="1" x14ac:dyDescent="0.3"/>
    <row r="163" s="1" customFormat="1" ht="14.25" customHeight="1" x14ac:dyDescent="0.3"/>
    <row r="164" s="1" customFormat="1" ht="14.25" customHeight="1" x14ac:dyDescent="0.3"/>
    <row r="165" s="1" customFormat="1" ht="14.25" customHeight="1" x14ac:dyDescent="0.3"/>
    <row r="166" s="1" customFormat="1" ht="14.25" customHeight="1" x14ac:dyDescent="0.3"/>
    <row r="167" s="1" customFormat="1" ht="14.25" customHeight="1" x14ac:dyDescent="0.3"/>
    <row r="168" s="1" customFormat="1" ht="14.25" customHeight="1" x14ac:dyDescent="0.3"/>
    <row r="169" s="1" customFormat="1" ht="14.25" customHeight="1" x14ac:dyDescent="0.3"/>
    <row r="170" s="1" customFormat="1" ht="14.25" customHeight="1" x14ac:dyDescent="0.3"/>
    <row r="171" s="1" customFormat="1" ht="14.25" customHeight="1" x14ac:dyDescent="0.3"/>
    <row r="172" s="1" customFormat="1" ht="14.25" customHeight="1" x14ac:dyDescent="0.3"/>
    <row r="173" s="1" customFormat="1" ht="14.25" customHeight="1" x14ac:dyDescent="0.3"/>
    <row r="174" s="1" customFormat="1" ht="14.25" customHeight="1" x14ac:dyDescent="0.3"/>
    <row r="175" s="1" customFormat="1" ht="14.25" customHeight="1" x14ac:dyDescent="0.3"/>
    <row r="176" s="1" customFormat="1" ht="14.25" customHeight="1" x14ac:dyDescent="0.3"/>
    <row r="177" s="1" customFormat="1" ht="14.25" customHeight="1" x14ac:dyDescent="0.3"/>
    <row r="178" s="1" customFormat="1" ht="14.25" customHeight="1" x14ac:dyDescent="0.3"/>
    <row r="179" s="1" customFormat="1" ht="14.25" customHeight="1" x14ac:dyDescent="0.3"/>
    <row r="180" s="1" customFormat="1" ht="14.25" customHeight="1" x14ac:dyDescent="0.3"/>
    <row r="181" s="1" customFormat="1" ht="14.25" customHeight="1" x14ac:dyDescent="0.3"/>
    <row r="182" s="1" customFormat="1" ht="14.25" customHeight="1" x14ac:dyDescent="0.3"/>
    <row r="183" s="1" customFormat="1" ht="14.25" customHeight="1" x14ac:dyDescent="0.3"/>
    <row r="184" s="1" customFormat="1" ht="14.25" customHeight="1" x14ac:dyDescent="0.3"/>
    <row r="185" s="1" customFormat="1" ht="14.25" customHeight="1" x14ac:dyDescent="0.3"/>
    <row r="186" s="1" customFormat="1" ht="14.25" customHeight="1" x14ac:dyDescent="0.3"/>
    <row r="187" s="1" customFormat="1" ht="14.25" customHeight="1" x14ac:dyDescent="0.3"/>
    <row r="188" s="1" customFormat="1" ht="14.25" customHeight="1" x14ac:dyDescent="0.3"/>
    <row r="189" s="1" customFormat="1" ht="14.25" customHeight="1" x14ac:dyDescent="0.3"/>
    <row r="190" s="1" customFormat="1" ht="14.25" customHeight="1" x14ac:dyDescent="0.3"/>
    <row r="191" s="1" customFormat="1" ht="14.25" customHeight="1" x14ac:dyDescent="0.3"/>
    <row r="192" s="1" customFormat="1" ht="14.25" customHeight="1" x14ac:dyDescent="0.3"/>
    <row r="193" s="1" customFormat="1" ht="14.25" customHeight="1" x14ac:dyDescent="0.3"/>
    <row r="194" s="1" customFormat="1" ht="14.25" customHeight="1" x14ac:dyDescent="0.3"/>
    <row r="195" s="1" customFormat="1" ht="14.25" customHeight="1" x14ac:dyDescent="0.3"/>
    <row r="196" s="1" customFormat="1" ht="14.25" customHeight="1" x14ac:dyDescent="0.3"/>
    <row r="197" s="1" customFormat="1" ht="14.25" customHeight="1" x14ac:dyDescent="0.3"/>
    <row r="198" s="1" customFormat="1" ht="14.25" customHeight="1" x14ac:dyDescent="0.3"/>
    <row r="199" s="1" customFormat="1" ht="14.25" customHeight="1" x14ac:dyDescent="0.3"/>
    <row r="200" s="1" customFormat="1" ht="14.25" customHeight="1" x14ac:dyDescent="0.3"/>
    <row r="201" s="1" customFormat="1" ht="14.25" customHeight="1" x14ac:dyDescent="0.3"/>
    <row r="202" s="1" customFormat="1" ht="14.25" customHeight="1" x14ac:dyDescent="0.3"/>
    <row r="203" s="1" customFormat="1" ht="14.25" customHeight="1" x14ac:dyDescent="0.3"/>
    <row r="204" s="1" customFormat="1" ht="14.25" customHeight="1" x14ac:dyDescent="0.3"/>
    <row r="205" s="1" customFormat="1" ht="14.25" customHeight="1" x14ac:dyDescent="0.3"/>
    <row r="206" s="1" customFormat="1" ht="14.25" customHeight="1" x14ac:dyDescent="0.3"/>
    <row r="207" s="1" customFormat="1" ht="14.25" customHeight="1" x14ac:dyDescent="0.3"/>
    <row r="208" s="1" customFormat="1" ht="14.25" customHeight="1" x14ac:dyDescent="0.3"/>
    <row r="209" s="1" customFormat="1" ht="14.25" customHeight="1" x14ac:dyDescent="0.3"/>
    <row r="210" s="1" customFormat="1" ht="14.25" customHeight="1" x14ac:dyDescent="0.3"/>
    <row r="211" s="1" customFormat="1" ht="14.25" customHeight="1" x14ac:dyDescent="0.3"/>
    <row r="212" s="1" customFormat="1" ht="14.25" customHeight="1" x14ac:dyDescent="0.3"/>
    <row r="213" s="1" customFormat="1" ht="14.25" customHeight="1" x14ac:dyDescent="0.3"/>
    <row r="214" s="1" customFormat="1" ht="14.25" customHeight="1" x14ac:dyDescent="0.3"/>
    <row r="215" s="1" customFormat="1" ht="14.25" customHeight="1" x14ac:dyDescent="0.3"/>
    <row r="216" s="1" customFormat="1" ht="14.25" customHeight="1" x14ac:dyDescent="0.3"/>
    <row r="217" s="1" customFormat="1" ht="14.25" customHeight="1" x14ac:dyDescent="0.3"/>
    <row r="218" s="1" customFormat="1" ht="14.25" customHeight="1" x14ac:dyDescent="0.3"/>
    <row r="219" s="1" customFormat="1" ht="14.25" customHeight="1" x14ac:dyDescent="0.3"/>
    <row r="220" s="1" customFormat="1" ht="14.25" customHeight="1" x14ac:dyDescent="0.3"/>
    <row r="221" s="1" customFormat="1" ht="14.25" customHeight="1" x14ac:dyDescent="0.3"/>
    <row r="222" s="1" customFormat="1" ht="14.25" customHeight="1" x14ac:dyDescent="0.3"/>
    <row r="223" s="1" customFormat="1" ht="14.25" customHeight="1" x14ac:dyDescent="0.3"/>
    <row r="224" s="1" customFormat="1" ht="14.25" customHeight="1" x14ac:dyDescent="0.3"/>
    <row r="225" s="1" customFormat="1" ht="14.25" customHeight="1" x14ac:dyDescent="0.3"/>
    <row r="226" s="1" customFormat="1" ht="14.25" customHeight="1" x14ac:dyDescent="0.3"/>
    <row r="227" s="1" customFormat="1" ht="14.25" customHeight="1" x14ac:dyDescent="0.3"/>
    <row r="228" s="1" customFormat="1" ht="14.25" customHeight="1" x14ac:dyDescent="0.3"/>
    <row r="229" s="1" customFormat="1" ht="14.25" customHeight="1" x14ac:dyDescent="0.3"/>
    <row r="230" s="1" customFormat="1" ht="14.25" customHeight="1" x14ac:dyDescent="0.3"/>
    <row r="231" s="1" customFormat="1" ht="14.25" customHeight="1" x14ac:dyDescent="0.3"/>
    <row r="232" s="1" customFormat="1" ht="14.25" customHeight="1" x14ac:dyDescent="0.3"/>
    <row r="233" s="1" customFormat="1" ht="14.25" customHeight="1" x14ac:dyDescent="0.3"/>
    <row r="234" s="1" customFormat="1" ht="14.25" customHeight="1" x14ac:dyDescent="0.3"/>
    <row r="235" s="1" customFormat="1" ht="14.25" customHeight="1" x14ac:dyDescent="0.3"/>
    <row r="236" s="1" customFormat="1" ht="14.25" customHeight="1" x14ac:dyDescent="0.3"/>
    <row r="237" s="1" customFormat="1" ht="14.25" customHeight="1" x14ac:dyDescent="0.3"/>
    <row r="238" s="1" customFormat="1" ht="14.25" customHeight="1" x14ac:dyDescent="0.3"/>
    <row r="239" s="1" customFormat="1" ht="14.25" customHeight="1" x14ac:dyDescent="0.3"/>
    <row r="240" s="1" customFormat="1" ht="14.25" customHeight="1" x14ac:dyDescent="0.3"/>
    <row r="241" s="1" customFormat="1" ht="14.25" customHeight="1" x14ac:dyDescent="0.3"/>
    <row r="242" s="1" customFormat="1" ht="14.25" customHeight="1" x14ac:dyDescent="0.3"/>
    <row r="243" s="1" customFormat="1" ht="14.25" customHeight="1" x14ac:dyDescent="0.3"/>
    <row r="244" s="1" customFormat="1" ht="14.25" customHeight="1" x14ac:dyDescent="0.3"/>
    <row r="245" s="1" customFormat="1" ht="14.25" customHeight="1" x14ac:dyDescent="0.3"/>
    <row r="246" s="1" customFormat="1" ht="14.25" customHeight="1" x14ac:dyDescent="0.3"/>
    <row r="247" s="1" customFormat="1" ht="14.25" customHeight="1" x14ac:dyDescent="0.3"/>
    <row r="248" s="1" customFormat="1" ht="14.25" customHeight="1" x14ac:dyDescent="0.3"/>
    <row r="249" s="1" customFormat="1" ht="14.25" customHeight="1" x14ac:dyDescent="0.3"/>
    <row r="250" s="1" customFormat="1" ht="14.25" customHeight="1" x14ac:dyDescent="0.3"/>
    <row r="251" s="1" customFormat="1" ht="14.25" customHeight="1" x14ac:dyDescent="0.3"/>
    <row r="252" s="1" customFormat="1" ht="14.25" customHeight="1" x14ac:dyDescent="0.3"/>
    <row r="253" s="1" customFormat="1" ht="14.25" customHeight="1" x14ac:dyDescent="0.3"/>
    <row r="254" s="1" customFormat="1" ht="14.25" customHeight="1" x14ac:dyDescent="0.3"/>
    <row r="255" s="1" customFormat="1" ht="14.25" customHeight="1" x14ac:dyDescent="0.3"/>
    <row r="256" s="1" customFormat="1" ht="14.25" customHeight="1" x14ac:dyDescent="0.3"/>
    <row r="257" s="1" customFormat="1" ht="14.25" customHeight="1" x14ac:dyDescent="0.3"/>
    <row r="258" s="1" customFormat="1" ht="14.25" customHeight="1" x14ac:dyDescent="0.3"/>
    <row r="259" s="1" customFormat="1" ht="14.25" customHeight="1" x14ac:dyDescent="0.3"/>
    <row r="260" s="1" customFormat="1" ht="14.25" customHeight="1" x14ac:dyDescent="0.3"/>
    <row r="261" s="1" customFormat="1" ht="14.25" customHeight="1" x14ac:dyDescent="0.3"/>
    <row r="262" s="1" customFormat="1" ht="14.25" customHeight="1" x14ac:dyDescent="0.3"/>
    <row r="263" s="1" customFormat="1" ht="14.25" customHeight="1" x14ac:dyDescent="0.3"/>
    <row r="264" s="1" customFormat="1" ht="14.25" customHeight="1" x14ac:dyDescent="0.3"/>
    <row r="265" s="1" customFormat="1" ht="14.25" customHeight="1" x14ac:dyDescent="0.3"/>
    <row r="266" s="1" customFormat="1" ht="14.25" customHeight="1" x14ac:dyDescent="0.3"/>
    <row r="267" s="1" customFormat="1" ht="14.25" customHeight="1" x14ac:dyDescent="0.3"/>
    <row r="268" s="1" customFormat="1" ht="14.25" customHeight="1" x14ac:dyDescent="0.3"/>
    <row r="269" s="1" customFormat="1" ht="14.25" customHeight="1" x14ac:dyDescent="0.3"/>
    <row r="270" s="1" customFormat="1" ht="14.25" customHeight="1" x14ac:dyDescent="0.3"/>
    <row r="271" s="1" customFormat="1" ht="14.25" customHeight="1" x14ac:dyDescent="0.3"/>
    <row r="272" s="1" customFormat="1" ht="14.25" customHeight="1" x14ac:dyDescent="0.3"/>
    <row r="273" s="1" customFormat="1" ht="14.25" customHeight="1" x14ac:dyDescent="0.3"/>
    <row r="274" s="1" customFormat="1" ht="14.25" customHeight="1" x14ac:dyDescent="0.3"/>
    <row r="275" s="1" customFormat="1" ht="14.25" customHeight="1" x14ac:dyDescent="0.3"/>
    <row r="276" s="1" customFormat="1" ht="14.25" customHeight="1" x14ac:dyDescent="0.3"/>
    <row r="277" s="1" customFormat="1" ht="14.25" customHeight="1" x14ac:dyDescent="0.3"/>
    <row r="278" s="1" customFormat="1" ht="14.25" customHeight="1" x14ac:dyDescent="0.3"/>
    <row r="279" s="1" customFormat="1" ht="14.25" customHeight="1" x14ac:dyDescent="0.3"/>
    <row r="280" s="1" customFormat="1" ht="14.25" customHeight="1" x14ac:dyDescent="0.3"/>
    <row r="281" s="1" customFormat="1" ht="14.25" customHeight="1" x14ac:dyDescent="0.3"/>
    <row r="282" s="1" customFormat="1" ht="14.25" customHeight="1" x14ac:dyDescent="0.3"/>
    <row r="283" s="1" customFormat="1" ht="14.25" customHeight="1" x14ac:dyDescent="0.3"/>
    <row r="284" s="1" customFormat="1" ht="14.25" customHeight="1" x14ac:dyDescent="0.3"/>
    <row r="285" s="1" customFormat="1" ht="14.25" customHeight="1" x14ac:dyDescent="0.3"/>
    <row r="286" s="1" customFormat="1" ht="14.25" customHeight="1" x14ac:dyDescent="0.3"/>
    <row r="287" s="1" customFormat="1" ht="14.25" customHeight="1" x14ac:dyDescent="0.3"/>
    <row r="288" s="1" customFormat="1" ht="14.25" customHeight="1" x14ac:dyDescent="0.3"/>
    <row r="289" s="1" customFormat="1" ht="14.25" customHeight="1" x14ac:dyDescent="0.3"/>
    <row r="290" s="1" customFormat="1" ht="14.25" customHeight="1" x14ac:dyDescent="0.3"/>
    <row r="291" s="1" customFormat="1" ht="14.25" customHeight="1" x14ac:dyDescent="0.3"/>
    <row r="292" s="1" customFormat="1" ht="14.25" customHeight="1" x14ac:dyDescent="0.3"/>
    <row r="293" s="1" customFormat="1" ht="14.25" customHeight="1" x14ac:dyDescent="0.3"/>
    <row r="294" s="1" customFormat="1" ht="14.25" customHeight="1" x14ac:dyDescent="0.3"/>
    <row r="295" s="1" customFormat="1" ht="14.25" customHeight="1" x14ac:dyDescent="0.3"/>
    <row r="296" s="1" customFormat="1" ht="14.25" customHeight="1" x14ac:dyDescent="0.3"/>
    <row r="297" s="1" customFormat="1" ht="14.25" customHeight="1" x14ac:dyDescent="0.3"/>
    <row r="298" s="1" customFormat="1" ht="14.25" customHeight="1" x14ac:dyDescent="0.3"/>
    <row r="299" s="1" customFormat="1" ht="14.25" customHeight="1" x14ac:dyDescent="0.3"/>
    <row r="300" s="1" customFormat="1" ht="14.25" customHeight="1" x14ac:dyDescent="0.3"/>
    <row r="301" s="1" customFormat="1" ht="14.25" customHeight="1" x14ac:dyDescent="0.3"/>
    <row r="302" s="1" customFormat="1" ht="14.25" customHeight="1" x14ac:dyDescent="0.3"/>
    <row r="303" s="1" customFormat="1" ht="14.25" customHeight="1" x14ac:dyDescent="0.3"/>
    <row r="304" s="1" customFormat="1" ht="14.25" customHeight="1" x14ac:dyDescent="0.3"/>
    <row r="305" s="1" customFormat="1" ht="14.25" customHeight="1" x14ac:dyDescent="0.3"/>
    <row r="306" s="1" customFormat="1" ht="14.25" customHeight="1" x14ac:dyDescent="0.3"/>
    <row r="307" s="1" customFormat="1" ht="14.25" customHeight="1" x14ac:dyDescent="0.3"/>
    <row r="308" s="1" customFormat="1" ht="14.25" customHeight="1" x14ac:dyDescent="0.3"/>
    <row r="309" s="1" customFormat="1" ht="14.25" customHeight="1" x14ac:dyDescent="0.3"/>
    <row r="310" s="1" customFormat="1" ht="14.25" customHeight="1" x14ac:dyDescent="0.3"/>
    <row r="311" s="1" customFormat="1" ht="14.25" customHeight="1" x14ac:dyDescent="0.3"/>
    <row r="312" s="1" customFormat="1" ht="14.25" customHeight="1" x14ac:dyDescent="0.3"/>
    <row r="313" s="1" customFormat="1" ht="14.25" customHeight="1" x14ac:dyDescent="0.3"/>
    <row r="314" s="1" customFormat="1" ht="14.25" customHeight="1" x14ac:dyDescent="0.3"/>
    <row r="315" s="1" customFormat="1" ht="14.25" customHeight="1" x14ac:dyDescent="0.3"/>
    <row r="316" s="1" customFormat="1" ht="14.25" customHeight="1" x14ac:dyDescent="0.3"/>
    <row r="317" s="1" customFormat="1" ht="14.25" customHeight="1" x14ac:dyDescent="0.3"/>
    <row r="318" s="1" customFormat="1" ht="14.25" customHeight="1" x14ac:dyDescent="0.3"/>
    <row r="319" s="1" customFormat="1" ht="14.25" customHeight="1" x14ac:dyDescent="0.3"/>
    <row r="320" s="1" customFormat="1" ht="14.25" customHeight="1" x14ac:dyDescent="0.3"/>
    <row r="321" s="1" customFormat="1" ht="14.25" customHeight="1" x14ac:dyDescent="0.3"/>
    <row r="322" s="1" customFormat="1" ht="14.25" customHeight="1" x14ac:dyDescent="0.3"/>
    <row r="323" s="1" customFormat="1" ht="14.25" customHeight="1" x14ac:dyDescent="0.3"/>
    <row r="324" s="1" customFormat="1" ht="14.25" customHeight="1" x14ac:dyDescent="0.3"/>
    <row r="325" s="1" customFormat="1" ht="14.25" customHeight="1" x14ac:dyDescent="0.3"/>
    <row r="326" s="1" customFormat="1" ht="14.25" customHeight="1" x14ac:dyDescent="0.3"/>
    <row r="327" s="1" customFormat="1" ht="14.25" customHeight="1" x14ac:dyDescent="0.3"/>
    <row r="328" s="1" customFormat="1" ht="14.25" customHeight="1" x14ac:dyDescent="0.3"/>
    <row r="329" s="1" customFormat="1" ht="14.25" customHeight="1" x14ac:dyDescent="0.3"/>
    <row r="330" s="1" customFormat="1" ht="14.25" customHeight="1" x14ac:dyDescent="0.3"/>
    <row r="331" s="1" customFormat="1" ht="14.25" customHeight="1" x14ac:dyDescent="0.3"/>
    <row r="332" s="1" customFormat="1" ht="14.25" customHeight="1" x14ac:dyDescent="0.3"/>
    <row r="333" s="1" customFormat="1" ht="14.25" customHeight="1" x14ac:dyDescent="0.3"/>
    <row r="334" s="1" customFormat="1" ht="14.25" customHeight="1" x14ac:dyDescent="0.3"/>
    <row r="335" s="1" customFormat="1" ht="14.25" customHeight="1" x14ac:dyDescent="0.3"/>
    <row r="336" s="1" customFormat="1" ht="14.25" customHeight="1" x14ac:dyDescent="0.3"/>
    <row r="337" s="1" customFormat="1" ht="14.25" customHeight="1" x14ac:dyDescent="0.3"/>
    <row r="338" s="1" customFormat="1" ht="14.25" customHeight="1" x14ac:dyDescent="0.3"/>
    <row r="339" s="1" customFormat="1" ht="14.25" customHeight="1" x14ac:dyDescent="0.3"/>
    <row r="340" s="1" customFormat="1" ht="14.25" customHeight="1" x14ac:dyDescent="0.3"/>
    <row r="341" s="1" customFormat="1" ht="14.25" customHeight="1" x14ac:dyDescent="0.3"/>
    <row r="342" s="1" customFormat="1" ht="14.25" customHeight="1" x14ac:dyDescent="0.3"/>
    <row r="343" s="1" customFormat="1" ht="14.25" customHeight="1" x14ac:dyDescent="0.3"/>
    <row r="344" s="1" customFormat="1" ht="14.25" customHeight="1" x14ac:dyDescent="0.3"/>
    <row r="345" s="1" customFormat="1" ht="14.25" customHeight="1" x14ac:dyDescent="0.3"/>
    <row r="346" s="1" customFormat="1" ht="14.25" customHeight="1" x14ac:dyDescent="0.3"/>
    <row r="347" s="1" customFormat="1" ht="14.25" customHeight="1" x14ac:dyDescent="0.3"/>
    <row r="348" s="1" customFormat="1" ht="14.25" customHeight="1" x14ac:dyDescent="0.3"/>
    <row r="349" s="1" customFormat="1" ht="14.25" customHeight="1" x14ac:dyDescent="0.3"/>
    <row r="350" s="1" customFormat="1" ht="14.25" customHeight="1" x14ac:dyDescent="0.3"/>
    <row r="351" s="1" customFormat="1" ht="14.25" customHeight="1" x14ac:dyDescent="0.3"/>
    <row r="352" s="1" customFormat="1" ht="14.25" customHeight="1" x14ac:dyDescent="0.3"/>
    <row r="353" s="1" customFormat="1" ht="14.25" customHeight="1" x14ac:dyDescent="0.3"/>
    <row r="354" s="1" customFormat="1" ht="14.25" customHeight="1" x14ac:dyDescent="0.3"/>
    <row r="355" s="1" customFormat="1" ht="14.25" customHeight="1" x14ac:dyDescent="0.3"/>
    <row r="356" s="1" customFormat="1" ht="14.25" customHeight="1" x14ac:dyDescent="0.3"/>
    <row r="357" s="1" customFormat="1" ht="14.25" customHeight="1" x14ac:dyDescent="0.3"/>
    <row r="358" s="1" customFormat="1" ht="14.25" customHeight="1" x14ac:dyDescent="0.3"/>
    <row r="359" s="1" customFormat="1" ht="14.25" customHeight="1" x14ac:dyDescent="0.3"/>
    <row r="360" s="1" customFormat="1" ht="14.25" customHeight="1" x14ac:dyDescent="0.3"/>
    <row r="361" s="1" customFormat="1" ht="14.25" customHeight="1" x14ac:dyDescent="0.3"/>
    <row r="362" s="1" customFormat="1" ht="14.25" customHeight="1" x14ac:dyDescent="0.3"/>
    <row r="363" s="1" customFormat="1" ht="14.25" customHeight="1" x14ac:dyDescent="0.3"/>
    <row r="364" s="1" customFormat="1" ht="14.25" customHeight="1" x14ac:dyDescent="0.3"/>
    <row r="365" s="1" customFormat="1" ht="14.25" customHeight="1" x14ac:dyDescent="0.3"/>
    <row r="366" s="1" customFormat="1" ht="14.25" customHeight="1" x14ac:dyDescent="0.3"/>
    <row r="367" s="1" customFormat="1" ht="14.25" customHeight="1" x14ac:dyDescent="0.3"/>
    <row r="368" s="1" customFormat="1" ht="14.25" customHeight="1" x14ac:dyDescent="0.3"/>
    <row r="369" s="1" customFormat="1" ht="14.25" customHeight="1" x14ac:dyDescent="0.3"/>
    <row r="370" s="1" customFormat="1" ht="14.25" customHeight="1" x14ac:dyDescent="0.3"/>
    <row r="371" s="1" customFormat="1" ht="14.25" customHeight="1" x14ac:dyDescent="0.3"/>
    <row r="372" s="1" customFormat="1" ht="14.25" customHeight="1" x14ac:dyDescent="0.3"/>
    <row r="373" s="1" customFormat="1" ht="14.25" customHeight="1" x14ac:dyDescent="0.3"/>
    <row r="374" s="1" customFormat="1" ht="14.25" customHeight="1" x14ac:dyDescent="0.3"/>
    <row r="375" s="1" customFormat="1" ht="14.25" customHeight="1" x14ac:dyDescent="0.3"/>
    <row r="376" s="1" customFormat="1" ht="14.25" customHeight="1" x14ac:dyDescent="0.3"/>
    <row r="377" s="1" customFormat="1" ht="14.25" customHeight="1" x14ac:dyDescent="0.3"/>
    <row r="378" s="1" customFormat="1" ht="14.25" customHeight="1" x14ac:dyDescent="0.3"/>
    <row r="379" s="1" customFormat="1" ht="14.25" customHeight="1" x14ac:dyDescent="0.3"/>
    <row r="380" s="1" customFormat="1" ht="14.25" customHeight="1" x14ac:dyDescent="0.3"/>
    <row r="381" s="1" customFormat="1" ht="14.25" customHeight="1" x14ac:dyDescent="0.3"/>
    <row r="382" s="1" customFormat="1" ht="14.25" customHeight="1" x14ac:dyDescent="0.3"/>
    <row r="383" s="1" customFormat="1" ht="14.25" customHeight="1" x14ac:dyDescent="0.3"/>
    <row r="384" s="1" customFormat="1" ht="14.25" customHeight="1" x14ac:dyDescent="0.3"/>
    <row r="385" s="1" customFormat="1" ht="14.25" customHeight="1" x14ac:dyDescent="0.3"/>
    <row r="386" s="1" customFormat="1" ht="14.25" customHeight="1" x14ac:dyDescent="0.3"/>
    <row r="387" s="1" customFormat="1" ht="14.25" customHeight="1" x14ac:dyDescent="0.3"/>
    <row r="388" s="1" customFormat="1" ht="14.25" customHeight="1" x14ac:dyDescent="0.3"/>
    <row r="389" s="1" customFormat="1" ht="14.25" customHeight="1" x14ac:dyDescent="0.3"/>
    <row r="390" s="1" customFormat="1" ht="14.25" customHeight="1" x14ac:dyDescent="0.3"/>
    <row r="391" s="1" customFormat="1" ht="14.25" customHeight="1" x14ac:dyDescent="0.3"/>
    <row r="392" s="1" customFormat="1" ht="14.25" customHeight="1" x14ac:dyDescent="0.3"/>
    <row r="393" s="1" customFormat="1" ht="14.25" customHeight="1" x14ac:dyDescent="0.3"/>
    <row r="394" s="1" customFormat="1" ht="14.25" customHeight="1" x14ac:dyDescent="0.3"/>
    <row r="395" s="1" customFormat="1" ht="14.25" customHeight="1" x14ac:dyDescent="0.3"/>
    <row r="396" s="1" customFormat="1" ht="14.25" customHeight="1" x14ac:dyDescent="0.3"/>
    <row r="397" s="1" customFormat="1" ht="14.25" customHeight="1" x14ac:dyDescent="0.3"/>
    <row r="398" s="1" customFormat="1" ht="14.25" customHeight="1" x14ac:dyDescent="0.3"/>
    <row r="399" s="1" customFormat="1" ht="14.25" customHeight="1" x14ac:dyDescent="0.3"/>
    <row r="400" s="1" customFormat="1" ht="14.25" customHeight="1" x14ac:dyDescent="0.3"/>
    <row r="401" s="1" customFormat="1" ht="14.25" customHeight="1" x14ac:dyDescent="0.3"/>
    <row r="402" s="1" customFormat="1" ht="14.25" customHeight="1" x14ac:dyDescent="0.3"/>
    <row r="403" s="1" customFormat="1" ht="14.25" customHeight="1" x14ac:dyDescent="0.3"/>
    <row r="404" s="1" customFormat="1" ht="14.25" customHeight="1" x14ac:dyDescent="0.3"/>
    <row r="405" s="1" customFormat="1" ht="14.25" customHeight="1" x14ac:dyDescent="0.3"/>
    <row r="406" s="1" customFormat="1" ht="14.25" customHeight="1" x14ac:dyDescent="0.3"/>
    <row r="407" s="1" customFormat="1" ht="14.25" customHeight="1" x14ac:dyDescent="0.3"/>
    <row r="408" s="1" customFormat="1" ht="14.25" customHeight="1" x14ac:dyDescent="0.3"/>
    <row r="409" s="1" customFormat="1" ht="14.25" customHeight="1" x14ac:dyDescent="0.3"/>
    <row r="410" s="1" customFormat="1" ht="14.25" customHeight="1" x14ac:dyDescent="0.3"/>
    <row r="411" s="1" customFormat="1" ht="14.25" customHeight="1" x14ac:dyDescent="0.3"/>
    <row r="412" s="1" customFormat="1" ht="14.25" customHeight="1" x14ac:dyDescent="0.3"/>
    <row r="413" s="1" customFormat="1" ht="14.25" customHeight="1" x14ac:dyDescent="0.3"/>
    <row r="414" s="1" customFormat="1" ht="14.25" customHeight="1" x14ac:dyDescent="0.3"/>
    <row r="415" s="1" customFormat="1" ht="14.25" customHeight="1" x14ac:dyDescent="0.3"/>
    <row r="416" s="1" customFormat="1" ht="14.25" customHeight="1" x14ac:dyDescent="0.3"/>
    <row r="417" s="1" customFormat="1" ht="14.25" customHeight="1" x14ac:dyDescent="0.3"/>
    <row r="418" s="1" customFormat="1" ht="14.25" customHeight="1" x14ac:dyDescent="0.3"/>
    <row r="419" s="1" customFormat="1" ht="14.25" customHeight="1" x14ac:dyDescent="0.3"/>
    <row r="420" s="1" customFormat="1" ht="14.25" customHeight="1" x14ac:dyDescent="0.3"/>
    <row r="421" s="1" customFormat="1" ht="14.25" customHeight="1" x14ac:dyDescent="0.3"/>
    <row r="422" s="1" customFormat="1" ht="14.25" customHeight="1" x14ac:dyDescent="0.3"/>
    <row r="423" s="1" customFormat="1" ht="14.25" customHeight="1" x14ac:dyDescent="0.3"/>
    <row r="424" s="1" customFormat="1" ht="14.25" customHeight="1" x14ac:dyDescent="0.3"/>
    <row r="425" s="1" customFormat="1" ht="14.25" customHeight="1" x14ac:dyDescent="0.3"/>
    <row r="426" s="1" customFormat="1" ht="14.25" customHeight="1" x14ac:dyDescent="0.3"/>
    <row r="427" s="1" customFormat="1" ht="14.25" customHeight="1" x14ac:dyDescent="0.3"/>
    <row r="428" s="1" customFormat="1" ht="14.25" customHeight="1" x14ac:dyDescent="0.3"/>
    <row r="429" s="1" customFormat="1" ht="14.25" customHeight="1" x14ac:dyDescent="0.3"/>
    <row r="430" s="1" customFormat="1" ht="14.25" customHeight="1" x14ac:dyDescent="0.3"/>
    <row r="431" s="1" customFormat="1" ht="14.25" customHeight="1" x14ac:dyDescent="0.3"/>
    <row r="432" s="1" customFormat="1" ht="14.25" customHeight="1" x14ac:dyDescent="0.3"/>
    <row r="433" s="1" customFormat="1" ht="14.25" customHeight="1" x14ac:dyDescent="0.3"/>
    <row r="434" s="1" customFormat="1" ht="14.25" customHeight="1" x14ac:dyDescent="0.3"/>
    <row r="435" s="1" customFormat="1" ht="14.25" customHeight="1" x14ac:dyDescent="0.3"/>
    <row r="436" s="1" customFormat="1" ht="14.25" customHeight="1" x14ac:dyDescent="0.3"/>
    <row r="437" s="1" customFormat="1" ht="14.25" customHeight="1" x14ac:dyDescent="0.3"/>
    <row r="438" s="1" customFormat="1" ht="14.25" customHeight="1" x14ac:dyDescent="0.3"/>
    <row r="439" s="1" customFormat="1" ht="14.25" customHeight="1" x14ac:dyDescent="0.3"/>
    <row r="440" s="1" customFormat="1" ht="14.25" customHeight="1" x14ac:dyDescent="0.3"/>
    <row r="441" s="1" customFormat="1" ht="14.25" customHeight="1" x14ac:dyDescent="0.3"/>
    <row r="442" s="1" customFormat="1" ht="14.25" customHeight="1" x14ac:dyDescent="0.3"/>
    <row r="443" s="1" customFormat="1" ht="14.25" customHeight="1" x14ac:dyDescent="0.3"/>
    <row r="444" s="1" customFormat="1" ht="14.25" customHeight="1" x14ac:dyDescent="0.3"/>
    <row r="445" s="1" customFormat="1" ht="14.25" customHeight="1" x14ac:dyDescent="0.3"/>
    <row r="446" s="1" customFormat="1" ht="14.25" customHeight="1" x14ac:dyDescent="0.3"/>
    <row r="447" s="1" customFormat="1" ht="14.25" customHeight="1" x14ac:dyDescent="0.3"/>
    <row r="448" s="1" customFormat="1" ht="14.25" customHeight="1" x14ac:dyDescent="0.3"/>
    <row r="449" s="1" customFormat="1" ht="14.25" customHeight="1" x14ac:dyDescent="0.3"/>
    <row r="450" s="1" customFormat="1" ht="14.25" customHeight="1" x14ac:dyDescent="0.3"/>
    <row r="451" s="1" customFormat="1" ht="14.25" customHeight="1" x14ac:dyDescent="0.3"/>
    <row r="452" s="1" customFormat="1" ht="14.25" customHeight="1" x14ac:dyDescent="0.3"/>
    <row r="453" s="1" customFormat="1" ht="14.25" customHeight="1" x14ac:dyDescent="0.3"/>
    <row r="454" s="1" customFormat="1" ht="14.25" customHeight="1" x14ac:dyDescent="0.3"/>
    <row r="455" s="1" customFormat="1" ht="14.25" customHeight="1" x14ac:dyDescent="0.3"/>
    <row r="456" s="1" customFormat="1" ht="14.25" customHeight="1" x14ac:dyDescent="0.3"/>
    <row r="457" s="1" customFormat="1" ht="14.25" customHeight="1" x14ac:dyDescent="0.3"/>
    <row r="458" s="1" customFormat="1" ht="14.25" customHeight="1" x14ac:dyDescent="0.3"/>
    <row r="459" s="1" customFormat="1" ht="14.25" customHeight="1" x14ac:dyDescent="0.3"/>
    <row r="460" s="1" customFormat="1" ht="14.25" customHeight="1" x14ac:dyDescent="0.3"/>
    <row r="461" s="1" customFormat="1" ht="14.25" customHeight="1" x14ac:dyDescent="0.3"/>
    <row r="462" s="1" customFormat="1" ht="14.25" customHeight="1" x14ac:dyDescent="0.3"/>
    <row r="463" s="1" customFormat="1" ht="14.25" customHeight="1" x14ac:dyDescent="0.3"/>
    <row r="464" s="1" customFormat="1" ht="14.25" customHeight="1" x14ac:dyDescent="0.3"/>
    <row r="465" s="1" customFormat="1" ht="14.25" customHeight="1" x14ac:dyDescent="0.3"/>
    <row r="466" s="1" customFormat="1" ht="14.25" customHeight="1" x14ac:dyDescent="0.3"/>
    <row r="467" s="1" customFormat="1" ht="14.25" customHeight="1" x14ac:dyDescent="0.3"/>
    <row r="468" s="1" customFormat="1" ht="14.25" customHeight="1" x14ac:dyDescent="0.3"/>
    <row r="469" s="1" customFormat="1" ht="14.25" customHeight="1" x14ac:dyDescent="0.3"/>
    <row r="470" s="1" customFormat="1" ht="14.25" customHeight="1" x14ac:dyDescent="0.3"/>
    <row r="471" s="1" customFormat="1" ht="14.25" customHeight="1" x14ac:dyDescent="0.3"/>
    <row r="472" s="1" customFormat="1" ht="14.25" customHeight="1" x14ac:dyDescent="0.3"/>
    <row r="473" s="1" customFormat="1" ht="14.25" customHeight="1" x14ac:dyDescent="0.3"/>
    <row r="474" s="1" customFormat="1" ht="14.25" customHeight="1" x14ac:dyDescent="0.3"/>
    <row r="475" s="1" customFormat="1" ht="14.25" customHeight="1" x14ac:dyDescent="0.3"/>
    <row r="476" s="1" customFormat="1" ht="14.25" customHeight="1" x14ac:dyDescent="0.3"/>
    <row r="477" s="1" customFormat="1" ht="14.25" customHeight="1" x14ac:dyDescent="0.3"/>
    <row r="478" s="1" customFormat="1" ht="14.25" customHeight="1" x14ac:dyDescent="0.3"/>
    <row r="479" s="1" customFormat="1" ht="14.25" customHeight="1" x14ac:dyDescent="0.3"/>
    <row r="480" s="1" customFormat="1" ht="14.25" customHeight="1" x14ac:dyDescent="0.3"/>
    <row r="481" s="1" customFormat="1" ht="14.25" customHeight="1" x14ac:dyDescent="0.3"/>
    <row r="482" s="1" customFormat="1" ht="14.25" customHeight="1" x14ac:dyDescent="0.3"/>
    <row r="483" s="1" customFormat="1" ht="14.25" customHeight="1" x14ac:dyDescent="0.3"/>
    <row r="484" s="1" customFormat="1" ht="14.25" customHeight="1" x14ac:dyDescent="0.3"/>
    <row r="485" s="1" customFormat="1" ht="14.25" customHeight="1" x14ac:dyDescent="0.3"/>
    <row r="486" s="1" customFormat="1" ht="14.25" customHeight="1" x14ac:dyDescent="0.3"/>
    <row r="487" s="1" customFormat="1" ht="14.25" customHeight="1" x14ac:dyDescent="0.3"/>
    <row r="488" s="1" customFormat="1" ht="14.25" customHeight="1" x14ac:dyDescent="0.3"/>
    <row r="489" s="1" customFormat="1" ht="14.25" customHeight="1" x14ac:dyDescent="0.3"/>
    <row r="490" s="1" customFormat="1" ht="14.25" customHeight="1" x14ac:dyDescent="0.3"/>
    <row r="491" s="1" customFormat="1" ht="14.25" customHeight="1" x14ac:dyDescent="0.3"/>
    <row r="492" s="1" customFormat="1" ht="14.25" customHeight="1" x14ac:dyDescent="0.3"/>
    <row r="493" s="1" customFormat="1" ht="14.25" customHeight="1" x14ac:dyDescent="0.3"/>
    <row r="494" s="1" customFormat="1" ht="14.25" customHeight="1" x14ac:dyDescent="0.3"/>
    <row r="495" s="1" customFormat="1" ht="14.25" customHeight="1" x14ac:dyDescent="0.3"/>
    <row r="496" s="1" customFormat="1" ht="14.25" customHeight="1" x14ac:dyDescent="0.3"/>
    <row r="497" s="1" customFormat="1" ht="14.25" customHeight="1" x14ac:dyDescent="0.3"/>
    <row r="498" s="1" customFormat="1" ht="14.25" customHeight="1" x14ac:dyDescent="0.3"/>
    <row r="499" s="1" customFormat="1" ht="14.25" customHeight="1" x14ac:dyDescent="0.3"/>
    <row r="500" s="1" customFormat="1" ht="14.25" customHeight="1" x14ac:dyDescent="0.3"/>
    <row r="501" s="1" customFormat="1" ht="14.25" customHeight="1" x14ac:dyDescent="0.3"/>
    <row r="502" s="1" customFormat="1" ht="14.25" customHeight="1" x14ac:dyDescent="0.3"/>
    <row r="503" s="1" customFormat="1" ht="14.25" customHeight="1" x14ac:dyDescent="0.3"/>
    <row r="504" s="1" customFormat="1" ht="14.25" customHeight="1" x14ac:dyDescent="0.3"/>
    <row r="505" s="1" customFormat="1" ht="14.25" customHeight="1" x14ac:dyDescent="0.3"/>
    <row r="506" s="1" customFormat="1" ht="14.25" customHeight="1" x14ac:dyDescent="0.3"/>
    <row r="507" s="1" customFormat="1" ht="14.25" customHeight="1" x14ac:dyDescent="0.3"/>
    <row r="508" s="1" customFormat="1" ht="14.25" customHeight="1" x14ac:dyDescent="0.3"/>
    <row r="509" s="1" customFormat="1" ht="14.25" customHeight="1" x14ac:dyDescent="0.3"/>
    <row r="510" s="1" customFormat="1" ht="14.25" customHeight="1" x14ac:dyDescent="0.3"/>
    <row r="511" s="1" customFormat="1" ht="14.25" customHeight="1" x14ac:dyDescent="0.3"/>
    <row r="512" s="1" customFormat="1" ht="14.25" customHeight="1" x14ac:dyDescent="0.3"/>
    <row r="513" s="1" customFormat="1" ht="14.25" customHeight="1" x14ac:dyDescent="0.3"/>
    <row r="514" s="1" customFormat="1" ht="14.25" customHeight="1" x14ac:dyDescent="0.3"/>
    <row r="515" s="1" customFormat="1" ht="14.25" customHeight="1" x14ac:dyDescent="0.3"/>
    <row r="516" s="1" customFormat="1" ht="14.25" customHeight="1" x14ac:dyDescent="0.3"/>
    <row r="517" s="1" customFormat="1" ht="14.25" customHeight="1" x14ac:dyDescent="0.3"/>
    <row r="518" s="1" customFormat="1" ht="14.25" customHeight="1" x14ac:dyDescent="0.3"/>
    <row r="519" s="1" customFormat="1" ht="14.25" customHeight="1" x14ac:dyDescent="0.3"/>
    <row r="520" s="1" customFormat="1" ht="14.25" customHeight="1" x14ac:dyDescent="0.3"/>
    <row r="521" s="1" customFormat="1" ht="14.25" customHeight="1" x14ac:dyDescent="0.3"/>
    <row r="522" s="1" customFormat="1" ht="14.25" customHeight="1" x14ac:dyDescent="0.3"/>
    <row r="523" s="1" customFormat="1" ht="14.25" customHeight="1" x14ac:dyDescent="0.3"/>
    <row r="524" s="1" customFormat="1" ht="14.25" customHeight="1" x14ac:dyDescent="0.3"/>
    <row r="525" s="1" customFormat="1" ht="14.25" customHeight="1" x14ac:dyDescent="0.3"/>
    <row r="526" s="1" customFormat="1" ht="14.25" customHeight="1" x14ac:dyDescent="0.3"/>
    <row r="527" s="1" customFormat="1" ht="14.25" customHeight="1" x14ac:dyDescent="0.3"/>
    <row r="528" s="1" customFormat="1" ht="14.25" customHeight="1" x14ac:dyDescent="0.3"/>
    <row r="529" s="1" customFormat="1" ht="14.25" customHeight="1" x14ac:dyDescent="0.3"/>
    <row r="530" s="1" customFormat="1" ht="14.25" customHeight="1" x14ac:dyDescent="0.3"/>
    <row r="531" s="1" customFormat="1" ht="14.25" customHeight="1" x14ac:dyDescent="0.3"/>
    <row r="532" s="1" customFormat="1" ht="14.25" customHeight="1" x14ac:dyDescent="0.3"/>
    <row r="533" s="1" customFormat="1" ht="14.25" customHeight="1" x14ac:dyDescent="0.3"/>
    <row r="534" s="1" customFormat="1" ht="14.25" customHeight="1" x14ac:dyDescent="0.3"/>
    <row r="535" s="1" customFormat="1" ht="14.25" customHeight="1" x14ac:dyDescent="0.3"/>
    <row r="536" s="1" customFormat="1" ht="14.25" customHeight="1" x14ac:dyDescent="0.3"/>
    <row r="537" s="1" customFormat="1" ht="14.25" customHeight="1" x14ac:dyDescent="0.3"/>
    <row r="538" s="1" customFormat="1" ht="14.25" customHeight="1" x14ac:dyDescent="0.3"/>
    <row r="539" s="1" customFormat="1" ht="14.25" customHeight="1" x14ac:dyDescent="0.3"/>
    <row r="540" s="1" customFormat="1" ht="14.25" customHeight="1" x14ac:dyDescent="0.3"/>
    <row r="541" s="1" customFormat="1" ht="14.25" customHeight="1" x14ac:dyDescent="0.3"/>
    <row r="542" s="1" customFormat="1" ht="14.25" customHeight="1" x14ac:dyDescent="0.3"/>
    <row r="543" s="1" customFormat="1" ht="14.25" customHeight="1" x14ac:dyDescent="0.3"/>
    <row r="544" s="1" customFormat="1" ht="14.25" customHeight="1" x14ac:dyDescent="0.3"/>
    <row r="545" s="1" customFormat="1" ht="14.25" customHeight="1" x14ac:dyDescent="0.3"/>
    <row r="546" s="1" customFormat="1" ht="14.25" customHeight="1" x14ac:dyDescent="0.3"/>
    <row r="547" s="1" customFormat="1" ht="14.25" customHeight="1" x14ac:dyDescent="0.3"/>
    <row r="548" s="1" customFormat="1" ht="14.25" customHeight="1" x14ac:dyDescent="0.3"/>
    <row r="549" s="1" customFormat="1" ht="14.25" customHeight="1" x14ac:dyDescent="0.3"/>
    <row r="550" s="1" customFormat="1" ht="14.25" customHeight="1" x14ac:dyDescent="0.3"/>
    <row r="551" s="1" customFormat="1" ht="14.25" customHeight="1" x14ac:dyDescent="0.3"/>
    <row r="552" s="1" customFormat="1" ht="14.25" customHeight="1" x14ac:dyDescent="0.3"/>
    <row r="553" s="1" customFormat="1" ht="14.25" customHeight="1" x14ac:dyDescent="0.3"/>
    <row r="554" s="1" customFormat="1" ht="14.25" customHeight="1" x14ac:dyDescent="0.3"/>
    <row r="555" s="1" customFormat="1" ht="14.25" customHeight="1" x14ac:dyDescent="0.3"/>
    <row r="556" s="1" customFormat="1" ht="14.25" customHeight="1" x14ac:dyDescent="0.3"/>
    <row r="557" s="1" customFormat="1" ht="14.25" customHeight="1" x14ac:dyDescent="0.3"/>
    <row r="558" s="1" customFormat="1" ht="14.25" customHeight="1" x14ac:dyDescent="0.3"/>
    <row r="559" s="1" customFormat="1" ht="14.25" customHeight="1" x14ac:dyDescent="0.3"/>
    <row r="560" s="1" customFormat="1" ht="14.25" customHeight="1" x14ac:dyDescent="0.3"/>
    <row r="561" s="1" customFormat="1" ht="14.25" customHeight="1" x14ac:dyDescent="0.3"/>
    <row r="562" s="1" customFormat="1" ht="14.25" customHeight="1" x14ac:dyDescent="0.3"/>
    <row r="563" s="1" customFormat="1" ht="14.25" customHeight="1" x14ac:dyDescent="0.3"/>
    <row r="564" s="1" customFormat="1" ht="14.25" customHeight="1" x14ac:dyDescent="0.3"/>
    <row r="565" s="1" customFormat="1" ht="14.25" customHeight="1" x14ac:dyDescent="0.3"/>
    <row r="566" s="1" customFormat="1" ht="14.25" customHeight="1" x14ac:dyDescent="0.3"/>
    <row r="567" s="1" customFormat="1" ht="14.25" customHeight="1" x14ac:dyDescent="0.3"/>
    <row r="568" s="1" customFormat="1" ht="14.25" customHeight="1" x14ac:dyDescent="0.3"/>
    <row r="569" s="1" customFormat="1" ht="14.25" customHeight="1" x14ac:dyDescent="0.3"/>
    <row r="570" s="1" customFormat="1" ht="14.25" customHeight="1" x14ac:dyDescent="0.3"/>
    <row r="571" s="1" customFormat="1" ht="14.25" customHeight="1" x14ac:dyDescent="0.3"/>
    <row r="572" s="1" customFormat="1" ht="14.25" customHeight="1" x14ac:dyDescent="0.3"/>
    <row r="573" s="1" customFormat="1" ht="14.25" customHeight="1" x14ac:dyDescent="0.3"/>
    <row r="574" s="1" customFormat="1" ht="14.25" customHeight="1" x14ac:dyDescent="0.3"/>
    <row r="575" s="1" customFormat="1" ht="14.25" customHeight="1" x14ac:dyDescent="0.3"/>
    <row r="576" s="1" customFormat="1" ht="14.25" customHeight="1" x14ac:dyDescent="0.3"/>
    <row r="577" s="1" customFormat="1" ht="14.25" customHeight="1" x14ac:dyDescent="0.3"/>
    <row r="578" s="1" customFormat="1" ht="14.25" customHeight="1" x14ac:dyDescent="0.3"/>
    <row r="579" s="1" customFormat="1" ht="14.25" customHeight="1" x14ac:dyDescent="0.3"/>
    <row r="580" s="1" customFormat="1" ht="14.25" customHeight="1" x14ac:dyDescent="0.3"/>
    <row r="581" s="1" customFormat="1" ht="14.25" customHeight="1" x14ac:dyDescent="0.3"/>
    <row r="582" s="1" customFormat="1" ht="14.25" customHeight="1" x14ac:dyDescent="0.3"/>
    <row r="583" s="1" customFormat="1" ht="14.25" customHeight="1" x14ac:dyDescent="0.3"/>
    <row r="584" s="1" customFormat="1" ht="14.25" customHeight="1" x14ac:dyDescent="0.3"/>
    <row r="585" s="1" customFormat="1" ht="14.25" customHeight="1" x14ac:dyDescent="0.3"/>
    <row r="586" s="1" customFormat="1" ht="14.25" customHeight="1" x14ac:dyDescent="0.3"/>
    <row r="587" s="1" customFormat="1" ht="14.25" customHeight="1" x14ac:dyDescent="0.3"/>
    <row r="588" s="1" customFormat="1" ht="14.25" customHeight="1" x14ac:dyDescent="0.3"/>
    <row r="589" s="1" customFormat="1" ht="14.25" customHeight="1" x14ac:dyDescent="0.3"/>
    <row r="590" s="1" customFormat="1" ht="14.25" customHeight="1" x14ac:dyDescent="0.3"/>
    <row r="591" s="1" customFormat="1" ht="14.25" customHeight="1" x14ac:dyDescent="0.3"/>
    <row r="592" s="1" customFormat="1" ht="14.25" customHeight="1" x14ac:dyDescent="0.3"/>
    <row r="593" s="1" customFormat="1" ht="14.25" customHeight="1" x14ac:dyDescent="0.3"/>
    <row r="594" s="1" customFormat="1" ht="14.25" customHeight="1" x14ac:dyDescent="0.3"/>
    <row r="595" s="1" customFormat="1" ht="14.25" customHeight="1" x14ac:dyDescent="0.3"/>
    <row r="596" s="1" customFormat="1" ht="14.25" customHeight="1" x14ac:dyDescent="0.3"/>
    <row r="597" s="1" customFormat="1" ht="14.25" customHeight="1" x14ac:dyDescent="0.3"/>
    <row r="598" s="1" customFormat="1" ht="14.25" customHeight="1" x14ac:dyDescent="0.3"/>
    <row r="599" s="1" customFormat="1" ht="14.25" customHeight="1" x14ac:dyDescent="0.3"/>
    <row r="600" s="1" customFormat="1" ht="14.25" customHeight="1" x14ac:dyDescent="0.3"/>
    <row r="601" s="1" customFormat="1" ht="14.25" customHeight="1" x14ac:dyDescent="0.3"/>
    <row r="602" s="1" customFormat="1" ht="14.25" customHeight="1" x14ac:dyDescent="0.3"/>
    <row r="603" s="1" customFormat="1" ht="14.25" customHeight="1" x14ac:dyDescent="0.3"/>
    <row r="604" s="1" customFormat="1" ht="14.25" customHeight="1" x14ac:dyDescent="0.3"/>
    <row r="605" s="1" customFormat="1" ht="14.25" customHeight="1" x14ac:dyDescent="0.3"/>
    <row r="606" s="1" customFormat="1" ht="14.25" customHeight="1" x14ac:dyDescent="0.3"/>
    <row r="607" s="1" customFormat="1" ht="14.25" customHeight="1" x14ac:dyDescent="0.3"/>
    <row r="608" s="1" customFormat="1" ht="14.25" customHeight="1" x14ac:dyDescent="0.3"/>
    <row r="609" s="1" customFormat="1" ht="14.25" customHeight="1" x14ac:dyDescent="0.3"/>
    <row r="610" s="1" customFormat="1" ht="14.25" customHeight="1" x14ac:dyDescent="0.3"/>
    <row r="611" s="1" customFormat="1" ht="14.25" customHeight="1" x14ac:dyDescent="0.3"/>
    <row r="612" s="1" customFormat="1" ht="14.25" customHeight="1" x14ac:dyDescent="0.3"/>
    <row r="613" s="1" customFormat="1" ht="14.25" customHeight="1" x14ac:dyDescent="0.3"/>
    <row r="614" s="1" customFormat="1" ht="14.25" customHeight="1" x14ac:dyDescent="0.3"/>
    <row r="615" s="1" customFormat="1" ht="14.25" customHeight="1" x14ac:dyDescent="0.3"/>
    <row r="616" s="1" customFormat="1" ht="14.25" customHeight="1" x14ac:dyDescent="0.3"/>
    <row r="617" s="1" customFormat="1" ht="14.25" customHeight="1" x14ac:dyDescent="0.3"/>
    <row r="618" s="1" customFormat="1" ht="14.25" customHeight="1" x14ac:dyDescent="0.3"/>
    <row r="619" s="1" customFormat="1" ht="14.25" customHeight="1" x14ac:dyDescent="0.3"/>
    <row r="620" s="1" customFormat="1" ht="14.25" customHeight="1" x14ac:dyDescent="0.3"/>
    <row r="621" s="1" customFormat="1" ht="14.25" customHeight="1" x14ac:dyDescent="0.3"/>
    <row r="622" s="1" customFormat="1" ht="14.25" customHeight="1" x14ac:dyDescent="0.3"/>
    <row r="623" s="1" customFormat="1" ht="14.25" customHeight="1" x14ac:dyDescent="0.3"/>
    <row r="624" s="1" customFormat="1" ht="14.25" customHeight="1" x14ac:dyDescent="0.3"/>
    <row r="625" s="1" customFormat="1" ht="14.25" customHeight="1" x14ac:dyDescent="0.3"/>
    <row r="626" s="1" customFormat="1" ht="14.25" customHeight="1" x14ac:dyDescent="0.3"/>
    <row r="627" s="1" customFormat="1" ht="14.25" customHeight="1" x14ac:dyDescent="0.3"/>
    <row r="628" s="1" customFormat="1" ht="14.25" customHeight="1" x14ac:dyDescent="0.3"/>
    <row r="629" s="1" customFormat="1" ht="14.25" customHeight="1" x14ac:dyDescent="0.3"/>
    <row r="630" s="1" customFormat="1" ht="14.25" customHeight="1" x14ac:dyDescent="0.3"/>
    <row r="631" s="1" customFormat="1" ht="14.25" customHeight="1" x14ac:dyDescent="0.3"/>
    <row r="632" s="1" customFormat="1" ht="14.25" customHeight="1" x14ac:dyDescent="0.3"/>
    <row r="633" s="1" customFormat="1" ht="14.25" customHeight="1" x14ac:dyDescent="0.3"/>
    <row r="634" s="1" customFormat="1" ht="14.25" customHeight="1" x14ac:dyDescent="0.3"/>
    <row r="635" s="1" customFormat="1" ht="14.25" customHeight="1" x14ac:dyDescent="0.3"/>
    <row r="636" s="1" customFormat="1" ht="14.25" customHeight="1" x14ac:dyDescent="0.3"/>
    <row r="637" s="1" customFormat="1" ht="14.25" customHeight="1" x14ac:dyDescent="0.3"/>
    <row r="638" s="1" customFormat="1" ht="14.25" customHeight="1" x14ac:dyDescent="0.3"/>
    <row r="639" s="1" customFormat="1" ht="14.25" customHeight="1" x14ac:dyDescent="0.3"/>
    <row r="640" s="1" customFormat="1" ht="14.25" customHeight="1" x14ac:dyDescent="0.3"/>
    <row r="641" s="1" customFormat="1" ht="14.25" customHeight="1" x14ac:dyDescent="0.3"/>
    <row r="642" s="1" customFormat="1" ht="14.25" customHeight="1" x14ac:dyDescent="0.3"/>
    <row r="643" s="1" customFormat="1" ht="14.25" customHeight="1" x14ac:dyDescent="0.3"/>
    <row r="644" s="1" customFormat="1" ht="14.25" customHeight="1" x14ac:dyDescent="0.3"/>
    <row r="645" s="1" customFormat="1" ht="14.25" customHeight="1" x14ac:dyDescent="0.3"/>
    <row r="646" s="1" customFormat="1" ht="14.25" customHeight="1" x14ac:dyDescent="0.3"/>
    <row r="647" s="1" customFormat="1" ht="14.25" customHeight="1" x14ac:dyDescent="0.3"/>
    <row r="648" s="1" customFormat="1" ht="14.25" customHeight="1" x14ac:dyDescent="0.3"/>
    <row r="649" s="1" customFormat="1" ht="14.25" customHeight="1" x14ac:dyDescent="0.3"/>
    <row r="650" s="1" customFormat="1" ht="14.25" customHeight="1" x14ac:dyDescent="0.3"/>
    <row r="651" s="1" customFormat="1" ht="14.25" customHeight="1" x14ac:dyDescent="0.3"/>
    <row r="652" s="1" customFormat="1" ht="14.25" customHeight="1" x14ac:dyDescent="0.3"/>
    <row r="653" s="1" customFormat="1" ht="14.25" customHeight="1" x14ac:dyDescent="0.3"/>
    <row r="654" s="1" customFormat="1" ht="14.25" customHeight="1" x14ac:dyDescent="0.3"/>
    <row r="655" s="1" customFormat="1" ht="14.25" customHeight="1" x14ac:dyDescent="0.3"/>
    <row r="656" s="1" customFormat="1" ht="14.25" customHeight="1" x14ac:dyDescent="0.3"/>
    <row r="657" s="1" customFormat="1" ht="14.25" customHeight="1" x14ac:dyDescent="0.3"/>
    <row r="658" s="1" customFormat="1" ht="14.25" customHeight="1" x14ac:dyDescent="0.3"/>
    <row r="659" s="1" customFormat="1" ht="14.25" customHeight="1" x14ac:dyDescent="0.3"/>
    <row r="660" s="1" customFormat="1" ht="14.25" customHeight="1" x14ac:dyDescent="0.3"/>
    <row r="661" s="1" customFormat="1" ht="14.25" customHeight="1" x14ac:dyDescent="0.3"/>
    <row r="662" s="1" customFormat="1" ht="14.25" customHeight="1" x14ac:dyDescent="0.3"/>
    <row r="663" s="1" customFormat="1" ht="14.25" customHeight="1" x14ac:dyDescent="0.3"/>
    <row r="664" s="1" customFormat="1" ht="14.25" customHeight="1" x14ac:dyDescent="0.3"/>
    <row r="665" s="1" customFormat="1" ht="14.25" customHeight="1" x14ac:dyDescent="0.3"/>
    <row r="666" s="1" customFormat="1" ht="14.25" customHeight="1" x14ac:dyDescent="0.3"/>
    <row r="667" s="1" customFormat="1" ht="14.25" customHeight="1" x14ac:dyDescent="0.3"/>
    <row r="668" s="1" customFormat="1" ht="14.25" customHeight="1" x14ac:dyDescent="0.3"/>
    <row r="669" s="1" customFormat="1" ht="14.25" customHeight="1" x14ac:dyDescent="0.3"/>
    <row r="670" s="1" customFormat="1" ht="14.25" customHeight="1" x14ac:dyDescent="0.3"/>
    <row r="671" s="1" customFormat="1" ht="14.25" customHeight="1" x14ac:dyDescent="0.3"/>
    <row r="672" s="1" customFormat="1" ht="14.25" customHeight="1" x14ac:dyDescent="0.3"/>
    <row r="673" s="1" customFormat="1" ht="14.25" customHeight="1" x14ac:dyDescent="0.3"/>
    <row r="674" s="1" customFormat="1" ht="14.25" customHeight="1" x14ac:dyDescent="0.3"/>
    <row r="675" s="1" customFormat="1" ht="14.25" customHeight="1" x14ac:dyDescent="0.3"/>
    <row r="676" s="1" customFormat="1" ht="14.25" customHeight="1" x14ac:dyDescent="0.3"/>
    <row r="677" s="1" customFormat="1" ht="14.25" customHeight="1" x14ac:dyDescent="0.3"/>
    <row r="678" s="1" customFormat="1" ht="14.25" customHeight="1" x14ac:dyDescent="0.3"/>
    <row r="679" s="1" customFormat="1" ht="14.25" customHeight="1" x14ac:dyDescent="0.3"/>
    <row r="680" s="1" customFormat="1" ht="14.25" customHeight="1" x14ac:dyDescent="0.3"/>
    <row r="681" s="1" customFormat="1" ht="14.25" customHeight="1" x14ac:dyDescent="0.3"/>
    <row r="682" s="1" customFormat="1" ht="14.25" customHeight="1" x14ac:dyDescent="0.3"/>
    <row r="683" s="1" customFormat="1" ht="14.25" customHeight="1" x14ac:dyDescent="0.3"/>
    <row r="684" s="1" customFormat="1" ht="14.25" customHeight="1" x14ac:dyDescent="0.3"/>
    <row r="685" s="1" customFormat="1" ht="14.25" customHeight="1" x14ac:dyDescent="0.3"/>
    <row r="686" s="1" customFormat="1" ht="14.25" customHeight="1" x14ac:dyDescent="0.3"/>
    <row r="687" s="1" customFormat="1" ht="14.25" customHeight="1" x14ac:dyDescent="0.3"/>
    <row r="688" s="1" customFormat="1" ht="14.25" customHeight="1" x14ac:dyDescent="0.3"/>
    <row r="689" s="1" customFormat="1" ht="14.25" customHeight="1" x14ac:dyDescent="0.3"/>
    <row r="690" s="1" customFormat="1" ht="14.25" customHeight="1" x14ac:dyDescent="0.3"/>
    <row r="691" s="1" customFormat="1" ht="14.25" customHeight="1" x14ac:dyDescent="0.3"/>
    <row r="692" s="1" customFormat="1" ht="14.25" customHeight="1" x14ac:dyDescent="0.3"/>
    <row r="693" s="1" customFormat="1" ht="14.25" customHeight="1" x14ac:dyDescent="0.3"/>
    <row r="694" s="1" customFormat="1" ht="14.25" customHeight="1" x14ac:dyDescent="0.3"/>
    <row r="695" s="1" customFormat="1" ht="14.25" customHeight="1" x14ac:dyDescent="0.3"/>
    <row r="696" s="1" customFormat="1" ht="14.25" customHeight="1" x14ac:dyDescent="0.3"/>
    <row r="697" s="1" customFormat="1" ht="14.25" customHeight="1" x14ac:dyDescent="0.3"/>
    <row r="698" s="1" customFormat="1" ht="14.25" customHeight="1" x14ac:dyDescent="0.3"/>
    <row r="699" s="1" customFormat="1" ht="14.25" customHeight="1" x14ac:dyDescent="0.3"/>
    <row r="700" s="1" customFormat="1" ht="14.25" customHeight="1" x14ac:dyDescent="0.3"/>
    <row r="701" s="1" customFormat="1" ht="14.25" customHeight="1" x14ac:dyDescent="0.3"/>
    <row r="702" s="1" customFormat="1" ht="14.25" customHeight="1" x14ac:dyDescent="0.3"/>
    <row r="703" s="1" customFormat="1" ht="14.25" customHeight="1" x14ac:dyDescent="0.3"/>
    <row r="704" s="1" customFormat="1" ht="14.25" customHeight="1" x14ac:dyDescent="0.3"/>
    <row r="705" s="1" customFormat="1" ht="14.25" customHeight="1" x14ac:dyDescent="0.3"/>
    <row r="706" s="1" customFormat="1" ht="14.25" customHeight="1" x14ac:dyDescent="0.3"/>
    <row r="707" s="1" customFormat="1" ht="14.25" customHeight="1" x14ac:dyDescent="0.3"/>
    <row r="708" s="1" customFormat="1" ht="14.25" customHeight="1" x14ac:dyDescent="0.3"/>
    <row r="709" s="1" customFormat="1" ht="14.25" customHeight="1" x14ac:dyDescent="0.3"/>
    <row r="710" s="1" customFormat="1" ht="14.25" customHeight="1" x14ac:dyDescent="0.3"/>
    <row r="711" s="1" customFormat="1" ht="14.25" customHeight="1" x14ac:dyDescent="0.3"/>
    <row r="712" s="1" customFormat="1" ht="14.25" customHeight="1" x14ac:dyDescent="0.3"/>
    <row r="713" s="1" customFormat="1" ht="14.25" customHeight="1" x14ac:dyDescent="0.3"/>
    <row r="714" s="1" customFormat="1" ht="14.25" customHeight="1" x14ac:dyDescent="0.3"/>
    <row r="715" s="1" customFormat="1" ht="14.25" customHeight="1" x14ac:dyDescent="0.3"/>
    <row r="716" s="1" customFormat="1" ht="14.25" customHeight="1" x14ac:dyDescent="0.3"/>
    <row r="717" s="1" customFormat="1" ht="14.25" customHeight="1" x14ac:dyDescent="0.3"/>
    <row r="718" s="1" customFormat="1" ht="14.25" customHeight="1" x14ac:dyDescent="0.3"/>
    <row r="719" s="1" customFormat="1" ht="14.25" customHeight="1" x14ac:dyDescent="0.3"/>
    <row r="720" s="1" customFormat="1" ht="14.25" customHeight="1" x14ac:dyDescent="0.3"/>
    <row r="721" s="1" customFormat="1" ht="14.25" customHeight="1" x14ac:dyDescent="0.3"/>
    <row r="722" s="1" customFormat="1" ht="14.25" customHeight="1" x14ac:dyDescent="0.3"/>
    <row r="723" s="1" customFormat="1" ht="14.25" customHeight="1" x14ac:dyDescent="0.3"/>
    <row r="724" s="1" customFormat="1" ht="14.25" customHeight="1" x14ac:dyDescent="0.3"/>
    <row r="725" s="1" customFormat="1" ht="14.25" customHeight="1" x14ac:dyDescent="0.3"/>
    <row r="726" s="1" customFormat="1" ht="14.25" customHeight="1" x14ac:dyDescent="0.3"/>
    <row r="727" s="1" customFormat="1" ht="14.25" customHeight="1" x14ac:dyDescent="0.3"/>
    <row r="728" s="1" customFormat="1" ht="14.25" customHeight="1" x14ac:dyDescent="0.3"/>
    <row r="729" s="1" customFormat="1" ht="14.25" customHeight="1" x14ac:dyDescent="0.3"/>
    <row r="730" s="1" customFormat="1" ht="14.25" customHeight="1" x14ac:dyDescent="0.3"/>
    <row r="731" s="1" customFormat="1" ht="14.25" customHeight="1" x14ac:dyDescent="0.3"/>
    <row r="732" s="1" customFormat="1" ht="14.25" customHeight="1" x14ac:dyDescent="0.3"/>
    <row r="733" s="1" customFormat="1" ht="14.25" customHeight="1" x14ac:dyDescent="0.3"/>
    <row r="734" s="1" customFormat="1" ht="14.25" customHeight="1" x14ac:dyDescent="0.3"/>
    <row r="735" s="1" customFormat="1" ht="14.25" customHeight="1" x14ac:dyDescent="0.3"/>
    <row r="736" s="1" customFormat="1" ht="14.25" customHeight="1" x14ac:dyDescent="0.3"/>
    <row r="737" s="1" customFormat="1" ht="14.25" customHeight="1" x14ac:dyDescent="0.3"/>
    <row r="738" s="1" customFormat="1" ht="14.25" customHeight="1" x14ac:dyDescent="0.3"/>
    <row r="739" s="1" customFormat="1" ht="14.25" customHeight="1" x14ac:dyDescent="0.3"/>
    <row r="740" s="1" customFormat="1" ht="14.25" customHeight="1" x14ac:dyDescent="0.3"/>
    <row r="741" s="1" customFormat="1" ht="14.25" customHeight="1" x14ac:dyDescent="0.3"/>
    <row r="742" s="1" customFormat="1" ht="14.25" customHeight="1" x14ac:dyDescent="0.3"/>
    <row r="743" s="1" customFormat="1" ht="14.25" customHeight="1" x14ac:dyDescent="0.3"/>
    <row r="744" s="1" customFormat="1" ht="14.25" customHeight="1" x14ac:dyDescent="0.3"/>
    <row r="745" s="1" customFormat="1" ht="14.25" customHeight="1" x14ac:dyDescent="0.3"/>
    <row r="746" s="1" customFormat="1" ht="14.25" customHeight="1" x14ac:dyDescent="0.3"/>
    <row r="747" s="1" customFormat="1" ht="14.25" customHeight="1" x14ac:dyDescent="0.3"/>
    <row r="748" s="1" customFormat="1" ht="14.25" customHeight="1" x14ac:dyDescent="0.3"/>
    <row r="749" s="1" customFormat="1" ht="14.25" customHeight="1" x14ac:dyDescent="0.3"/>
    <row r="750" s="1" customFormat="1" ht="14.25" customHeight="1" x14ac:dyDescent="0.3"/>
    <row r="751" s="1" customFormat="1" ht="14.25" customHeight="1" x14ac:dyDescent="0.3"/>
    <row r="752" s="1" customFormat="1" ht="14.25" customHeight="1" x14ac:dyDescent="0.3"/>
    <row r="753" s="1" customFormat="1" ht="14.25" customHeight="1" x14ac:dyDescent="0.3"/>
    <row r="754" s="1" customFormat="1" ht="14.25" customHeight="1" x14ac:dyDescent="0.3"/>
    <row r="755" s="1" customFormat="1" ht="14.25" customHeight="1" x14ac:dyDescent="0.3"/>
    <row r="756" s="1" customFormat="1" ht="14.25" customHeight="1" x14ac:dyDescent="0.3"/>
    <row r="757" s="1" customFormat="1" ht="14.25" customHeight="1" x14ac:dyDescent="0.3"/>
    <row r="758" s="1" customFormat="1" ht="14.25" customHeight="1" x14ac:dyDescent="0.3"/>
    <row r="759" s="1" customFormat="1" ht="14.25" customHeight="1" x14ac:dyDescent="0.3"/>
    <row r="760" s="1" customFormat="1" ht="14.25" customHeight="1" x14ac:dyDescent="0.3"/>
    <row r="761" s="1" customFormat="1" ht="14.25" customHeight="1" x14ac:dyDescent="0.3"/>
    <row r="762" s="1" customFormat="1" ht="14.25" customHeight="1" x14ac:dyDescent="0.3"/>
    <row r="763" s="1" customFormat="1" ht="14.25" customHeight="1" x14ac:dyDescent="0.3"/>
    <row r="764" s="1" customFormat="1" ht="14.25" customHeight="1" x14ac:dyDescent="0.3"/>
    <row r="765" s="1" customFormat="1" ht="14.25" customHeight="1" x14ac:dyDescent="0.3"/>
    <row r="766" s="1" customFormat="1" ht="14.25" customHeight="1" x14ac:dyDescent="0.3"/>
    <row r="767" s="1" customFormat="1" ht="14.25" customHeight="1" x14ac:dyDescent="0.3"/>
    <row r="768" s="1" customFormat="1" ht="14.25" customHeight="1" x14ac:dyDescent="0.3"/>
    <row r="769" s="1" customFormat="1" ht="14.25" customHeight="1" x14ac:dyDescent="0.3"/>
    <row r="770" s="1" customFormat="1" ht="14.25" customHeight="1" x14ac:dyDescent="0.3"/>
    <row r="771" s="1" customFormat="1" ht="14.25" customHeight="1" x14ac:dyDescent="0.3"/>
    <row r="772" s="1" customFormat="1" ht="14.25" customHeight="1" x14ac:dyDescent="0.3"/>
    <row r="773" s="1" customFormat="1" ht="14.25" customHeight="1" x14ac:dyDescent="0.3"/>
    <row r="774" s="1" customFormat="1" ht="14.25" customHeight="1" x14ac:dyDescent="0.3"/>
    <row r="775" s="1" customFormat="1" ht="14.25" customHeight="1" x14ac:dyDescent="0.3"/>
    <row r="776" s="1" customFormat="1" ht="14.25" customHeight="1" x14ac:dyDescent="0.3"/>
    <row r="777" s="1" customFormat="1" ht="14.25" customHeight="1" x14ac:dyDescent="0.3"/>
    <row r="778" s="1" customFormat="1" ht="14.25" customHeight="1" x14ac:dyDescent="0.3"/>
    <row r="779" s="1" customFormat="1" ht="14.25" customHeight="1" x14ac:dyDescent="0.3"/>
    <row r="780" s="1" customFormat="1" ht="14.25" customHeight="1" x14ac:dyDescent="0.3"/>
    <row r="781" s="1" customFormat="1" ht="14.25" customHeight="1" x14ac:dyDescent="0.3"/>
    <row r="782" s="1" customFormat="1" ht="14.25" customHeight="1" x14ac:dyDescent="0.3"/>
    <row r="783" s="1" customFormat="1" ht="14.25" customHeight="1" x14ac:dyDescent="0.3"/>
    <row r="784" s="1" customFormat="1" ht="14.25" customHeight="1" x14ac:dyDescent="0.3"/>
    <row r="785" s="1" customFormat="1" ht="14.25" customHeight="1" x14ac:dyDescent="0.3"/>
    <row r="786" s="1" customFormat="1" ht="14.25" customHeight="1" x14ac:dyDescent="0.3"/>
    <row r="787" s="1" customFormat="1" ht="14.25" customHeight="1" x14ac:dyDescent="0.3"/>
    <row r="788" s="1" customFormat="1" ht="14.25" customHeight="1" x14ac:dyDescent="0.3"/>
    <row r="789" s="1" customFormat="1" ht="14.25" customHeight="1" x14ac:dyDescent="0.3"/>
    <row r="790" s="1" customFormat="1" ht="14.25" customHeight="1" x14ac:dyDescent="0.3"/>
    <row r="791" s="1" customFormat="1" ht="14.25" customHeight="1" x14ac:dyDescent="0.3"/>
    <row r="792" s="1" customFormat="1" ht="14.25" customHeight="1" x14ac:dyDescent="0.3"/>
    <row r="793" s="1" customFormat="1" ht="14.25" customHeight="1" x14ac:dyDescent="0.3"/>
    <row r="794" s="1" customFormat="1" ht="14.25" customHeight="1" x14ac:dyDescent="0.3"/>
    <row r="795" s="1" customFormat="1" ht="14.25" customHeight="1" x14ac:dyDescent="0.3"/>
    <row r="796" s="1" customFormat="1" ht="14.25" customHeight="1" x14ac:dyDescent="0.3"/>
    <row r="797" s="1" customFormat="1" ht="14.25" customHeight="1" x14ac:dyDescent="0.3"/>
    <row r="798" s="1" customFormat="1" ht="14.25" customHeight="1" x14ac:dyDescent="0.3"/>
    <row r="799" s="1" customFormat="1" ht="14.25" customHeight="1" x14ac:dyDescent="0.3"/>
    <row r="800" s="1" customFormat="1" ht="14.25" customHeight="1" x14ac:dyDescent="0.3"/>
    <row r="801" s="1" customFormat="1" ht="14.25" customHeight="1" x14ac:dyDescent="0.3"/>
    <row r="802" s="1" customFormat="1" ht="14.25" customHeight="1" x14ac:dyDescent="0.3"/>
    <row r="803" s="1" customFormat="1" ht="14.25" customHeight="1" x14ac:dyDescent="0.3"/>
    <row r="804" s="1" customFormat="1" ht="14.25" customHeight="1" x14ac:dyDescent="0.3"/>
    <row r="805" s="1" customFormat="1" ht="14.25" customHeight="1" x14ac:dyDescent="0.3"/>
    <row r="806" s="1" customFormat="1" ht="14.25" customHeight="1" x14ac:dyDescent="0.3"/>
    <row r="807" s="1" customFormat="1" ht="14.25" customHeight="1" x14ac:dyDescent="0.3"/>
    <row r="808" s="1" customFormat="1" ht="14.25" customHeight="1" x14ac:dyDescent="0.3"/>
    <row r="809" s="1" customFormat="1" ht="14.25" customHeight="1" x14ac:dyDescent="0.3"/>
    <row r="810" s="1" customFormat="1" ht="14.25" customHeight="1" x14ac:dyDescent="0.3"/>
    <row r="811" s="1" customFormat="1" ht="14.25" customHeight="1" x14ac:dyDescent="0.3"/>
    <row r="812" s="1" customFormat="1" ht="14.25" customHeight="1" x14ac:dyDescent="0.3"/>
    <row r="813" s="1" customFormat="1" ht="14.25" customHeight="1" x14ac:dyDescent="0.3"/>
    <row r="814" s="1" customFormat="1" ht="14.25" customHeight="1" x14ac:dyDescent="0.3"/>
    <row r="815" s="1" customFormat="1" ht="14.25" customHeight="1" x14ac:dyDescent="0.3"/>
    <row r="816" s="1" customFormat="1" ht="14.25" customHeight="1" x14ac:dyDescent="0.3"/>
    <row r="817" s="1" customFormat="1" ht="14.25" customHeight="1" x14ac:dyDescent="0.3"/>
    <row r="818" s="1" customFormat="1" ht="14.25" customHeight="1" x14ac:dyDescent="0.3"/>
    <row r="819" s="1" customFormat="1" ht="14.25" customHeight="1" x14ac:dyDescent="0.3"/>
    <row r="820" s="1" customFormat="1" ht="14.25" customHeight="1" x14ac:dyDescent="0.3"/>
    <row r="821" s="1" customFormat="1" ht="14.25" customHeight="1" x14ac:dyDescent="0.3"/>
    <row r="822" s="1" customFormat="1" ht="14.25" customHeight="1" x14ac:dyDescent="0.3"/>
    <row r="823" s="1" customFormat="1" ht="14.25" customHeight="1" x14ac:dyDescent="0.3"/>
    <row r="824" s="1" customFormat="1" ht="14.25" customHeight="1" x14ac:dyDescent="0.3"/>
    <row r="825" s="1" customFormat="1" ht="14.25" customHeight="1" x14ac:dyDescent="0.3"/>
    <row r="826" s="1" customFormat="1" ht="14.25" customHeight="1" x14ac:dyDescent="0.3"/>
    <row r="827" s="1" customFormat="1" ht="14.25" customHeight="1" x14ac:dyDescent="0.3"/>
    <row r="828" s="1" customFormat="1" ht="14.25" customHeight="1" x14ac:dyDescent="0.3"/>
    <row r="829" s="1" customFormat="1" ht="14.25" customHeight="1" x14ac:dyDescent="0.3"/>
    <row r="830" s="1" customFormat="1" ht="14.25" customHeight="1" x14ac:dyDescent="0.3"/>
    <row r="831" s="1" customFormat="1" ht="14.25" customHeight="1" x14ac:dyDescent="0.3"/>
    <row r="832" s="1" customFormat="1" ht="14.25" customHeight="1" x14ac:dyDescent="0.3"/>
    <row r="833" s="1" customFormat="1" ht="14.25" customHeight="1" x14ac:dyDescent="0.3"/>
    <row r="834" s="1" customFormat="1" ht="14.25" customHeight="1" x14ac:dyDescent="0.3"/>
    <row r="835" s="1" customFormat="1" ht="14.25" customHeight="1" x14ac:dyDescent="0.3"/>
    <row r="836" s="1" customFormat="1" ht="14.25" customHeight="1" x14ac:dyDescent="0.3"/>
    <row r="837" s="1" customFormat="1" ht="14.25" customHeight="1" x14ac:dyDescent="0.3"/>
    <row r="838" s="1" customFormat="1" ht="14.25" customHeight="1" x14ac:dyDescent="0.3"/>
    <row r="839" s="1" customFormat="1" ht="14.25" customHeight="1" x14ac:dyDescent="0.3"/>
    <row r="840" s="1" customFormat="1" ht="14.25" customHeight="1" x14ac:dyDescent="0.3"/>
    <row r="841" s="1" customFormat="1" ht="14.25" customHeight="1" x14ac:dyDescent="0.3"/>
    <row r="842" s="1" customFormat="1" ht="14.25" customHeight="1" x14ac:dyDescent="0.3"/>
    <row r="843" s="1" customFormat="1" ht="14.25" customHeight="1" x14ac:dyDescent="0.3"/>
    <row r="844" s="1" customFormat="1" ht="14.25" customHeight="1" x14ac:dyDescent="0.3"/>
    <row r="845" s="1" customFormat="1" ht="14.25" customHeight="1" x14ac:dyDescent="0.3"/>
    <row r="846" s="1" customFormat="1" ht="14.25" customHeight="1" x14ac:dyDescent="0.3"/>
    <row r="847" s="1" customFormat="1" ht="14.25" customHeight="1" x14ac:dyDescent="0.3"/>
    <row r="848" s="1" customFormat="1" ht="14.25" customHeight="1" x14ac:dyDescent="0.3"/>
    <row r="849" s="1" customFormat="1" ht="14.25" customHeight="1" x14ac:dyDescent="0.3"/>
    <row r="850" s="1" customFormat="1" ht="14.25" customHeight="1" x14ac:dyDescent="0.3"/>
    <row r="851" s="1" customFormat="1" ht="14.25" customHeight="1" x14ac:dyDescent="0.3"/>
    <row r="852" s="1" customFormat="1" ht="14.25" customHeight="1" x14ac:dyDescent="0.3"/>
    <row r="853" s="1" customFormat="1" ht="14.25" customHeight="1" x14ac:dyDescent="0.3"/>
    <row r="854" s="1" customFormat="1" ht="14.25" customHeight="1" x14ac:dyDescent="0.3"/>
    <row r="855" s="1" customFormat="1" ht="14.25" customHeight="1" x14ac:dyDescent="0.3"/>
    <row r="856" s="1" customFormat="1" ht="14.25" customHeight="1" x14ac:dyDescent="0.3"/>
    <row r="857" s="1" customFormat="1" ht="14.25" customHeight="1" x14ac:dyDescent="0.3"/>
    <row r="858" s="1" customFormat="1" ht="14.25" customHeight="1" x14ac:dyDescent="0.3"/>
    <row r="859" s="1" customFormat="1" ht="14.25" customHeight="1" x14ac:dyDescent="0.3"/>
    <row r="860" s="1" customFormat="1" ht="14.25" customHeight="1" x14ac:dyDescent="0.3"/>
    <row r="861" s="1" customFormat="1" ht="14.25" customHeight="1" x14ac:dyDescent="0.3"/>
    <row r="862" s="1" customFormat="1" ht="14.25" customHeight="1" x14ac:dyDescent="0.3"/>
    <row r="863" s="1" customFormat="1" ht="14.25" customHeight="1" x14ac:dyDescent="0.3"/>
    <row r="864" s="1" customFormat="1" ht="14.25" customHeight="1" x14ac:dyDescent="0.3"/>
    <row r="865" s="1" customFormat="1" ht="14.25" customHeight="1" x14ac:dyDescent="0.3"/>
    <row r="866" s="1" customFormat="1" ht="14.25" customHeight="1" x14ac:dyDescent="0.3"/>
    <row r="867" s="1" customFormat="1" ht="14.25" customHeight="1" x14ac:dyDescent="0.3"/>
    <row r="868" s="1" customFormat="1" ht="14.25" customHeight="1" x14ac:dyDescent="0.3"/>
    <row r="869" s="1" customFormat="1" ht="14.25" customHeight="1" x14ac:dyDescent="0.3"/>
    <row r="870" s="1" customFormat="1" ht="14.25" customHeight="1" x14ac:dyDescent="0.3"/>
    <row r="871" s="1" customFormat="1" ht="14.25" customHeight="1" x14ac:dyDescent="0.3"/>
    <row r="872" s="1" customFormat="1" ht="14.25" customHeight="1" x14ac:dyDescent="0.3"/>
    <row r="873" s="1" customFormat="1" ht="14.25" customHeight="1" x14ac:dyDescent="0.3"/>
    <row r="874" s="1" customFormat="1" ht="14.25" customHeight="1" x14ac:dyDescent="0.3"/>
    <row r="875" s="1" customFormat="1" ht="14.25" customHeight="1" x14ac:dyDescent="0.3"/>
    <row r="876" s="1" customFormat="1" ht="14.25" customHeight="1" x14ac:dyDescent="0.3"/>
    <row r="877" s="1" customFormat="1" ht="14.25" customHeight="1" x14ac:dyDescent="0.3"/>
    <row r="878" s="1" customFormat="1" ht="14.25" customHeight="1" x14ac:dyDescent="0.3"/>
    <row r="879" s="1" customFormat="1" ht="14.25" customHeight="1" x14ac:dyDescent="0.3"/>
    <row r="880" s="1" customFormat="1" ht="14.25" customHeight="1" x14ac:dyDescent="0.3"/>
    <row r="881" s="1" customFormat="1" ht="14.25" customHeight="1" x14ac:dyDescent="0.3"/>
    <row r="882" s="1" customFormat="1" ht="14.25" customHeight="1" x14ac:dyDescent="0.3"/>
    <row r="883" s="1" customFormat="1" ht="14.25" customHeight="1" x14ac:dyDescent="0.3"/>
    <row r="884" s="1" customFormat="1" ht="14.25" customHeight="1" x14ac:dyDescent="0.3"/>
    <row r="885" s="1" customFormat="1" ht="14.25" customHeight="1" x14ac:dyDescent="0.3"/>
    <row r="886" s="1" customFormat="1" ht="14.25" customHeight="1" x14ac:dyDescent="0.3"/>
    <row r="887" s="1" customFormat="1" ht="14.25" customHeight="1" x14ac:dyDescent="0.3"/>
    <row r="888" s="1" customFormat="1" ht="14.25" customHeight="1" x14ac:dyDescent="0.3"/>
    <row r="889" s="1" customFormat="1" ht="14.25" customHeight="1" x14ac:dyDescent="0.3"/>
    <row r="890" s="1" customFormat="1" ht="14.25" customHeight="1" x14ac:dyDescent="0.3"/>
    <row r="891" s="1" customFormat="1" ht="14.25" customHeight="1" x14ac:dyDescent="0.3"/>
    <row r="892" s="1" customFormat="1" ht="14.25" customHeight="1" x14ac:dyDescent="0.3"/>
    <row r="893" s="1" customFormat="1" ht="14.25" customHeight="1" x14ac:dyDescent="0.3"/>
    <row r="894" s="1" customFormat="1" ht="14.25" customHeight="1" x14ac:dyDescent="0.3"/>
    <row r="895" s="1" customFormat="1" ht="14.25" customHeight="1" x14ac:dyDescent="0.3"/>
    <row r="896" s="1" customFormat="1" ht="14.25" customHeight="1" x14ac:dyDescent="0.3"/>
    <row r="897" s="1" customFormat="1" ht="14.25" customHeight="1" x14ac:dyDescent="0.3"/>
    <row r="898" s="1" customFormat="1" ht="14.25" customHeight="1" x14ac:dyDescent="0.3"/>
    <row r="899" s="1" customFormat="1" ht="14.25" customHeight="1" x14ac:dyDescent="0.3"/>
    <row r="900" s="1" customFormat="1" ht="14.25" customHeight="1" x14ac:dyDescent="0.3"/>
    <row r="901" s="1" customFormat="1" ht="14.25" customHeight="1" x14ac:dyDescent="0.3"/>
    <row r="902" s="1" customFormat="1" ht="14.25" customHeight="1" x14ac:dyDescent="0.3"/>
    <row r="903" s="1" customFormat="1" ht="14.25" customHeight="1" x14ac:dyDescent="0.3"/>
    <row r="904" s="1" customFormat="1" ht="14.25" customHeight="1" x14ac:dyDescent="0.3"/>
    <row r="905" s="1" customFormat="1" ht="14.25" customHeight="1" x14ac:dyDescent="0.3"/>
    <row r="906" s="1" customFormat="1" ht="14.25" customHeight="1" x14ac:dyDescent="0.3"/>
    <row r="907" s="1" customFormat="1" ht="14.25" customHeight="1" x14ac:dyDescent="0.3"/>
    <row r="908" s="1" customFormat="1" ht="14.25" customHeight="1" x14ac:dyDescent="0.3"/>
    <row r="909" s="1" customFormat="1" ht="14.25" customHeight="1" x14ac:dyDescent="0.3"/>
    <row r="910" s="1" customFormat="1" ht="14.25" customHeight="1" x14ac:dyDescent="0.3"/>
    <row r="911" s="1" customFormat="1" ht="14.25" customHeight="1" x14ac:dyDescent="0.3"/>
    <row r="912" s="1" customFormat="1" ht="14.25" customHeight="1" x14ac:dyDescent="0.3"/>
    <row r="913" s="1" customFormat="1" ht="14.25" customHeight="1" x14ac:dyDescent="0.3"/>
    <row r="914" s="1" customFormat="1" ht="14.25" customHeight="1" x14ac:dyDescent="0.3"/>
    <row r="915" s="1" customFormat="1" ht="14.25" customHeight="1" x14ac:dyDescent="0.3"/>
    <row r="916" s="1" customFormat="1" ht="14.25" customHeight="1" x14ac:dyDescent="0.3"/>
    <row r="917" s="1" customFormat="1" ht="14.25" customHeight="1" x14ac:dyDescent="0.3"/>
    <row r="918" s="1" customFormat="1" ht="14.25" customHeight="1" x14ac:dyDescent="0.3"/>
    <row r="919" s="1" customFormat="1" ht="14.25" customHeight="1" x14ac:dyDescent="0.3"/>
    <row r="920" s="1" customFormat="1" ht="14.25" customHeight="1" x14ac:dyDescent="0.3"/>
    <row r="921" s="1" customFormat="1" ht="14.25" customHeight="1" x14ac:dyDescent="0.3"/>
    <row r="922" s="1" customFormat="1" ht="14.25" customHeight="1" x14ac:dyDescent="0.3"/>
    <row r="923" s="1" customFormat="1" ht="14.25" customHeight="1" x14ac:dyDescent="0.3"/>
    <row r="924" s="1" customFormat="1" ht="14.25" customHeight="1" x14ac:dyDescent="0.3"/>
    <row r="925" s="1" customFormat="1" ht="14.25" customHeight="1" x14ac:dyDescent="0.3"/>
    <row r="926" s="1" customFormat="1" ht="14.25" customHeight="1" x14ac:dyDescent="0.3"/>
    <row r="927" s="1" customFormat="1" ht="14.25" customHeight="1" x14ac:dyDescent="0.3"/>
    <row r="928" s="1" customFormat="1" ht="14.25" customHeight="1" x14ac:dyDescent="0.3"/>
    <row r="929" s="1" customFormat="1" ht="14.25" customHeight="1" x14ac:dyDescent="0.3"/>
    <row r="930" s="1" customFormat="1" ht="14.25" customHeight="1" x14ac:dyDescent="0.3"/>
    <row r="931" s="1" customFormat="1" ht="14.25" customHeight="1" x14ac:dyDescent="0.3"/>
    <row r="932" s="1" customFormat="1" ht="14.25" customHeight="1" x14ac:dyDescent="0.3"/>
    <row r="933" s="1" customFormat="1" ht="14.25" customHeight="1" x14ac:dyDescent="0.3"/>
    <row r="934" s="1" customFormat="1" ht="14.25" customHeight="1" x14ac:dyDescent="0.3"/>
    <row r="935" s="1" customFormat="1" ht="14.25" customHeight="1" x14ac:dyDescent="0.3"/>
    <row r="936" s="1" customFormat="1" ht="14.25" customHeight="1" x14ac:dyDescent="0.3"/>
    <row r="937" s="1" customFormat="1" ht="14.25" customHeight="1" x14ac:dyDescent="0.3"/>
    <row r="938" s="1" customFormat="1" ht="14.25" customHeight="1" x14ac:dyDescent="0.3"/>
    <row r="939" s="1" customFormat="1" ht="14.25" customHeight="1" x14ac:dyDescent="0.3"/>
    <row r="940" s="1" customFormat="1" ht="14.25" customHeight="1" x14ac:dyDescent="0.3"/>
    <row r="941" s="1" customFormat="1" ht="14.25" customHeight="1" x14ac:dyDescent="0.3"/>
    <row r="942" s="1" customFormat="1" ht="14.25" customHeight="1" x14ac:dyDescent="0.3"/>
    <row r="943" s="1" customFormat="1" ht="14.25" customHeight="1" x14ac:dyDescent="0.3"/>
    <row r="944" s="1" customFormat="1" ht="14.25" customHeight="1" x14ac:dyDescent="0.3"/>
    <row r="945" s="1" customFormat="1" ht="14.25" customHeight="1" x14ac:dyDescent="0.3"/>
    <row r="946" s="1" customFormat="1" ht="14.25" customHeight="1" x14ac:dyDescent="0.3"/>
    <row r="947" s="1" customFormat="1" ht="14.25" customHeight="1" x14ac:dyDescent="0.3"/>
    <row r="948" s="1" customFormat="1" ht="14.25" customHeight="1" x14ac:dyDescent="0.3"/>
    <row r="949" s="1" customFormat="1" ht="14.25" customHeight="1" x14ac:dyDescent="0.3"/>
    <row r="950" s="1" customFormat="1" ht="14.25" customHeight="1" x14ac:dyDescent="0.3"/>
    <row r="951" s="1" customFormat="1" ht="14.25" customHeight="1" x14ac:dyDescent="0.3"/>
    <row r="952" s="1" customFormat="1" ht="14.25" customHeight="1" x14ac:dyDescent="0.3"/>
    <row r="953" s="1" customFormat="1" ht="14.25" customHeight="1" x14ac:dyDescent="0.3"/>
    <row r="954" s="1" customFormat="1" ht="14.25" customHeight="1" x14ac:dyDescent="0.3"/>
    <row r="955" s="1" customFormat="1" ht="14.25" customHeight="1" x14ac:dyDescent="0.3"/>
    <row r="956" s="1" customFormat="1" ht="14.25" customHeight="1" x14ac:dyDescent="0.3"/>
    <row r="957" s="1" customFormat="1" ht="14.25" customHeight="1" x14ac:dyDescent="0.3"/>
    <row r="958" s="1" customFormat="1" ht="14.25" customHeight="1" x14ac:dyDescent="0.3"/>
    <row r="959" s="1" customFormat="1" ht="14.25" customHeight="1" x14ac:dyDescent="0.3"/>
    <row r="960" s="1" customFormat="1" ht="14.25" customHeight="1" x14ac:dyDescent="0.3"/>
    <row r="961" s="1" customFormat="1" ht="14.25" customHeight="1" x14ac:dyDescent="0.3"/>
    <row r="962" s="1" customFormat="1" ht="14.25" customHeight="1" x14ac:dyDescent="0.3"/>
    <row r="963" s="1" customFormat="1" ht="14.25" customHeight="1" x14ac:dyDescent="0.3"/>
    <row r="964" s="1" customFormat="1" ht="14.25" customHeight="1" x14ac:dyDescent="0.3"/>
    <row r="965" s="1" customFormat="1" ht="14.25" customHeight="1" x14ac:dyDescent="0.3"/>
    <row r="966" s="1" customFormat="1" ht="14.25" customHeight="1" x14ac:dyDescent="0.3"/>
    <row r="967" s="1" customFormat="1" ht="14.25" customHeight="1" x14ac:dyDescent="0.3"/>
    <row r="968" s="1" customFormat="1" ht="14.25" customHeight="1" x14ac:dyDescent="0.3"/>
    <row r="969" s="1" customFormat="1" ht="14.25" customHeight="1" x14ac:dyDescent="0.3"/>
    <row r="970" s="1" customFormat="1" ht="14.25" customHeight="1" x14ac:dyDescent="0.3"/>
    <row r="971" s="1" customFormat="1" ht="14.25" customHeight="1" x14ac:dyDescent="0.3"/>
    <row r="972" s="1" customFormat="1" ht="14.25" customHeight="1" x14ac:dyDescent="0.3"/>
    <row r="973" s="1" customFormat="1" ht="14.25" customHeight="1" x14ac:dyDescent="0.3"/>
    <row r="974" s="1" customFormat="1" ht="14.25" customHeight="1" x14ac:dyDescent="0.3"/>
    <row r="975" s="1" customFormat="1" ht="14.25" customHeight="1" x14ac:dyDescent="0.3"/>
    <row r="976" s="1" customFormat="1" ht="14.25" customHeight="1" x14ac:dyDescent="0.3"/>
    <row r="977" s="1" customFormat="1" ht="14.25" customHeight="1" x14ac:dyDescent="0.3"/>
    <row r="978" s="1" customFormat="1" ht="14.25" customHeight="1" x14ac:dyDescent="0.3"/>
    <row r="979" s="1" customFormat="1" ht="14.25" customHeight="1" x14ac:dyDescent="0.3"/>
    <row r="980" s="1" customFormat="1" ht="14.25" customHeight="1" x14ac:dyDescent="0.3"/>
    <row r="981" s="1" customFormat="1" ht="14.25" customHeight="1" x14ac:dyDescent="0.3"/>
    <row r="982" s="1" customFormat="1" ht="14.25" customHeight="1" x14ac:dyDescent="0.3"/>
    <row r="983" s="1" customFormat="1" ht="14.25" customHeight="1" x14ac:dyDescent="0.3"/>
    <row r="984" s="1" customFormat="1" ht="14.25" customHeight="1" x14ac:dyDescent="0.3"/>
    <row r="985" s="1" customFormat="1" ht="14.25" customHeight="1" x14ac:dyDescent="0.3"/>
    <row r="986" s="1" customFormat="1" ht="14.25" customHeight="1" x14ac:dyDescent="0.3"/>
    <row r="987" s="1" customFormat="1" ht="14.25" customHeight="1" x14ac:dyDescent="0.3"/>
    <row r="988" s="1" customFormat="1" ht="14.25" customHeight="1" x14ac:dyDescent="0.3"/>
    <row r="989" s="1" customFormat="1" ht="14.25" customHeight="1" x14ac:dyDescent="0.3"/>
    <row r="990" s="1" customFormat="1" ht="14.25" customHeight="1" x14ac:dyDescent="0.3"/>
    <row r="991" s="1" customFormat="1" ht="14.25" customHeight="1" x14ac:dyDescent="0.3"/>
    <row r="992" s="1" customFormat="1" ht="14.25" customHeight="1" x14ac:dyDescent="0.3"/>
    <row r="993" s="1" customFormat="1" ht="14.25" customHeight="1" x14ac:dyDescent="0.3"/>
    <row r="994" s="1" customFormat="1" ht="14.25" customHeight="1" x14ac:dyDescent="0.3"/>
    <row r="995" s="1" customFormat="1" ht="14.25" customHeight="1" x14ac:dyDescent="0.3"/>
    <row r="996" s="1" customFormat="1" ht="14.25" customHeight="1" x14ac:dyDescent="0.3"/>
    <row r="997" s="1" customFormat="1" ht="14.25" customHeight="1" x14ac:dyDescent="0.3"/>
    <row r="998" s="1" customFormat="1" ht="14.25" customHeight="1" x14ac:dyDescent="0.3"/>
    <row r="999" s="1" customFormat="1" ht="14.25" customHeight="1" x14ac:dyDescent="0.3"/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4B597-CA96-44F3-B0BA-6D6C8AD92DBA}">
  <dimension ref="A1:M999"/>
  <sheetViews>
    <sheetView workbookViewId="0">
      <selection sqref="A1:XFD1048576"/>
    </sheetView>
  </sheetViews>
  <sheetFormatPr baseColWidth="10" defaultColWidth="12.6328125" defaultRowHeight="15" customHeight="1" x14ac:dyDescent="0.3"/>
  <cols>
    <col min="1" max="1" width="15.7265625" style="1" customWidth="1"/>
    <col min="2" max="7" width="10.6328125" style="1" customWidth="1"/>
    <col min="8" max="8" width="11.36328125" style="1" customWidth="1"/>
    <col min="9" max="25" width="10.6328125" style="1" customWidth="1"/>
    <col min="26" max="16384" width="12.6328125" style="1"/>
  </cols>
  <sheetData>
    <row r="1" spans="1:13" ht="12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2.75" customHeight="1" x14ac:dyDescent="0.3">
      <c r="A2" s="1" t="s">
        <v>12</v>
      </c>
      <c r="B2" s="1" t="s">
        <v>13</v>
      </c>
      <c r="E2" s="1">
        <v>1</v>
      </c>
      <c r="H2" s="2" t="s">
        <v>14</v>
      </c>
      <c r="I2" s="3">
        <f t="shared" ref="I2:L2" si="0">SUM(C22+C37+C55+C65+C66+C96+C105+C113+C128+C146+C150)</f>
        <v>11</v>
      </c>
      <c r="J2" s="3">
        <f t="shared" si="0"/>
        <v>0</v>
      </c>
      <c r="K2" s="3">
        <f t="shared" si="0"/>
        <v>0</v>
      </c>
      <c r="L2" s="3">
        <f t="shared" si="0"/>
        <v>0</v>
      </c>
      <c r="M2" s="3">
        <f t="shared" ref="M2:M13" si="1">SUM(I2:L2)</f>
        <v>11</v>
      </c>
    </row>
    <row r="3" spans="1:13" ht="13.5" customHeight="1" x14ac:dyDescent="0.3">
      <c r="A3" s="1" t="s">
        <v>15</v>
      </c>
      <c r="B3" s="1" t="s">
        <v>16</v>
      </c>
      <c r="C3" s="1">
        <v>1</v>
      </c>
      <c r="H3" s="2" t="s">
        <v>17</v>
      </c>
      <c r="I3" s="3">
        <f t="shared" ref="I3:L3" si="2">SUM(C6+C32+C50+C52+C58+C69+C76+C94+C115+C122+C123+C152)</f>
        <v>6</v>
      </c>
      <c r="J3" s="3">
        <f t="shared" si="2"/>
        <v>5</v>
      </c>
      <c r="K3" s="3">
        <f t="shared" si="2"/>
        <v>0</v>
      </c>
      <c r="L3" s="3">
        <f t="shared" si="2"/>
        <v>1</v>
      </c>
      <c r="M3" s="3">
        <f t="shared" si="1"/>
        <v>12</v>
      </c>
    </row>
    <row r="4" spans="1:13" ht="12.75" customHeight="1" x14ac:dyDescent="0.3">
      <c r="A4" s="1" t="s">
        <v>18</v>
      </c>
      <c r="B4" s="1" t="s">
        <v>13</v>
      </c>
      <c r="D4" s="1">
        <v>1</v>
      </c>
      <c r="H4" s="2" t="s">
        <v>19</v>
      </c>
      <c r="I4" s="3">
        <f t="shared" ref="I4:L4" si="3">SUM(C26+C14+C27+C62+C68+C124+C138+C142+C153+C155)</f>
        <v>8</v>
      </c>
      <c r="J4" s="3">
        <f t="shared" si="3"/>
        <v>2</v>
      </c>
      <c r="K4" s="3">
        <f t="shared" si="3"/>
        <v>0</v>
      </c>
      <c r="L4" s="3">
        <f t="shared" si="3"/>
        <v>0</v>
      </c>
      <c r="M4" s="3">
        <f t="shared" si="1"/>
        <v>10</v>
      </c>
    </row>
    <row r="5" spans="1:13" ht="12.75" customHeight="1" x14ac:dyDescent="0.3">
      <c r="A5" s="1" t="s">
        <v>20</v>
      </c>
      <c r="B5" s="1" t="s">
        <v>21</v>
      </c>
      <c r="D5" s="1">
        <v>1</v>
      </c>
      <c r="H5" s="2" t="s">
        <v>22</v>
      </c>
      <c r="I5" s="3">
        <f t="shared" ref="I5:L5" si="4">SUM(C5+C36+C56+C63+C73+C85+C87+C95+C135)</f>
        <v>0</v>
      </c>
      <c r="J5" s="3">
        <f t="shared" si="4"/>
        <v>8</v>
      </c>
      <c r="K5" s="3">
        <f t="shared" si="4"/>
        <v>0</v>
      </c>
      <c r="L5" s="3">
        <f t="shared" si="4"/>
        <v>1</v>
      </c>
      <c r="M5" s="3">
        <f t="shared" si="1"/>
        <v>9</v>
      </c>
    </row>
    <row r="6" spans="1:13" ht="12.75" customHeight="1" x14ac:dyDescent="0.3">
      <c r="A6" s="1" t="s">
        <v>23</v>
      </c>
      <c r="B6" s="1" t="s">
        <v>24</v>
      </c>
      <c r="C6" s="1">
        <v>1</v>
      </c>
      <c r="H6" s="2" t="s">
        <v>25</v>
      </c>
      <c r="I6" s="3">
        <f t="shared" ref="I6:L6" si="5">SUM(C12+C15+C18+C28+C41+C59+C78+C64+C82+C83+C86+C106+C119+C143+C148+C154)</f>
        <v>16</v>
      </c>
      <c r="J6" s="3">
        <f t="shared" si="5"/>
        <v>0</v>
      </c>
      <c r="K6" s="3">
        <f t="shared" si="5"/>
        <v>0</v>
      </c>
      <c r="L6" s="3">
        <f t="shared" si="5"/>
        <v>0</v>
      </c>
      <c r="M6" s="3">
        <f t="shared" si="1"/>
        <v>16</v>
      </c>
    </row>
    <row r="7" spans="1:13" ht="12" customHeight="1" x14ac:dyDescent="0.3">
      <c r="A7" s="1" t="s">
        <v>26</v>
      </c>
      <c r="B7" s="1" t="s">
        <v>27</v>
      </c>
      <c r="D7" s="1">
        <v>1</v>
      </c>
      <c r="H7" s="2" t="s">
        <v>28</v>
      </c>
      <c r="I7" s="3">
        <f t="shared" ref="I7:L7" si="6">SUM(C3+C20+C46+C49+C54+C89+C90+C102+C112+C114+C129+C141)</f>
        <v>4</v>
      </c>
      <c r="J7" s="3">
        <f t="shared" si="6"/>
        <v>1</v>
      </c>
      <c r="K7" s="3">
        <f t="shared" si="6"/>
        <v>7</v>
      </c>
      <c r="L7" s="3">
        <f t="shared" si="6"/>
        <v>0</v>
      </c>
      <c r="M7" s="3">
        <f t="shared" si="1"/>
        <v>12</v>
      </c>
    </row>
    <row r="8" spans="1:13" ht="12" customHeight="1" x14ac:dyDescent="0.3">
      <c r="A8" s="1" t="s">
        <v>29</v>
      </c>
      <c r="B8" s="1" t="s">
        <v>30</v>
      </c>
      <c r="D8" s="1">
        <v>1</v>
      </c>
      <c r="H8" s="2" t="s">
        <v>27</v>
      </c>
      <c r="I8" s="3">
        <f t="shared" ref="I8:L8" si="7">SUM(C7+C30+C29+C44+C51+C60+C72+C79+C101+C99+C107+C111+C117+C140+C144)</f>
        <v>1</v>
      </c>
      <c r="J8" s="3">
        <f t="shared" si="7"/>
        <v>13</v>
      </c>
      <c r="K8" s="3">
        <f t="shared" si="7"/>
        <v>1</v>
      </c>
      <c r="L8" s="3">
        <f t="shared" si="7"/>
        <v>0</v>
      </c>
      <c r="M8" s="3">
        <f t="shared" si="1"/>
        <v>15</v>
      </c>
    </row>
    <row r="9" spans="1:13" ht="12" customHeight="1" x14ac:dyDescent="0.3">
      <c r="A9" s="1" t="s">
        <v>31</v>
      </c>
      <c r="B9" s="1" t="s">
        <v>13</v>
      </c>
      <c r="C9" s="1">
        <v>1</v>
      </c>
      <c r="H9" s="2" t="s">
        <v>13</v>
      </c>
      <c r="I9" s="3">
        <f t="shared" ref="I9:J9" si="8">SUM(C4+C9+C17+C19+C2+C48+C92+C120+C126+C127+C130+C133+C151)</f>
        <v>2</v>
      </c>
      <c r="J9" s="3">
        <f t="shared" si="8"/>
        <v>8</v>
      </c>
      <c r="K9" s="3">
        <f>SUM(D4+D9+D17+D19+D2+D48+D92+D120+D126+D127+D130+D133+D151)</f>
        <v>8</v>
      </c>
      <c r="L9" s="3">
        <f>SUM(F4+F9+F17+F19+F2+F48+F92+F120+F126+F127+F130+F133+F151)</f>
        <v>0</v>
      </c>
      <c r="M9" s="3">
        <f t="shared" si="1"/>
        <v>18</v>
      </c>
    </row>
    <row r="10" spans="1:13" ht="13.5" customHeight="1" x14ac:dyDescent="0.3">
      <c r="A10" s="1" t="s">
        <v>32</v>
      </c>
      <c r="B10" s="1" t="s">
        <v>33</v>
      </c>
      <c r="C10" s="1">
        <v>1</v>
      </c>
      <c r="H10" s="2" t="s">
        <v>30</v>
      </c>
      <c r="I10" s="3">
        <f t="shared" ref="I10:L10" si="9">SUM(C8+C13+C16+C25+C31+C35+C43+C45+C70+C71+C75+C81+C88+C93+C98+C100+C104+C118+C136+C137+C156)</f>
        <v>0</v>
      </c>
      <c r="J10" s="3">
        <f t="shared" si="9"/>
        <v>21</v>
      </c>
      <c r="K10" s="3">
        <f t="shared" si="9"/>
        <v>0</v>
      </c>
      <c r="L10" s="3">
        <f t="shared" si="9"/>
        <v>0</v>
      </c>
      <c r="M10" s="3">
        <f t="shared" si="1"/>
        <v>21</v>
      </c>
    </row>
    <row r="11" spans="1:13" ht="12" customHeight="1" x14ac:dyDescent="0.3">
      <c r="A11" s="1" t="s">
        <v>34</v>
      </c>
      <c r="B11" s="1" t="s">
        <v>33</v>
      </c>
      <c r="C11" s="1">
        <v>1</v>
      </c>
      <c r="H11" s="2" t="s">
        <v>35</v>
      </c>
      <c r="I11" s="3">
        <f t="shared" ref="I11:L11" si="10">SUM(C38+C42+C47+C53+C74+C77+C80+C91+C97+C103+C108+C116+C131+C145+C147)</f>
        <v>0</v>
      </c>
      <c r="J11" s="3">
        <f t="shared" si="10"/>
        <v>15</v>
      </c>
      <c r="K11" s="3">
        <f t="shared" si="10"/>
        <v>0</v>
      </c>
      <c r="L11" s="3">
        <f t="shared" si="10"/>
        <v>0</v>
      </c>
      <c r="M11" s="3">
        <f t="shared" si="1"/>
        <v>15</v>
      </c>
    </row>
    <row r="12" spans="1:13" ht="13.5" customHeight="1" x14ac:dyDescent="0.3">
      <c r="A12" s="1" t="s">
        <v>36</v>
      </c>
      <c r="B12" s="1" t="s">
        <v>37</v>
      </c>
      <c r="C12" s="1">
        <v>1</v>
      </c>
      <c r="H12" s="2" t="s">
        <v>38</v>
      </c>
      <c r="I12" s="3">
        <f t="shared" ref="I12:L12" si="11">SUM(C21+C24+C34+C40+C67+C84+C132)</f>
        <v>1</v>
      </c>
      <c r="J12" s="3">
        <f t="shared" si="11"/>
        <v>6</v>
      </c>
      <c r="K12" s="3">
        <f t="shared" si="11"/>
        <v>0</v>
      </c>
      <c r="L12" s="3">
        <f t="shared" si="11"/>
        <v>0</v>
      </c>
      <c r="M12" s="3">
        <f t="shared" si="1"/>
        <v>7</v>
      </c>
    </row>
    <row r="13" spans="1:13" ht="12.75" customHeight="1" x14ac:dyDescent="0.3">
      <c r="A13" s="1" t="s">
        <v>39</v>
      </c>
      <c r="B13" s="1" t="s">
        <v>30</v>
      </c>
      <c r="D13" s="1">
        <v>1</v>
      </c>
      <c r="H13" s="2" t="s">
        <v>33</v>
      </c>
      <c r="I13" s="3">
        <f t="shared" ref="I13:L13" si="12">SUM(C10+C11+C57+C125+C149)</f>
        <v>4</v>
      </c>
      <c r="J13" s="3">
        <f t="shared" si="12"/>
        <v>1</v>
      </c>
      <c r="K13" s="3">
        <f t="shared" si="12"/>
        <v>0</v>
      </c>
      <c r="L13" s="3">
        <f t="shared" si="12"/>
        <v>0</v>
      </c>
      <c r="M13" s="3">
        <f t="shared" si="1"/>
        <v>5</v>
      </c>
    </row>
    <row r="14" spans="1:13" ht="12.75" customHeight="1" x14ac:dyDescent="0.3">
      <c r="A14" s="1" t="s">
        <v>40</v>
      </c>
      <c r="B14" s="1" t="s">
        <v>19</v>
      </c>
      <c r="C14" s="1">
        <v>1</v>
      </c>
      <c r="I14" s="4"/>
      <c r="J14" s="4"/>
      <c r="K14" s="4"/>
      <c r="L14" s="4"/>
    </row>
    <row r="15" spans="1:13" ht="12.75" customHeight="1" x14ac:dyDescent="0.3">
      <c r="A15" s="1" t="s">
        <v>41</v>
      </c>
      <c r="B15" s="1" t="s">
        <v>42</v>
      </c>
      <c r="C15" s="1">
        <v>1</v>
      </c>
      <c r="I15" s="4"/>
      <c r="J15" s="4"/>
      <c r="K15" s="4"/>
      <c r="L15" s="4"/>
    </row>
    <row r="16" spans="1:13" ht="12.75" customHeight="1" x14ac:dyDescent="0.3">
      <c r="A16" s="1" t="s">
        <v>43</v>
      </c>
      <c r="B16" s="1" t="s">
        <v>30</v>
      </c>
      <c r="D16" s="1">
        <v>1</v>
      </c>
      <c r="I16" s="4"/>
      <c r="J16" s="4"/>
      <c r="K16" s="4"/>
      <c r="L16" s="4"/>
    </row>
    <row r="17" spans="1:12" ht="12.75" customHeight="1" x14ac:dyDescent="0.3">
      <c r="A17" s="1" t="s">
        <v>44</v>
      </c>
      <c r="B17" s="1" t="s">
        <v>13</v>
      </c>
      <c r="D17" s="1">
        <v>1</v>
      </c>
      <c r="I17" s="4"/>
      <c r="J17" s="4"/>
      <c r="K17" s="4"/>
      <c r="L17" s="4"/>
    </row>
    <row r="18" spans="1:12" ht="12.75" customHeight="1" x14ac:dyDescent="0.3">
      <c r="A18" s="1" t="s">
        <v>45</v>
      </c>
      <c r="B18" s="1" t="s">
        <v>37</v>
      </c>
      <c r="C18" s="1">
        <v>1</v>
      </c>
      <c r="I18" s="4"/>
      <c r="J18" s="4"/>
      <c r="K18" s="4"/>
      <c r="L18" s="4"/>
    </row>
    <row r="19" spans="1:12" ht="12.75" customHeight="1" x14ac:dyDescent="0.3">
      <c r="A19" s="1" t="s">
        <v>46</v>
      </c>
      <c r="B19" s="1" t="s">
        <v>13</v>
      </c>
      <c r="D19" s="1">
        <v>1</v>
      </c>
    </row>
    <row r="20" spans="1:12" ht="12.75" customHeight="1" x14ac:dyDescent="0.3">
      <c r="A20" s="1" t="s">
        <v>47</v>
      </c>
      <c r="B20" s="1" t="s">
        <v>16</v>
      </c>
      <c r="C20" s="1">
        <v>1</v>
      </c>
    </row>
    <row r="21" spans="1:12" ht="12.75" customHeight="1" x14ac:dyDescent="0.3">
      <c r="A21" s="1" t="s">
        <v>48</v>
      </c>
      <c r="B21" s="1" t="s">
        <v>38</v>
      </c>
      <c r="C21" s="1">
        <v>1</v>
      </c>
    </row>
    <row r="22" spans="1:12" ht="12.75" customHeight="1" x14ac:dyDescent="0.3">
      <c r="A22" s="1" t="s">
        <v>49</v>
      </c>
      <c r="B22" s="1" t="s">
        <v>14</v>
      </c>
      <c r="C22" s="1">
        <v>1</v>
      </c>
    </row>
    <row r="23" spans="1:12" ht="12.75" customHeight="1" x14ac:dyDescent="0.3">
      <c r="A23" s="1" t="s">
        <v>50</v>
      </c>
      <c r="B23" s="1" t="s">
        <v>13</v>
      </c>
      <c r="E23" s="1">
        <v>1</v>
      </c>
    </row>
    <row r="24" spans="1:12" ht="12.75" customHeight="1" x14ac:dyDescent="0.3">
      <c r="A24" s="1" t="s">
        <v>51</v>
      </c>
      <c r="B24" s="1" t="s">
        <v>38</v>
      </c>
      <c r="D24" s="1">
        <v>1</v>
      </c>
    </row>
    <row r="25" spans="1:12" ht="12.75" customHeight="1" x14ac:dyDescent="0.3">
      <c r="A25" s="1" t="s">
        <v>52</v>
      </c>
      <c r="B25" s="1" t="s">
        <v>30</v>
      </c>
      <c r="D25" s="1">
        <v>1</v>
      </c>
    </row>
    <row r="26" spans="1:12" ht="12.75" customHeight="1" x14ac:dyDescent="0.3">
      <c r="A26" s="1" t="s">
        <v>53</v>
      </c>
      <c r="B26" s="1" t="s">
        <v>19</v>
      </c>
      <c r="D26" s="1">
        <v>1</v>
      </c>
    </row>
    <row r="27" spans="1:12" ht="12.75" customHeight="1" x14ac:dyDescent="0.3">
      <c r="A27" s="1" t="s">
        <v>54</v>
      </c>
      <c r="B27" s="1" t="s">
        <v>19</v>
      </c>
      <c r="C27" s="1">
        <v>1</v>
      </c>
    </row>
    <row r="28" spans="1:12" ht="12.75" customHeight="1" x14ac:dyDescent="0.3">
      <c r="A28" s="1" t="s">
        <v>55</v>
      </c>
      <c r="B28" s="1" t="s">
        <v>37</v>
      </c>
      <c r="C28" s="1">
        <v>1</v>
      </c>
    </row>
    <row r="29" spans="1:12" ht="12.75" customHeight="1" x14ac:dyDescent="0.3">
      <c r="A29" s="1" t="s">
        <v>56</v>
      </c>
      <c r="B29" s="1" t="s">
        <v>27</v>
      </c>
      <c r="C29" s="1">
        <v>1</v>
      </c>
    </row>
    <row r="30" spans="1:12" ht="12.75" customHeight="1" x14ac:dyDescent="0.3">
      <c r="A30" s="1" t="s">
        <v>57</v>
      </c>
      <c r="B30" s="1" t="s">
        <v>27</v>
      </c>
      <c r="D30" s="1">
        <v>1</v>
      </c>
    </row>
    <row r="31" spans="1:12" ht="12.75" customHeight="1" x14ac:dyDescent="0.3">
      <c r="A31" s="1" t="s">
        <v>58</v>
      </c>
      <c r="B31" s="1" t="s">
        <v>30</v>
      </c>
      <c r="D31" s="1">
        <v>1</v>
      </c>
    </row>
    <row r="32" spans="1:12" ht="12.75" customHeight="1" x14ac:dyDescent="0.3">
      <c r="A32" s="1" t="s">
        <v>59</v>
      </c>
      <c r="B32" s="1" t="s">
        <v>24</v>
      </c>
      <c r="D32" s="1">
        <v>1</v>
      </c>
    </row>
    <row r="33" spans="1:12" ht="12.75" customHeight="1" x14ac:dyDescent="0.3">
      <c r="A33" s="1" t="s">
        <v>60</v>
      </c>
      <c r="B33" s="1" t="s">
        <v>27</v>
      </c>
      <c r="D33" s="1">
        <v>1</v>
      </c>
    </row>
    <row r="34" spans="1:12" ht="12.75" customHeight="1" x14ac:dyDescent="0.3">
      <c r="A34" s="1" t="s">
        <v>61</v>
      </c>
      <c r="B34" s="1" t="s">
        <v>38</v>
      </c>
      <c r="D34" s="1">
        <v>1</v>
      </c>
    </row>
    <row r="35" spans="1:12" ht="12.75" customHeight="1" x14ac:dyDescent="0.3">
      <c r="A35" s="1" t="s">
        <v>62</v>
      </c>
      <c r="B35" s="1" t="s">
        <v>30</v>
      </c>
      <c r="D35" s="1">
        <v>1</v>
      </c>
    </row>
    <row r="36" spans="1:12" ht="12.75" customHeight="1" x14ac:dyDescent="0.3">
      <c r="A36" s="1" t="s">
        <v>63</v>
      </c>
      <c r="B36" s="1" t="s">
        <v>21</v>
      </c>
      <c r="D36" s="1">
        <v>1</v>
      </c>
    </row>
    <row r="37" spans="1:12" ht="12.75" customHeight="1" x14ac:dyDescent="0.3">
      <c r="A37" s="1" t="s">
        <v>64</v>
      </c>
      <c r="B37" s="1" t="s">
        <v>14</v>
      </c>
      <c r="C37" s="1">
        <v>1</v>
      </c>
    </row>
    <row r="38" spans="1:12" ht="12.75" customHeight="1" x14ac:dyDescent="0.3">
      <c r="A38" s="1" t="s">
        <v>65</v>
      </c>
      <c r="B38" s="1" t="s">
        <v>66</v>
      </c>
      <c r="D38" s="1">
        <v>1</v>
      </c>
    </row>
    <row r="39" spans="1:12" ht="12.75" customHeight="1" x14ac:dyDescent="0.3">
      <c r="A39" s="1" t="s">
        <v>67</v>
      </c>
      <c r="B39" s="1" t="s">
        <v>16</v>
      </c>
      <c r="E39" s="1">
        <v>1</v>
      </c>
    </row>
    <row r="40" spans="1:12" ht="12.75" customHeight="1" x14ac:dyDescent="0.3">
      <c r="A40" s="1" t="s">
        <v>68</v>
      </c>
      <c r="B40" s="1" t="s">
        <v>38</v>
      </c>
      <c r="D40" s="1">
        <v>1</v>
      </c>
    </row>
    <row r="41" spans="1:12" ht="12.75" customHeight="1" x14ac:dyDescent="0.3">
      <c r="A41" s="1" t="s">
        <v>69</v>
      </c>
      <c r="B41" s="1" t="s">
        <v>37</v>
      </c>
      <c r="C41" s="1">
        <v>1</v>
      </c>
    </row>
    <row r="42" spans="1:12" ht="12.75" customHeight="1" x14ac:dyDescent="0.3">
      <c r="A42" s="1" t="s">
        <v>70</v>
      </c>
      <c r="B42" s="1" t="s">
        <v>66</v>
      </c>
      <c r="D42" s="1">
        <v>1</v>
      </c>
    </row>
    <row r="43" spans="1:12" ht="12.75" customHeight="1" x14ac:dyDescent="0.3">
      <c r="A43" s="1" t="s">
        <v>71</v>
      </c>
      <c r="B43" s="1" t="s">
        <v>30</v>
      </c>
      <c r="D43" s="1">
        <v>1</v>
      </c>
    </row>
    <row r="44" spans="1:12" ht="12.75" customHeight="1" x14ac:dyDescent="0.3">
      <c r="A44" s="1" t="s">
        <v>72</v>
      </c>
      <c r="B44" s="1" t="s">
        <v>27</v>
      </c>
      <c r="D44" s="1">
        <v>1</v>
      </c>
    </row>
    <row r="45" spans="1:12" ht="12.75" customHeight="1" x14ac:dyDescent="0.3">
      <c r="A45" s="1" t="s">
        <v>73</v>
      </c>
      <c r="B45" s="1" t="s">
        <v>30</v>
      </c>
      <c r="D45" s="1">
        <v>1</v>
      </c>
      <c r="H45" s="1" t="s">
        <v>6</v>
      </c>
      <c r="I45" s="1" t="s">
        <v>7</v>
      </c>
      <c r="J45" s="1" t="s">
        <v>8</v>
      </c>
      <c r="K45" s="1" t="s">
        <v>9</v>
      </c>
      <c r="L45" s="1" t="s">
        <v>10</v>
      </c>
    </row>
    <row r="46" spans="1:12" ht="12.75" customHeight="1" x14ac:dyDescent="0.3">
      <c r="A46" s="1" t="s">
        <v>74</v>
      </c>
      <c r="B46" s="1" t="s">
        <v>16</v>
      </c>
      <c r="E46" s="1">
        <v>1</v>
      </c>
      <c r="H46" s="2" t="s">
        <v>14</v>
      </c>
      <c r="I46" s="4">
        <f t="shared" ref="I46:I57" si="13">I2/M2</f>
        <v>1</v>
      </c>
      <c r="J46" s="4">
        <f t="shared" ref="J46:J57" si="14">J2/M2</f>
        <v>0</v>
      </c>
      <c r="K46" s="4">
        <f t="shared" ref="K46:K57" si="15">K2/M2</f>
        <v>0</v>
      </c>
      <c r="L46" s="4">
        <f t="shared" ref="L46:L57" si="16">L2/M2</f>
        <v>0</v>
      </c>
    </row>
    <row r="47" spans="1:12" ht="14.25" customHeight="1" x14ac:dyDescent="0.3">
      <c r="A47" s="1" t="s">
        <v>75</v>
      </c>
      <c r="B47" s="1" t="s">
        <v>66</v>
      </c>
      <c r="D47" s="1">
        <v>1</v>
      </c>
      <c r="H47" s="2" t="s">
        <v>17</v>
      </c>
      <c r="I47" s="4">
        <f t="shared" si="13"/>
        <v>0.5</v>
      </c>
      <c r="J47" s="4">
        <f t="shared" si="14"/>
        <v>0.41666666666666669</v>
      </c>
      <c r="K47" s="4">
        <f t="shared" si="15"/>
        <v>0</v>
      </c>
      <c r="L47" s="4">
        <f t="shared" si="16"/>
        <v>8.3333333333333329E-2</v>
      </c>
    </row>
    <row r="48" spans="1:12" ht="14.25" customHeight="1" x14ac:dyDescent="0.3">
      <c r="A48" s="1" t="s">
        <v>76</v>
      </c>
      <c r="B48" s="1" t="s">
        <v>13</v>
      </c>
      <c r="E48" s="1">
        <v>1</v>
      </c>
      <c r="H48" s="2" t="s">
        <v>19</v>
      </c>
      <c r="I48" s="4">
        <f t="shared" si="13"/>
        <v>0.8</v>
      </c>
      <c r="J48" s="4">
        <f t="shared" si="14"/>
        <v>0.2</v>
      </c>
      <c r="K48" s="4">
        <f t="shared" si="15"/>
        <v>0</v>
      </c>
      <c r="L48" s="4">
        <f t="shared" si="16"/>
        <v>0</v>
      </c>
    </row>
    <row r="49" spans="1:12" ht="13.5" customHeight="1" x14ac:dyDescent="0.3">
      <c r="A49" s="1" t="s">
        <v>77</v>
      </c>
      <c r="B49" s="1" t="s">
        <v>16</v>
      </c>
      <c r="E49" s="1">
        <v>1</v>
      </c>
      <c r="H49" s="2" t="s">
        <v>22</v>
      </c>
      <c r="I49" s="4">
        <f t="shared" si="13"/>
        <v>0</v>
      </c>
      <c r="J49" s="4">
        <f t="shared" si="14"/>
        <v>0.88888888888888884</v>
      </c>
      <c r="K49" s="4">
        <f t="shared" si="15"/>
        <v>0</v>
      </c>
      <c r="L49" s="4">
        <f t="shared" si="16"/>
        <v>0.1111111111111111</v>
      </c>
    </row>
    <row r="50" spans="1:12" ht="12.75" customHeight="1" x14ac:dyDescent="0.3">
      <c r="A50" s="1" t="s">
        <v>78</v>
      </c>
      <c r="B50" s="1" t="s">
        <v>24</v>
      </c>
      <c r="D50" s="1">
        <v>1</v>
      </c>
      <c r="H50" s="2" t="s">
        <v>25</v>
      </c>
      <c r="I50" s="4">
        <f t="shared" si="13"/>
        <v>1</v>
      </c>
      <c r="J50" s="4">
        <f t="shared" si="14"/>
        <v>0</v>
      </c>
      <c r="K50" s="4">
        <f t="shared" si="15"/>
        <v>0</v>
      </c>
      <c r="L50" s="4">
        <f t="shared" si="16"/>
        <v>0</v>
      </c>
    </row>
    <row r="51" spans="1:12" ht="14.25" customHeight="1" x14ac:dyDescent="0.3">
      <c r="A51" s="1" t="s">
        <v>79</v>
      </c>
      <c r="B51" s="1" t="s">
        <v>27</v>
      </c>
      <c r="D51" s="1">
        <v>1</v>
      </c>
      <c r="H51" s="2" t="s">
        <v>28</v>
      </c>
      <c r="I51" s="4">
        <f t="shared" si="13"/>
        <v>0.33333333333333331</v>
      </c>
      <c r="J51" s="4">
        <f t="shared" si="14"/>
        <v>8.3333333333333329E-2</v>
      </c>
      <c r="K51" s="4">
        <f t="shared" si="15"/>
        <v>0.58333333333333337</v>
      </c>
      <c r="L51" s="4">
        <f t="shared" si="16"/>
        <v>0</v>
      </c>
    </row>
    <row r="52" spans="1:12" ht="15" customHeight="1" x14ac:dyDescent="0.3">
      <c r="A52" s="1" t="s">
        <v>80</v>
      </c>
      <c r="B52" s="1" t="s">
        <v>24</v>
      </c>
      <c r="F52" s="1">
        <v>1</v>
      </c>
      <c r="H52" s="2" t="s">
        <v>27</v>
      </c>
      <c r="I52" s="4">
        <f t="shared" si="13"/>
        <v>6.6666666666666666E-2</v>
      </c>
      <c r="J52" s="4">
        <f t="shared" si="14"/>
        <v>0.8666666666666667</v>
      </c>
      <c r="K52" s="4">
        <f t="shared" si="15"/>
        <v>6.6666666666666666E-2</v>
      </c>
      <c r="L52" s="4">
        <f t="shared" si="16"/>
        <v>0</v>
      </c>
    </row>
    <row r="53" spans="1:12" ht="13.5" customHeight="1" x14ac:dyDescent="0.3">
      <c r="A53" s="1" t="s">
        <v>81</v>
      </c>
      <c r="B53" s="1" t="s">
        <v>66</v>
      </c>
      <c r="D53" s="1">
        <v>1</v>
      </c>
      <c r="H53" s="2" t="s">
        <v>13</v>
      </c>
      <c r="I53" s="4">
        <f t="shared" si="13"/>
        <v>0.1111111111111111</v>
      </c>
      <c r="J53" s="4">
        <f t="shared" si="14"/>
        <v>0.44444444444444442</v>
      </c>
      <c r="K53" s="4">
        <f t="shared" si="15"/>
        <v>0.44444444444444442</v>
      </c>
      <c r="L53" s="4">
        <f t="shared" si="16"/>
        <v>0</v>
      </c>
    </row>
    <row r="54" spans="1:12" ht="12.75" customHeight="1" x14ac:dyDescent="0.3">
      <c r="A54" s="1" t="s">
        <v>82</v>
      </c>
      <c r="B54" s="1" t="s">
        <v>16</v>
      </c>
      <c r="E54" s="1">
        <v>1</v>
      </c>
      <c r="H54" s="2" t="s">
        <v>30</v>
      </c>
      <c r="I54" s="4">
        <f t="shared" si="13"/>
        <v>0</v>
      </c>
      <c r="J54" s="4">
        <f t="shared" si="14"/>
        <v>1</v>
      </c>
      <c r="K54" s="4">
        <f t="shared" si="15"/>
        <v>0</v>
      </c>
      <c r="L54" s="4">
        <f t="shared" si="16"/>
        <v>0</v>
      </c>
    </row>
    <row r="55" spans="1:12" ht="12" customHeight="1" x14ac:dyDescent="0.3">
      <c r="A55" s="1" t="s">
        <v>83</v>
      </c>
      <c r="B55" s="1" t="s">
        <v>14</v>
      </c>
      <c r="C55" s="1">
        <v>1</v>
      </c>
      <c r="H55" s="2" t="s">
        <v>35</v>
      </c>
      <c r="I55" s="4">
        <f t="shared" si="13"/>
        <v>0</v>
      </c>
      <c r="J55" s="4">
        <f t="shared" si="14"/>
        <v>1</v>
      </c>
      <c r="K55" s="4">
        <f t="shared" si="15"/>
        <v>0</v>
      </c>
      <c r="L55" s="4">
        <f t="shared" si="16"/>
        <v>0</v>
      </c>
    </row>
    <row r="56" spans="1:12" ht="12" customHeight="1" x14ac:dyDescent="0.3">
      <c r="A56" s="1" t="s">
        <v>84</v>
      </c>
      <c r="B56" s="1" t="s">
        <v>21</v>
      </c>
      <c r="D56" s="1">
        <v>1</v>
      </c>
      <c r="H56" s="2" t="s">
        <v>38</v>
      </c>
      <c r="I56" s="4">
        <f t="shared" si="13"/>
        <v>0.14285714285714285</v>
      </c>
      <c r="J56" s="4">
        <f t="shared" si="14"/>
        <v>0.8571428571428571</v>
      </c>
      <c r="K56" s="4">
        <f t="shared" si="15"/>
        <v>0</v>
      </c>
      <c r="L56" s="4">
        <f t="shared" si="16"/>
        <v>0</v>
      </c>
    </row>
    <row r="57" spans="1:12" ht="12.75" customHeight="1" x14ac:dyDescent="0.3">
      <c r="A57" s="1" t="s">
        <v>85</v>
      </c>
      <c r="B57" s="1" t="s">
        <v>33</v>
      </c>
      <c r="C57" s="1">
        <v>1</v>
      </c>
      <c r="H57" s="2" t="s">
        <v>33</v>
      </c>
      <c r="I57" s="4">
        <f t="shared" si="13"/>
        <v>0.8</v>
      </c>
      <c r="J57" s="4">
        <f t="shared" si="14"/>
        <v>0.2</v>
      </c>
      <c r="K57" s="4">
        <f t="shared" si="15"/>
        <v>0</v>
      </c>
      <c r="L57" s="4">
        <f t="shared" si="16"/>
        <v>0</v>
      </c>
    </row>
    <row r="58" spans="1:12" ht="12.75" customHeight="1" x14ac:dyDescent="0.3">
      <c r="A58" s="1" t="s">
        <v>86</v>
      </c>
      <c r="B58" s="1" t="s">
        <v>24</v>
      </c>
      <c r="D58" s="1">
        <v>1</v>
      </c>
    </row>
    <row r="59" spans="1:12" ht="12.75" customHeight="1" x14ac:dyDescent="0.3">
      <c r="A59" s="1" t="s">
        <v>87</v>
      </c>
      <c r="B59" s="1" t="s">
        <v>37</v>
      </c>
      <c r="C59" s="1">
        <v>1</v>
      </c>
    </row>
    <row r="60" spans="1:12" ht="12.75" customHeight="1" x14ac:dyDescent="0.3">
      <c r="A60" s="1" t="s">
        <v>88</v>
      </c>
      <c r="B60" s="1" t="s">
        <v>27</v>
      </c>
      <c r="D60" s="1">
        <v>1</v>
      </c>
    </row>
    <row r="61" spans="1:12" ht="12.75" customHeight="1" x14ac:dyDescent="0.3">
      <c r="A61" s="1" t="s">
        <v>89</v>
      </c>
      <c r="B61" s="1" t="s">
        <v>13</v>
      </c>
      <c r="E61" s="1">
        <v>1</v>
      </c>
    </row>
    <row r="62" spans="1:12" ht="12.75" customHeight="1" x14ac:dyDescent="0.3">
      <c r="A62" s="1" t="s">
        <v>90</v>
      </c>
      <c r="B62" s="1" t="s">
        <v>19</v>
      </c>
      <c r="C62" s="1">
        <v>1</v>
      </c>
    </row>
    <row r="63" spans="1:12" ht="12.75" customHeight="1" x14ac:dyDescent="0.3">
      <c r="A63" s="1" t="s">
        <v>91</v>
      </c>
      <c r="B63" s="1" t="s">
        <v>21</v>
      </c>
      <c r="F63" s="1">
        <v>1</v>
      </c>
    </row>
    <row r="64" spans="1:12" ht="12.75" customHeight="1" x14ac:dyDescent="0.3">
      <c r="A64" s="1" t="s">
        <v>92</v>
      </c>
      <c r="B64" s="1" t="s">
        <v>42</v>
      </c>
      <c r="C64" s="1">
        <v>1</v>
      </c>
    </row>
    <row r="65" spans="1:4" ht="12.75" customHeight="1" x14ac:dyDescent="0.3">
      <c r="A65" s="1" t="s">
        <v>93</v>
      </c>
      <c r="B65" s="1" t="s">
        <v>14</v>
      </c>
      <c r="C65" s="1">
        <v>1</v>
      </c>
    </row>
    <row r="66" spans="1:4" ht="12.75" customHeight="1" x14ac:dyDescent="0.3">
      <c r="A66" s="1" t="s">
        <v>94</v>
      </c>
      <c r="B66" s="1" t="s">
        <v>14</v>
      </c>
      <c r="C66" s="1">
        <v>1</v>
      </c>
    </row>
    <row r="67" spans="1:4" ht="12.75" customHeight="1" x14ac:dyDescent="0.3">
      <c r="A67" s="1" t="s">
        <v>95</v>
      </c>
      <c r="B67" s="1" t="s">
        <v>38</v>
      </c>
      <c r="D67" s="1">
        <v>1</v>
      </c>
    </row>
    <row r="68" spans="1:4" ht="12.75" customHeight="1" x14ac:dyDescent="0.3">
      <c r="A68" s="1" t="s">
        <v>96</v>
      </c>
      <c r="B68" s="1" t="s">
        <v>19</v>
      </c>
      <c r="C68" s="1">
        <v>1</v>
      </c>
    </row>
    <row r="69" spans="1:4" ht="12.75" customHeight="1" x14ac:dyDescent="0.3">
      <c r="A69" s="1" t="s">
        <v>97</v>
      </c>
      <c r="B69" s="1" t="s">
        <v>24</v>
      </c>
      <c r="C69" s="1">
        <v>1</v>
      </c>
    </row>
    <row r="70" spans="1:4" ht="12.75" customHeight="1" x14ac:dyDescent="0.3">
      <c r="A70" s="1" t="s">
        <v>98</v>
      </c>
      <c r="B70" s="1" t="s">
        <v>30</v>
      </c>
      <c r="D70" s="1">
        <v>1</v>
      </c>
    </row>
    <row r="71" spans="1:4" ht="12.75" customHeight="1" x14ac:dyDescent="0.3">
      <c r="A71" s="1" t="s">
        <v>99</v>
      </c>
      <c r="B71" s="1" t="s">
        <v>30</v>
      </c>
      <c r="D71" s="1">
        <v>1</v>
      </c>
    </row>
    <row r="72" spans="1:4" ht="12.75" customHeight="1" x14ac:dyDescent="0.3">
      <c r="A72" s="1" t="s">
        <v>100</v>
      </c>
      <c r="B72" s="1" t="s">
        <v>27</v>
      </c>
      <c r="D72" s="1">
        <v>1</v>
      </c>
    </row>
    <row r="73" spans="1:4" ht="12.75" customHeight="1" x14ac:dyDescent="0.3">
      <c r="A73" s="1" t="s">
        <v>101</v>
      </c>
      <c r="B73" s="1" t="s">
        <v>21</v>
      </c>
      <c r="D73" s="1">
        <v>1</v>
      </c>
    </row>
    <row r="74" spans="1:4" ht="12.75" customHeight="1" x14ac:dyDescent="0.3">
      <c r="A74" s="1" t="s">
        <v>102</v>
      </c>
      <c r="B74" s="1" t="s">
        <v>66</v>
      </c>
      <c r="D74" s="1">
        <v>1</v>
      </c>
    </row>
    <row r="75" spans="1:4" ht="12.75" customHeight="1" x14ac:dyDescent="0.3">
      <c r="A75" s="1" t="s">
        <v>103</v>
      </c>
      <c r="B75" s="1" t="s">
        <v>30</v>
      </c>
      <c r="D75" s="1">
        <v>1</v>
      </c>
    </row>
    <row r="76" spans="1:4" ht="12.75" customHeight="1" x14ac:dyDescent="0.3">
      <c r="A76" s="1" t="s">
        <v>104</v>
      </c>
      <c r="B76" s="1" t="s">
        <v>24</v>
      </c>
      <c r="C76" s="1">
        <v>1</v>
      </c>
    </row>
    <row r="77" spans="1:4" ht="12.75" customHeight="1" x14ac:dyDescent="0.3">
      <c r="A77" s="1" t="s">
        <v>105</v>
      </c>
      <c r="B77" s="1" t="s">
        <v>66</v>
      </c>
      <c r="D77" s="1">
        <v>1</v>
      </c>
    </row>
    <row r="78" spans="1:4" ht="12.75" customHeight="1" x14ac:dyDescent="0.3">
      <c r="A78" s="1" t="s">
        <v>106</v>
      </c>
      <c r="B78" s="1" t="s">
        <v>42</v>
      </c>
      <c r="C78" s="1">
        <v>1</v>
      </c>
    </row>
    <row r="79" spans="1:4" ht="12.75" customHeight="1" x14ac:dyDescent="0.3">
      <c r="A79" s="1" t="s">
        <v>107</v>
      </c>
      <c r="B79" s="1" t="s">
        <v>27</v>
      </c>
      <c r="D79" s="1">
        <v>1</v>
      </c>
    </row>
    <row r="80" spans="1:4" ht="12.75" customHeight="1" x14ac:dyDescent="0.3">
      <c r="A80" s="1" t="s">
        <v>108</v>
      </c>
      <c r="B80" s="1" t="s">
        <v>66</v>
      </c>
      <c r="D80" s="1">
        <v>1</v>
      </c>
    </row>
    <row r="81" spans="1:5" ht="12.75" customHeight="1" x14ac:dyDescent="0.3">
      <c r="A81" s="1" t="s">
        <v>109</v>
      </c>
      <c r="B81" s="1" t="s">
        <v>30</v>
      </c>
      <c r="D81" s="1">
        <v>1</v>
      </c>
    </row>
    <row r="82" spans="1:5" ht="12.75" customHeight="1" x14ac:dyDescent="0.3">
      <c r="A82" s="1" t="s">
        <v>110</v>
      </c>
      <c r="B82" s="1" t="s">
        <v>37</v>
      </c>
      <c r="C82" s="1">
        <v>1</v>
      </c>
    </row>
    <row r="83" spans="1:5" ht="12.75" customHeight="1" x14ac:dyDescent="0.3">
      <c r="A83" s="1" t="s">
        <v>111</v>
      </c>
      <c r="B83" s="1" t="s">
        <v>37</v>
      </c>
      <c r="C83" s="1">
        <v>1</v>
      </c>
    </row>
    <row r="84" spans="1:5" ht="12.75" customHeight="1" x14ac:dyDescent="0.3">
      <c r="A84" s="1" t="s">
        <v>112</v>
      </c>
      <c r="B84" s="1" t="s">
        <v>38</v>
      </c>
      <c r="D84" s="1">
        <v>1</v>
      </c>
    </row>
    <row r="85" spans="1:5" ht="12.75" customHeight="1" x14ac:dyDescent="0.3">
      <c r="A85" s="1" t="s">
        <v>113</v>
      </c>
      <c r="B85" s="1" t="s">
        <v>21</v>
      </c>
      <c r="D85" s="1">
        <v>1</v>
      </c>
    </row>
    <row r="86" spans="1:5" ht="12.75" customHeight="1" x14ac:dyDescent="0.3">
      <c r="A86" s="1" t="s">
        <v>114</v>
      </c>
      <c r="B86" s="1" t="s">
        <v>42</v>
      </c>
      <c r="C86" s="1">
        <v>1</v>
      </c>
    </row>
    <row r="87" spans="1:5" ht="12.75" customHeight="1" x14ac:dyDescent="0.3">
      <c r="A87" s="1" t="s">
        <v>115</v>
      </c>
      <c r="B87" s="1" t="s">
        <v>21</v>
      </c>
      <c r="D87" s="1">
        <v>1</v>
      </c>
    </row>
    <row r="88" spans="1:5" ht="12.75" customHeight="1" x14ac:dyDescent="0.3">
      <c r="A88" s="1" t="s">
        <v>116</v>
      </c>
      <c r="B88" s="1" t="s">
        <v>30</v>
      </c>
      <c r="D88" s="1">
        <v>1</v>
      </c>
    </row>
    <row r="89" spans="1:5" ht="12.75" customHeight="1" x14ac:dyDescent="0.3">
      <c r="A89" s="1" t="s">
        <v>117</v>
      </c>
      <c r="B89" s="1" t="s">
        <v>16</v>
      </c>
      <c r="C89" s="1">
        <v>1</v>
      </c>
    </row>
    <row r="90" spans="1:5" ht="12.75" customHeight="1" x14ac:dyDescent="0.3">
      <c r="A90" s="1" t="s">
        <v>118</v>
      </c>
      <c r="B90" s="1" t="s">
        <v>16</v>
      </c>
      <c r="D90" s="1">
        <v>1</v>
      </c>
    </row>
    <row r="91" spans="1:5" ht="12.75" customHeight="1" x14ac:dyDescent="0.3">
      <c r="A91" s="1" t="s">
        <v>119</v>
      </c>
      <c r="B91" s="1" t="s">
        <v>66</v>
      </c>
      <c r="D91" s="1">
        <v>1</v>
      </c>
    </row>
    <row r="92" spans="1:5" ht="12.75" customHeight="1" x14ac:dyDescent="0.3">
      <c r="A92" s="1" t="s">
        <v>120</v>
      </c>
      <c r="B92" s="1" t="s">
        <v>13</v>
      </c>
      <c r="E92" s="1">
        <v>1</v>
      </c>
    </row>
    <row r="93" spans="1:5" ht="12.75" customHeight="1" x14ac:dyDescent="0.3">
      <c r="A93" s="1" t="s">
        <v>121</v>
      </c>
      <c r="B93" s="1" t="s">
        <v>30</v>
      </c>
      <c r="D93" s="1">
        <v>1</v>
      </c>
    </row>
    <row r="94" spans="1:5" ht="12.75" customHeight="1" x14ac:dyDescent="0.3">
      <c r="A94" s="1" t="s">
        <v>122</v>
      </c>
      <c r="B94" s="1" t="s">
        <v>24</v>
      </c>
      <c r="D94" s="1">
        <v>1</v>
      </c>
    </row>
    <row r="95" spans="1:5" ht="12.75" customHeight="1" x14ac:dyDescent="0.3">
      <c r="A95" s="1" t="s">
        <v>123</v>
      </c>
      <c r="B95" s="1" t="s">
        <v>21</v>
      </c>
      <c r="D95" s="1">
        <v>1</v>
      </c>
    </row>
    <row r="96" spans="1:5" ht="12.75" customHeight="1" x14ac:dyDescent="0.3">
      <c r="A96" s="1" t="s">
        <v>124</v>
      </c>
      <c r="B96" s="1" t="s">
        <v>14</v>
      </c>
      <c r="C96" s="1">
        <v>1</v>
      </c>
    </row>
    <row r="97" spans="1:5" ht="12.75" customHeight="1" x14ac:dyDescent="0.3">
      <c r="A97" s="1" t="s">
        <v>125</v>
      </c>
      <c r="B97" s="1" t="s">
        <v>66</v>
      </c>
      <c r="D97" s="1">
        <v>1</v>
      </c>
    </row>
    <row r="98" spans="1:5" ht="12.75" customHeight="1" x14ac:dyDescent="0.3">
      <c r="A98" s="1" t="s">
        <v>126</v>
      </c>
      <c r="B98" s="1" t="s">
        <v>30</v>
      </c>
      <c r="D98" s="1">
        <v>1</v>
      </c>
    </row>
    <row r="99" spans="1:5" ht="12.75" customHeight="1" x14ac:dyDescent="0.3">
      <c r="A99" s="1" t="s">
        <v>127</v>
      </c>
      <c r="B99" s="1" t="s">
        <v>27</v>
      </c>
      <c r="D99" s="1">
        <v>1</v>
      </c>
    </row>
    <row r="100" spans="1:5" ht="12.75" customHeight="1" x14ac:dyDescent="0.3">
      <c r="A100" s="1" t="s">
        <v>128</v>
      </c>
      <c r="B100" s="1" t="s">
        <v>30</v>
      </c>
      <c r="D100" s="1">
        <v>1</v>
      </c>
    </row>
    <row r="101" spans="1:5" ht="12.75" customHeight="1" x14ac:dyDescent="0.3">
      <c r="A101" s="1" t="s">
        <v>129</v>
      </c>
      <c r="B101" s="1" t="s">
        <v>27</v>
      </c>
      <c r="D101" s="1">
        <v>1</v>
      </c>
    </row>
    <row r="102" spans="1:5" ht="12.75" customHeight="1" x14ac:dyDescent="0.3">
      <c r="A102" s="1" t="s">
        <v>130</v>
      </c>
      <c r="B102" s="1" t="s">
        <v>16</v>
      </c>
      <c r="C102" s="1">
        <v>1</v>
      </c>
    </row>
    <row r="103" spans="1:5" ht="12.75" customHeight="1" x14ac:dyDescent="0.3">
      <c r="A103" s="1" t="s">
        <v>131</v>
      </c>
      <c r="B103" s="1" t="s">
        <v>66</v>
      </c>
      <c r="D103" s="1">
        <v>1</v>
      </c>
    </row>
    <row r="104" spans="1:5" ht="12.75" customHeight="1" x14ac:dyDescent="0.3">
      <c r="A104" s="1" t="s">
        <v>132</v>
      </c>
      <c r="B104" s="1" t="s">
        <v>30</v>
      </c>
      <c r="D104" s="1">
        <v>1</v>
      </c>
    </row>
    <row r="105" spans="1:5" ht="12.75" customHeight="1" x14ac:dyDescent="0.3">
      <c r="A105" s="1" t="s">
        <v>133</v>
      </c>
      <c r="B105" s="1" t="s">
        <v>14</v>
      </c>
      <c r="C105" s="1">
        <v>1</v>
      </c>
    </row>
    <row r="106" spans="1:5" ht="12.75" customHeight="1" x14ac:dyDescent="0.3">
      <c r="A106" s="1" t="s">
        <v>134</v>
      </c>
      <c r="B106" s="1" t="s">
        <v>42</v>
      </c>
      <c r="C106" s="1">
        <v>1</v>
      </c>
    </row>
    <row r="107" spans="1:5" ht="12.75" customHeight="1" x14ac:dyDescent="0.3">
      <c r="A107" s="1" t="s">
        <v>135</v>
      </c>
      <c r="B107" s="1" t="s">
        <v>27</v>
      </c>
      <c r="D107" s="1">
        <v>1</v>
      </c>
    </row>
    <row r="108" spans="1:5" ht="12.75" customHeight="1" x14ac:dyDescent="0.3">
      <c r="A108" s="1" t="s">
        <v>136</v>
      </c>
      <c r="B108" s="1" t="s">
        <v>66</v>
      </c>
      <c r="D108" s="1">
        <v>1</v>
      </c>
    </row>
    <row r="109" spans="1:5" ht="12.75" customHeight="1" x14ac:dyDescent="0.3">
      <c r="A109" s="1" t="s">
        <v>137</v>
      </c>
      <c r="B109" s="1" t="s">
        <v>13</v>
      </c>
      <c r="D109" s="1">
        <v>1</v>
      </c>
    </row>
    <row r="110" spans="1:5" ht="12.75" customHeight="1" x14ac:dyDescent="0.3">
      <c r="A110" s="1" t="s">
        <v>138</v>
      </c>
      <c r="B110" s="1" t="s">
        <v>42</v>
      </c>
      <c r="C110" s="1">
        <v>1</v>
      </c>
    </row>
    <row r="111" spans="1:5" ht="12.75" customHeight="1" x14ac:dyDescent="0.3">
      <c r="A111" s="1" t="s">
        <v>139</v>
      </c>
      <c r="B111" s="1" t="s">
        <v>27</v>
      </c>
      <c r="E111" s="1">
        <v>1</v>
      </c>
    </row>
    <row r="112" spans="1:5" ht="12.75" customHeight="1" x14ac:dyDescent="0.3">
      <c r="A112" s="1" t="s">
        <v>140</v>
      </c>
      <c r="B112" s="1" t="s">
        <v>16</v>
      </c>
      <c r="E112" s="1">
        <v>1</v>
      </c>
    </row>
    <row r="113" spans="1:6" ht="12.75" customHeight="1" x14ac:dyDescent="0.3">
      <c r="A113" s="1" t="s">
        <v>141</v>
      </c>
      <c r="B113" s="1" t="s">
        <v>14</v>
      </c>
      <c r="C113" s="1">
        <v>1</v>
      </c>
    </row>
    <row r="114" spans="1:6" ht="12.75" customHeight="1" x14ac:dyDescent="0.3">
      <c r="A114" s="1" t="s">
        <v>142</v>
      </c>
      <c r="B114" s="1" t="s">
        <v>16</v>
      </c>
      <c r="E114" s="1">
        <v>1</v>
      </c>
    </row>
    <row r="115" spans="1:6" ht="12.75" customHeight="1" x14ac:dyDescent="0.3">
      <c r="A115" s="1" t="s">
        <v>143</v>
      </c>
      <c r="B115" s="1" t="s">
        <v>24</v>
      </c>
      <c r="D115" s="1">
        <v>1</v>
      </c>
    </row>
    <row r="116" spans="1:6" ht="12.75" customHeight="1" x14ac:dyDescent="0.3">
      <c r="A116" s="1" t="s">
        <v>144</v>
      </c>
      <c r="B116" s="1" t="s">
        <v>66</v>
      </c>
      <c r="D116" s="1">
        <v>1</v>
      </c>
    </row>
    <row r="117" spans="1:6" ht="12.75" customHeight="1" x14ac:dyDescent="0.3">
      <c r="A117" s="1" t="s">
        <v>145</v>
      </c>
      <c r="B117" s="1" t="s">
        <v>27</v>
      </c>
      <c r="D117" s="1">
        <v>1</v>
      </c>
    </row>
    <row r="118" spans="1:6" ht="12.75" customHeight="1" x14ac:dyDescent="0.3">
      <c r="A118" s="1" t="s">
        <v>146</v>
      </c>
      <c r="B118" s="1" t="s">
        <v>30</v>
      </c>
      <c r="D118" s="1">
        <v>1</v>
      </c>
    </row>
    <row r="119" spans="1:6" ht="12.75" customHeight="1" x14ac:dyDescent="0.3">
      <c r="A119" s="1" t="s">
        <v>147</v>
      </c>
      <c r="B119" s="1" t="s">
        <v>42</v>
      </c>
      <c r="C119" s="1">
        <v>1</v>
      </c>
    </row>
    <row r="120" spans="1:6" ht="12.75" customHeight="1" x14ac:dyDescent="0.3">
      <c r="A120" s="1" t="s">
        <v>148</v>
      </c>
      <c r="B120" s="1" t="s">
        <v>13</v>
      </c>
      <c r="D120" s="1">
        <v>1</v>
      </c>
    </row>
    <row r="121" spans="1:6" ht="12.75" customHeight="1" x14ac:dyDescent="0.3">
      <c r="A121" s="1" t="s">
        <v>149</v>
      </c>
      <c r="B121" s="1" t="s">
        <v>150</v>
      </c>
      <c r="F121" s="1">
        <v>1</v>
      </c>
    </row>
    <row r="122" spans="1:6" ht="12.75" customHeight="1" x14ac:dyDescent="0.3">
      <c r="A122" s="1" t="s">
        <v>151</v>
      </c>
      <c r="B122" s="1" t="s">
        <v>24</v>
      </c>
      <c r="C122" s="1">
        <v>1</v>
      </c>
    </row>
    <row r="123" spans="1:6" ht="12.75" customHeight="1" x14ac:dyDescent="0.3">
      <c r="A123" s="1" t="s">
        <v>152</v>
      </c>
      <c r="B123" s="1" t="s">
        <v>24</v>
      </c>
      <c r="C123" s="1">
        <v>1</v>
      </c>
    </row>
    <row r="124" spans="1:6" ht="12.75" customHeight="1" x14ac:dyDescent="0.3">
      <c r="A124" s="1" t="s">
        <v>153</v>
      </c>
      <c r="B124" s="1" t="s">
        <v>19</v>
      </c>
      <c r="C124" s="1">
        <v>1</v>
      </c>
    </row>
    <row r="125" spans="1:6" ht="12.75" customHeight="1" x14ac:dyDescent="0.3">
      <c r="A125" s="1" t="s">
        <v>154</v>
      </c>
      <c r="B125" s="1" t="s">
        <v>33</v>
      </c>
      <c r="C125" s="1">
        <v>1</v>
      </c>
    </row>
    <row r="126" spans="1:6" ht="12.75" customHeight="1" x14ac:dyDescent="0.3">
      <c r="A126" s="1" t="s">
        <v>155</v>
      </c>
      <c r="B126" s="1" t="s">
        <v>13</v>
      </c>
      <c r="D126" s="1">
        <v>1</v>
      </c>
    </row>
    <row r="127" spans="1:6" ht="12.75" customHeight="1" x14ac:dyDescent="0.3">
      <c r="A127" s="1" t="s">
        <v>156</v>
      </c>
      <c r="B127" s="1" t="s">
        <v>13</v>
      </c>
      <c r="D127" s="1">
        <v>1</v>
      </c>
    </row>
    <row r="128" spans="1:6" ht="12.75" customHeight="1" x14ac:dyDescent="0.3">
      <c r="A128" s="1" t="s">
        <v>157</v>
      </c>
      <c r="B128" s="1" t="s">
        <v>14</v>
      </c>
      <c r="C128" s="1">
        <v>1</v>
      </c>
    </row>
    <row r="129" spans="1:5" ht="12.75" customHeight="1" x14ac:dyDescent="0.3">
      <c r="A129" s="1" t="s">
        <v>158</v>
      </c>
      <c r="B129" s="1" t="s">
        <v>16</v>
      </c>
      <c r="E129" s="1">
        <v>1</v>
      </c>
    </row>
    <row r="130" spans="1:5" ht="12.75" customHeight="1" x14ac:dyDescent="0.3">
      <c r="A130" s="1" t="s">
        <v>159</v>
      </c>
      <c r="B130" s="1" t="s">
        <v>13</v>
      </c>
      <c r="C130" s="1">
        <v>1</v>
      </c>
    </row>
    <row r="131" spans="1:5" ht="12.75" customHeight="1" x14ac:dyDescent="0.3">
      <c r="A131" s="1" t="s">
        <v>160</v>
      </c>
      <c r="B131" s="1" t="s">
        <v>66</v>
      </c>
      <c r="D131" s="1">
        <v>1</v>
      </c>
    </row>
    <row r="132" spans="1:5" ht="12.75" customHeight="1" x14ac:dyDescent="0.3">
      <c r="A132" s="1" t="s">
        <v>161</v>
      </c>
      <c r="B132" s="1" t="s">
        <v>38</v>
      </c>
      <c r="D132" s="1">
        <v>1</v>
      </c>
    </row>
    <row r="133" spans="1:5" ht="12.75" customHeight="1" x14ac:dyDescent="0.3">
      <c r="A133" s="1" t="s">
        <v>162</v>
      </c>
      <c r="B133" s="1" t="s">
        <v>13</v>
      </c>
      <c r="D133" s="1">
        <v>1</v>
      </c>
    </row>
    <row r="134" spans="1:5" ht="12.75" customHeight="1" x14ac:dyDescent="0.3">
      <c r="A134" s="1" t="s">
        <v>163</v>
      </c>
      <c r="B134" s="1" t="s">
        <v>66</v>
      </c>
      <c r="D134" s="1">
        <v>1</v>
      </c>
    </row>
    <row r="135" spans="1:5" ht="12.75" customHeight="1" x14ac:dyDescent="0.3">
      <c r="A135" s="1" t="s">
        <v>164</v>
      </c>
      <c r="B135" s="1" t="s">
        <v>21</v>
      </c>
      <c r="D135" s="1">
        <v>1</v>
      </c>
    </row>
    <row r="136" spans="1:5" ht="12.75" customHeight="1" x14ac:dyDescent="0.3">
      <c r="A136" s="1" t="s">
        <v>165</v>
      </c>
      <c r="B136" s="1" t="s">
        <v>30</v>
      </c>
      <c r="D136" s="1">
        <v>1</v>
      </c>
    </row>
    <row r="137" spans="1:5" ht="12.75" customHeight="1" x14ac:dyDescent="0.3">
      <c r="A137" s="1" t="s">
        <v>166</v>
      </c>
      <c r="B137" s="1" t="s">
        <v>30</v>
      </c>
      <c r="D137" s="1">
        <v>1</v>
      </c>
    </row>
    <row r="138" spans="1:5" ht="12.75" customHeight="1" x14ac:dyDescent="0.3">
      <c r="A138" s="1" t="s">
        <v>167</v>
      </c>
      <c r="B138" s="1" t="s">
        <v>19</v>
      </c>
      <c r="C138" s="1">
        <v>1</v>
      </c>
    </row>
    <row r="139" spans="1:5" ht="12.75" customHeight="1" x14ac:dyDescent="0.3">
      <c r="A139" s="1" t="s">
        <v>168</v>
      </c>
      <c r="B139" s="1" t="s">
        <v>13</v>
      </c>
      <c r="D139" s="1">
        <v>1</v>
      </c>
    </row>
    <row r="140" spans="1:5" ht="12.75" customHeight="1" x14ac:dyDescent="0.3">
      <c r="A140" s="1" t="s">
        <v>169</v>
      </c>
      <c r="B140" s="1" t="s">
        <v>27</v>
      </c>
      <c r="D140" s="1">
        <v>1</v>
      </c>
    </row>
    <row r="141" spans="1:5" ht="12.75" customHeight="1" x14ac:dyDescent="0.3">
      <c r="A141" s="1" t="s">
        <v>170</v>
      </c>
      <c r="B141" s="1" t="s">
        <v>16</v>
      </c>
      <c r="E141" s="1">
        <v>1</v>
      </c>
    </row>
    <row r="142" spans="1:5" ht="12.75" customHeight="1" x14ac:dyDescent="0.3">
      <c r="A142" s="1" t="s">
        <v>171</v>
      </c>
      <c r="B142" s="1" t="s">
        <v>19</v>
      </c>
      <c r="C142" s="1">
        <v>1</v>
      </c>
    </row>
    <row r="143" spans="1:5" ht="12.75" customHeight="1" x14ac:dyDescent="0.3">
      <c r="A143" s="1" t="s">
        <v>172</v>
      </c>
      <c r="B143" s="1" t="s">
        <v>37</v>
      </c>
      <c r="C143" s="1">
        <v>1</v>
      </c>
    </row>
    <row r="144" spans="1:5" ht="12.75" customHeight="1" x14ac:dyDescent="0.3">
      <c r="A144" s="1" t="s">
        <v>173</v>
      </c>
      <c r="B144" s="1" t="s">
        <v>27</v>
      </c>
      <c r="D144" s="1">
        <v>1</v>
      </c>
    </row>
    <row r="145" spans="1:4" ht="12.75" customHeight="1" x14ac:dyDescent="0.3">
      <c r="A145" s="1" t="s">
        <v>174</v>
      </c>
      <c r="B145" s="1" t="s">
        <v>66</v>
      </c>
      <c r="D145" s="1">
        <v>1</v>
      </c>
    </row>
    <row r="146" spans="1:4" ht="12.75" customHeight="1" x14ac:dyDescent="0.3">
      <c r="A146" s="1" t="s">
        <v>175</v>
      </c>
      <c r="B146" s="1" t="s">
        <v>14</v>
      </c>
      <c r="C146" s="1">
        <v>1</v>
      </c>
    </row>
    <row r="147" spans="1:4" ht="12.75" customHeight="1" x14ac:dyDescent="0.3">
      <c r="A147" s="1" t="s">
        <v>176</v>
      </c>
      <c r="B147" s="1" t="s">
        <v>66</v>
      </c>
      <c r="D147" s="1">
        <v>1</v>
      </c>
    </row>
    <row r="148" spans="1:4" ht="12.75" customHeight="1" x14ac:dyDescent="0.3">
      <c r="A148" s="1" t="s">
        <v>177</v>
      </c>
      <c r="B148" s="1" t="s">
        <v>42</v>
      </c>
      <c r="C148" s="1">
        <v>1</v>
      </c>
    </row>
    <row r="149" spans="1:4" ht="12.75" customHeight="1" x14ac:dyDescent="0.3">
      <c r="A149" s="1" t="s">
        <v>178</v>
      </c>
      <c r="B149" s="1" t="s">
        <v>33</v>
      </c>
      <c r="D149" s="1">
        <v>1</v>
      </c>
    </row>
    <row r="150" spans="1:4" ht="12.75" customHeight="1" x14ac:dyDescent="0.3">
      <c r="A150" s="1" t="s">
        <v>179</v>
      </c>
      <c r="B150" s="1" t="s">
        <v>14</v>
      </c>
      <c r="C150" s="1">
        <v>1</v>
      </c>
    </row>
    <row r="151" spans="1:4" ht="12.75" customHeight="1" x14ac:dyDescent="0.3">
      <c r="A151" s="1" t="s">
        <v>180</v>
      </c>
      <c r="B151" s="1" t="s">
        <v>13</v>
      </c>
      <c r="D151" s="1">
        <v>1</v>
      </c>
    </row>
    <row r="152" spans="1:4" ht="12.75" customHeight="1" x14ac:dyDescent="0.3">
      <c r="A152" s="1" t="s">
        <v>181</v>
      </c>
      <c r="B152" s="1" t="s">
        <v>24</v>
      </c>
      <c r="C152" s="1">
        <v>1</v>
      </c>
    </row>
    <row r="153" spans="1:4" ht="12.75" customHeight="1" x14ac:dyDescent="0.3">
      <c r="A153" s="1" t="s">
        <v>182</v>
      </c>
      <c r="B153" s="1" t="s">
        <v>19</v>
      </c>
      <c r="D153" s="1">
        <v>1</v>
      </c>
    </row>
    <row r="154" spans="1:4" ht="12.75" customHeight="1" x14ac:dyDescent="0.3">
      <c r="A154" s="1" t="s">
        <v>183</v>
      </c>
      <c r="B154" s="1" t="s">
        <v>42</v>
      </c>
      <c r="C154" s="1">
        <v>1</v>
      </c>
    </row>
    <row r="155" spans="1:4" ht="12.75" customHeight="1" x14ac:dyDescent="0.3">
      <c r="A155" s="1" t="s">
        <v>184</v>
      </c>
      <c r="B155" s="1" t="s">
        <v>19</v>
      </c>
      <c r="C155" s="1">
        <v>1</v>
      </c>
    </row>
    <row r="156" spans="1:4" ht="12.75" customHeight="1" x14ac:dyDescent="0.3">
      <c r="A156" s="1" t="s">
        <v>185</v>
      </c>
      <c r="B156" s="1" t="s">
        <v>30</v>
      </c>
      <c r="D156" s="1">
        <v>1</v>
      </c>
    </row>
    <row r="157" spans="1:4" ht="12.75" customHeight="1" x14ac:dyDescent="0.3"/>
    <row r="158" spans="1:4" ht="12.75" customHeight="1" x14ac:dyDescent="0.3"/>
    <row r="159" spans="1:4" ht="12.75" customHeight="1" x14ac:dyDescent="0.3"/>
    <row r="160" spans="1:4" ht="12.75" customHeight="1" x14ac:dyDescent="0.3"/>
    <row r="161" s="1" customFormat="1" ht="12.75" customHeight="1" x14ac:dyDescent="0.3"/>
    <row r="162" s="1" customFormat="1" ht="12.75" customHeight="1" x14ac:dyDescent="0.3"/>
    <row r="163" s="1" customFormat="1" ht="12.75" customHeight="1" x14ac:dyDescent="0.3"/>
    <row r="164" s="1" customFormat="1" ht="12.75" customHeight="1" x14ac:dyDescent="0.3"/>
    <row r="165" s="1" customFormat="1" ht="12.75" customHeight="1" x14ac:dyDescent="0.3"/>
    <row r="166" s="1" customFormat="1" ht="12.75" customHeight="1" x14ac:dyDescent="0.3"/>
    <row r="167" s="1" customFormat="1" ht="12.75" customHeight="1" x14ac:dyDescent="0.3"/>
    <row r="168" s="1" customFormat="1" ht="12.75" customHeight="1" x14ac:dyDescent="0.3"/>
    <row r="169" s="1" customFormat="1" ht="12.75" customHeight="1" x14ac:dyDescent="0.3"/>
    <row r="170" s="1" customFormat="1" ht="12.75" customHeight="1" x14ac:dyDescent="0.3"/>
    <row r="171" s="1" customFormat="1" ht="12.75" customHeight="1" x14ac:dyDescent="0.3"/>
    <row r="172" s="1" customFormat="1" ht="12.75" customHeight="1" x14ac:dyDescent="0.3"/>
    <row r="173" s="1" customFormat="1" ht="12.75" customHeight="1" x14ac:dyDescent="0.3"/>
    <row r="174" s="1" customFormat="1" ht="12.75" customHeight="1" x14ac:dyDescent="0.3"/>
    <row r="175" s="1" customFormat="1" ht="12.75" customHeight="1" x14ac:dyDescent="0.3"/>
    <row r="176" s="1" customFormat="1" ht="12.75" customHeight="1" x14ac:dyDescent="0.3"/>
    <row r="177" s="1" customFormat="1" ht="12.75" customHeight="1" x14ac:dyDescent="0.3"/>
    <row r="178" s="1" customFormat="1" ht="12.75" customHeight="1" x14ac:dyDescent="0.3"/>
    <row r="179" s="1" customFormat="1" ht="12.75" customHeight="1" x14ac:dyDescent="0.3"/>
    <row r="180" s="1" customFormat="1" ht="12.75" customHeight="1" x14ac:dyDescent="0.3"/>
    <row r="181" s="1" customFormat="1" ht="12.75" customHeight="1" x14ac:dyDescent="0.3"/>
    <row r="182" s="1" customFormat="1" ht="12.75" customHeight="1" x14ac:dyDescent="0.3"/>
    <row r="183" s="1" customFormat="1" ht="12.75" customHeight="1" x14ac:dyDescent="0.3"/>
    <row r="184" s="1" customFormat="1" ht="12.75" customHeight="1" x14ac:dyDescent="0.3"/>
    <row r="185" s="1" customFormat="1" ht="12.75" customHeight="1" x14ac:dyDescent="0.3"/>
    <row r="186" s="1" customFormat="1" ht="12.75" customHeight="1" x14ac:dyDescent="0.3"/>
    <row r="187" s="1" customFormat="1" ht="12.75" customHeight="1" x14ac:dyDescent="0.3"/>
    <row r="188" s="1" customFormat="1" ht="12.75" customHeight="1" x14ac:dyDescent="0.3"/>
    <row r="189" s="1" customFormat="1" ht="12.75" customHeight="1" x14ac:dyDescent="0.3"/>
    <row r="190" s="1" customFormat="1" ht="12.75" customHeight="1" x14ac:dyDescent="0.3"/>
    <row r="191" s="1" customFormat="1" ht="12.75" customHeight="1" x14ac:dyDescent="0.3"/>
    <row r="192" s="1" customFormat="1" ht="12.75" customHeight="1" x14ac:dyDescent="0.3"/>
    <row r="193" s="1" customFormat="1" ht="12.75" customHeight="1" x14ac:dyDescent="0.3"/>
    <row r="194" s="1" customFormat="1" ht="12.75" customHeight="1" x14ac:dyDescent="0.3"/>
    <row r="195" s="1" customFormat="1" ht="12.75" customHeight="1" x14ac:dyDescent="0.3"/>
    <row r="196" s="1" customFormat="1" ht="12.75" customHeight="1" x14ac:dyDescent="0.3"/>
    <row r="197" s="1" customFormat="1" ht="12.75" customHeight="1" x14ac:dyDescent="0.3"/>
    <row r="198" s="1" customFormat="1" ht="12.75" customHeight="1" x14ac:dyDescent="0.3"/>
    <row r="199" s="1" customFormat="1" ht="12.75" customHeight="1" x14ac:dyDescent="0.3"/>
    <row r="200" s="1" customFormat="1" ht="12.75" customHeight="1" x14ac:dyDescent="0.3"/>
    <row r="201" s="1" customFormat="1" ht="12.75" customHeight="1" x14ac:dyDescent="0.3"/>
    <row r="202" s="1" customFormat="1" ht="12.75" customHeight="1" x14ac:dyDescent="0.3"/>
    <row r="203" s="1" customFormat="1" ht="12.75" customHeight="1" x14ac:dyDescent="0.3"/>
    <row r="204" s="1" customFormat="1" ht="12.75" customHeight="1" x14ac:dyDescent="0.3"/>
    <row r="205" s="1" customFormat="1" ht="12.75" customHeight="1" x14ac:dyDescent="0.3"/>
    <row r="206" s="1" customFormat="1" ht="12.75" customHeight="1" x14ac:dyDescent="0.3"/>
    <row r="207" s="1" customFormat="1" ht="12.75" customHeight="1" x14ac:dyDescent="0.3"/>
    <row r="208" s="1" customFormat="1" ht="12.75" customHeight="1" x14ac:dyDescent="0.3"/>
    <row r="209" s="1" customFormat="1" ht="12.75" customHeight="1" x14ac:dyDescent="0.3"/>
    <row r="210" s="1" customFormat="1" ht="12.75" customHeight="1" x14ac:dyDescent="0.3"/>
    <row r="211" s="1" customFormat="1" ht="12.75" customHeight="1" x14ac:dyDescent="0.3"/>
    <row r="212" s="1" customFormat="1" ht="12.75" customHeight="1" x14ac:dyDescent="0.3"/>
    <row r="213" s="1" customFormat="1" ht="12.75" customHeight="1" x14ac:dyDescent="0.3"/>
    <row r="214" s="1" customFormat="1" ht="12.75" customHeight="1" x14ac:dyDescent="0.3"/>
    <row r="215" s="1" customFormat="1" ht="12.75" customHeight="1" x14ac:dyDescent="0.3"/>
    <row r="216" s="1" customFormat="1" ht="12.75" customHeight="1" x14ac:dyDescent="0.3"/>
    <row r="217" s="1" customFormat="1" ht="12.75" customHeight="1" x14ac:dyDescent="0.3"/>
    <row r="218" s="1" customFormat="1" ht="12.75" customHeight="1" x14ac:dyDescent="0.3"/>
    <row r="219" s="1" customFormat="1" ht="12.75" customHeight="1" x14ac:dyDescent="0.3"/>
    <row r="220" s="1" customFormat="1" ht="12.75" customHeight="1" x14ac:dyDescent="0.3"/>
    <row r="221" s="1" customFormat="1" ht="12.75" customHeight="1" x14ac:dyDescent="0.3"/>
    <row r="222" s="1" customFormat="1" ht="12.75" customHeight="1" x14ac:dyDescent="0.3"/>
    <row r="223" s="1" customFormat="1" ht="12.75" customHeight="1" x14ac:dyDescent="0.3"/>
    <row r="224" s="1" customFormat="1" ht="12.75" customHeight="1" x14ac:dyDescent="0.3"/>
    <row r="225" s="1" customFormat="1" ht="12.75" customHeight="1" x14ac:dyDescent="0.3"/>
    <row r="226" s="1" customFormat="1" ht="12.75" customHeight="1" x14ac:dyDescent="0.3"/>
    <row r="227" s="1" customFormat="1" ht="12.75" customHeight="1" x14ac:dyDescent="0.3"/>
    <row r="228" s="1" customFormat="1" ht="12.75" customHeight="1" x14ac:dyDescent="0.3"/>
    <row r="229" s="1" customFormat="1" ht="12.75" customHeight="1" x14ac:dyDescent="0.3"/>
    <row r="230" s="1" customFormat="1" ht="12.75" customHeight="1" x14ac:dyDescent="0.3"/>
    <row r="231" s="1" customFormat="1" ht="12.75" customHeight="1" x14ac:dyDescent="0.3"/>
    <row r="232" s="1" customFormat="1" ht="12.75" customHeight="1" x14ac:dyDescent="0.3"/>
    <row r="233" s="1" customFormat="1" ht="12.75" customHeight="1" x14ac:dyDescent="0.3"/>
    <row r="234" s="1" customFormat="1" ht="12.75" customHeight="1" x14ac:dyDescent="0.3"/>
    <row r="235" s="1" customFormat="1" ht="12.75" customHeight="1" x14ac:dyDescent="0.3"/>
    <row r="236" s="1" customFormat="1" ht="12.75" customHeight="1" x14ac:dyDescent="0.3"/>
    <row r="237" s="1" customFormat="1" ht="12.75" customHeight="1" x14ac:dyDescent="0.3"/>
    <row r="238" s="1" customFormat="1" ht="12.75" customHeight="1" x14ac:dyDescent="0.3"/>
    <row r="239" s="1" customFormat="1" ht="12.75" customHeight="1" x14ac:dyDescent="0.3"/>
    <row r="240" s="1" customFormat="1" ht="12.75" customHeight="1" x14ac:dyDescent="0.3"/>
    <row r="241" s="1" customFormat="1" ht="12.75" customHeight="1" x14ac:dyDescent="0.3"/>
    <row r="242" s="1" customFormat="1" ht="12.75" customHeight="1" x14ac:dyDescent="0.3"/>
    <row r="243" s="1" customFormat="1" ht="12.75" customHeight="1" x14ac:dyDescent="0.3"/>
    <row r="244" s="1" customFormat="1" ht="12.75" customHeight="1" x14ac:dyDescent="0.3"/>
    <row r="245" s="1" customFormat="1" ht="12.75" customHeight="1" x14ac:dyDescent="0.3"/>
    <row r="246" s="1" customFormat="1" ht="12.75" customHeight="1" x14ac:dyDescent="0.3"/>
    <row r="247" s="1" customFormat="1" ht="12.75" customHeight="1" x14ac:dyDescent="0.3"/>
    <row r="248" s="1" customFormat="1" ht="12.75" customHeight="1" x14ac:dyDescent="0.3"/>
    <row r="249" s="1" customFormat="1" ht="12.75" customHeight="1" x14ac:dyDescent="0.3"/>
    <row r="250" s="1" customFormat="1" ht="12.75" customHeight="1" x14ac:dyDescent="0.3"/>
    <row r="251" s="1" customFormat="1" ht="12.75" customHeight="1" x14ac:dyDescent="0.3"/>
    <row r="252" s="1" customFormat="1" ht="12.75" customHeight="1" x14ac:dyDescent="0.3"/>
    <row r="253" s="1" customFormat="1" ht="12.75" customHeight="1" x14ac:dyDescent="0.3"/>
    <row r="254" s="1" customFormat="1" ht="12.75" customHeight="1" x14ac:dyDescent="0.3"/>
    <row r="255" s="1" customFormat="1" ht="12.75" customHeight="1" x14ac:dyDescent="0.3"/>
    <row r="256" s="1" customFormat="1" ht="12.75" customHeight="1" x14ac:dyDescent="0.3"/>
    <row r="257" s="1" customFormat="1" ht="12.75" customHeight="1" x14ac:dyDescent="0.3"/>
    <row r="258" s="1" customFormat="1" ht="12.75" customHeight="1" x14ac:dyDescent="0.3"/>
    <row r="259" s="1" customFormat="1" ht="12.75" customHeight="1" x14ac:dyDescent="0.3"/>
    <row r="260" s="1" customFormat="1" ht="12.75" customHeight="1" x14ac:dyDescent="0.3"/>
    <row r="261" s="1" customFormat="1" ht="12.75" customHeight="1" x14ac:dyDescent="0.3"/>
    <row r="262" s="1" customFormat="1" ht="12.75" customHeight="1" x14ac:dyDescent="0.3"/>
    <row r="263" s="1" customFormat="1" ht="12.75" customHeight="1" x14ac:dyDescent="0.3"/>
    <row r="264" s="1" customFormat="1" ht="12.75" customHeight="1" x14ac:dyDescent="0.3"/>
    <row r="265" s="1" customFormat="1" ht="12.75" customHeight="1" x14ac:dyDescent="0.3"/>
    <row r="266" s="1" customFormat="1" ht="12.75" customHeight="1" x14ac:dyDescent="0.3"/>
    <row r="267" s="1" customFormat="1" ht="12.75" customHeight="1" x14ac:dyDescent="0.3"/>
    <row r="268" s="1" customFormat="1" ht="12.75" customHeight="1" x14ac:dyDescent="0.3"/>
    <row r="269" s="1" customFormat="1" ht="12.75" customHeight="1" x14ac:dyDescent="0.3"/>
    <row r="270" s="1" customFormat="1" ht="12.75" customHeight="1" x14ac:dyDescent="0.3"/>
    <row r="271" s="1" customFormat="1" ht="12.75" customHeight="1" x14ac:dyDescent="0.3"/>
    <row r="272" s="1" customFormat="1" ht="12.75" customHeight="1" x14ac:dyDescent="0.3"/>
    <row r="273" s="1" customFormat="1" ht="12.75" customHeight="1" x14ac:dyDescent="0.3"/>
    <row r="274" s="1" customFormat="1" ht="12.75" customHeight="1" x14ac:dyDescent="0.3"/>
    <row r="275" s="1" customFormat="1" ht="12.75" customHeight="1" x14ac:dyDescent="0.3"/>
    <row r="276" s="1" customFormat="1" ht="12.75" customHeight="1" x14ac:dyDescent="0.3"/>
    <row r="277" s="1" customFormat="1" ht="12.75" customHeight="1" x14ac:dyDescent="0.3"/>
    <row r="278" s="1" customFormat="1" ht="12.75" customHeight="1" x14ac:dyDescent="0.3"/>
    <row r="279" s="1" customFormat="1" ht="12.75" customHeight="1" x14ac:dyDescent="0.3"/>
    <row r="280" s="1" customFormat="1" ht="12.75" customHeight="1" x14ac:dyDescent="0.3"/>
    <row r="281" s="1" customFormat="1" ht="12.75" customHeight="1" x14ac:dyDescent="0.3"/>
    <row r="282" s="1" customFormat="1" ht="12.75" customHeight="1" x14ac:dyDescent="0.3"/>
    <row r="283" s="1" customFormat="1" ht="12.75" customHeight="1" x14ac:dyDescent="0.3"/>
    <row r="284" s="1" customFormat="1" ht="12.75" customHeight="1" x14ac:dyDescent="0.3"/>
    <row r="285" s="1" customFormat="1" ht="12.75" customHeight="1" x14ac:dyDescent="0.3"/>
    <row r="286" s="1" customFormat="1" ht="12.75" customHeight="1" x14ac:dyDescent="0.3"/>
    <row r="287" s="1" customFormat="1" ht="12.75" customHeight="1" x14ac:dyDescent="0.3"/>
    <row r="288" s="1" customFormat="1" ht="12.75" customHeight="1" x14ac:dyDescent="0.3"/>
    <row r="289" s="1" customFormat="1" ht="12.75" customHeight="1" x14ac:dyDescent="0.3"/>
    <row r="290" s="1" customFormat="1" ht="12.75" customHeight="1" x14ac:dyDescent="0.3"/>
    <row r="291" s="1" customFormat="1" ht="12.75" customHeight="1" x14ac:dyDescent="0.3"/>
    <row r="292" s="1" customFormat="1" ht="12.75" customHeight="1" x14ac:dyDescent="0.3"/>
    <row r="293" s="1" customFormat="1" ht="12.75" customHeight="1" x14ac:dyDescent="0.3"/>
    <row r="294" s="1" customFormat="1" ht="12.75" customHeight="1" x14ac:dyDescent="0.3"/>
    <row r="295" s="1" customFormat="1" ht="12.75" customHeight="1" x14ac:dyDescent="0.3"/>
    <row r="296" s="1" customFormat="1" ht="12.75" customHeight="1" x14ac:dyDescent="0.3"/>
    <row r="297" s="1" customFormat="1" ht="12.75" customHeight="1" x14ac:dyDescent="0.3"/>
    <row r="298" s="1" customFormat="1" ht="12.75" customHeight="1" x14ac:dyDescent="0.3"/>
    <row r="299" s="1" customFormat="1" ht="12.75" customHeight="1" x14ac:dyDescent="0.3"/>
    <row r="300" s="1" customFormat="1" ht="12.75" customHeight="1" x14ac:dyDescent="0.3"/>
    <row r="301" s="1" customFormat="1" ht="12.75" customHeight="1" x14ac:dyDescent="0.3"/>
    <row r="302" s="1" customFormat="1" ht="12.75" customHeight="1" x14ac:dyDescent="0.3"/>
    <row r="303" s="1" customFormat="1" ht="12.75" customHeight="1" x14ac:dyDescent="0.3"/>
    <row r="304" s="1" customFormat="1" ht="12.75" customHeight="1" x14ac:dyDescent="0.3"/>
    <row r="305" s="1" customFormat="1" ht="12.75" customHeight="1" x14ac:dyDescent="0.3"/>
    <row r="306" s="1" customFormat="1" ht="12.75" customHeight="1" x14ac:dyDescent="0.3"/>
    <row r="307" s="1" customFormat="1" ht="12.75" customHeight="1" x14ac:dyDescent="0.3"/>
    <row r="308" s="1" customFormat="1" ht="12.75" customHeight="1" x14ac:dyDescent="0.3"/>
    <row r="309" s="1" customFormat="1" ht="12.75" customHeight="1" x14ac:dyDescent="0.3"/>
    <row r="310" s="1" customFormat="1" ht="12.75" customHeight="1" x14ac:dyDescent="0.3"/>
    <row r="311" s="1" customFormat="1" ht="12.75" customHeight="1" x14ac:dyDescent="0.3"/>
    <row r="312" s="1" customFormat="1" ht="12.75" customHeight="1" x14ac:dyDescent="0.3"/>
    <row r="313" s="1" customFormat="1" ht="12.75" customHeight="1" x14ac:dyDescent="0.3"/>
    <row r="314" s="1" customFormat="1" ht="12.75" customHeight="1" x14ac:dyDescent="0.3"/>
    <row r="315" s="1" customFormat="1" ht="12.75" customHeight="1" x14ac:dyDescent="0.3"/>
    <row r="316" s="1" customFormat="1" ht="12.75" customHeight="1" x14ac:dyDescent="0.3"/>
    <row r="317" s="1" customFormat="1" ht="12.75" customHeight="1" x14ac:dyDescent="0.3"/>
    <row r="318" s="1" customFormat="1" ht="12.75" customHeight="1" x14ac:dyDescent="0.3"/>
    <row r="319" s="1" customFormat="1" ht="12.75" customHeight="1" x14ac:dyDescent="0.3"/>
    <row r="320" s="1" customFormat="1" ht="12.75" customHeight="1" x14ac:dyDescent="0.3"/>
    <row r="321" s="1" customFormat="1" ht="12.75" customHeight="1" x14ac:dyDescent="0.3"/>
    <row r="322" s="1" customFormat="1" ht="12.75" customHeight="1" x14ac:dyDescent="0.3"/>
    <row r="323" s="1" customFormat="1" ht="12.75" customHeight="1" x14ac:dyDescent="0.3"/>
    <row r="324" s="1" customFormat="1" ht="12.75" customHeight="1" x14ac:dyDescent="0.3"/>
    <row r="325" s="1" customFormat="1" ht="12.75" customHeight="1" x14ac:dyDescent="0.3"/>
    <row r="326" s="1" customFormat="1" ht="12.75" customHeight="1" x14ac:dyDescent="0.3"/>
    <row r="327" s="1" customFormat="1" ht="12.75" customHeight="1" x14ac:dyDescent="0.3"/>
    <row r="328" s="1" customFormat="1" ht="12.75" customHeight="1" x14ac:dyDescent="0.3"/>
    <row r="329" s="1" customFormat="1" ht="12.75" customHeight="1" x14ac:dyDescent="0.3"/>
    <row r="330" s="1" customFormat="1" ht="12.75" customHeight="1" x14ac:dyDescent="0.3"/>
    <row r="331" s="1" customFormat="1" ht="12.75" customHeight="1" x14ac:dyDescent="0.3"/>
    <row r="332" s="1" customFormat="1" ht="12.75" customHeight="1" x14ac:dyDescent="0.3"/>
    <row r="333" s="1" customFormat="1" ht="12.75" customHeight="1" x14ac:dyDescent="0.3"/>
    <row r="334" s="1" customFormat="1" ht="12.75" customHeight="1" x14ac:dyDescent="0.3"/>
    <row r="335" s="1" customFormat="1" ht="12.75" customHeight="1" x14ac:dyDescent="0.3"/>
    <row r="336" s="1" customFormat="1" ht="12.75" customHeight="1" x14ac:dyDescent="0.3"/>
    <row r="337" s="1" customFormat="1" ht="12.75" customHeight="1" x14ac:dyDescent="0.3"/>
    <row r="338" s="1" customFormat="1" ht="12.75" customHeight="1" x14ac:dyDescent="0.3"/>
    <row r="339" s="1" customFormat="1" ht="12.75" customHeight="1" x14ac:dyDescent="0.3"/>
    <row r="340" s="1" customFormat="1" ht="12.75" customHeight="1" x14ac:dyDescent="0.3"/>
    <row r="341" s="1" customFormat="1" ht="12.75" customHeight="1" x14ac:dyDescent="0.3"/>
    <row r="342" s="1" customFormat="1" ht="12.75" customHeight="1" x14ac:dyDescent="0.3"/>
    <row r="343" s="1" customFormat="1" ht="12.75" customHeight="1" x14ac:dyDescent="0.3"/>
    <row r="344" s="1" customFormat="1" ht="12.75" customHeight="1" x14ac:dyDescent="0.3"/>
    <row r="345" s="1" customFormat="1" ht="12.75" customHeight="1" x14ac:dyDescent="0.3"/>
    <row r="346" s="1" customFormat="1" ht="12.75" customHeight="1" x14ac:dyDescent="0.3"/>
    <row r="347" s="1" customFormat="1" ht="12.75" customHeight="1" x14ac:dyDescent="0.3"/>
    <row r="348" s="1" customFormat="1" ht="12.75" customHeight="1" x14ac:dyDescent="0.3"/>
    <row r="349" s="1" customFormat="1" ht="12.75" customHeight="1" x14ac:dyDescent="0.3"/>
    <row r="350" s="1" customFormat="1" ht="12.75" customHeight="1" x14ac:dyDescent="0.3"/>
    <row r="351" s="1" customFormat="1" ht="12.75" customHeight="1" x14ac:dyDescent="0.3"/>
    <row r="352" s="1" customFormat="1" ht="12.75" customHeight="1" x14ac:dyDescent="0.3"/>
    <row r="353" s="1" customFormat="1" ht="12.75" customHeight="1" x14ac:dyDescent="0.3"/>
    <row r="354" s="1" customFormat="1" ht="12.75" customHeight="1" x14ac:dyDescent="0.3"/>
    <row r="355" s="1" customFormat="1" ht="12.75" customHeight="1" x14ac:dyDescent="0.3"/>
    <row r="356" s="1" customFormat="1" ht="12.75" customHeight="1" x14ac:dyDescent="0.3"/>
    <row r="357" s="1" customFormat="1" ht="12.75" customHeight="1" x14ac:dyDescent="0.3"/>
    <row r="358" s="1" customFormat="1" ht="12.75" customHeight="1" x14ac:dyDescent="0.3"/>
    <row r="359" s="1" customFormat="1" ht="12.75" customHeight="1" x14ac:dyDescent="0.3"/>
    <row r="360" s="1" customFormat="1" ht="12.75" customHeight="1" x14ac:dyDescent="0.3"/>
    <row r="361" s="1" customFormat="1" ht="12.75" customHeight="1" x14ac:dyDescent="0.3"/>
    <row r="362" s="1" customFormat="1" ht="12.75" customHeight="1" x14ac:dyDescent="0.3"/>
    <row r="363" s="1" customFormat="1" ht="12.75" customHeight="1" x14ac:dyDescent="0.3"/>
    <row r="364" s="1" customFormat="1" ht="12.75" customHeight="1" x14ac:dyDescent="0.3"/>
    <row r="365" s="1" customFormat="1" ht="12.75" customHeight="1" x14ac:dyDescent="0.3"/>
    <row r="366" s="1" customFormat="1" ht="12.75" customHeight="1" x14ac:dyDescent="0.3"/>
    <row r="367" s="1" customFormat="1" ht="12.75" customHeight="1" x14ac:dyDescent="0.3"/>
    <row r="368" s="1" customFormat="1" ht="12.75" customHeight="1" x14ac:dyDescent="0.3"/>
    <row r="369" s="1" customFormat="1" ht="12.75" customHeight="1" x14ac:dyDescent="0.3"/>
    <row r="370" s="1" customFormat="1" ht="12.75" customHeight="1" x14ac:dyDescent="0.3"/>
    <row r="371" s="1" customFormat="1" ht="12.75" customHeight="1" x14ac:dyDescent="0.3"/>
    <row r="372" s="1" customFormat="1" ht="12.75" customHeight="1" x14ac:dyDescent="0.3"/>
    <row r="373" s="1" customFormat="1" ht="12.75" customHeight="1" x14ac:dyDescent="0.3"/>
    <row r="374" s="1" customFormat="1" ht="12.75" customHeight="1" x14ac:dyDescent="0.3"/>
    <row r="375" s="1" customFormat="1" ht="12.75" customHeight="1" x14ac:dyDescent="0.3"/>
    <row r="376" s="1" customFormat="1" ht="12.75" customHeight="1" x14ac:dyDescent="0.3"/>
    <row r="377" s="1" customFormat="1" ht="12.75" customHeight="1" x14ac:dyDescent="0.3"/>
    <row r="378" s="1" customFormat="1" ht="12.75" customHeight="1" x14ac:dyDescent="0.3"/>
    <row r="379" s="1" customFormat="1" ht="12.75" customHeight="1" x14ac:dyDescent="0.3"/>
    <row r="380" s="1" customFormat="1" ht="12.75" customHeight="1" x14ac:dyDescent="0.3"/>
    <row r="381" s="1" customFormat="1" ht="12.75" customHeight="1" x14ac:dyDescent="0.3"/>
    <row r="382" s="1" customFormat="1" ht="12.75" customHeight="1" x14ac:dyDescent="0.3"/>
    <row r="383" s="1" customFormat="1" ht="12.75" customHeight="1" x14ac:dyDescent="0.3"/>
    <row r="384" s="1" customFormat="1" ht="12.75" customHeight="1" x14ac:dyDescent="0.3"/>
    <row r="385" s="1" customFormat="1" ht="12.75" customHeight="1" x14ac:dyDescent="0.3"/>
    <row r="386" s="1" customFormat="1" ht="12.75" customHeight="1" x14ac:dyDescent="0.3"/>
    <row r="387" s="1" customFormat="1" ht="12.75" customHeight="1" x14ac:dyDescent="0.3"/>
    <row r="388" s="1" customFormat="1" ht="12.75" customHeight="1" x14ac:dyDescent="0.3"/>
    <row r="389" s="1" customFormat="1" ht="12.75" customHeight="1" x14ac:dyDescent="0.3"/>
    <row r="390" s="1" customFormat="1" ht="12.75" customHeight="1" x14ac:dyDescent="0.3"/>
    <row r="391" s="1" customFormat="1" ht="12.75" customHeight="1" x14ac:dyDescent="0.3"/>
    <row r="392" s="1" customFormat="1" ht="12.75" customHeight="1" x14ac:dyDescent="0.3"/>
    <row r="393" s="1" customFormat="1" ht="12.75" customHeight="1" x14ac:dyDescent="0.3"/>
    <row r="394" s="1" customFormat="1" ht="12.75" customHeight="1" x14ac:dyDescent="0.3"/>
    <row r="395" s="1" customFormat="1" ht="12.75" customHeight="1" x14ac:dyDescent="0.3"/>
    <row r="396" s="1" customFormat="1" ht="12.75" customHeight="1" x14ac:dyDescent="0.3"/>
    <row r="397" s="1" customFormat="1" ht="12.75" customHeight="1" x14ac:dyDescent="0.3"/>
    <row r="398" s="1" customFormat="1" ht="12.75" customHeight="1" x14ac:dyDescent="0.3"/>
    <row r="399" s="1" customFormat="1" ht="12.75" customHeight="1" x14ac:dyDescent="0.3"/>
    <row r="400" s="1" customFormat="1" ht="12.75" customHeight="1" x14ac:dyDescent="0.3"/>
    <row r="401" s="1" customFormat="1" ht="12.75" customHeight="1" x14ac:dyDescent="0.3"/>
    <row r="402" s="1" customFormat="1" ht="12.75" customHeight="1" x14ac:dyDescent="0.3"/>
    <row r="403" s="1" customFormat="1" ht="12.75" customHeight="1" x14ac:dyDescent="0.3"/>
    <row r="404" s="1" customFormat="1" ht="12.75" customHeight="1" x14ac:dyDescent="0.3"/>
    <row r="405" s="1" customFormat="1" ht="12.75" customHeight="1" x14ac:dyDescent="0.3"/>
    <row r="406" s="1" customFormat="1" ht="12.75" customHeight="1" x14ac:dyDescent="0.3"/>
    <row r="407" s="1" customFormat="1" ht="12.75" customHeight="1" x14ac:dyDescent="0.3"/>
    <row r="408" s="1" customFormat="1" ht="12.75" customHeight="1" x14ac:dyDescent="0.3"/>
    <row r="409" s="1" customFormat="1" ht="12.75" customHeight="1" x14ac:dyDescent="0.3"/>
    <row r="410" s="1" customFormat="1" ht="12.75" customHeight="1" x14ac:dyDescent="0.3"/>
    <row r="411" s="1" customFormat="1" ht="12.75" customHeight="1" x14ac:dyDescent="0.3"/>
    <row r="412" s="1" customFormat="1" ht="12.75" customHeight="1" x14ac:dyDescent="0.3"/>
    <row r="413" s="1" customFormat="1" ht="12.75" customHeight="1" x14ac:dyDescent="0.3"/>
    <row r="414" s="1" customFormat="1" ht="12.75" customHeight="1" x14ac:dyDescent="0.3"/>
    <row r="415" s="1" customFormat="1" ht="12.75" customHeight="1" x14ac:dyDescent="0.3"/>
    <row r="416" s="1" customFormat="1" ht="12.75" customHeight="1" x14ac:dyDescent="0.3"/>
    <row r="417" s="1" customFormat="1" ht="12.75" customHeight="1" x14ac:dyDescent="0.3"/>
    <row r="418" s="1" customFormat="1" ht="12.75" customHeight="1" x14ac:dyDescent="0.3"/>
    <row r="419" s="1" customFormat="1" ht="12.75" customHeight="1" x14ac:dyDescent="0.3"/>
    <row r="420" s="1" customFormat="1" ht="12.75" customHeight="1" x14ac:dyDescent="0.3"/>
    <row r="421" s="1" customFormat="1" ht="12.75" customHeight="1" x14ac:dyDescent="0.3"/>
    <row r="422" s="1" customFormat="1" ht="12.75" customHeight="1" x14ac:dyDescent="0.3"/>
    <row r="423" s="1" customFormat="1" ht="12.75" customHeight="1" x14ac:dyDescent="0.3"/>
    <row r="424" s="1" customFormat="1" ht="12.75" customHeight="1" x14ac:dyDescent="0.3"/>
    <row r="425" s="1" customFormat="1" ht="12.75" customHeight="1" x14ac:dyDescent="0.3"/>
    <row r="426" s="1" customFormat="1" ht="12.75" customHeight="1" x14ac:dyDescent="0.3"/>
    <row r="427" s="1" customFormat="1" ht="12.75" customHeight="1" x14ac:dyDescent="0.3"/>
    <row r="428" s="1" customFormat="1" ht="12.75" customHeight="1" x14ac:dyDescent="0.3"/>
    <row r="429" s="1" customFormat="1" ht="12.75" customHeight="1" x14ac:dyDescent="0.3"/>
    <row r="430" s="1" customFormat="1" ht="12.75" customHeight="1" x14ac:dyDescent="0.3"/>
    <row r="431" s="1" customFormat="1" ht="12.75" customHeight="1" x14ac:dyDescent="0.3"/>
    <row r="432" s="1" customFormat="1" ht="12.75" customHeight="1" x14ac:dyDescent="0.3"/>
    <row r="433" s="1" customFormat="1" ht="12.75" customHeight="1" x14ac:dyDescent="0.3"/>
    <row r="434" s="1" customFormat="1" ht="12.75" customHeight="1" x14ac:dyDescent="0.3"/>
    <row r="435" s="1" customFormat="1" ht="12.75" customHeight="1" x14ac:dyDescent="0.3"/>
    <row r="436" s="1" customFormat="1" ht="12.75" customHeight="1" x14ac:dyDescent="0.3"/>
    <row r="437" s="1" customFormat="1" ht="12.75" customHeight="1" x14ac:dyDescent="0.3"/>
    <row r="438" s="1" customFormat="1" ht="12.75" customHeight="1" x14ac:dyDescent="0.3"/>
    <row r="439" s="1" customFormat="1" ht="12.75" customHeight="1" x14ac:dyDescent="0.3"/>
    <row r="440" s="1" customFormat="1" ht="12.75" customHeight="1" x14ac:dyDescent="0.3"/>
    <row r="441" s="1" customFormat="1" ht="12.75" customHeight="1" x14ac:dyDescent="0.3"/>
    <row r="442" s="1" customFormat="1" ht="12.75" customHeight="1" x14ac:dyDescent="0.3"/>
    <row r="443" s="1" customFormat="1" ht="12.75" customHeight="1" x14ac:dyDescent="0.3"/>
    <row r="444" s="1" customFormat="1" ht="12.75" customHeight="1" x14ac:dyDescent="0.3"/>
    <row r="445" s="1" customFormat="1" ht="12.75" customHeight="1" x14ac:dyDescent="0.3"/>
    <row r="446" s="1" customFormat="1" ht="12.75" customHeight="1" x14ac:dyDescent="0.3"/>
    <row r="447" s="1" customFormat="1" ht="12.75" customHeight="1" x14ac:dyDescent="0.3"/>
    <row r="448" s="1" customFormat="1" ht="12.75" customHeight="1" x14ac:dyDescent="0.3"/>
    <row r="449" s="1" customFormat="1" ht="12.75" customHeight="1" x14ac:dyDescent="0.3"/>
    <row r="450" s="1" customFormat="1" ht="12.75" customHeight="1" x14ac:dyDescent="0.3"/>
    <row r="451" s="1" customFormat="1" ht="12.75" customHeight="1" x14ac:dyDescent="0.3"/>
    <row r="452" s="1" customFormat="1" ht="12.75" customHeight="1" x14ac:dyDescent="0.3"/>
    <row r="453" s="1" customFormat="1" ht="12.75" customHeight="1" x14ac:dyDescent="0.3"/>
    <row r="454" s="1" customFormat="1" ht="12.75" customHeight="1" x14ac:dyDescent="0.3"/>
    <row r="455" s="1" customFormat="1" ht="12.75" customHeight="1" x14ac:dyDescent="0.3"/>
    <row r="456" s="1" customFormat="1" ht="12.75" customHeight="1" x14ac:dyDescent="0.3"/>
    <row r="457" s="1" customFormat="1" ht="12.75" customHeight="1" x14ac:dyDescent="0.3"/>
    <row r="458" s="1" customFormat="1" ht="12.75" customHeight="1" x14ac:dyDescent="0.3"/>
    <row r="459" s="1" customFormat="1" ht="12.75" customHeight="1" x14ac:dyDescent="0.3"/>
    <row r="460" s="1" customFormat="1" ht="12.75" customHeight="1" x14ac:dyDescent="0.3"/>
    <row r="461" s="1" customFormat="1" ht="12.75" customHeight="1" x14ac:dyDescent="0.3"/>
    <row r="462" s="1" customFormat="1" ht="12.75" customHeight="1" x14ac:dyDescent="0.3"/>
    <row r="463" s="1" customFormat="1" ht="12.75" customHeight="1" x14ac:dyDescent="0.3"/>
    <row r="464" s="1" customFormat="1" ht="12.75" customHeight="1" x14ac:dyDescent="0.3"/>
    <row r="465" s="1" customFormat="1" ht="12.75" customHeight="1" x14ac:dyDescent="0.3"/>
    <row r="466" s="1" customFormat="1" ht="12.75" customHeight="1" x14ac:dyDescent="0.3"/>
    <row r="467" s="1" customFormat="1" ht="12.75" customHeight="1" x14ac:dyDescent="0.3"/>
    <row r="468" s="1" customFormat="1" ht="12.75" customHeight="1" x14ac:dyDescent="0.3"/>
    <row r="469" s="1" customFormat="1" ht="12.75" customHeight="1" x14ac:dyDescent="0.3"/>
    <row r="470" s="1" customFormat="1" ht="12.75" customHeight="1" x14ac:dyDescent="0.3"/>
    <row r="471" s="1" customFormat="1" ht="12.75" customHeight="1" x14ac:dyDescent="0.3"/>
    <row r="472" s="1" customFormat="1" ht="12.75" customHeight="1" x14ac:dyDescent="0.3"/>
    <row r="473" s="1" customFormat="1" ht="12.75" customHeight="1" x14ac:dyDescent="0.3"/>
    <row r="474" s="1" customFormat="1" ht="12.75" customHeight="1" x14ac:dyDescent="0.3"/>
    <row r="475" s="1" customFormat="1" ht="12.75" customHeight="1" x14ac:dyDescent="0.3"/>
    <row r="476" s="1" customFormat="1" ht="12.75" customHeight="1" x14ac:dyDescent="0.3"/>
    <row r="477" s="1" customFormat="1" ht="12.75" customHeight="1" x14ac:dyDescent="0.3"/>
    <row r="478" s="1" customFormat="1" ht="12.75" customHeight="1" x14ac:dyDescent="0.3"/>
    <row r="479" s="1" customFormat="1" ht="12.75" customHeight="1" x14ac:dyDescent="0.3"/>
    <row r="480" s="1" customFormat="1" ht="12.75" customHeight="1" x14ac:dyDescent="0.3"/>
    <row r="481" s="1" customFormat="1" ht="12.75" customHeight="1" x14ac:dyDescent="0.3"/>
    <row r="482" s="1" customFormat="1" ht="12.75" customHeight="1" x14ac:dyDescent="0.3"/>
    <row r="483" s="1" customFormat="1" ht="12.75" customHeight="1" x14ac:dyDescent="0.3"/>
    <row r="484" s="1" customFormat="1" ht="12.75" customHeight="1" x14ac:dyDescent="0.3"/>
    <row r="485" s="1" customFormat="1" ht="12.75" customHeight="1" x14ac:dyDescent="0.3"/>
    <row r="486" s="1" customFormat="1" ht="12.75" customHeight="1" x14ac:dyDescent="0.3"/>
    <row r="487" s="1" customFormat="1" ht="12.75" customHeight="1" x14ac:dyDescent="0.3"/>
    <row r="488" s="1" customFormat="1" ht="12.75" customHeight="1" x14ac:dyDescent="0.3"/>
    <row r="489" s="1" customFormat="1" ht="12.75" customHeight="1" x14ac:dyDescent="0.3"/>
    <row r="490" s="1" customFormat="1" ht="12.75" customHeight="1" x14ac:dyDescent="0.3"/>
    <row r="491" s="1" customFormat="1" ht="12.75" customHeight="1" x14ac:dyDescent="0.3"/>
    <row r="492" s="1" customFormat="1" ht="12.75" customHeight="1" x14ac:dyDescent="0.3"/>
    <row r="493" s="1" customFormat="1" ht="12.75" customHeight="1" x14ac:dyDescent="0.3"/>
    <row r="494" s="1" customFormat="1" ht="12.75" customHeight="1" x14ac:dyDescent="0.3"/>
    <row r="495" s="1" customFormat="1" ht="12.75" customHeight="1" x14ac:dyDescent="0.3"/>
    <row r="496" s="1" customFormat="1" ht="12.75" customHeight="1" x14ac:dyDescent="0.3"/>
    <row r="497" s="1" customFormat="1" ht="12.75" customHeight="1" x14ac:dyDescent="0.3"/>
    <row r="498" s="1" customFormat="1" ht="12.75" customHeight="1" x14ac:dyDescent="0.3"/>
    <row r="499" s="1" customFormat="1" ht="12.75" customHeight="1" x14ac:dyDescent="0.3"/>
    <row r="500" s="1" customFormat="1" ht="12.75" customHeight="1" x14ac:dyDescent="0.3"/>
    <row r="501" s="1" customFormat="1" ht="12.75" customHeight="1" x14ac:dyDescent="0.3"/>
    <row r="502" s="1" customFormat="1" ht="12.75" customHeight="1" x14ac:dyDescent="0.3"/>
    <row r="503" s="1" customFormat="1" ht="12.75" customHeight="1" x14ac:dyDescent="0.3"/>
    <row r="504" s="1" customFormat="1" ht="12.75" customHeight="1" x14ac:dyDescent="0.3"/>
    <row r="505" s="1" customFormat="1" ht="12.75" customHeight="1" x14ac:dyDescent="0.3"/>
    <row r="506" s="1" customFormat="1" ht="12.75" customHeight="1" x14ac:dyDescent="0.3"/>
    <row r="507" s="1" customFormat="1" ht="12.75" customHeight="1" x14ac:dyDescent="0.3"/>
    <row r="508" s="1" customFormat="1" ht="12.75" customHeight="1" x14ac:dyDescent="0.3"/>
    <row r="509" s="1" customFormat="1" ht="12.75" customHeight="1" x14ac:dyDescent="0.3"/>
    <row r="510" s="1" customFormat="1" ht="12.75" customHeight="1" x14ac:dyDescent="0.3"/>
    <row r="511" s="1" customFormat="1" ht="12.75" customHeight="1" x14ac:dyDescent="0.3"/>
    <row r="512" s="1" customFormat="1" ht="12.75" customHeight="1" x14ac:dyDescent="0.3"/>
    <row r="513" s="1" customFormat="1" ht="12.75" customHeight="1" x14ac:dyDescent="0.3"/>
    <row r="514" s="1" customFormat="1" ht="12.75" customHeight="1" x14ac:dyDescent="0.3"/>
    <row r="515" s="1" customFormat="1" ht="12.75" customHeight="1" x14ac:dyDescent="0.3"/>
    <row r="516" s="1" customFormat="1" ht="12.75" customHeight="1" x14ac:dyDescent="0.3"/>
    <row r="517" s="1" customFormat="1" ht="12.75" customHeight="1" x14ac:dyDescent="0.3"/>
    <row r="518" s="1" customFormat="1" ht="12.75" customHeight="1" x14ac:dyDescent="0.3"/>
    <row r="519" s="1" customFormat="1" ht="12.75" customHeight="1" x14ac:dyDescent="0.3"/>
    <row r="520" s="1" customFormat="1" ht="12.75" customHeight="1" x14ac:dyDescent="0.3"/>
    <row r="521" s="1" customFormat="1" ht="12.75" customHeight="1" x14ac:dyDescent="0.3"/>
    <row r="522" s="1" customFormat="1" ht="12.75" customHeight="1" x14ac:dyDescent="0.3"/>
    <row r="523" s="1" customFormat="1" ht="12.75" customHeight="1" x14ac:dyDescent="0.3"/>
    <row r="524" s="1" customFormat="1" ht="12.75" customHeight="1" x14ac:dyDescent="0.3"/>
    <row r="525" s="1" customFormat="1" ht="12.75" customHeight="1" x14ac:dyDescent="0.3"/>
    <row r="526" s="1" customFormat="1" ht="12.75" customHeight="1" x14ac:dyDescent="0.3"/>
    <row r="527" s="1" customFormat="1" ht="12.75" customHeight="1" x14ac:dyDescent="0.3"/>
    <row r="528" s="1" customFormat="1" ht="12.75" customHeight="1" x14ac:dyDescent="0.3"/>
    <row r="529" s="1" customFormat="1" ht="12.75" customHeight="1" x14ac:dyDescent="0.3"/>
    <row r="530" s="1" customFormat="1" ht="12.75" customHeight="1" x14ac:dyDescent="0.3"/>
    <row r="531" s="1" customFormat="1" ht="12.75" customHeight="1" x14ac:dyDescent="0.3"/>
    <row r="532" s="1" customFormat="1" ht="12.75" customHeight="1" x14ac:dyDescent="0.3"/>
    <row r="533" s="1" customFormat="1" ht="12.75" customHeight="1" x14ac:dyDescent="0.3"/>
    <row r="534" s="1" customFormat="1" ht="12.75" customHeight="1" x14ac:dyDescent="0.3"/>
    <row r="535" s="1" customFormat="1" ht="12.75" customHeight="1" x14ac:dyDescent="0.3"/>
    <row r="536" s="1" customFormat="1" ht="12.75" customHeight="1" x14ac:dyDescent="0.3"/>
    <row r="537" s="1" customFormat="1" ht="12.75" customHeight="1" x14ac:dyDescent="0.3"/>
    <row r="538" s="1" customFormat="1" ht="12.75" customHeight="1" x14ac:dyDescent="0.3"/>
    <row r="539" s="1" customFormat="1" ht="12.75" customHeight="1" x14ac:dyDescent="0.3"/>
    <row r="540" s="1" customFormat="1" ht="12.75" customHeight="1" x14ac:dyDescent="0.3"/>
    <row r="541" s="1" customFormat="1" ht="12.75" customHeight="1" x14ac:dyDescent="0.3"/>
    <row r="542" s="1" customFormat="1" ht="12.75" customHeight="1" x14ac:dyDescent="0.3"/>
    <row r="543" s="1" customFormat="1" ht="12.75" customHeight="1" x14ac:dyDescent="0.3"/>
    <row r="544" s="1" customFormat="1" ht="12.75" customHeight="1" x14ac:dyDescent="0.3"/>
    <row r="545" s="1" customFormat="1" ht="12.75" customHeight="1" x14ac:dyDescent="0.3"/>
    <row r="546" s="1" customFormat="1" ht="12.75" customHeight="1" x14ac:dyDescent="0.3"/>
    <row r="547" s="1" customFormat="1" ht="12.75" customHeight="1" x14ac:dyDescent="0.3"/>
    <row r="548" s="1" customFormat="1" ht="12.75" customHeight="1" x14ac:dyDescent="0.3"/>
    <row r="549" s="1" customFormat="1" ht="12.75" customHeight="1" x14ac:dyDescent="0.3"/>
    <row r="550" s="1" customFormat="1" ht="12.75" customHeight="1" x14ac:dyDescent="0.3"/>
    <row r="551" s="1" customFormat="1" ht="12.75" customHeight="1" x14ac:dyDescent="0.3"/>
    <row r="552" s="1" customFormat="1" ht="12.75" customHeight="1" x14ac:dyDescent="0.3"/>
    <row r="553" s="1" customFormat="1" ht="12.75" customHeight="1" x14ac:dyDescent="0.3"/>
    <row r="554" s="1" customFormat="1" ht="12.75" customHeight="1" x14ac:dyDescent="0.3"/>
    <row r="555" s="1" customFormat="1" ht="12.75" customHeight="1" x14ac:dyDescent="0.3"/>
    <row r="556" s="1" customFormat="1" ht="12.75" customHeight="1" x14ac:dyDescent="0.3"/>
    <row r="557" s="1" customFormat="1" ht="12.75" customHeight="1" x14ac:dyDescent="0.3"/>
    <row r="558" s="1" customFormat="1" ht="12.75" customHeight="1" x14ac:dyDescent="0.3"/>
    <row r="559" s="1" customFormat="1" ht="12.75" customHeight="1" x14ac:dyDescent="0.3"/>
    <row r="560" s="1" customFormat="1" ht="12.75" customHeight="1" x14ac:dyDescent="0.3"/>
    <row r="561" s="1" customFormat="1" ht="12.75" customHeight="1" x14ac:dyDescent="0.3"/>
    <row r="562" s="1" customFormat="1" ht="12.75" customHeight="1" x14ac:dyDescent="0.3"/>
    <row r="563" s="1" customFormat="1" ht="12.75" customHeight="1" x14ac:dyDescent="0.3"/>
    <row r="564" s="1" customFormat="1" ht="12.75" customHeight="1" x14ac:dyDescent="0.3"/>
    <row r="565" s="1" customFormat="1" ht="12.75" customHeight="1" x14ac:dyDescent="0.3"/>
    <row r="566" s="1" customFormat="1" ht="12.75" customHeight="1" x14ac:dyDescent="0.3"/>
    <row r="567" s="1" customFormat="1" ht="12.75" customHeight="1" x14ac:dyDescent="0.3"/>
    <row r="568" s="1" customFormat="1" ht="12.75" customHeight="1" x14ac:dyDescent="0.3"/>
    <row r="569" s="1" customFormat="1" ht="12.75" customHeight="1" x14ac:dyDescent="0.3"/>
    <row r="570" s="1" customFormat="1" ht="12.75" customHeight="1" x14ac:dyDescent="0.3"/>
    <row r="571" s="1" customFormat="1" ht="12.75" customHeight="1" x14ac:dyDescent="0.3"/>
    <row r="572" s="1" customFormat="1" ht="12.75" customHeight="1" x14ac:dyDescent="0.3"/>
    <row r="573" s="1" customFormat="1" ht="12.75" customHeight="1" x14ac:dyDescent="0.3"/>
    <row r="574" s="1" customFormat="1" ht="12.75" customHeight="1" x14ac:dyDescent="0.3"/>
    <row r="575" s="1" customFormat="1" ht="12.75" customHeight="1" x14ac:dyDescent="0.3"/>
    <row r="576" s="1" customFormat="1" ht="12.75" customHeight="1" x14ac:dyDescent="0.3"/>
    <row r="577" s="1" customFormat="1" ht="12.75" customHeight="1" x14ac:dyDescent="0.3"/>
    <row r="578" s="1" customFormat="1" ht="12.75" customHeight="1" x14ac:dyDescent="0.3"/>
    <row r="579" s="1" customFormat="1" ht="12.75" customHeight="1" x14ac:dyDescent="0.3"/>
    <row r="580" s="1" customFormat="1" ht="12.75" customHeight="1" x14ac:dyDescent="0.3"/>
    <row r="581" s="1" customFormat="1" ht="12.75" customHeight="1" x14ac:dyDescent="0.3"/>
    <row r="582" s="1" customFormat="1" ht="12.75" customHeight="1" x14ac:dyDescent="0.3"/>
    <row r="583" s="1" customFormat="1" ht="12.75" customHeight="1" x14ac:dyDescent="0.3"/>
    <row r="584" s="1" customFormat="1" ht="12.75" customHeight="1" x14ac:dyDescent="0.3"/>
    <row r="585" s="1" customFormat="1" ht="12.75" customHeight="1" x14ac:dyDescent="0.3"/>
    <row r="586" s="1" customFormat="1" ht="12.75" customHeight="1" x14ac:dyDescent="0.3"/>
    <row r="587" s="1" customFormat="1" ht="12.75" customHeight="1" x14ac:dyDescent="0.3"/>
    <row r="588" s="1" customFormat="1" ht="12.75" customHeight="1" x14ac:dyDescent="0.3"/>
    <row r="589" s="1" customFormat="1" ht="12.75" customHeight="1" x14ac:dyDescent="0.3"/>
    <row r="590" s="1" customFormat="1" ht="12.75" customHeight="1" x14ac:dyDescent="0.3"/>
    <row r="591" s="1" customFormat="1" ht="12.75" customHeight="1" x14ac:dyDescent="0.3"/>
    <row r="592" s="1" customFormat="1" ht="12.75" customHeight="1" x14ac:dyDescent="0.3"/>
    <row r="593" s="1" customFormat="1" ht="12.75" customHeight="1" x14ac:dyDescent="0.3"/>
    <row r="594" s="1" customFormat="1" ht="12.75" customHeight="1" x14ac:dyDescent="0.3"/>
    <row r="595" s="1" customFormat="1" ht="12.75" customHeight="1" x14ac:dyDescent="0.3"/>
    <row r="596" s="1" customFormat="1" ht="12.75" customHeight="1" x14ac:dyDescent="0.3"/>
    <row r="597" s="1" customFormat="1" ht="12.75" customHeight="1" x14ac:dyDescent="0.3"/>
    <row r="598" s="1" customFormat="1" ht="12.75" customHeight="1" x14ac:dyDescent="0.3"/>
    <row r="599" s="1" customFormat="1" ht="12.75" customHeight="1" x14ac:dyDescent="0.3"/>
    <row r="600" s="1" customFormat="1" ht="12.75" customHeight="1" x14ac:dyDescent="0.3"/>
    <row r="601" s="1" customFormat="1" ht="12.75" customHeight="1" x14ac:dyDescent="0.3"/>
    <row r="602" s="1" customFormat="1" ht="12.75" customHeight="1" x14ac:dyDescent="0.3"/>
    <row r="603" s="1" customFormat="1" ht="12.75" customHeight="1" x14ac:dyDescent="0.3"/>
    <row r="604" s="1" customFormat="1" ht="12.75" customHeight="1" x14ac:dyDescent="0.3"/>
    <row r="605" s="1" customFormat="1" ht="12.75" customHeight="1" x14ac:dyDescent="0.3"/>
    <row r="606" s="1" customFormat="1" ht="12.75" customHeight="1" x14ac:dyDescent="0.3"/>
    <row r="607" s="1" customFormat="1" ht="12.75" customHeight="1" x14ac:dyDescent="0.3"/>
    <row r="608" s="1" customFormat="1" ht="12.75" customHeight="1" x14ac:dyDescent="0.3"/>
    <row r="609" s="1" customFormat="1" ht="12.75" customHeight="1" x14ac:dyDescent="0.3"/>
    <row r="610" s="1" customFormat="1" ht="12.75" customHeight="1" x14ac:dyDescent="0.3"/>
    <row r="611" s="1" customFormat="1" ht="12.75" customHeight="1" x14ac:dyDescent="0.3"/>
    <row r="612" s="1" customFormat="1" ht="12.75" customHeight="1" x14ac:dyDescent="0.3"/>
    <row r="613" s="1" customFormat="1" ht="12.75" customHeight="1" x14ac:dyDescent="0.3"/>
    <row r="614" s="1" customFormat="1" ht="12.75" customHeight="1" x14ac:dyDescent="0.3"/>
    <row r="615" s="1" customFormat="1" ht="12.75" customHeight="1" x14ac:dyDescent="0.3"/>
    <row r="616" s="1" customFormat="1" ht="12.75" customHeight="1" x14ac:dyDescent="0.3"/>
    <row r="617" s="1" customFormat="1" ht="12.75" customHeight="1" x14ac:dyDescent="0.3"/>
    <row r="618" s="1" customFormat="1" ht="12.75" customHeight="1" x14ac:dyDescent="0.3"/>
    <row r="619" s="1" customFormat="1" ht="12.75" customHeight="1" x14ac:dyDescent="0.3"/>
    <row r="620" s="1" customFormat="1" ht="12.75" customHeight="1" x14ac:dyDescent="0.3"/>
    <row r="621" s="1" customFormat="1" ht="12.75" customHeight="1" x14ac:dyDescent="0.3"/>
    <row r="622" s="1" customFormat="1" ht="12.75" customHeight="1" x14ac:dyDescent="0.3"/>
    <row r="623" s="1" customFormat="1" ht="12.75" customHeight="1" x14ac:dyDescent="0.3"/>
    <row r="624" s="1" customFormat="1" ht="12.75" customHeight="1" x14ac:dyDescent="0.3"/>
    <row r="625" s="1" customFormat="1" ht="12.75" customHeight="1" x14ac:dyDescent="0.3"/>
    <row r="626" s="1" customFormat="1" ht="12.75" customHeight="1" x14ac:dyDescent="0.3"/>
    <row r="627" s="1" customFormat="1" ht="12.75" customHeight="1" x14ac:dyDescent="0.3"/>
    <row r="628" s="1" customFormat="1" ht="12.75" customHeight="1" x14ac:dyDescent="0.3"/>
    <row r="629" s="1" customFormat="1" ht="12.75" customHeight="1" x14ac:dyDescent="0.3"/>
    <row r="630" s="1" customFormat="1" ht="12.75" customHeight="1" x14ac:dyDescent="0.3"/>
    <row r="631" s="1" customFormat="1" ht="12.75" customHeight="1" x14ac:dyDescent="0.3"/>
    <row r="632" s="1" customFormat="1" ht="12.75" customHeight="1" x14ac:dyDescent="0.3"/>
    <row r="633" s="1" customFormat="1" ht="12.75" customHeight="1" x14ac:dyDescent="0.3"/>
    <row r="634" s="1" customFormat="1" ht="12.75" customHeight="1" x14ac:dyDescent="0.3"/>
    <row r="635" s="1" customFormat="1" ht="12.75" customHeight="1" x14ac:dyDescent="0.3"/>
    <row r="636" s="1" customFormat="1" ht="12.75" customHeight="1" x14ac:dyDescent="0.3"/>
    <row r="637" s="1" customFormat="1" ht="12.75" customHeight="1" x14ac:dyDescent="0.3"/>
    <row r="638" s="1" customFormat="1" ht="12.75" customHeight="1" x14ac:dyDescent="0.3"/>
    <row r="639" s="1" customFormat="1" ht="12.75" customHeight="1" x14ac:dyDescent="0.3"/>
    <row r="640" s="1" customFormat="1" ht="12.75" customHeight="1" x14ac:dyDescent="0.3"/>
    <row r="641" s="1" customFormat="1" ht="12.75" customHeight="1" x14ac:dyDescent="0.3"/>
    <row r="642" s="1" customFormat="1" ht="12.75" customHeight="1" x14ac:dyDescent="0.3"/>
    <row r="643" s="1" customFormat="1" ht="12.75" customHeight="1" x14ac:dyDescent="0.3"/>
    <row r="644" s="1" customFormat="1" ht="12.75" customHeight="1" x14ac:dyDescent="0.3"/>
    <row r="645" s="1" customFormat="1" ht="12.75" customHeight="1" x14ac:dyDescent="0.3"/>
    <row r="646" s="1" customFormat="1" ht="12.75" customHeight="1" x14ac:dyDescent="0.3"/>
    <row r="647" s="1" customFormat="1" ht="12.75" customHeight="1" x14ac:dyDescent="0.3"/>
    <row r="648" s="1" customFormat="1" ht="12.75" customHeight="1" x14ac:dyDescent="0.3"/>
    <row r="649" s="1" customFormat="1" ht="12.75" customHeight="1" x14ac:dyDescent="0.3"/>
    <row r="650" s="1" customFormat="1" ht="12.75" customHeight="1" x14ac:dyDescent="0.3"/>
    <row r="651" s="1" customFormat="1" ht="12.75" customHeight="1" x14ac:dyDescent="0.3"/>
    <row r="652" s="1" customFormat="1" ht="12.75" customHeight="1" x14ac:dyDescent="0.3"/>
    <row r="653" s="1" customFormat="1" ht="12.75" customHeight="1" x14ac:dyDescent="0.3"/>
    <row r="654" s="1" customFormat="1" ht="12.75" customHeight="1" x14ac:dyDescent="0.3"/>
    <row r="655" s="1" customFormat="1" ht="12.75" customHeight="1" x14ac:dyDescent="0.3"/>
    <row r="656" s="1" customFormat="1" ht="12.75" customHeight="1" x14ac:dyDescent="0.3"/>
    <row r="657" s="1" customFormat="1" ht="12.75" customHeight="1" x14ac:dyDescent="0.3"/>
    <row r="658" s="1" customFormat="1" ht="12.75" customHeight="1" x14ac:dyDescent="0.3"/>
    <row r="659" s="1" customFormat="1" ht="12.75" customHeight="1" x14ac:dyDescent="0.3"/>
    <row r="660" s="1" customFormat="1" ht="12.75" customHeight="1" x14ac:dyDescent="0.3"/>
    <row r="661" s="1" customFormat="1" ht="12.75" customHeight="1" x14ac:dyDescent="0.3"/>
    <row r="662" s="1" customFormat="1" ht="12.75" customHeight="1" x14ac:dyDescent="0.3"/>
    <row r="663" s="1" customFormat="1" ht="12.75" customHeight="1" x14ac:dyDescent="0.3"/>
    <row r="664" s="1" customFormat="1" ht="12.75" customHeight="1" x14ac:dyDescent="0.3"/>
    <row r="665" s="1" customFormat="1" ht="12.75" customHeight="1" x14ac:dyDescent="0.3"/>
    <row r="666" s="1" customFormat="1" ht="12.75" customHeight="1" x14ac:dyDescent="0.3"/>
    <row r="667" s="1" customFormat="1" ht="12.75" customHeight="1" x14ac:dyDescent="0.3"/>
    <row r="668" s="1" customFormat="1" ht="12.75" customHeight="1" x14ac:dyDescent="0.3"/>
    <row r="669" s="1" customFormat="1" ht="12.75" customHeight="1" x14ac:dyDescent="0.3"/>
    <row r="670" s="1" customFormat="1" ht="12.75" customHeight="1" x14ac:dyDescent="0.3"/>
    <row r="671" s="1" customFormat="1" ht="12.75" customHeight="1" x14ac:dyDescent="0.3"/>
    <row r="672" s="1" customFormat="1" ht="12.75" customHeight="1" x14ac:dyDescent="0.3"/>
    <row r="673" s="1" customFormat="1" ht="12.75" customHeight="1" x14ac:dyDescent="0.3"/>
    <row r="674" s="1" customFormat="1" ht="12.75" customHeight="1" x14ac:dyDescent="0.3"/>
    <row r="675" s="1" customFormat="1" ht="12.75" customHeight="1" x14ac:dyDescent="0.3"/>
    <row r="676" s="1" customFormat="1" ht="12.75" customHeight="1" x14ac:dyDescent="0.3"/>
    <row r="677" s="1" customFormat="1" ht="12.75" customHeight="1" x14ac:dyDescent="0.3"/>
    <row r="678" s="1" customFormat="1" ht="12.75" customHeight="1" x14ac:dyDescent="0.3"/>
    <row r="679" s="1" customFormat="1" ht="12.75" customHeight="1" x14ac:dyDescent="0.3"/>
    <row r="680" s="1" customFormat="1" ht="12.75" customHeight="1" x14ac:dyDescent="0.3"/>
    <row r="681" s="1" customFormat="1" ht="12.75" customHeight="1" x14ac:dyDescent="0.3"/>
    <row r="682" s="1" customFormat="1" ht="12.75" customHeight="1" x14ac:dyDescent="0.3"/>
    <row r="683" s="1" customFormat="1" ht="12.75" customHeight="1" x14ac:dyDescent="0.3"/>
    <row r="684" s="1" customFormat="1" ht="12.75" customHeight="1" x14ac:dyDescent="0.3"/>
    <row r="685" s="1" customFormat="1" ht="12.75" customHeight="1" x14ac:dyDescent="0.3"/>
    <row r="686" s="1" customFormat="1" ht="12.75" customHeight="1" x14ac:dyDescent="0.3"/>
    <row r="687" s="1" customFormat="1" ht="12.75" customHeight="1" x14ac:dyDescent="0.3"/>
    <row r="688" s="1" customFormat="1" ht="12.75" customHeight="1" x14ac:dyDescent="0.3"/>
    <row r="689" s="1" customFormat="1" ht="12.75" customHeight="1" x14ac:dyDescent="0.3"/>
    <row r="690" s="1" customFormat="1" ht="12.75" customHeight="1" x14ac:dyDescent="0.3"/>
    <row r="691" s="1" customFormat="1" ht="12.75" customHeight="1" x14ac:dyDescent="0.3"/>
    <row r="692" s="1" customFormat="1" ht="12.75" customHeight="1" x14ac:dyDescent="0.3"/>
    <row r="693" s="1" customFormat="1" ht="12.75" customHeight="1" x14ac:dyDescent="0.3"/>
    <row r="694" s="1" customFormat="1" ht="12.75" customHeight="1" x14ac:dyDescent="0.3"/>
    <row r="695" s="1" customFormat="1" ht="12.75" customHeight="1" x14ac:dyDescent="0.3"/>
    <row r="696" s="1" customFormat="1" ht="12.75" customHeight="1" x14ac:dyDescent="0.3"/>
    <row r="697" s="1" customFormat="1" ht="12.75" customHeight="1" x14ac:dyDescent="0.3"/>
    <row r="698" s="1" customFormat="1" ht="12.75" customHeight="1" x14ac:dyDescent="0.3"/>
    <row r="699" s="1" customFormat="1" ht="12.75" customHeight="1" x14ac:dyDescent="0.3"/>
    <row r="700" s="1" customFormat="1" ht="12.75" customHeight="1" x14ac:dyDescent="0.3"/>
    <row r="701" s="1" customFormat="1" ht="12.75" customHeight="1" x14ac:dyDescent="0.3"/>
    <row r="702" s="1" customFormat="1" ht="12.75" customHeight="1" x14ac:dyDescent="0.3"/>
    <row r="703" s="1" customFormat="1" ht="12.75" customHeight="1" x14ac:dyDescent="0.3"/>
    <row r="704" s="1" customFormat="1" ht="12.75" customHeight="1" x14ac:dyDescent="0.3"/>
    <row r="705" s="1" customFormat="1" ht="12.75" customHeight="1" x14ac:dyDescent="0.3"/>
    <row r="706" s="1" customFormat="1" ht="12.75" customHeight="1" x14ac:dyDescent="0.3"/>
    <row r="707" s="1" customFormat="1" ht="12.75" customHeight="1" x14ac:dyDescent="0.3"/>
    <row r="708" s="1" customFormat="1" ht="12.75" customHeight="1" x14ac:dyDescent="0.3"/>
    <row r="709" s="1" customFormat="1" ht="12.75" customHeight="1" x14ac:dyDescent="0.3"/>
    <row r="710" s="1" customFormat="1" ht="12.75" customHeight="1" x14ac:dyDescent="0.3"/>
    <row r="711" s="1" customFormat="1" ht="12.75" customHeight="1" x14ac:dyDescent="0.3"/>
    <row r="712" s="1" customFormat="1" ht="12.75" customHeight="1" x14ac:dyDescent="0.3"/>
    <row r="713" s="1" customFormat="1" ht="12.75" customHeight="1" x14ac:dyDescent="0.3"/>
    <row r="714" s="1" customFormat="1" ht="12.75" customHeight="1" x14ac:dyDescent="0.3"/>
    <row r="715" s="1" customFormat="1" ht="12.75" customHeight="1" x14ac:dyDescent="0.3"/>
    <row r="716" s="1" customFormat="1" ht="12.75" customHeight="1" x14ac:dyDescent="0.3"/>
    <row r="717" s="1" customFormat="1" ht="12.75" customHeight="1" x14ac:dyDescent="0.3"/>
    <row r="718" s="1" customFormat="1" ht="12.75" customHeight="1" x14ac:dyDescent="0.3"/>
    <row r="719" s="1" customFormat="1" ht="12.75" customHeight="1" x14ac:dyDescent="0.3"/>
    <row r="720" s="1" customFormat="1" ht="12.75" customHeight="1" x14ac:dyDescent="0.3"/>
    <row r="721" s="1" customFormat="1" ht="12.75" customHeight="1" x14ac:dyDescent="0.3"/>
    <row r="722" s="1" customFormat="1" ht="12.75" customHeight="1" x14ac:dyDescent="0.3"/>
    <row r="723" s="1" customFormat="1" ht="12.75" customHeight="1" x14ac:dyDescent="0.3"/>
    <row r="724" s="1" customFormat="1" ht="12.75" customHeight="1" x14ac:dyDescent="0.3"/>
    <row r="725" s="1" customFormat="1" ht="12.75" customHeight="1" x14ac:dyDescent="0.3"/>
    <row r="726" s="1" customFormat="1" ht="12.75" customHeight="1" x14ac:dyDescent="0.3"/>
    <row r="727" s="1" customFormat="1" ht="12.75" customHeight="1" x14ac:dyDescent="0.3"/>
    <row r="728" s="1" customFormat="1" ht="12.75" customHeight="1" x14ac:dyDescent="0.3"/>
    <row r="729" s="1" customFormat="1" ht="12.75" customHeight="1" x14ac:dyDescent="0.3"/>
    <row r="730" s="1" customFormat="1" ht="12.75" customHeight="1" x14ac:dyDescent="0.3"/>
    <row r="731" s="1" customFormat="1" ht="12.75" customHeight="1" x14ac:dyDescent="0.3"/>
    <row r="732" s="1" customFormat="1" ht="12.75" customHeight="1" x14ac:dyDescent="0.3"/>
    <row r="733" s="1" customFormat="1" ht="12.75" customHeight="1" x14ac:dyDescent="0.3"/>
    <row r="734" s="1" customFormat="1" ht="12.75" customHeight="1" x14ac:dyDescent="0.3"/>
    <row r="735" s="1" customFormat="1" ht="12.75" customHeight="1" x14ac:dyDescent="0.3"/>
    <row r="736" s="1" customFormat="1" ht="12.75" customHeight="1" x14ac:dyDescent="0.3"/>
    <row r="737" s="1" customFormat="1" ht="12.75" customHeight="1" x14ac:dyDescent="0.3"/>
    <row r="738" s="1" customFormat="1" ht="12.75" customHeight="1" x14ac:dyDescent="0.3"/>
    <row r="739" s="1" customFormat="1" ht="12.75" customHeight="1" x14ac:dyDescent="0.3"/>
    <row r="740" s="1" customFormat="1" ht="12.75" customHeight="1" x14ac:dyDescent="0.3"/>
    <row r="741" s="1" customFormat="1" ht="12.75" customHeight="1" x14ac:dyDescent="0.3"/>
    <row r="742" s="1" customFormat="1" ht="12.75" customHeight="1" x14ac:dyDescent="0.3"/>
    <row r="743" s="1" customFormat="1" ht="12.75" customHeight="1" x14ac:dyDescent="0.3"/>
    <row r="744" s="1" customFormat="1" ht="12.75" customHeight="1" x14ac:dyDescent="0.3"/>
    <row r="745" s="1" customFormat="1" ht="12.75" customHeight="1" x14ac:dyDescent="0.3"/>
    <row r="746" s="1" customFormat="1" ht="12.75" customHeight="1" x14ac:dyDescent="0.3"/>
    <row r="747" s="1" customFormat="1" ht="12.75" customHeight="1" x14ac:dyDescent="0.3"/>
    <row r="748" s="1" customFormat="1" ht="12.75" customHeight="1" x14ac:dyDescent="0.3"/>
    <row r="749" s="1" customFormat="1" ht="12.75" customHeight="1" x14ac:dyDescent="0.3"/>
    <row r="750" s="1" customFormat="1" ht="12.75" customHeight="1" x14ac:dyDescent="0.3"/>
    <row r="751" s="1" customFormat="1" ht="12.75" customHeight="1" x14ac:dyDescent="0.3"/>
    <row r="752" s="1" customFormat="1" ht="12.75" customHeight="1" x14ac:dyDescent="0.3"/>
    <row r="753" s="1" customFormat="1" ht="12.75" customHeight="1" x14ac:dyDescent="0.3"/>
    <row r="754" s="1" customFormat="1" ht="12.75" customHeight="1" x14ac:dyDescent="0.3"/>
    <row r="755" s="1" customFormat="1" ht="12.75" customHeight="1" x14ac:dyDescent="0.3"/>
    <row r="756" s="1" customFormat="1" ht="12.75" customHeight="1" x14ac:dyDescent="0.3"/>
    <row r="757" s="1" customFormat="1" ht="12.75" customHeight="1" x14ac:dyDescent="0.3"/>
    <row r="758" s="1" customFormat="1" ht="12.75" customHeight="1" x14ac:dyDescent="0.3"/>
    <row r="759" s="1" customFormat="1" ht="12.75" customHeight="1" x14ac:dyDescent="0.3"/>
    <row r="760" s="1" customFormat="1" ht="12.75" customHeight="1" x14ac:dyDescent="0.3"/>
    <row r="761" s="1" customFormat="1" ht="12.75" customHeight="1" x14ac:dyDescent="0.3"/>
    <row r="762" s="1" customFormat="1" ht="12.75" customHeight="1" x14ac:dyDescent="0.3"/>
    <row r="763" s="1" customFormat="1" ht="12.75" customHeight="1" x14ac:dyDescent="0.3"/>
    <row r="764" s="1" customFormat="1" ht="12.75" customHeight="1" x14ac:dyDescent="0.3"/>
    <row r="765" s="1" customFormat="1" ht="12.75" customHeight="1" x14ac:dyDescent="0.3"/>
    <row r="766" s="1" customFormat="1" ht="12.75" customHeight="1" x14ac:dyDescent="0.3"/>
    <row r="767" s="1" customFormat="1" ht="12.75" customHeight="1" x14ac:dyDescent="0.3"/>
    <row r="768" s="1" customFormat="1" ht="12.75" customHeight="1" x14ac:dyDescent="0.3"/>
    <row r="769" s="1" customFormat="1" ht="12.75" customHeight="1" x14ac:dyDescent="0.3"/>
    <row r="770" s="1" customFormat="1" ht="12.75" customHeight="1" x14ac:dyDescent="0.3"/>
    <row r="771" s="1" customFormat="1" ht="12.75" customHeight="1" x14ac:dyDescent="0.3"/>
    <row r="772" s="1" customFormat="1" ht="12.75" customHeight="1" x14ac:dyDescent="0.3"/>
    <row r="773" s="1" customFormat="1" ht="12.75" customHeight="1" x14ac:dyDescent="0.3"/>
    <row r="774" s="1" customFormat="1" ht="12.75" customHeight="1" x14ac:dyDescent="0.3"/>
    <row r="775" s="1" customFormat="1" ht="12.75" customHeight="1" x14ac:dyDescent="0.3"/>
    <row r="776" s="1" customFormat="1" ht="12.75" customHeight="1" x14ac:dyDescent="0.3"/>
    <row r="777" s="1" customFormat="1" ht="12.75" customHeight="1" x14ac:dyDescent="0.3"/>
    <row r="778" s="1" customFormat="1" ht="12.75" customHeight="1" x14ac:dyDescent="0.3"/>
    <row r="779" s="1" customFormat="1" ht="12.75" customHeight="1" x14ac:dyDescent="0.3"/>
    <row r="780" s="1" customFormat="1" ht="12.75" customHeight="1" x14ac:dyDescent="0.3"/>
    <row r="781" s="1" customFormat="1" ht="12.75" customHeight="1" x14ac:dyDescent="0.3"/>
    <row r="782" s="1" customFormat="1" ht="12.75" customHeight="1" x14ac:dyDescent="0.3"/>
    <row r="783" s="1" customFormat="1" ht="12.75" customHeight="1" x14ac:dyDescent="0.3"/>
    <row r="784" s="1" customFormat="1" ht="12.75" customHeight="1" x14ac:dyDescent="0.3"/>
    <row r="785" s="1" customFormat="1" ht="12.75" customHeight="1" x14ac:dyDescent="0.3"/>
    <row r="786" s="1" customFormat="1" ht="12.75" customHeight="1" x14ac:dyDescent="0.3"/>
    <row r="787" s="1" customFormat="1" ht="12.75" customHeight="1" x14ac:dyDescent="0.3"/>
    <row r="788" s="1" customFormat="1" ht="12.75" customHeight="1" x14ac:dyDescent="0.3"/>
    <row r="789" s="1" customFormat="1" ht="12.75" customHeight="1" x14ac:dyDescent="0.3"/>
    <row r="790" s="1" customFormat="1" ht="12.75" customHeight="1" x14ac:dyDescent="0.3"/>
    <row r="791" s="1" customFormat="1" ht="12.75" customHeight="1" x14ac:dyDescent="0.3"/>
    <row r="792" s="1" customFormat="1" ht="12.75" customHeight="1" x14ac:dyDescent="0.3"/>
    <row r="793" s="1" customFormat="1" ht="12.75" customHeight="1" x14ac:dyDescent="0.3"/>
    <row r="794" s="1" customFormat="1" ht="12.75" customHeight="1" x14ac:dyDescent="0.3"/>
    <row r="795" s="1" customFormat="1" ht="12.75" customHeight="1" x14ac:dyDescent="0.3"/>
    <row r="796" s="1" customFormat="1" ht="12.75" customHeight="1" x14ac:dyDescent="0.3"/>
    <row r="797" s="1" customFormat="1" ht="12.75" customHeight="1" x14ac:dyDescent="0.3"/>
    <row r="798" s="1" customFormat="1" ht="12.75" customHeight="1" x14ac:dyDescent="0.3"/>
    <row r="799" s="1" customFormat="1" ht="12.75" customHeight="1" x14ac:dyDescent="0.3"/>
    <row r="800" s="1" customFormat="1" ht="12.75" customHeight="1" x14ac:dyDescent="0.3"/>
    <row r="801" s="1" customFormat="1" ht="12.75" customHeight="1" x14ac:dyDescent="0.3"/>
    <row r="802" s="1" customFormat="1" ht="12.75" customHeight="1" x14ac:dyDescent="0.3"/>
    <row r="803" s="1" customFormat="1" ht="12.75" customHeight="1" x14ac:dyDescent="0.3"/>
    <row r="804" s="1" customFormat="1" ht="12.75" customHeight="1" x14ac:dyDescent="0.3"/>
    <row r="805" s="1" customFormat="1" ht="12.75" customHeight="1" x14ac:dyDescent="0.3"/>
    <row r="806" s="1" customFormat="1" ht="12.75" customHeight="1" x14ac:dyDescent="0.3"/>
    <row r="807" s="1" customFormat="1" ht="12.75" customHeight="1" x14ac:dyDescent="0.3"/>
    <row r="808" s="1" customFormat="1" ht="12.75" customHeight="1" x14ac:dyDescent="0.3"/>
    <row r="809" s="1" customFormat="1" ht="12.75" customHeight="1" x14ac:dyDescent="0.3"/>
    <row r="810" s="1" customFormat="1" ht="12.75" customHeight="1" x14ac:dyDescent="0.3"/>
    <row r="811" s="1" customFormat="1" ht="12.75" customHeight="1" x14ac:dyDescent="0.3"/>
    <row r="812" s="1" customFormat="1" ht="12.75" customHeight="1" x14ac:dyDescent="0.3"/>
    <row r="813" s="1" customFormat="1" ht="12.75" customHeight="1" x14ac:dyDescent="0.3"/>
    <row r="814" s="1" customFormat="1" ht="12.75" customHeight="1" x14ac:dyDescent="0.3"/>
    <row r="815" s="1" customFormat="1" ht="12.75" customHeight="1" x14ac:dyDescent="0.3"/>
    <row r="816" s="1" customFormat="1" ht="12.75" customHeight="1" x14ac:dyDescent="0.3"/>
    <row r="817" s="1" customFormat="1" ht="12.75" customHeight="1" x14ac:dyDescent="0.3"/>
    <row r="818" s="1" customFormat="1" ht="12.75" customHeight="1" x14ac:dyDescent="0.3"/>
    <row r="819" s="1" customFormat="1" ht="12.75" customHeight="1" x14ac:dyDescent="0.3"/>
    <row r="820" s="1" customFormat="1" ht="12.75" customHeight="1" x14ac:dyDescent="0.3"/>
    <row r="821" s="1" customFormat="1" ht="12.75" customHeight="1" x14ac:dyDescent="0.3"/>
    <row r="822" s="1" customFormat="1" ht="12.75" customHeight="1" x14ac:dyDescent="0.3"/>
    <row r="823" s="1" customFormat="1" ht="12.75" customHeight="1" x14ac:dyDescent="0.3"/>
    <row r="824" s="1" customFormat="1" ht="12.75" customHeight="1" x14ac:dyDescent="0.3"/>
    <row r="825" s="1" customFormat="1" ht="12.75" customHeight="1" x14ac:dyDescent="0.3"/>
    <row r="826" s="1" customFormat="1" ht="12.75" customHeight="1" x14ac:dyDescent="0.3"/>
    <row r="827" s="1" customFormat="1" ht="12.75" customHeight="1" x14ac:dyDescent="0.3"/>
    <row r="828" s="1" customFormat="1" ht="12.75" customHeight="1" x14ac:dyDescent="0.3"/>
    <row r="829" s="1" customFormat="1" ht="12.75" customHeight="1" x14ac:dyDescent="0.3"/>
    <row r="830" s="1" customFormat="1" ht="12.75" customHeight="1" x14ac:dyDescent="0.3"/>
    <row r="831" s="1" customFormat="1" ht="12.75" customHeight="1" x14ac:dyDescent="0.3"/>
    <row r="832" s="1" customFormat="1" ht="12.75" customHeight="1" x14ac:dyDescent="0.3"/>
    <row r="833" s="1" customFormat="1" ht="12.75" customHeight="1" x14ac:dyDescent="0.3"/>
    <row r="834" s="1" customFormat="1" ht="12.75" customHeight="1" x14ac:dyDescent="0.3"/>
    <row r="835" s="1" customFormat="1" ht="12.75" customHeight="1" x14ac:dyDescent="0.3"/>
    <row r="836" s="1" customFormat="1" ht="12.75" customHeight="1" x14ac:dyDescent="0.3"/>
    <row r="837" s="1" customFormat="1" ht="12.75" customHeight="1" x14ac:dyDescent="0.3"/>
    <row r="838" s="1" customFormat="1" ht="12.75" customHeight="1" x14ac:dyDescent="0.3"/>
    <row r="839" s="1" customFormat="1" ht="12.75" customHeight="1" x14ac:dyDescent="0.3"/>
    <row r="840" s="1" customFormat="1" ht="12.75" customHeight="1" x14ac:dyDescent="0.3"/>
    <row r="841" s="1" customFormat="1" ht="12.75" customHeight="1" x14ac:dyDescent="0.3"/>
    <row r="842" s="1" customFormat="1" ht="12.75" customHeight="1" x14ac:dyDescent="0.3"/>
    <row r="843" s="1" customFormat="1" ht="12.75" customHeight="1" x14ac:dyDescent="0.3"/>
    <row r="844" s="1" customFormat="1" ht="12.75" customHeight="1" x14ac:dyDescent="0.3"/>
    <row r="845" s="1" customFormat="1" ht="12.75" customHeight="1" x14ac:dyDescent="0.3"/>
    <row r="846" s="1" customFormat="1" ht="12.75" customHeight="1" x14ac:dyDescent="0.3"/>
    <row r="847" s="1" customFormat="1" ht="12.75" customHeight="1" x14ac:dyDescent="0.3"/>
    <row r="848" s="1" customFormat="1" ht="12.75" customHeight="1" x14ac:dyDescent="0.3"/>
    <row r="849" s="1" customFormat="1" ht="12.75" customHeight="1" x14ac:dyDescent="0.3"/>
    <row r="850" s="1" customFormat="1" ht="12.75" customHeight="1" x14ac:dyDescent="0.3"/>
    <row r="851" s="1" customFormat="1" ht="12.75" customHeight="1" x14ac:dyDescent="0.3"/>
    <row r="852" s="1" customFormat="1" ht="12.75" customHeight="1" x14ac:dyDescent="0.3"/>
    <row r="853" s="1" customFormat="1" ht="12.75" customHeight="1" x14ac:dyDescent="0.3"/>
    <row r="854" s="1" customFormat="1" ht="12.75" customHeight="1" x14ac:dyDescent="0.3"/>
    <row r="855" s="1" customFormat="1" ht="12.75" customHeight="1" x14ac:dyDescent="0.3"/>
    <row r="856" s="1" customFormat="1" ht="12.75" customHeight="1" x14ac:dyDescent="0.3"/>
    <row r="857" s="1" customFormat="1" ht="12.75" customHeight="1" x14ac:dyDescent="0.3"/>
    <row r="858" s="1" customFormat="1" ht="12.75" customHeight="1" x14ac:dyDescent="0.3"/>
    <row r="859" s="1" customFormat="1" ht="12.75" customHeight="1" x14ac:dyDescent="0.3"/>
    <row r="860" s="1" customFormat="1" ht="12.75" customHeight="1" x14ac:dyDescent="0.3"/>
    <row r="861" s="1" customFormat="1" ht="12.75" customHeight="1" x14ac:dyDescent="0.3"/>
    <row r="862" s="1" customFormat="1" ht="12.75" customHeight="1" x14ac:dyDescent="0.3"/>
    <row r="863" s="1" customFormat="1" ht="12.75" customHeight="1" x14ac:dyDescent="0.3"/>
    <row r="864" s="1" customFormat="1" ht="12.75" customHeight="1" x14ac:dyDescent="0.3"/>
    <row r="865" s="1" customFormat="1" ht="12.75" customHeight="1" x14ac:dyDescent="0.3"/>
    <row r="866" s="1" customFormat="1" ht="12.75" customHeight="1" x14ac:dyDescent="0.3"/>
    <row r="867" s="1" customFormat="1" ht="12.75" customHeight="1" x14ac:dyDescent="0.3"/>
    <row r="868" s="1" customFormat="1" ht="12.75" customHeight="1" x14ac:dyDescent="0.3"/>
    <row r="869" s="1" customFormat="1" ht="12.75" customHeight="1" x14ac:dyDescent="0.3"/>
    <row r="870" s="1" customFormat="1" ht="12.75" customHeight="1" x14ac:dyDescent="0.3"/>
    <row r="871" s="1" customFormat="1" ht="12.75" customHeight="1" x14ac:dyDescent="0.3"/>
    <row r="872" s="1" customFormat="1" ht="12.75" customHeight="1" x14ac:dyDescent="0.3"/>
    <row r="873" s="1" customFormat="1" ht="12.75" customHeight="1" x14ac:dyDescent="0.3"/>
    <row r="874" s="1" customFormat="1" ht="12.75" customHeight="1" x14ac:dyDescent="0.3"/>
    <row r="875" s="1" customFormat="1" ht="12.75" customHeight="1" x14ac:dyDescent="0.3"/>
    <row r="876" s="1" customFormat="1" ht="12.75" customHeight="1" x14ac:dyDescent="0.3"/>
    <row r="877" s="1" customFormat="1" ht="12.75" customHeight="1" x14ac:dyDescent="0.3"/>
    <row r="878" s="1" customFormat="1" ht="12.75" customHeight="1" x14ac:dyDescent="0.3"/>
    <row r="879" s="1" customFormat="1" ht="12.75" customHeight="1" x14ac:dyDescent="0.3"/>
    <row r="880" s="1" customFormat="1" ht="12.75" customHeight="1" x14ac:dyDescent="0.3"/>
    <row r="881" s="1" customFormat="1" ht="12.75" customHeight="1" x14ac:dyDescent="0.3"/>
    <row r="882" s="1" customFormat="1" ht="12.75" customHeight="1" x14ac:dyDescent="0.3"/>
    <row r="883" s="1" customFormat="1" ht="12.75" customHeight="1" x14ac:dyDescent="0.3"/>
    <row r="884" s="1" customFormat="1" ht="12.75" customHeight="1" x14ac:dyDescent="0.3"/>
    <row r="885" s="1" customFormat="1" ht="12.75" customHeight="1" x14ac:dyDescent="0.3"/>
    <row r="886" s="1" customFormat="1" ht="12.75" customHeight="1" x14ac:dyDescent="0.3"/>
    <row r="887" s="1" customFormat="1" ht="12.75" customHeight="1" x14ac:dyDescent="0.3"/>
    <row r="888" s="1" customFormat="1" ht="12.75" customHeight="1" x14ac:dyDescent="0.3"/>
    <row r="889" s="1" customFormat="1" ht="12.75" customHeight="1" x14ac:dyDescent="0.3"/>
    <row r="890" s="1" customFormat="1" ht="12.75" customHeight="1" x14ac:dyDescent="0.3"/>
    <row r="891" s="1" customFormat="1" ht="12.75" customHeight="1" x14ac:dyDescent="0.3"/>
    <row r="892" s="1" customFormat="1" ht="12.75" customHeight="1" x14ac:dyDescent="0.3"/>
    <row r="893" s="1" customFormat="1" ht="12.75" customHeight="1" x14ac:dyDescent="0.3"/>
    <row r="894" s="1" customFormat="1" ht="12.75" customHeight="1" x14ac:dyDescent="0.3"/>
    <row r="895" s="1" customFormat="1" ht="12.75" customHeight="1" x14ac:dyDescent="0.3"/>
    <row r="896" s="1" customFormat="1" ht="12.75" customHeight="1" x14ac:dyDescent="0.3"/>
    <row r="897" s="1" customFormat="1" ht="12.75" customHeight="1" x14ac:dyDescent="0.3"/>
    <row r="898" s="1" customFormat="1" ht="12.75" customHeight="1" x14ac:dyDescent="0.3"/>
    <row r="899" s="1" customFormat="1" ht="12.75" customHeight="1" x14ac:dyDescent="0.3"/>
    <row r="900" s="1" customFormat="1" ht="12.75" customHeight="1" x14ac:dyDescent="0.3"/>
    <row r="901" s="1" customFormat="1" ht="12.75" customHeight="1" x14ac:dyDescent="0.3"/>
    <row r="902" s="1" customFormat="1" ht="12.75" customHeight="1" x14ac:dyDescent="0.3"/>
    <row r="903" s="1" customFormat="1" ht="12.75" customHeight="1" x14ac:dyDescent="0.3"/>
    <row r="904" s="1" customFormat="1" ht="12.75" customHeight="1" x14ac:dyDescent="0.3"/>
    <row r="905" s="1" customFormat="1" ht="12.75" customHeight="1" x14ac:dyDescent="0.3"/>
    <row r="906" s="1" customFormat="1" ht="12.75" customHeight="1" x14ac:dyDescent="0.3"/>
    <row r="907" s="1" customFormat="1" ht="12.75" customHeight="1" x14ac:dyDescent="0.3"/>
    <row r="908" s="1" customFormat="1" ht="12.75" customHeight="1" x14ac:dyDescent="0.3"/>
    <row r="909" s="1" customFormat="1" ht="12.75" customHeight="1" x14ac:dyDescent="0.3"/>
    <row r="910" s="1" customFormat="1" ht="12.75" customHeight="1" x14ac:dyDescent="0.3"/>
    <row r="911" s="1" customFormat="1" ht="12.75" customHeight="1" x14ac:dyDescent="0.3"/>
    <row r="912" s="1" customFormat="1" ht="12.75" customHeight="1" x14ac:dyDescent="0.3"/>
    <row r="913" s="1" customFormat="1" ht="12.75" customHeight="1" x14ac:dyDescent="0.3"/>
    <row r="914" s="1" customFormat="1" ht="12.75" customHeight="1" x14ac:dyDescent="0.3"/>
    <row r="915" s="1" customFormat="1" ht="12.75" customHeight="1" x14ac:dyDescent="0.3"/>
    <row r="916" s="1" customFormat="1" ht="12.75" customHeight="1" x14ac:dyDescent="0.3"/>
    <row r="917" s="1" customFormat="1" ht="12.75" customHeight="1" x14ac:dyDescent="0.3"/>
    <row r="918" s="1" customFormat="1" ht="12.75" customHeight="1" x14ac:dyDescent="0.3"/>
    <row r="919" s="1" customFormat="1" ht="12.75" customHeight="1" x14ac:dyDescent="0.3"/>
    <row r="920" s="1" customFormat="1" ht="12.75" customHeight="1" x14ac:dyDescent="0.3"/>
    <row r="921" s="1" customFormat="1" ht="12.75" customHeight="1" x14ac:dyDescent="0.3"/>
    <row r="922" s="1" customFormat="1" ht="12.75" customHeight="1" x14ac:dyDescent="0.3"/>
    <row r="923" s="1" customFormat="1" ht="12.75" customHeight="1" x14ac:dyDescent="0.3"/>
    <row r="924" s="1" customFormat="1" ht="12.75" customHeight="1" x14ac:dyDescent="0.3"/>
    <row r="925" s="1" customFormat="1" ht="12.75" customHeight="1" x14ac:dyDescent="0.3"/>
    <row r="926" s="1" customFormat="1" ht="12.75" customHeight="1" x14ac:dyDescent="0.3"/>
    <row r="927" s="1" customFormat="1" ht="12.75" customHeight="1" x14ac:dyDescent="0.3"/>
    <row r="928" s="1" customFormat="1" ht="12.75" customHeight="1" x14ac:dyDescent="0.3"/>
    <row r="929" s="1" customFormat="1" ht="12.75" customHeight="1" x14ac:dyDescent="0.3"/>
    <row r="930" s="1" customFormat="1" ht="12.75" customHeight="1" x14ac:dyDescent="0.3"/>
    <row r="931" s="1" customFormat="1" ht="12.75" customHeight="1" x14ac:dyDescent="0.3"/>
    <row r="932" s="1" customFormat="1" ht="12.75" customHeight="1" x14ac:dyDescent="0.3"/>
    <row r="933" s="1" customFormat="1" ht="12.75" customHeight="1" x14ac:dyDescent="0.3"/>
    <row r="934" s="1" customFormat="1" ht="12.75" customHeight="1" x14ac:dyDescent="0.3"/>
    <row r="935" s="1" customFormat="1" ht="12.75" customHeight="1" x14ac:dyDescent="0.3"/>
    <row r="936" s="1" customFormat="1" ht="12.75" customHeight="1" x14ac:dyDescent="0.3"/>
    <row r="937" s="1" customFormat="1" ht="12.75" customHeight="1" x14ac:dyDescent="0.3"/>
    <row r="938" s="1" customFormat="1" ht="12.75" customHeight="1" x14ac:dyDescent="0.3"/>
    <row r="939" s="1" customFormat="1" ht="12.75" customHeight="1" x14ac:dyDescent="0.3"/>
    <row r="940" s="1" customFormat="1" ht="12.75" customHeight="1" x14ac:dyDescent="0.3"/>
    <row r="941" s="1" customFormat="1" ht="12.75" customHeight="1" x14ac:dyDescent="0.3"/>
    <row r="942" s="1" customFormat="1" ht="12.75" customHeight="1" x14ac:dyDescent="0.3"/>
    <row r="943" s="1" customFormat="1" ht="12.75" customHeight="1" x14ac:dyDescent="0.3"/>
    <row r="944" s="1" customFormat="1" ht="12.75" customHeight="1" x14ac:dyDescent="0.3"/>
    <row r="945" s="1" customFormat="1" ht="12.75" customHeight="1" x14ac:dyDescent="0.3"/>
    <row r="946" s="1" customFormat="1" ht="12.75" customHeight="1" x14ac:dyDescent="0.3"/>
    <row r="947" s="1" customFormat="1" ht="12.75" customHeight="1" x14ac:dyDescent="0.3"/>
    <row r="948" s="1" customFormat="1" ht="12.75" customHeight="1" x14ac:dyDescent="0.3"/>
    <row r="949" s="1" customFormat="1" ht="12.75" customHeight="1" x14ac:dyDescent="0.3"/>
    <row r="950" s="1" customFormat="1" ht="12.75" customHeight="1" x14ac:dyDescent="0.3"/>
    <row r="951" s="1" customFormat="1" ht="12.75" customHeight="1" x14ac:dyDescent="0.3"/>
    <row r="952" s="1" customFormat="1" ht="12.75" customHeight="1" x14ac:dyDescent="0.3"/>
    <row r="953" s="1" customFormat="1" ht="12.75" customHeight="1" x14ac:dyDescent="0.3"/>
    <row r="954" s="1" customFormat="1" ht="12.75" customHeight="1" x14ac:dyDescent="0.3"/>
    <row r="955" s="1" customFormat="1" ht="12.75" customHeight="1" x14ac:dyDescent="0.3"/>
    <row r="956" s="1" customFormat="1" ht="12.75" customHeight="1" x14ac:dyDescent="0.3"/>
    <row r="957" s="1" customFormat="1" ht="12.75" customHeight="1" x14ac:dyDescent="0.3"/>
    <row r="958" s="1" customFormat="1" ht="12.75" customHeight="1" x14ac:dyDescent="0.3"/>
    <row r="959" s="1" customFormat="1" ht="12.75" customHeight="1" x14ac:dyDescent="0.3"/>
    <row r="960" s="1" customFormat="1" ht="12.75" customHeight="1" x14ac:dyDescent="0.3"/>
    <row r="961" s="1" customFormat="1" ht="12.75" customHeight="1" x14ac:dyDescent="0.3"/>
    <row r="962" s="1" customFormat="1" ht="12.75" customHeight="1" x14ac:dyDescent="0.3"/>
    <row r="963" s="1" customFormat="1" ht="12.75" customHeight="1" x14ac:dyDescent="0.3"/>
    <row r="964" s="1" customFormat="1" ht="12.75" customHeight="1" x14ac:dyDescent="0.3"/>
    <row r="965" s="1" customFormat="1" ht="12.75" customHeight="1" x14ac:dyDescent="0.3"/>
    <row r="966" s="1" customFormat="1" ht="12.75" customHeight="1" x14ac:dyDescent="0.3"/>
    <row r="967" s="1" customFormat="1" ht="12.75" customHeight="1" x14ac:dyDescent="0.3"/>
    <row r="968" s="1" customFormat="1" ht="12.75" customHeight="1" x14ac:dyDescent="0.3"/>
    <row r="969" s="1" customFormat="1" ht="12.75" customHeight="1" x14ac:dyDescent="0.3"/>
    <row r="970" s="1" customFormat="1" ht="12.75" customHeight="1" x14ac:dyDescent="0.3"/>
    <row r="971" s="1" customFormat="1" ht="12.75" customHeight="1" x14ac:dyDescent="0.3"/>
    <row r="972" s="1" customFormat="1" ht="12.75" customHeight="1" x14ac:dyDescent="0.3"/>
    <row r="973" s="1" customFormat="1" ht="12.75" customHeight="1" x14ac:dyDescent="0.3"/>
    <row r="974" s="1" customFormat="1" ht="12.75" customHeight="1" x14ac:dyDescent="0.3"/>
    <row r="975" s="1" customFormat="1" ht="12.75" customHeight="1" x14ac:dyDescent="0.3"/>
    <row r="976" s="1" customFormat="1" ht="12.75" customHeight="1" x14ac:dyDescent="0.3"/>
    <row r="977" s="1" customFormat="1" ht="12.75" customHeight="1" x14ac:dyDescent="0.3"/>
    <row r="978" s="1" customFormat="1" ht="12.75" customHeight="1" x14ac:dyDescent="0.3"/>
    <row r="979" s="1" customFormat="1" ht="12.75" customHeight="1" x14ac:dyDescent="0.3"/>
    <row r="980" s="1" customFormat="1" ht="12.75" customHeight="1" x14ac:dyDescent="0.3"/>
    <row r="981" s="1" customFormat="1" ht="12.75" customHeight="1" x14ac:dyDescent="0.3"/>
    <row r="982" s="1" customFormat="1" ht="12.75" customHeight="1" x14ac:dyDescent="0.3"/>
    <row r="983" s="1" customFormat="1" ht="12.75" customHeight="1" x14ac:dyDescent="0.3"/>
    <row r="984" s="1" customFormat="1" ht="12.75" customHeight="1" x14ac:dyDescent="0.3"/>
    <row r="985" s="1" customFormat="1" ht="12.75" customHeight="1" x14ac:dyDescent="0.3"/>
    <row r="986" s="1" customFormat="1" ht="12.75" customHeight="1" x14ac:dyDescent="0.3"/>
    <row r="987" s="1" customFormat="1" ht="12.75" customHeight="1" x14ac:dyDescent="0.3"/>
    <row r="988" s="1" customFormat="1" ht="12.75" customHeight="1" x14ac:dyDescent="0.3"/>
    <row r="989" s="1" customFormat="1" ht="12.75" customHeight="1" x14ac:dyDescent="0.3"/>
    <row r="990" s="1" customFormat="1" ht="12.75" customHeight="1" x14ac:dyDescent="0.3"/>
    <row r="991" s="1" customFormat="1" ht="12.75" customHeight="1" x14ac:dyDescent="0.3"/>
    <row r="992" s="1" customFormat="1" ht="12.75" customHeight="1" x14ac:dyDescent="0.3"/>
    <row r="993" s="1" customFormat="1" ht="12.75" customHeight="1" x14ac:dyDescent="0.3"/>
    <row r="994" s="1" customFormat="1" ht="12.75" customHeight="1" x14ac:dyDescent="0.3"/>
    <row r="995" s="1" customFormat="1" ht="12.75" customHeight="1" x14ac:dyDescent="0.3"/>
    <row r="996" s="1" customFormat="1" ht="12.75" customHeight="1" x14ac:dyDescent="0.3"/>
    <row r="997" s="1" customFormat="1" ht="12.75" customHeight="1" x14ac:dyDescent="0.3"/>
    <row r="998" s="1" customFormat="1" ht="12.75" customHeight="1" x14ac:dyDescent="0.3"/>
    <row r="999" s="1" customFormat="1" ht="12.75" customHeight="1" x14ac:dyDescent="0.3"/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D6A0E-3FAA-46D3-A87A-71BA2E0B7A8C}">
  <dimension ref="A1:M999"/>
  <sheetViews>
    <sheetView workbookViewId="0">
      <selection sqref="A1:XFD1048576"/>
    </sheetView>
  </sheetViews>
  <sheetFormatPr baseColWidth="10" defaultColWidth="12.6328125" defaultRowHeight="15" customHeight="1" x14ac:dyDescent="0.3"/>
  <cols>
    <col min="1" max="1" width="15.7265625" style="1" customWidth="1"/>
    <col min="2" max="7" width="10.6328125" style="1" customWidth="1"/>
    <col min="8" max="8" width="11.36328125" style="1" customWidth="1"/>
    <col min="9" max="25" width="10.6328125" style="1" customWidth="1"/>
    <col min="26" max="16384" width="12.6328125" style="1"/>
  </cols>
  <sheetData>
    <row r="1" spans="1:13" ht="12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2.75" customHeight="1" x14ac:dyDescent="0.3">
      <c r="A2" s="1" t="s">
        <v>12</v>
      </c>
      <c r="B2" s="1" t="s">
        <v>13</v>
      </c>
      <c r="E2" s="1">
        <v>1</v>
      </c>
      <c r="H2" s="2" t="s">
        <v>14</v>
      </c>
      <c r="I2" s="3">
        <f t="shared" ref="I2:L2" si="0">SUM(C22+C37+C55+C65+C66+C96+C105+C113+C128+C146+C150)</f>
        <v>11</v>
      </c>
      <c r="J2" s="3">
        <f t="shared" si="0"/>
        <v>0</v>
      </c>
      <c r="K2" s="3">
        <f t="shared" si="0"/>
        <v>0</v>
      </c>
      <c r="L2" s="3">
        <f t="shared" si="0"/>
        <v>0</v>
      </c>
      <c r="M2" s="3">
        <f t="shared" ref="M2:M13" si="1">SUM(I2:L2)</f>
        <v>11</v>
      </c>
    </row>
    <row r="3" spans="1:13" ht="13.5" customHeight="1" x14ac:dyDescent="0.3">
      <c r="A3" s="1" t="s">
        <v>15</v>
      </c>
      <c r="B3" s="1" t="s">
        <v>16</v>
      </c>
      <c r="C3" s="1">
        <v>1</v>
      </c>
      <c r="H3" s="2" t="s">
        <v>17</v>
      </c>
      <c r="I3" s="3">
        <f t="shared" ref="I3:L3" si="2">SUM(C6+C32+C50+C52+C58+C69+C76+C94+C115+C122+C123+C152)</f>
        <v>5</v>
      </c>
      <c r="J3" s="3">
        <f t="shared" si="2"/>
        <v>7</v>
      </c>
      <c r="K3" s="3">
        <f t="shared" si="2"/>
        <v>0</v>
      </c>
      <c r="L3" s="3">
        <f t="shared" si="2"/>
        <v>0</v>
      </c>
      <c r="M3" s="3">
        <f t="shared" si="1"/>
        <v>12</v>
      </c>
    </row>
    <row r="4" spans="1:13" ht="12.75" customHeight="1" x14ac:dyDescent="0.3">
      <c r="A4" s="1" t="s">
        <v>18</v>
      </c>
      <c r="B4" s="1" t="s">
        <v>13</v>
      </c>
      <c r="D4" s="1">
        <v>1</v>
      </c>
      <c r="H4" s="2" t="s">
        <v>19</v>
      </c>
      <c r="I4" s="3">
        <f t="shared" ref="I4:L4" si="3">SUM(C26+C14+C27+C62+C68+C124+C138+C142+C153+C155)</f>
        <v>10</v>
      </c>
      <c r="J4" s="3">
        <f t="shared" si="3"/>
        <v>0</v>
      </c>
      <c r="K4" s="3">
        <f t="shared" si="3"/>
        <v>0</v>
      </c>
      <c r="L4" s="3">
        <f t="shared" si="3"/>
        <v>0</v>
      </c>
      <c r="M4" s="3">
        <f t="shared" si="1"/>
        <v>10</v>
      </c>
    </row>
    <row r="5" spans="1:13" ht="12.75" customHeight="1" x14ac:dyDescent="0.3">
      <c r="A5" s="1" t="s">
        <v>20</v>
      </c>
      <c r="B5" s="1" t="s">
        <v>21</v>
      </c>
      <c r="C5" s="1">
        <v>1</v>
      </c>
      <c r="H5" s="2" t="s">
        <v>22</v>
      </c>
      <c r="I5" s="3">
        <f t="shared" ref="I5:L5" si="4">SUM(C5+C36+C56+C63+C73+C85+C87+C95+C135)</f>
        <v>8</v>
      </c>
      <c r="J5" s="3">
        <f t="shared" si="4"/>
        <v>0</v>
      </c>
      <c r="K5" s="3">
        <f t="shared" si="4"/>
        <v>0</v>
      </c>
      <c r="L5" s="3">
        <f t="shared" si="4"/>
        <v>1</v>
      </c>
      <c r="M5" s="3">
        <f t="shared" si="1"/>
        <v>9</v>
      </c>
    </row>
    <row r="6" spans="1:13" ht="12.75" customHeight="1" x14ac:dyDescent="0.3">
      <c r="A6" s="1" t="s">
        <v>23</v>
      </c>
      <c r="B6" s="1" t="s">
        <v>24</v>
      </c>
      <c r="C6" s="1">
        <v>1</v>
      </c>
      <c r="H6" s="2" t="s">
        <v>25</v>
      </c>
      <c r="I6" s="3">
        <f t="shared" ref="I6:L6" si="5">SUM(C12+C15+C18+C28+C41+C59+C78+C64+C82+C83+C86+C106+C119+C143+C148+C154)</f>
        <v>16</v>
      </c>
      <c r="J6" s="3">
        <f t="shared" si="5"/>
        <v>0</v>
      </c>
      <c r="K6" s="3">
        <f t="shared" si="5"/>
        <v>0</v>
      </c>
      <c r="L6" s="3">
        <f t="shared" si="5"/>
        <v>0</v>
      </c>
      <c r="M6" s="3">
        <f t="shared" si="1"/>
        <v>16</v>
      </c>
    </row>
    <row r="7" spans="1:13" ht="12" customHeight="1" x14ac:dyDescent="0.3">
      <c r="A7" s="1" t="s">
        <v>26</v>
      </c>
      <c r="B7" s="1" t="s">
        <v>27</v>
      </c>
      <c r="D7" s="1">
        <v>1</v>
      </c>
      <c r="H7" s="2" t="s">
        <v>28</v>
      </c>
      <c r="I7" s="3">
        <f t="shared" ref="I7:L7" si="6">SUM(C3+C20+C46+C49+C54+C89+C90+C102+C112+C114+C129+C141)</f>
        <v>5</v>
      </c>
      <c r="J7" s="3">
        <f t="shared" si="6"/>
        <v>3</v>
      </c>
      <c r="K7" s="3">
        <f t="shared" si="6"/>
        <v>4</v>
      </c>
      <c r="L7" s="3">
        <f t="shared" si="6"/>
        <v>0</v>
      </c>
      <c r="M7" s="3">
        <f t="shared" si="1"/>
        <v>12</v>
      </c>
    </row>
    <row r="8" spans="1:13" ht="12" customHeight="1" x14ac:dyDescent="0.3">
      <c r="A8" s="1" t="s">
        <v>29</v>
      </c>
      <c r="B8" s="1" t="s">
        <v>30</v>
      </c>
      <c r="D8" s="1">
        <v>1</v>
      </c>
      <c r="H8" s="2" t="s">
        <v>27</v>
      </c>
      <c r="I8" s="3">
        <f t="shared" ref="I8:L8" si="7">SUM(C7+C30+C29+C44+C51+C60+C72+C79+C101+C99+C107+C111+C117+C140+C144)</f>
        <v>0</v>
      </c>
      <c r="J8" s="3">
        <f t="shared" si="7"/>
        <v>14</v>
      </c>
      <c r="K8" s="3">
        <f t="shared" si="7"/>
        <v>1</v>
      </c>
      <c r="L8" s="3">
        <f t="shared" si="7"/>
        <v>0</v>
      </c>
      <c r="M8" s="3">
        <f t="shared" si="1"/>
        <v>15</v>
      </c>
    </row>
    <row r="9" spans="1:13" ht="12" customHeight="1" x14ac:dyDescent="0.3">
      <c r="A9" s="1" t="s">
        <v>31</v>
      </c>
      <c r="B9" s="1" t="s">
        <v>13</v>
      </c>
      <c r="D9" s="1">
        <v>1</v>
      </c>
      <c r="H9" s="2" t="s">
        <v>13</v>
      </c>
      <c r="I9" s="3">
        <f t="shared" ref="I9:J9" si="8">SUM(C4+C9+C17+C19+C2+C48+C92+C120+C126+C127+C130+C133+C151)</f>
        <v>0</v>
      </c>
      <c r="J9" s="3">
        <f t="shared" si="8"/>
        <v>10</v>
      </c>
      <c r="K9" s="3">
        <f>SUM(D4+D9+D17+D19+D2+D48+D92+D120+D126+D127+D130+D133+D151)</f>
        <v>10</v>
      </c>
      <c r="L9" s="3">
        <f>SUM(F4+F9+F17+F19+F2+F48+F92+F120+F126+F127+F130+F133+F151)</f>
        <v>0</v>
      </c>
      <c r="M9" s="3">
        <f t="shared" si="1"/>
        <v>20</v>
      </c>
    </row>
    <row r="10" spans="1:13" ht="13.5" customHeight="1" x14ac:dyDescent="0.3">
      <c r="A10" s="1" t="s">
        <v>32</v>
      </c>
      <c r="B10" s="1" t="s">
        <v>33</v>
      </c>
      <c r="C10" s="1">
        <v>1</v>
      </c>
      <c r="H10" s="2" t="s">
        <v>30</v>
      </c>
      <c r="I10" s="3">
        <f t="shared" ref="I10:L10" si="9">SUM(C8+C13+C16+C25+C31+C35+C43+C45+C70+C71+C75+C81+C88+C93+C98+C100+C104+C118+C136+C137+C156)</f>
        <v>0</v>
      </c>
      <c r="J10" s="3">
        <f t="shared" si="9"/>
        <v>21</v>
      </c>
      <c r="K10" s="3">
        <f t="shared" si="9"/>
        <v>0</v>
      </c>
      <c r="L10" s="3">
        <f t="shared" si="9"/>
        <v>0</v>
      </c>
      <c r="M10" s="3">
        <f t="shared" si="1"/>
        <v>21</v>
      </c>
    </row>
    <row r="11" spans="1:13" ht="12" customHeight="1" x14ac:dyDescent="0.3">
      <c r="A11" s="1" t="s">
        <v>34</v>
      </c>
      <c r="B11" s="1" t="s">
        <v>33</v>
      </c>
      <c r="C11" s="1">
        <v>1</v>
      </c>
      <c r="H11" s="2" t="s">
        <v>35</v>
      </c>
      <c r="I11" s="3">
        <f t="shared" ref="I11:L11" si="10">SUM(C38+C42+C47+C53+C74+C77+C80+C91+C97+C103+C108+C116+C131+C145+C147)</f>
        <v>0</v>
      </c>
      <c r="J11" s="3">
        <f t="shared" si="10"/>
        <v>15</v>
      </c>
      <c r="K11" s="3">
        <f t="shared" si="10"/>
        <v>0</v>
      </c>
      <c r="L11" s="3">
        <f t="shared" si="10"/>
        <v>0</v>
      </c>
      <c r="M11" s="3">
        <f t="shared" si="1"/>
        <v>15</v>
      </c>
    </row>
    <row r="12" spans="1:13" ht="13.5" customHeight="1" x14ac:dyDescent="0.3">
      <c r="A12" s="1" t="s">
        <v>36</v>
      </c>
      <c r="B12" s="1" t="s">
        <v>37</v>
      </c>
      <c r="C12" s="1">
        <v>1</v>
      </c>
      <c r="H12" s="2" t="s">
        <v>38</v>
      </c>
      <c r="I12" s="3">
        <f t="shared" ref="I12:L12" si="11">SUM(C21+C24+C34+C40+C67+C84+C132)</f>
        <v>0</v>
      </c>
      <c r="J12" s="3">
        <f t="shared" si="11"/>
        <v>7</v>
      </c>
      <c r="K12" s="3">
        <f t="shared" si="11"/>
        <v>0</v>
      </c>
      <c r="L12" s="3">
        <f t="shared" si="11"/>
        <v>0</v>
      </c>
      <c r="M12" s="3">
        <f t="shared" si="1"/>
        <v>7</v>
      </c>
    </row>
    <row r="13" spans="1:13" ht="12.75" customHeight="1" x14ac:dyDescent="0.3">
      <c r="A13" s="1" t="s">
        <v>39</v>
      </c>
      <c r="B13" s="1" t="s">
        <v>30</v>
      </c>
      <c r="D13" s="1">
        <v>1</v>
      </c>
      <c r="H13" s="2" t="s">
        <v>33</v>
      </c>
      <c r="I13" s="3">
        <f t="shared" ref="I13:L13" si="12">SUM(C10+C11+C57+C125+C149)</f>
        <v>5</v>
      </c>
      <c r="J13" s="3">
        <f t="shared" si="12"/>
        <v>0</v>
      </c>
      <c r="K13" s="3">
        <f t="shared" si="12"/>
        <v>0</v>
      </c>
      <c r="L13" s="3">
        <f t="shared" si="12"/>
        <v>0</v>
      </c>
      <c r="M13" s="3">
        <f t="shared" si="1"/>
        <v>5</v>
      </c>
    </row>
    <row r="14" spans="1:13" ht="12.75" customHeight="1" x14ac:dyDescent="0.3">
      <c r="A14" s="1" t="s">
        <v>40</v>
      </c>
      <c r="B14" s="1" t="s">
        <v>19</v>
      </c>
      <c r="C14" s="1">
        <v>1</v>
      </c>
      <c r="I14" s="4"/>
      <c r="J14" s="4"/>
      <c r="K14" s="4"/>
      <c r="L14" s="4"/>
    </row>
    <row r="15" spans="1:13" ht="12.75" customHeight="1" x14ac:dyDescent="0.3">
      <c r="A15" s="1" t="s">
        <v>41</v>
      </c>
      <c r="B15" s="1" t="s">
        <v>42</v>
      </c>
      <c r="C15" s="1">
        <v>1</v>
      </c>
      <c r="I15" s="4"/>
      <c r="J15" s="4"/>
      <c r="K15" s="4"/>
      <c r="L15" s="4"/>
    </row>
    <row r="16" spans="1:13" ht="12.75" customHeight="1" x14ac:dyDescent="0.3">
      <c r="A16" s="1" t="s">
        <v>43</v>
      </c>
      <c r="B16" s="1" t="s">
        <v>30</v>
      </c>
      <c r="D16" s="1">
        <v>1</v>
      </c>
      <c r="I16" s="4"/>
      <c r="J16" s="4"/>
      <c r="K16" s="4"/>
      <c r="L16" s="4"/>
    </row>
    <row r="17" spans="1:12" ht="12.75" customHeight="1" x14ac:dyDescent="0.3">
      <c r="A17" s="1" t="s">
        <v>44</v>
      </c>
      <c r="B17" s="1" t="s">
        <v>13</v>
      </c>
      <c r="D17" s="1">
        <v>1</v>
      </c>
      <c r="I17" s="4"/>
      <c r="J17" s="4"/>
      <c r="K17" s="4"/>
      <c r="L17" s="4"/>
    </row>
    <row r="18" spans="1:12" ht="12.75" customHeight="1" x14ac:dyDescent="0.3">
      <c r="A18" s="1" t="s">
        <v>45</v>
      </c>
      <c r="B18" s="1" t="s">
        <v>37</v>
      </c>
      <c r="C18" s="1">
        <v>1</v>
      </c>
      <c r="I18" s="4"/>
      <c r="J18" s="4"/>
      <c r="K18" s="4"/>
      <c r="L18" s="4"/>
    </row>
    <row r="19" spans="1:12" ht="12.75" customHeight="1" x14ac:dyDescent="0.3">
      <c r="A19" s="1" t="s">
        <v>46</v>
      </c>
      <c r="B19" s="1" t="s">
        <v>13</v>
      </c>
      <c r="D19" s="1">
        <v>1</v>
      </c>
    </row>
    <row r="20" spans="1:12" ht="12.75" customHeight="1" x14ac:dyDescent="0.3">
      <c r="A20" s="1" t="s">
        <v>47</v>
      </c>
      <c r="B20" s="1" t="s">
        <v>16</v>
      </c>
      <c r="C20" s="1">
        <v>1</v>
      </c>
    </row>
    <row r="21" spans="1:12" ht="12.75" customHeight="1" x14ac:dyDescent="0.3">
      <c r="A21" s="1" t="s">
        <v>48</v>
      </c>
      <c r="B21" s="1" t="s">
        <v>38</v>
      </c>
      <c r="D21" s="1">
        <v>1</v>
      </c>
    </row>
    <row r="22" spans="1:12" ht="12.75" customHeight="1" x14ac:dyDescent="0.3">
      <c r="A22" s="1" t="s">
        <v>49</v>
      </c>
      <c r="B22" s="1" t="s">
        <v>14</v>
      </c>
      <c r="C22" s="1">
        <v>1</v>
      </c>
    </row>
    <row r="23" spans="1:12" ht="12.75" customHeight="1" x14ac:dyDescent="0.3">
      <c r="A23" s="1" t="s">
        <v>50</v>
      </c>
      <c r="B23" s="1" t="s">
        <v>13</v>
      </c>
      <c r="D23" s="1">
        <v>1</v>
      </c>
    </row>
    <row r="24" spans="1:12" ht="12.75" customHeight="1" x14ac:dyDescent="0.3">
      <c r="A24" s="1" t="s">
        <v>51</v>
      </c>
      <c r="B24" s="1" t="s">
        <v>38</v>
      </c>
      <c r="D24" s="1">
        <v>1</v>
      </c>
    </row>
    <row r="25" spans="1:12" ht="12.75" customHeight="1" x14ac:dyDescent="0.3">
      <c r="A25" s="1" t="s">
        <v>52</v>
      </c>
      <c r="B25" s="1" t="s">
        <v>30</v>
      </c>
      <c r="D25" s="1">
        <v>1</v>
      </c>
    </row>
    <row r="26" spans="1:12" ht="12.75" customHeight="1" x14ac:dyDescent="0.3">
      <c r="A26" s="1" t="s">
        <v>53</v>
      </c>
      <c r="B26" s="1" t="s">
        <v>19</v>
      </c>
      <c r="C26" s="1">
        <v>1</v>
      </c>
    </row>
    <row r="27" spans="1:12" ht="12.75" customHeight="1" x14ac:dyDescent="0.3">
      <c r="A27" s="1" t="s">
        <v>54</v>
      </c>
      <c r="B27" s="1" t="s">
        <v>19</v>
      </c>
      <c r="C27" s="1">
        <v>1</v>
      </c>
    </row>
    <row r="28" spans="1:12" ht="12.75" customHeight="1" x14ac:dyDescent="0.3">
      <c r="A28" s="1" t="s">
        <v>55</v>
      </c>
      <c r="B28" s="1" t="s">
        <v>37</v>
      </c>
      <c r="C28" s="1">
        <v>1</v>
      </c>
    </row>
    <row r="29" spans="1:12" ht="12.75" customHeight="1" x14ac:dyDescent="0.3">
      <c r="A29" s="1" t="s">
        <v>56</v>
      </c>
      <c r="B29" s="1" t="s">
        <v>27</v>
      </c>
      <c r="D29" s="1">
        <v>1</v>
      </c>
    </row>
    <row r="30" spans="1:12" ht="12.75" customHeight="1" x14ac:dyDescent="0.3">
      <c r="A30" s="1" t="s">
        <v>57</v>
      </c>
      <c r="B30" s="1" t="s">
        <v>27</v>
      </c>
      <c r="D30" s="1">
        <v>1</v>
      </c>
    </row>
    <row r="31" spans="1:12" ht="12.75" customHeight="1" x14ac:dyDescent="0.3">
      <c r="A31" s="1" t="s">
        <v>58</v>
      </c>
      <c r="B31" s="1" t="s">
        <v>30</v>
      </c>
      <c r="D31" s="1">
        <v>1</v>
      </c>
    </row>
    <row r="32" spans="1:12" ht="12.75" customHeight="1" x14ac:dyDescent="0.3">
      <c r="A32" s="1" t="s">
        <v>59</v>
      </c>
      <c r="B32" s="1" t="s">
        <v>24</v>
      </c>
      <c r="D32" s="1">
        <v>1</v>
      </c>
    </row>
    <row r="33" spans="1:12" ht="12.75" customHeight="1" x14ac:dyDescent="0.3">
      <c r="A33" s="1" t="s">
        <v>60</v>
      </c>
      <c r="B33" s="1" t="s">
        <v>27</v>
      </c>
      <c r="D33" s="1">
        <v>1</v>
      </c>
    </row>
    <row r="34" spans="1:12" ht="12.75" customHeight="1" x14ac:dyDescent="0.3">
      <c r="A34" s="1" t="s">
        <v>61</v>
      </c>
      <c r="B34" s="1" t="s">
        <v>38</v>
      </c>
      <c r="D34" s="1">
        <v>1</v>
      </c>
    </row>
    <row r="35" spans="1:12" ht="12.75" customHeight="1" x14ac:dyDescent="0.3">
      <c r="A35" s="1" t="s">
        <v>62</v>
      </c>
      <c r="B35" s="1" t="s">
        <v>30</v>
      </c>
      <c r="D35" s="1">
        <v>1</v>
      </c>
    </row>
    <row r="36" spans="1:12" ht="12.75" customHeight="1" x14ac:dyDescent="0.3">
      <c r="A36" s="1" t="s">
        <v>63</v>
      </c>
      <c r="B36" s="1" t="s">
        <v>21</v>
      </c>
      <c r="C36" s="1">
        <v>1</v>
      </c>
    </row>
    <row r="37" spans="1:12" ht="12.75" customHeight="1" x14ac:dyDescent="0.3">
      <c r="A37" s="1" t="s">
        <v>64</v>
      </c>
      <c r="B37" s="1" t="s">
        <v>14</v>
      </c>
      <c r="C37" s="1">
        <v>1</v>
      </c>
    </row>
    <row r="38" spans="1:12" ht="12.75" customHeight="1" x14ac:dyDescent="0.3">
      <c r="A38" s="1" t="s">
        <v>65</v>
      </c>
      <c r="B38" s="1" t="s">
        <v>66</v>
      </c>
      <c r="D38" s="1">
        <v>1</v>
      </c>
    </row>
    <row r="39" spans="1:12" ht="12.75" customHeight="1" x14ac:dyDescent="0.3">
      <c r="A39" s="1" t="s">
        <v>67</v>
      </c>
      <c r="B39" s="1" t="s">
        <v>16</v>
      </c>
      <c r="D39" s="1">
        <v>1</v>
      </c>
    </row>
    <row r="40" spans="1:12" ht="12.75" customHeight="1" x14ac:dyDescent="0.3">
      <c r="A40" s="1" t="s">
        <v>68</v>
      </c>
      <c r="B40" s="1" t="s">
        <v>38</v>
      </c>
      <c r="D40" s="1">
        <v>1</v>
      </c>
    </row>
    <row r="41" spans="1:12" ht="12.75" customHeight="1" x14ac:dyDescent="0.3">
      <c r="A41" s="1" t="s">
        <v>69</v>
      </c>
      <c r="B41" s="1" t="s">
        <v>37</v>
      </c>
      <c r="C41" s="1">
        <v>1</v>
      </c>
    </row>
    <row r="42" spans="1:12" ht="12.75" customHeight="1" x14ac:dyDescent="0.3">
      <c r="A42" s="1" t="s">
        <v>70</v>
      </c>
      <c r="B42" s="1" t="s">
        <v>66</v>
      </c>
      <c r="D42" s="1">
        <v>1</v>
      </c>
    </row>
    <row r="43" spans="1:12" ht="12.75" customHeight="1" x14ac:dyDescent="0.3">
      <c r="A43" s="1" t="s">
        <v>71</v>
      </c>
      <c r="B43" s="1" t="s">
        <v>30</v>
      </c>
      <c r="D43" s="1">
        <v>1</v>
      </c>
    </row>
    <row r="44" spans="1:12" ht="12.75" customHeight="1" x14ac:dyDescent="0.3">
      <c r="A44" s="1" t="s">
        <v>72</v>
      </c>
      <c r="B44" s="1" t="s">
        <v>27</v>
      </c>
      <c r="D44" s="1">
        <v>1</v>
      </c>
    </row>
    <row r="45" spans="1:12" ht="12.75" customHeight="1" x14ac:dyDescent="0.3">
      <c r="A45" s="1" t="s">
        <v>73</v>
      </c>
      <c r="B45" s="1" t="s">
        <v>30</v>
      </c>
      <c r="D45" s="1">
        <v>1</v>
      </c>
      <c r="H45" s="1" t="s">
        <v>6</v>
      </c>
      <c r="I45" s="1" t="s">
        <v>7</v>
      </c>
      <c r="J45" s="1" t="s">
        <v>8</v>
      </c>
      <c r="K45" s="1" t="s">
        <v>9</v>
      </c>
      <c r="L45" s="1" t="s">
        <v>10</v>
      </c>
    </row>
    <row r="46" spans="1:12" ht="12.75" customHeight="1" x14ac:dyDescent="0.3">
      <c r="A46" s="1" t="s">
        <v>74</v>
      </c>
      <c r="B46" s="1" t="s">
        <v>16</v>
      </c>
      <c r="E46" s="1">
        <v>1</v>
      </c>
      <c r="H46" s="2" t="s">
        <v>14</v>
      </c>
      <c r="I46" s="4">
        <f t="shared" ref="I46:I57" si="13">I2/M2</f>
        <v>1</v>
      </c>
      <c r="J46" s="4">
        <f t="shared" ref="J46:J57" si="14">J2/M2</f>
        <v>0</v>
      </c>
      <c r="K46" s="4">
        <f t="shared" ref="K46:K57" si="15">K2/M2</f>
        <v>0</v>
      </c>
      <c r="L46" s="4">
        <f t="shared" ref="L46:L57" si="16">L2/M2</f>
        <v>0</v>
      </c>
    </row>
    <row r="47" spans="1:12" ht="12.75" customHeight="1" x14ac:dyDescent="0.3">
      <c r="A47" s="1" t="s">
        <v>75</v>
      </c>
      <c r="B47" s="1" t="s">
        <v>66</v>
      </c>
      <c r="D47" s="1">
        <v>1</v>
      </c>
      <c r="H47" s="2" t="s">
        <v>17</v>
      </c>
      <c r="I47" s="4">
        <f t="shared" si="13"/>
        <v>0.41666666666666669</v>
      </c>
      <c r="J47" s="4">
        <f t="shared" si="14"/>
        <v>0.58333333333333337</v>
      </c>
      <c r="K47" s="4">
        <f t="shared" si="15"/>
        <v>0</v>
      </c>
      <c r="L47" s="4">
        <f t="shared" si="16"/>
        <v>0</v>
      </c>
    </row>
    <row r="48" spans="1:12" ht="14.25" customHeight="1" x14ac:dyDescent="0.3">
      <c r="A48" s="1" t="s">
        <v>76</v>
      </c>
      <c r="B48" s="1" t="s">
        <v>13</v>
      </c>
      <c r="E48" s="1">
        <v>1</v>
      </c>
      <c r="H48" s="2" t="s">
        <v>19</v>
      </c>
      <c r="I48" s="4">
        <f t="shared" si="13"/>
        <v>1</v>
      </c>
      <c r="J48" s="4">
        <f t="shared" si="14"/>
        <v>0</v>
      </c>
      <c r="K48" s="4">
        <f t="shared" si="15"/>
        <v>0</v>
      </c>
      <c r="L48" s="4">
        <f t="shared" si="16"/>
        <v>0</v>
      </c>
    </row>
    <row r="49" spans="1:12" ht="16.5" customHeight="1" x14ac:dyDescent="0.3">
      <c r="A49" s="1" t="s">
        <v>77</v>
      </c>
      <c r="B49" s="1" t="s">
        <v>16</v>
      </c>
      <c r="D49" s="1">
        <v>1</v>
      </c>
      <c r="H49" s="2" t="s">
        <v>22</v>
      </c>
      <c r="I49" s="4">
        <f t="shared" si="13"/>
        <v>0.88888888888888884</v>
      </c>
      <c r="J49" s="4">
        <f t="shared" si="14"/>
        <v>0</v>
      </c>
      <c r="K49" s="4">
        <f t="shared" si="15"/>
        <v>0</v>
      </c>
      <c r="L49" s="4">
        <f t="shared" si="16"/>
        <v>0.1111111111111111</v>
      </c>
    </row>
    <row r="50" spans="1:12" ht="14.25" customHeight="1" x14ac:dyDescent="0.3">
      <c r="A50" s="1" t="s">
        <v>78</v>
      </c>
      <c r="B50" s="1" t="s">
        <v>24</v>
      </c>
      <c r="D50" s="1">
        <v>1</v>
      </c>
      <c r="H50" s="2" t="s">
        <v>25</v>
      </c>
      <c r="I50" s="4">
        <f t="shared" si="13"/>
        <v>1</v>
      </c>
      <c r="J50" s="4">
        <f t="shared" si="14"/>
        <v>0</v>
      </c>
      <c r="K50" s="4">
        <f t="shared" si="15"/>
        <v>0</v>
      </c>
      <c r="L50" s="4">
        <f t="shared" si="16"/>
        <v>0</v>
      </c>
    </row>
    <row r="51" spans="1:12" ht="14.25" customHeight="1" x14ac:dyDescent="0.3">
      <c r="A51" s="1" t="s">
        <v>79</v>
      </c>
      <c r="B51" s="1" t="s">
        <v>27</v>
      </c>
      <c r="D51" s="1">
        <v>1</v>
      </c>
      <c r="H51" s="2" t="s">
        <v>28</v>
      </c>
      <c r="I51" s="4">
        <f t="shared" si="13"/>
        <v>0.41666666666666669</v>
      </c>
      <c r="J51" s="4">
        <f t="shared" si="14"/>
        <v>0.25</v>
      </c>
      <c r="K51" s="4">
        <f t="shared" si="15"/>
        <v>0.33333333333333331</v>
      </c>
      <c r="L51" s="4">
        <f t="shared" si="16"/>
        <v>0</v>
      </c>
    </row>
    <row r="52" spans="1:12" ht="15" customHeight="1" x14ac:dyDescent="0.3">
      <c r="A52" s="1" t="s">
        <v>80</v>
      </c>
      <c r="B52" s="1" t="s">
        <v>24</v>
      </c>
      <c r="C52" s="1">
        <v>1</v>
      </c>
      <c r="H52" s="2" t="s">
        <v>27</v>
      </c>
      <c r="I52" s="4">
        <f t="shared" si="13"/>
        <v>0</v>
      </c>
      <c r="J52" s="4">
        <f t="shared" si="14"/>
        <v>0.93333333333333335</v>
      </c>
      <c r="K52" s="4">
        <f t="shared" si="15"/>
        <v>6.6666666666666666E-2</v>
      </c>
      <c r="L52" s="4">
        <f t="shared" si="16"/>
        <v>0</v>
      </c>
    </row>
    <row r="53" spans="1:12" ht="15" customHeight="1" x14ac:dyDescent="0.3">
      <c r="A53" s="1" t="s">
        <v>81</v>
      </c>
      <c r="B53" s="1" t="s">
        <v>66</v>
      </c>
      <c r="D53" s="1">
        <v>1</v>
      </c>
      <c r="H53" s="2" t="s">
        <v>13</v>
      </c>
      <c r="I53" s="4">
        <f t="shared" si="13"/>
        <v>0</v>
      </c>
      <c r="J53" s="4">
        <f t="shared" si="14"/>
        <v>0.5</v>
      </c>
      <c r="K53" s="4">
        <f t="shared" si="15"/>
        <v>0.5</v>
      </c>
      <c r="L53" s="4">
        <f t="shared" si="16"/>
        <v>0</v>
      </c>
    </row>
    <row r="54" spans="1:12" ht="12.75" customHeight="1" x14ac:dyDescent="0.3">
      <c r="A54" s="1" t="s">
        <v>82</v>
      </c>
      <c r="B54" s="1" t="s">
        <v>16</v>
      </c>
      <c r="E54" s="1">
        <v>1</v>
      </c>
      <c r="H54" s="2" t="s">
        <v>30</v>
      </c>
      <c r="I54" s="4">
        <f t="shared" si="13"/>
        <v>0</v>
      </c>
      <c r="J54" s="4">
        <f t="shared" si="14"/>
        <v>1</v>
      </c>
      <c r="K54" s="4">
        <f t="shared" si="15"/>
        <v>0</v>
      </c>
      <c r="L54" s="4">
        <f t="shared" si="16"/>
        <v>0</v>
      </c>
    </row>
    <row r="55" spans="1:12" ht="15" customHeight="1" x14ac:dyDescent="0.3">
      <c r="A55" s="1" t="s">
        <v>83</v>
      </c>
      <c r="B55" s="1" t="s">
        <v>14</v>
      </c>
      <c r="C55" s="1">
        <v>1</v>
      </c>
      <c r="H55" s="2" t="s">
        <v>35</v>
      </c>
      <c r="I55" s="4">
        <f t="shared" si="13"/>
        <v>0</v>
      </c>
      <c r="J55" s="4">
        <f t="shared" si="14"/>
        <v>1</v>
      </c>
      <c r="K55" s="4">
        <f t="shared" si="15"/>
        <v>0</v>
      </c>
      <c r="L55" s="4">
        <f t="shared" si="16"/>
        <v>0</v>
      </c>
    </row>
    <row r="56" spans="1:12" ht="15" customHeight="1" x14ac:dyDescent="0.3">
      <c r="A56" s="1" t="s">
        <v>84</v>
      </c>
      <c r="B56" s="1" t="s">
        <v>21</v>
      </c>
      <c r="C56" s="1">
        <v>1</v>
      </c>
      <c r="H56" s="2" t="s">
        <v>38</v>
      </c>
      <c r="I56" s="4">
        <f t="shared" si="13"/>
        <v>0</v>
      </c>
      <c r="J56" s="4">
        <f t="shared" si="14"/>
        <v>1</v>
      </c>
      <c r="K56" s="4">
        <f t="shared" si="15"/>
        <v>0</v>
      </c>
      <c r="L56" s="4">
        <f t="shared" si="16"/>
        <v>0</v>
      </c>
    </row>
    <row r="57" spans="1:12" ht="12.75" customHeight="1" x14ac:dyDescent="0.3">
      <c r="A57" s="1" t="s">
        <v>85</v>
      </c>
      <c r="B57" s="1" t="s">
        <v>33</v>
      </c>
      <c r="C57" s="1">
        <v>1</v>
      </c>
      <c r="H57" s="2" t="s">
        <v>33</v>
      </c>
      <c r="I57" s="4">
        <f t="shared" si="13"/>
        <v>1</v>
      </c>
      <c r="J57" s="4">
        <f t="shared" si="14"/>
        <v>0</v>
      </c>
      <c r="K57" s="4">
        <f t="shared" si="15"/>
        <v>0</v>
      </c>
      <c r="L57" s="4">
        <f t="shared" si="16"/>
        <v>0</v>
      </c>
    </row>
    <row r="58" spans="1:12" ht="12.75" customHeight="1" x14ac:dyDescent="0.3">
      <c r="A58" s="1" t="s">
        <v>86</v>
      </c>
      <c r="B58" s="1" t="s">
        <v>24</v>
      </c>
      <c r="D58" s="1">
        <v>1</v>
      </c>
    </row>
    <row r="59" spans="1:12" ht="12.75" customHeight="1" x14ac:dyDescent="0.3">
      <c r="A59" s="1" t="s">
        <v>87</v>
      </c>
      <c r="B59" s="1" t="s">
        <v>37</v>
      </c>
      <c r="C59" s="1">
        <v>1</v>
      </c>
    </row>
    <row r="60" spans="1:12" ht="12.75" customHeight="1" x14ac:dyDescent="0.3">
      <c r="A60" s="1" t="s">
        <v>88</v>
      </c>
      <c r="B60" s="1" t="s">
        <v>27</v>
      </c>
      <c r="D60" s="1">
        <v>1</v>
      </c>
    </row>
    <row r="61" spans="1:12" ht="12.75" customHeight="1" x14ac:dyDescent="0.3">
      <c r="A61" s="1" t="s">
        <v>89</v>
      </c>
      <c r="B61" s="1" t="s">
        <v>13</v>
      </c>
      <c r="E61" s="1">
        <v>1</v>
      </c>
    </row>
    <row r="62" spans="1:12" ht="12.75" customHeight="1" x14ac:dyDescent="0.3">
      <c r="A62" s="1" t="s">
        <v>90</v>
      </c>
      <c r="B62" s="1" t="s">
        <v>19</v>
      </c>
      <c r="C62" s="1">
        <v>1</v>
      </c>
    </row>
    <row r="63" spans="1:12" ht="12.75" customHeight="1" x14ac:dyDescent="0.3">
      <c r="A63" s="1" t="s">
        <v>91</v>
      </c>
      <c r="B63" s="1" t="s">
        <v>21</v>
      </c>
      <c r="F63" s="1">
        <v>1</v>
      </c>
    </row>
    <row r="64" spans="1:12" ht="12.75" customHeight="1" x14ac:dyDescent="0.3">
      <c r="A64" s="1" t="s">
        <v>92</v>
      </c>
      <c r="B64" s="1" t="s">
        <v>42</v>
      </c>
      <c r="C64" s="1">
        <v>1</v>
      </c>
    </row>
    <row r="65" spans="1:4" ht="12.75" customHeight="1" x14ac:dyDescent="0.3">
      <c r="A65" s="1" t="s">
        <v>93</v>
      </c>
      <c r="B65" s="1" t="s">
        <v>14</v>
      </c>
      <c r="C65" s="1">
        <v>1</v>
      </c>
    </row>
    <row r="66" spans="1:4" ht="12.75" customHeight="1" x14ac:dyDescent="0.3">
      <c r="A66" s="1" t="s">
        <v>94</v>
      </c>
      <c r="B66" s="1" t="s">
        <v>14</v>
      </c>
      <c r="C66" s="1">
        <v>1</v>
      </c>
    </row>
    <row r="67" spans="1:4" ht="12.75" customHeight="1" x14ac:dyDescent="0.3">
      <c r="A67" s="1" t="s">
        <v>95</v>
      </c>
      <c r="B67" s="1" t="s">
        <v>38</v>
      </c>
      <c r="D67" s="1">
        <v>1</v>
      </c>
    </row>
    <row r="68" spans="1:4" ht="12.75" customHeight="1" x14ac:dyDescent="0.3">
      <c r="A68" s="1" t="s">
        <v>96</v>
      </c>
      <c r="B68" s="1" t="s">
        <v>19</v>
      </c>
      <c r="C68" s="1">
        <v>1</v>
      </c>
    </row>
    <row r="69" spans="1:4" ht="12.75" customHeight="1" x14ac:dyDescent="0.3">
      <c r="A69" s="1" t="s">
        <v>97</v>
      </c>
      <c r="B69" s="1" t="s">
        <v>24</v>
      </c>
      <c r="D69" s="1">
        <v>1</v>
      </c>
    </row>
    <row r="70" spans="1:4" ht="12.75" customHeight="1" x14ac:dyDescent="0.3">
      <c r="A70" s="1" t="s">
        <v>98</v>
      </c>
      <c r="B70" s="1" t="s">
        <v>30</v>
      </c>
      <c r="D70" s="1">
        <v>1</v>
      </c>
    </row>
    <row r="71" spans="1:4" ht="12.75" customHeight="1" x14ac:dyDescent="0.3">
      <c r="A71" s="1" t="s">
        <v>99</v>
      </c>
      <c r="B71" s="1" t="s">
        <v>30</v>
      </c>
      <c r="D71" s="1">
        <v>1</v>
      </c>
    </row>
    <row r="72" spans="1:4" ht="12.75" customHeight="1" x14ac:dyDescent="0.3">
      <c r="A72" s="1" t="s">
        <v>100</v>
      </c>
      <c r="B72" s="1" t="s">
        <v>27</v>
      </c>
      <c r="D72" s="1">
        <v>1</v>
      </c>
    </row>
    <row r="73" spans="1:4" ht="12.75" customHeight="1" x14ac:dyDescent="0.3">
      <c r="A73" s="1" t="s">
        <v>101</v>
      </c>
      <c r="B73" s="1" t="s">
        <v>21</v>
      </c>
      <c r="C73" s="1">
        <v>1</v>
      </c>
    </row>
    <row r="74" spans="1:4" ht="12.75" customHeight="1" x14ac:dyDescent="0.3">
      <c r="A74" s="1" t="s">
        <v>102</v>
      </c>
      <c r="B74" s="1" t="s">
        <v>66</v>
      </c>
      <c r="D74" s="1">
        <v>1</v>
      </c>
    </row>
    <row r="75" spans="1:4" ht="12.75" customHeight="1" x14ac:dyDescent="0.3">
      <c r="A75" s="1" t="s">
        <v>103</v>
      </c>
      <c r="B75" s="1" t="s">
        <v>30</v>
      </c>
      <c r="D75" s="1">
        <v>1</v>
      </c>
    </row>
    <row r="76" spans="1:4" ht="12.75" customHeight="1" x14ac:dyDescent="0.3">
      <c r="A76" s="1" t="s">
        <v>104</v>
      </c>
      <c r="B76" s="1" t="s">
        <v>24</v>
      </c>
      <c r="C76" s="1">
        <v>1</v>
      </c>
    </row>
    <row r="77" spans="1:4" ht="12.75" customHeight="1" x14ac:dyDescent="0.3">
      <c r="A77" s="1" t="s">
        <v>105</v>
      </c>
      <c r="B77" s="1" t="s">
        <v>66</v>
      </c>
      <c r="D77" s="1">
        <v>1</v>
      </c>
    </row>
    <row r="78" spans="1:4" ht="12.75" customHeight="1" x14ac:dyDescent="0.3">
      <c r="A78" s="1" t="s">
        <v>106</v>
      </c>
      <c r="B78" s="1" t="s">
        <v>42</v>
      </c>
      <c r="C78" s="1">
        <v>1</v>
      </c>
    </row>
    <row r="79" spans="1:4" ht="12.75" customHeight="1" x14ac:dyDescent="0.3">
      <c r="A79" s="1" t="s">
        <v>107</v>
      </c>
      <c r="B79" s="1" t="s">
        <v>27</v>
      </c>
      <c r="D79" s="1">
        <v>1</v>
      </c>
    </row>
    <row r="80" spans="1:4" ht="12.75" customHeight="1" x14ac:dyDescent="0.3">
      <c r="A80" s="1" t="s">
        <v>108</v>
      </c>
      <c r="B80" s="1" t="s">
        <v>66</v>
      </c>
      <c r="D80" s="1">
        <v>1</v>
      </c>
    </row>
    <row r="81" spans="1:5" ht="12.75" customHeight="1" x14ac:dyDescent="0.3">
      <c r="A81" s="1" t="s">
        <v>109</v>
      </c>
      <c r="B81" s="1" t="s">
        <v>30</v>
      </c>
      <c r="D81" s="1">
        <v>1</v>
      </c>
    </row>
    <row r="82" spans="1:5" ht="12.75" customHeight="1" x14ac:dyDescent="0.3">
      <c r="A82" s="1" t="s">
        <v>110</v>
      </c>
      <c r="B82" s="1" t="s">
        <v>37</v>
      </c>
      <c r="C82" s="1">
        <v>1</v>
      </c>
    </row>
    <row r="83" spans="1:5" ht="12.75" customHeight="1" x14ac:dyDescent="0.3">
      <c r="A83" s="1" t="s">
        <v>111</v>
      </c>
      <c r="B83" s="1" t="s">
        <v>37</v>
      </c>
      <c r="C83" s="1">
        <v>1</v>
      </c>
    </row>
    <row r="84" spans="1:5" ht="12.75" customHeight="1" x14ac:dyDescent="0.3">
      <c r="A84" s="1" t="s">
        <v>112</v>
      </c>
      <c r="B84" s="1" t="s">
        <v>38</v>
      </c>
      <c r="D84" s="1">
        <v>1</v>
      </c>
    </row>
    <row r="85" spans="1:5" ht="12.75" customHeight="1" x14ac:dyDescent="0.3">
      <c r="A85" s="1" t="s">
        <v>113</v>
      </c>
      <c r="B85" s="1" t="s">
        <v>21</v>
      </c>
      <c r="C85" s="1">
        <v>1</v>
      </c>
    </row>
    <row r="86" spans="1:5" ht="12.75" customHeight="1" x14ac:dyDescent="0.3">
      <c r="A86" s="1" t="s">
        <v>114</v>
      </c>
      <c r="B86" s="1" t="s">
        <v>42</v>
      </c>
      <c r="C86" s="1">
        <v>1</v>
      </c>
    </row>
    <row r="87" spans="1:5" ht="12.75" customHeight="1" x14ac:dyDescent="0.3">
      <c r="A87" s="1" t="s">
        <v>115</v>
      </c>
      <c r="B87" s="1" t="s">
        <v>21</v>
      </c>
      <c r="C87" s="1">
        <v>1</v>
      </c>
    </row>
    <row r="88" spans="1:5" ht="12.75" customHeight="1" x14ac:dyDescent="0.3">
      <c r="A88" s="1" t="s">
        <v>116</v>
      </c>
      <c r="B88" s="1" t="s">
        <v>30</v>
      </c>
      <c r="D88" s="1">
        <v>1</v>
      </c>
    </row>
    <row r="89" spans="1:5" ht="12.75" customHeight="1" x14ac:dyDescent="0.3">
      <c r="A89" s="1" t="s">
        <v>117</v>
      </c>
      <c r="B89" s="1" t="s">
        <v>16</v>
      </c>
      <c r="C89" s="1">
        <v>1</v>
      </c>
    </row>
    <row r="90" spans="1:5" ht="12.75" customHeight="1" x14ac:dyDescent="0.3">
      <c r="A90" s="1" t="s">
        <v>118</v>
      </c>
      <c r="B90" s="1" t="s">
        <v>16</v>
      </c>
      <c r="C90" s="1">
        <v>1</v>
      </c>
    </row>
    <row r="91" spans="1:5" ht="12.75" customHeight="1" x14ac:dyDescent="0.3">
      <c r="A91" s="1" t="s">
        <v>119</v>
      </c>
      <c r="B91" s="1" t="s">
        <v>66</v>
      </c>
      <c r="D91" s="1">
        <v>1</v>
      </c>
    </row>
    <row r="92" spans="1:5" ht="12.75" customHeight="1" x14ac:dyDescent="0.3">
      <c r="A92" s="1" t="s">
        <v>120</v>
      </c>
      <c r="B92" s="1" t="s">
        <v>13</v>
      </c>
      <c r="E92" s="1">
        <v>1</v>
      </c>
    </row>
    <row r="93" spans="1:5" ht="12.75" customHeight="1" x14ac:dyDescent="0.3">
      <c r="A93" s="1" t="s">
        <v>121</v>
      </c>
      <c r="B93" s="1" t="s">
        <v>30</v>
      </c>
      <c r="D93" s="1">
        <v>1</v>
      </c>
    </row>
    <row r="94" spans="1:5" ht="12.75" customHeight="1" x14ac:dyDescent="0.3">
      <c r="A94" s="1" t="s">
        <v>122</v>
      </c>
      <c r="B94" s="1" t="s">
        <v>24</v>
      </c>
      <c r="D94" s="1">
        <v>1</v>
      </c>
    </row>
    <row r="95" spans="1:5" ht="12.75" customHeight="1" x14ac:dyDescent="0.3">
      <c r="A95" s="1" t="s">
        <v>123</v>
      </c>
      <c r="B95" s="1" t="s">
        <v>21</v>
      </c>
      <c r="C95" s="1">
        <v>1</v>
      </c>
    </row>
    <row r="96" spans="1:5" ht="12.75" customHeight="1" x14ac:dyDescent="0.3">
      <c r="A96" s="1" t="s">
        <v>124</v>
      </c>
      <c r="B96" s="1" t="s">
        <v>14</v>
      </c>
      <c r="C96" s="1">
        <v>1</v>
      </c>
    </row>
    <row r="97" spans="1:5" ht="12.75" customHeight="1" x14ac:dyDescent="0.3">
      <c r="A97" s="1" t="s">
        <v>125</v>
      </c>
      <c r="B97" s="1" t="s">
        <v>66</v>
      </c>
      <c r="D97" s="1">
        <v>1</v>
      </c>
    </row>
    <row r="98" spans="1:5" ht="12.75" customHeight="1" x14ac:dyDescent="0.3">
      <c r="A98" s="1" t="s">
        <v>126</v>
      </c>
      <c r="B98" s="1" t="s">
        <v>30</v>
      </c>
      <c r="D98" s="1">
        <v>1</v>
      </c>
    </row>
    <row r="99" spans="1:5" ht="12.75" customHeight="1" x14ac:dyDescent="0.3">
      <c r="A99" s="1" t="s">
        <v>127</v>
      </c>
      <c r="B99" s="1" t="s">
        <v>27</v>
      </c>
      <c r="D99" s="1">
        <v>1</v>
      </c>
    </row>
    <row r="100" spans="1:5" ht="12.75" customHeight="1" x14ac:dyDescent="0.3">
      <c r="A100" s="1" t="s">
        <v>128</v>
      </c>
      <c r="B100" s="1" t="s">
        <v>30</v>
      </c>
      <c r="D100" s="1">
        <v>1</v>
      </c>
    </row>
    <row r="101" spans="1:5" ht="12.75" customHeight="1" x14ac:dyDescent="0.3">
      <c r="A101" s="1" t="s">
        <v>129</v>
      </c>
      <c r="B101" s="1" t="s">
        <v>27</v>
      </c>
      <c r="D101" s="1">
        <v>1</v>
      </c>
    </row>
    <row r="102" spans="1:5" ht="12.75" customHeight="1" x14ac:dyDescent="0.3">
      <c r="A102" s="1" t="s">
        <v>130</v>
      </c>
      <c r="B102" s="1" t="s">
        <v>16</v>
      </c>
      <c r="E102" s="1">
        <v>1</v>
      </c>
    </row>
    <row r="103" spans="1:5" ht="12.75" customHeight="1" x14ac:dyDescent="0.3">
      <c r="A103" s="1" t="s">
        <v>131</v>
      </c>
      <c r="B103" s="1" t="s">
        <v>66</v>
      </c>
      <c r="D103" s="1">
        <v>1</v>
      </c>
    </row>
    <row r="104" spans="1:5" ht="12.75" customHeight="1" x14ac:dyDescent="0.3">
      <c r="A104" s="1" t="s">
        <v>132</v>
      </c>
      <c r="B104" s="1" t="s">
        <v>30</v>
      </c>
      <c r="D104" s="1">
        <v>1</v>
      </c>
    </row>
    <row r="105" spans="1:5" ht="12.75" customHeight="1" x14ac:dyDescent="0.3">
      <c r="A105" s="1" t="s">
        <v>133</v>
      </c>
      <c r="B105" s="1" t="s">
        <v>14</v>
      </c>
      <c r="C105" s="1">
        <v>1</v>
      </c>
    </row>
    <row r="106" spans="1:5" ht="12.75" customHeight="1" x14ac:dyDescent="0.3">
      <c r="A106" s="1" t="s">
        <v>134</v>
      </c>
      <c r="B106" s="1" t="s">
        <v>42</v>
      </c>
      <c r="C106" s="1">
        <v>1</v>
      </c>
    </row>
    <row r="107" spans="1:5" ht="12.75" customHeight="1" x14ac:dyDescent="0.3">
      <c r="A107" s="1" t="s">
        <v>135</v>
      </c>
      <c r="B107" s="1" t="s">
        <v>27</v>
      </c>
      <c r="D107" s="1">
        <v>1</v>
      </c>
    </row>
    <row r="108" spans="1:5" ht="12.75" customHeight="1" x14ac:dyDescent="0.3">
      <c r="A108" s="1" t="s">
        <v>136</v>
      </c>
      <c r="B108" s="1" t="s">
        <v>66</v>
      </c>
      <c r="D108" s="1">
        <v>1</v>
      </c>
    </row>
    <row r="109" spans="1:5" ht="12.75" customHeight="1" x14ac:dyDescent="0.3">
      <c r="A109" s="1" t="s">
        <v>137</v>
      </c>
      <c r="B109" s="1" t="s">
        <v>13</v>
      </c>
      <c r="D109" s="1">
        <v>1</v>
      </c>
    </row>
    <row r="110" spans="1:5" ht="12.75" customHeight="1" x14ac:dyDescent="0.3">
      <c r="A110" s="1" t="s">
        <v>138</v>
      </c>
      <c r="B110" s="1" t="s">
        <v>42</v>
      </c>
      <c r="C110" s="1">
        <v>1</v>
      </c>
    </row>
    <row r="111" spans="1:5" ht="12.75" customHeight="1" x14ac:dyDescent="0.3">
      <c r="A111" s="1" t="s">
        <v>139</v>
      </c>
      <c r="B111" s="1" t="s">
        <v>27</v>
      </c>
      <c r="E111" s="1">
        <v>1</v>
      </c>
    </row>
    <row r="112" spans="1:5" ht="12.75" customHeight="1" x14ac:dyDescent="0.3">
      <c r="A112" s="1" t="s">
        <v>140</v>
      </c>
      <c r="B112" s="1" t="s">
        <v>16</v>
      </c>
      <c r="D112" s="1">
        <v>1</v>
      </c>
    </row>
    <row r="113" spans="1:6" ht="12.75" customHeight="1" x14ac:dyDescent="0.3">
      <c r="A113" s="1" t="s">
        <v>141</v>
      </c>
      <c r="B113" s="1" t="s">
        <v>14</v>
      </c>
      <c r="C113" s="1">
        <v>1</v>
      </c>
    </row>
    <row r="114" spans="1:6" ht="12.75" customHeight="1" x14ac:dyDescent="0.3">
      <c r="A114" s="1" t="s">
        <v>142</v>
      </c>
      <c r="B114" s="1" t="s">
        <v>16</v>
      </c>
      <c r="D114" s="1">
        <v>1</v>
      </c>
    </row>
    <row r="115" spans="1:6" ht="12.75" customHeight="1" x14ac:dyDescent="0.3">
      <c r="A115" s="1" t="s">
        <v>143</v>
      </c>
      <c r="B115" s="1" t="s">
        <v>24</v>
      </c>
      <c r="D115" s="1">
        <v>1</v>
      </c>
    </row>
    <row r="116" spans="1:6" ht="12.75" customHeight="1" x14ac:dyDescent="0.3">
      <c r="A116" s="1" t="s">
        <v>144</v>
      </c>
      <c r="B116" s="1" t="s">
        <v>66</v>
      </c>
      <c r="D116" s="1">
        <v>1</v>
      </c>
    </row>
    <row r="117" spans="1:6" ht="12.75" customHeight="1" x14ac:dyDescent="0.3">
      <c r="A117" s="1" t="s">
        <v>145</v>
      </c>
      <c r="B117" s="1" t="s">
        <v>27</v>
      </c>
      <c r="D117" s="1">
        <v>1</v>
      </c>
    </row>
    <row r="118" spans="1:6" ht="12.75" customHeight="1" x14ac:dyDescent="0.3">
      <c r="A118" s="1" t="s">
        <v>146</v>
      </c>
      <c r="B118" s="1" t="s">
        <v>30</v>
      </c>
      <c r="D118" s="1">
        <v>1</v>
      </c>
    </row>
    <row r="119" spans="1:6" ht="12.75" customHeight="1" x14ac:dyDescent="0.3">
      <c r="A119" s="1" t="s">
        <v>147</v>
      </c>
      <c r="B119" s="1" t="s">
        <v>42</v>
      </c>
      <c r="C119" s="1">
        <v>1</v>
      </c>
    </row>
    <row r="120" spans="1:6" ht="12.75" customHeight="1" x14ac:dyDescent="0.3">
      <c r="A120" s="1" t="s">
        <v>148</v>
      </c>
      <c r="B120" s="1" t="s">
        <v>13</v>
      </c>
      <c r="D120" s="1">
        <v>1</v>
      </c>
    </row>
    <row r="121" spans="1:6" ht="12.75" customHeight="1" x14ac:dyDescent="0.3">
      <c r="A121" s="1" t="s">
        <v>149</v>
      </c>
      <c r="B121" s="1" t="s">
        <v>150</v>
      </c>
      <c r="F121" s="1">
        <v>1</v>
      </c>
    </row>
    <row r="122" spans="1:6" ht="12.75" customHeight="1" x14ac:dyDescent="0.3">
      <c r="A122" s="1" t="s">
        <v>151</v>
      </c>
      <c r="B122" s="1" t="s">
        <v>24</v>
      </c>
      <c r="C122" s="1">
        <v>1</v>
      </c>
    </row>
    <row r="123" spans="1:6" ht="12.75" customHeight="1" x14ac:dyDescent="0.3">
      <c r="A123" s="1" t="s">
        <v>152</v>
      </c>
      <c r="B123" s="1" t="s">
        <v>24</v>
      </c>
      <c r="D123" s="1">
        <v>1</v>
      </c>
    </row>
    <row r="124" spans="1:6" ht="12.75" customHeight="1" x14ac:dyDescent="0.3">
      <c r="A124" s="1" t="s">
        <v>153</v>
      </c>
      <c r="B124" s="1" t="s">
        <v>19</v>
      </c>
      <c r="C124" s="1">
        <v>1</v>
      </c>
    </row>
    <row r="125" spans="1:6" ht="12.75" customHeight="1" x14ac:dyDescent="0.3">
      <c r="A125" s="1" t="s">
        <v>154</v>
      </c>
      <c r="B125" s="1" t="s">
        <v>33</v>
      </c>
      <c r="C125" s="1">
        <v>1</v>
      </c>
    </row>
    <row r="126" spans="1:6" ht="12.75" customHeight="1" x14ac:dyDescent="0.3">
      <c r="A126" s="1" t="s">
        <v>155</v>
      </c>
      <c r="B126" s="1" t="s">
        <v>13</v>
      </c>
      <c r="D126" s="1">
        <v>1</v>
      </c>
    </row>
    <row r="127" spans="1:6" ht="12.75" customHeight="1" x14ac:dyDescent="0.3">
      <c r="A127" s="1" t="s">
        <v>156</v>
      </c>
      <c r="B127" s="1" t="s">
        <v>13</v>
      </c>
      <c r="D127" s="1">
        <v>1</v>
      </c>
    </row>
    <row r="128" spans="1:6" ht="12.75" customHeight="1" x14ac:dyDescent="0.3">
      <c r="A128" s="1" t="s">
        <v>157</v>
      </c>
      <c r="B128" s="1" t="s">
        <v>14</v>
      </c>
      <c r="C128" s="1">
        <v>1</v>
      </c>
    </row>
    <row r="129" spans="1:5" ht="12.75" customHeight="1" x14ac:dyDescent="0.3">
      <c r="A129" s="1" t="s">
        <v>158</v>
      </c>
      <c r="B129" s="1" t="s">
        <v>16</v>
      </c>
      <c r="C129" s="1">
        <v>1</v>
      </c>
    </row>
    <row r="130" spans="1:5" ht="12.75" customHeight="1" x14ac:dyDescent="0.3">
      <c r="A130" s="1" t="s">
        <v>159</v>
      </c>
      <c r="B130" s="1" t="s">
        <v>13</v>
      </c>
      <c r="D130" s="1">
        <v>1</v>
      </c>
    </row>
    <row r="131" spans="1:5" ht="12.75" customHeight="1" x14ac:dyDescent="0.3">
      <c r="A131" s="1" t="s">
        <v>160</v>
      </c>
      <c r="B131" s="1" t="s">
        <v>66</v>
      </c>
      <c r="D131" s="1">
        <v>1</v>
      </c>
    </row>
    <row r="132" spans="1:5" ht="12.75" customHeight="1" x14ac:dyDescent="0.3">
      <c r="A132" s="1" t="s">
        <v>161</v>
      </c>
      <c r="B132" s="1" t="s">
        <v>38</v>
      </c>
      <c r="D132" s="1">
        <v>1</v>
      </c>
    </row>
    <row r="133" spans="1:5" ht="12.75" customHeight="1" x14ac:dyDescent="0.3">
      <c r="A133" s="1" t="s">
        <v>162</v>
      </c>
      <c r="B133" s="1" t="s">
        <v>13</v>
      </c>
      <c r="D133" s="1">
        <v>1</v>
      </c>
    </row>
    <row r="134" spans="1:5" ht="12.75" customHeight="1" x14ac:dyDescent="0.3">
      <c r="A134" s="1" t="s">
        <v>163</v>
      </c>
      <c r="B134" s="1" t="s">
        <v>66</v>
      </c>
      <c r="D134" s="1">
        <v>1</v>
      </c>
    </row>
    <row r="135" spans="1:5" ht="12.75" customHeight="1" x14ac:dyDescent="0.3">
      <c r="A135" s="1" t="s">
        <v>164</v>
      </c>
      <c r="B135" s="1" t="s">
        <v>21</v>
      </c>
      <c r="C135" s="1">
        <v>1</v>
      </c>
    </row>
    <row r="136" spans="1:5" ht="12.75" customHeight="1" x14ac:dyDescent="0.3">
      <c r="A136" s="1" t="s">
        <v>165</v>
      </c>
      <c r="B136" s="1" t="s">
        <v>30</v>
      </c>
      <c r="D136" s="1">
        <v>1</v>
      </c>
    </row>
    <row r="137" spans="1:5" ht="12.75" customHeight="1" x14ac:dyDescent="0.3">
      <c r="A137" s="1" t="s">
        <v>166</v>
      </c>
      <c r="B137" s="1" t="s">
        <v>30</v>
      </c>
      <c r="D137" s="1">
        <v>1</v>
      </c>
    </row>
    <row r="138" spans="1:5" ht="12.75" customHeight="1" x14ac:dyDescent="0.3">
      <c r="A138" s="1" t="s">
        <v>167</v>
      </c>
      <c r="B138" s="1" t="s">
        <v>19</v>
      </c>
      <c r="C138" s="1">
        <v>1</v>
      </c>
    </row>
    <row r="139" spans="1:5" ht="12.75" customHeight="1" x14ac:dyDescent="0.3">
      <c r="A139" s="1" t="s">
        <v>168</v>
      </c>
      <c r="B139" s="1" t="s">
        <v>13</v>
      </c>
      <c r="D139" s="1">
        <v>1</v>
      </c>
    </row>
    <row r="140" spans="1:5" ht="12.75" customHeight="1" x14ac:dyDescent="0.3">
      <c r="A140" s="1" t="s">
        <v>169</v>
      </c>
      <c r="B140" s="1" t="s">
        <v>27</v>
      </c>
      <c r="D140" s="1">
        <v>1</v>
      </c>
    </row>
    <row r="141" spans="1:5" ht="12.75" customHeight="1" x14ac:dyDescent="0.3">
      <c r="A141" s="1" t="s">
        <v>170</v>
      </c>
      <c r="B141" s="1" t="s">
        <v>16</v>
      </c>
      <c r="E141" s="1">
        <v>1</v>
      </c>
    </row>
    <row r="142" spans="1:5" ht="12.75" customHeight="1" x14ac:dyDescent="0.3">
      <c r="A142" s="1" t="s">
        <v>171</v>
      </c>
      <c r="B142" s="1" t="s">
        <v>19</v>
      </c>
      <c r="C142" s="1">
        <v>1</v>
      </c>
    </row>
    <row r="143" spans="1:5" ht="12.75" customHeight="1" x14ac:dyDescent="0.3">
      <c r="A143" s="1" t="s">
        <v>172</v>
      </c>
      <c r="B143" s="1" t="s">
        <v>37</v>
      </c>
      <c r="C143" s="1">
        <v>1</v>
      </c>
    </row>
    <row r="144" spans="1:5" ht="12.75" customHeight="1" x14ac:dyDescent="0.3">
      <c r="A144" s="1" t="s">
        <v>173</v>
      </c>
      <c r="B144" s="1" t="s">
        <v>27</v>
      </c>
      <c r="D144" s="1">
        <v>1</v>
      </c>
    </row>
    <row r="145" spans="1:4" ht="12.75" customHeight="1" x14ac:dyDescent="0.3">
      <c r="A145" s="1" t="s">
        <v>174</v>
      </c>
      <c r="B145" s="1" t="s">
        <v>66</v>
      </c>
      <c r="D145" s="1">
        <v>1</v>
      </c>
    </row>
    <row r="146" spans="1:4" ht="12.75" customHeight="1" x14ac:dyDescent="0.3">
      <c r="A146" s="1" t="s">
        <v>175</v>
      </c>
      <c r="B146" s="1" t="s">
        <v>14</v>
      </c>
      <c r="C146" s="1">
        <v>1</v>
      </c>
    </row>
    <row r="147" spans="1:4" ht="12.75" customHeight="1" x14ac:dyDescent="0.3">
      <c r="A147" s="1" t="s">
        <v>176</v>
      </c>
      <c r="B147" s="1" t="s">
        <v>66</v>
      </c>
      <c r="D147" s="1">
        <v>1</v>
      </c>
    </row>
    <row r="148" spans="1:4" ht="12.75" customHeight="1" x14ac:dyDescent="0.3">
      <c r="A148" s="1" t="s">
        <v>177</v>
      </c>
      <c r="B148" s="1" t="s">
        <v>42</v>
      </c>
      <c r="C148" s="1">
        <v>1</v>
      </c>
    </row>
    <row r="149" spans="1:4" ht="12.75" customHeight="1" x14ac:dyDescent="0.3">
      <c r="A149" s="1" t="s">
        <v>178</v>
      </c>
      <c r="B149" s="1" t="s">
        <v>33</v>
      </c>
      <c r="C149" s="1">
        <v>1</v>
      </c>
    </row>
    <row r="150" spans="1:4" ht="12.75" customHeight="1" x14ac:dyDescent="0.3">
      <c r="A150" s="1" t="s">
        <v>179</v>
      </c>
      <c r="B150" s="1" t="s">
        <v>14</v>
      </c>
      <c r="C150" s="1">
        <v>1</v>
      </c>
    </row>
    <row r="151" spans="1:4" ht="12.75" customHeight="1" x14ac:dyDescent="0.3">
      <c r="A151" s="1" t="s">
        <v>180</v>
      </c>
      <c r="B151" s="1" t="s">
        <v>13</v>
      </c>
      <c r="D151" s="1">
        <v>1</v>
      </c>
    </row>
    <row r="152" spans="1:4" ht="12.75" customHeight="1" x14ac:dyDescent="0.3">
      <c r="A152" s="1" t="s">
        <v>181</v>
      </c>
      <c r="B152" s="1" t="s">
        <v>24</v>
      </c>
      <c r="C152" s="1">
        <v>1</v>
      </c>
    </row>
    <row r="153" spans="1:4" ht="12.75" customHeight="1" x14ac:dyDescent="0.3">
      <c r="A153" s="1" t="s">
        <v>182</v>
      </c>
      <c r="B153" s="1" t="s">
        <v>19</v>
      </c>
      <c r="C153" s="1">
        <v>1</v>
      </c>
    </row>
    <row r="154" spans="1:4" ht="12.75" customHeight="1" x14ac:dyDescent="0.3">
      <c r="A154" s="1" t="s">
        <v>183</v>
      </c>
      <c r="B154" s="1" t="s">
        <v>42</v>
      </c>
      <c r="C154" s="1">
        <v>1</v>
      </c>
    </row>
    <row r="155" spans="1:4" ht="12.75" customHeight="1" x14ac:dyDescent="0.3">
      <c r="A155" s="1" t="s">
        <v>184</v>
      </c>
      <c r="B155" s="1" t="s">
        <v>19</v>
      </c>
      <c r="C155" s="1">
        <v>1</v>
      </c>
    </row>
    <row r="156" spans="1:4" ht="12.75" customHeight="1" x14ac:dyDescent="0.3">
      <c r="A156" s="1" t="s">
        <v>185</v>
      </c>
      <c r="B156" s="1" t="s">
        <v>30</v>
      </c>
      <c r="D156" s="1">
        <v>1</v>
      </c>
    </row>
    <row r="157" spans="1:4" ht="12.75" customHeight="1" x14ac:dyDescent="0.3"/>
    <row r="158" spans="1:4" ht="12.75" customHeight="1" x14ac:dyDescent="0.3"/>
    <row r="159" spans="1:4" ht="12.75" customHeight="1" x14ac:dyDescent="0.3"/>
    <row r="160" spans="1:4" ht="12.75" customHeight="1" x14ac:dyDescent="0.3"/>
    <row r="161" s="1" customFormat="1" ht="12.75" customHeight="1" x14ac:dyDescent="0.3"/>
    <row r="162" s="1" customFormat="1" ht="12.75" customHeight="1" x14ac:dyDescent="0.3"/>
    <row r="163" s="1" customFormat="1" ht="12.75" customHeight="1" x14ac:dyDescent="0.3"/>
    <row r="164" s="1" customFormat="1" ht="12.75" customHeight="1" x14ac:dyDescent="0.3"/>
    <row r="165" s="1" customFormat="1" ht="12.75" customHeight="1" x14ac:dyDescent="0.3"/>
    <row r="166" s="1" customFormat="1" ht="12.75" customHeight="1" x14ac:dyDescent="0.3"/>
    <row r="167" s="1" customFormat="1" ht="12.75" customHeight="1" x14ac:dyDescent="0.3"/>
    <row r="168" s="1" customFormat="1" ht="12.75" customHeight="1" x14ac:dyDescent="0.3"/>
    <row r="169" s="1" customFormat="1" ht="12.75" customHeight="1" x14ac:dyDescent="0.3"/>
    <row r="170" s="1" customFormat="1" ht="12.75" customHeight="1" x14ac:dyDescent="0.3"/>
    <row r="171" s="1" customFormat="1" ht="12.75" customHeight="1" x14ac:dyDescent="0.3"/>
    <row r="172" s="1" customFormat="1" ht="12.75" customHeight="1" x14ac:dyDescent="0.3"/>
    <row r="173" s="1" customFormat="1" ht="12.75" customHeight="1" x14ac:dyDescent="0.3"/>
    <row r="174" s="1" customFormat="1" ht="12.75" customHeight="1" x14ac:dyDescent="0.3"/>
    <row r="175" s="1" customFormat="1" ht="12.75" customHeight="1" x14ac:dyDescent="0.3"/>
    <row r="176" s="1" customFormat="1" ht="12.75" customHeight="1" x14ac:dyDescent="0.3"/>
    <row r="177" s="1" customFormat="1" ht="12.75" customHeight="1" x14ac:dyDescent="0.3"/>
    <row r="178" s="1" customFormat="1" ht="12.75" customHeight="1" x14ac:dyDescent="0.3"/>
    <row r="179" s="1" customFormat="1" ht="12.75" customHeight="1" x14ac:dyDescent="0.3"/>
    <row r="180" s="1" customFormat="1" ht="12.75" customHeight="1" x14ac:dyDescent="0.3"/>
    <row r="181" s="1" customFormat="1" ht="12.75" customHeight="1" x14ac:dyDescent="0.3"/>
    <row r="182" s="1" customFormat="1" ht="12.75" customHeight="1" x14ac:dyDescent="0.3"/>
    <row r="183" s="1" customFormat="1" ht="12.75" customHeight="1" x14ac:dyDescent="0.3"/>
    <row r="184" s="1" customFormat="1" ht="12.75" customHeight="1" x14ac:dyDescent="0.3"/>
    <row r="185" s="1" customFormat="1" ht="12.75" customHeight="1" x14ac:dyDescent="0.3"/>
    <row r="186" s="1" customFormat="1" ht="12.75" customHeight="1" x14ac:dyDescent="0.3"/>
    <row r="187" s="1" customFormat="1" ht="12.75" customHeight="1" x14ac:dyDescent="0.3"/>
    <row r="188" s="1" customFormat="1" ht="12.75" customHeight="1" x14ac:dyDescent="0.3"/>
    <row r="189" s="1" customFormat="1" ht="12.75" customHeight="1" x14ac:dyDescent="0.3"/>
    <row r="190" s="1" customFormat="1" ht="12.75" customHeight="1" x14ac:dyDescent="0.3"/>
    <row r="191" s="1" customFormat="1" ht="12.75" customHeight="1" x14ac:dyDescent="0.3"/>
    <row r="192" s="1" customFormat="1" ht="12.75" customHeight="1" x14ac:dyDescent="0.3"/>
    <row r="193" s="1" customFormat="1" ht="12.75" customHeight="1" x14ac:dyDescent="0.3"/>
    <row r="194" s="1" customFormat="1" ht="12.75" customHeight="1" x14ac:dyDescent="0.3"/>
    <row r="195" s="1" customFormat="1" ht="12.75" customHeight="1" x14ac:dyDescent="0.3"/>
    <row r="196" s="1" customFormat="1" ht="12.75" customHeight="1" x14ac:dyDescent="0.3"/>
    <row r="197" s="1" customFormat="1" ht="12.75" customHeight="1" x14ac:dyDescent="0.3"/>
    <row r="198" s="1" customFormat="1" ht="12.75" customHeight="1" x14ac:dyDescent="0.3"/>
    <row r="199" s="1" customFormat="1" ht="12.75" customHeight="1" x14ac:dyDescent="0.3"/>
    <row r="200" s="1" customFormat="1" ht="12.75" customHeight="1" x14ac:dyDescent="0.3"/>
    <row r="201" s="1" customFormat="1" ht="12.75" customHeight="1" x14ac:dyDescent="0.3"/>
    <row r="202" s="1" customFormat="1" ht="12.75" customHeight="1" x14ac:dyDescent="0.3"/>
    <row r="203" s="1" customFormat="1" ht="12.75" customHeight="1" x14ac:dyDescent="0.3"/>
    <row r="204" s="1" customFormat="1" ht="12.75" customHeight="1" x14ac:dyDescent="0.3"/>
    <row r="205" s="1" customFormat="1" ht="12.75" customHeight="1" x14ac:dyDescent="0.3"/>
    <row r="206" s="1" customFormat="1" ht="12.75" customHeight="1" x14ac:dyDescent="0.3"/>
    <row r="207" s="1" customFormat="1" ht="12.75" customHeight="1" x14ac:dyDescent="0.3"/>
    <row r="208" s="1" customFormat="1" ht="12.75" customHeight="1" x14ac:dyDescent="0.3"/>
    <row r="209" s="1" customFormat="1" ht="12.75" customHeight="1" x14ac:dyDescent="0.3"/>
    <row r="210" s="1" customFormat="1" ht="12.75" customHeight="1" x14ac:dyDescent="0.3"/>
    <row r="211" s="1" customFormat="1" ht="12.75" customHeight="1" x14ac:dyDescent="0.3"/>
    <row r="212" s="1" customFormat="1" ht="12.75" customHeight="1" x14ac:dyDescent="0.3"/>
    <row r="213" s="1" customFormat="1" ht="12.75" customHeight="1" x14ac:dyDescent="0.3"/>
    <row r="214" s="1" customFormat="1" ht="12.75" customHeight="1" x14ac:dyDescent="0.3"/>
    <row r="215" s="1" customFormat="1" ht="12.75" customHeight="1" x14ac:dyDescent="0.3"/>
    <row r="216" s="1" customFormat="1" ht="12.75" customHeight="1" x14ac:dyDescent="0.3"/>
    <row r="217" s="1" customFormat="1" ht="12.75" customHeight="1" x14ac:dyDescent="0.3"/>
    <row r="218" s="1" customFormat="1" ht="12.75" customHeight="1" x14ac:dyDescent="0.3"/>
    <row r="219" s="1" customFormat="1" ht="12.75" customHeight="1" x14ac:dyDescent="0.3"/>
    <row r="220" s="1" customFormat="1" ht="12.75" customHeight="1" x14ac:dyDescent="0.3"/>
    <row r="221" s="1" customFormat="1" ht="12.75" customHeight="1" x14ac:dyDescent="0.3"/>
    <row r="222" s="1" customFormat="1" ht="12.75" customHeight="1" x14ac:dyDescent="0.3"/>
    <row r="223" s="1" customFormat="1" ht="12.75" customHeight="1" x14ac:dyDescent="0.3"/>
    <row r="224" s="1" customFormat="1" ht="12.75" customHeight="1" x14ac:dyDescent="0.3"/>
    <row r="225" s="1" customFormat="1" ht="12.75" customHeight="1" x14ac:dyDescent="0.3"/>
    <row r="226" s="1" customFormat="1" ht="12.75" customHeight="1" x14ac:dyDescent="0.3"/>
    <row r="227" s="1" customFormat="1" ht="12.75" customHeight="1" x14ac:dyDescent="0.3"/>
    <row r="228" s="1" customFormat="1" ht="12.75" customHeight="1" x14ac:dyDescent="0.3"/>
    <row r="229" s="1" customFormat="1" ht="12.75" customHeight="1" x14ac:dyDescent="0.3"/>
    <row r="230" s="1" customFormat="1" ht="12.75" customHeight="1" x14ac:dyDescent="0.3"/>
    <row r="231" s="1" customFormat="1" ht="12.75" customHeight="1" x14ac:dyDescent="0.3"/>
    <row r="232" s="1" customFormat="1" ht="12.75" customHeight="1" x14ac:dyDescent="0.3"/>
    <row r="233" s="1" customFormat="1" ht="12.75" customHeight="1" x14ac:dyDescent="0.3"/>
    <row r="234" s="1" customFormat="1" ht="12.75" customHeight="1" x14ac:dyDescent="0.3"/>
    <row r="235" s="1" customFormat="1" ht="12.75" customHeight="1" x14ac:dyDescent="0.3"/>
    <row r="236" s="1" customFormat="1" ht="12.75" customHeight="1" x14ac:dyDescent="0.3"/>
    <row r="237" s="1" customFormat="1" ht="12.75" customHeight="1" x14ac:dyDescent="0.3"/>
    <row r="238" s="1" customFormat="1" ht="12.75" customHeight="1" x14ac:dyDescent="0.3"/>
    <row r="239" s="1" customFormat="1" ht="12.75" customHeight="1" x14ac:dyDescent="0.3"/>
    <row r="240" s="1" customFormat="1" ht="12.75" customHeight="1" x14ac:dyDescent="0.3"/>
    <row r="241" s="1" customFormat="1" ht="12.75" customHeight="1" x14ac:dyDescent="0.3"/>
    <row r="242" s="1" customFormat="1" ht="12.75" customHeight="1" x14ac:dyDescent="0.3"/>
    <row r="243" s="1" customFormat="1" ht="12.75" customHeight="1" x14ac:dyDescent="0.3"/>
    <row r="244" s="1" customFormat="1" ht="12.75" customHeight="1" x14ac:dyDescent="0.3"/>
    <row r="245" s="1" customFormat="1" ht="12.75" customHeight="1" x14ac:dyDescent="0.3"/>
    <row r="246" s="1" customFormat="1" ht="12.75" customHeight="1" x14ac:dyDescent="0.3"/>
    <row r="247" s="1" customFormat="1" ht="12.75" customHeight="1" x14ac:dyDescent="0.3"/>
    <row r="248" s="1" customFormat="1" ht="12.75" customHeight="1" x14ac:dyDescent="0.3"/>
    <row r="249" s="1" customFormat="1" ht="12.75" customHeight="1" x14ac:dyDescent="0.3"/>
    <row r="250" s="1" customFormat="1" ht="12.75" customHeight="1" x14ac:dyDescent="0.3"/>
    <row r="251" s="1" customFormat="1" ht="12.75" customHeight="1" x14ac:dyDescent="0.3"/>
    <row r="252" s="1" customFormat="1" ht="12.75" customHeight="1" x14ac:dyDescent="0.3"/>
    <row r="253" s="1" customFormat="1" ht="12.75" customHeight="1" x14ac:dyDescent="0.3"/>
    <row r="254" s="1" customFormat="1" ht="12.75" customHeight="1" x14ac:dyDescent="0.3"/>
    <row r="255" s="1" customFormat="1" ht="12.75" customHeight="1" x14ac:dyDescent="0.3"/>
    <row r="256" s="1" customFormat="1" ht="12.75" customHeight="1" x14ac:dyDescent="0.3"/>
    <row r="257" s="1" customFormat="1" ht="12.75" customHeight="1" x14ac:dyDescent="0.3"/>
    <row r="258" s="1" customFormat="1" ht="12.75" customHeight="1" x14ac:dyDescent="0.3"/>
    <row r="259" s="1" customFormat="1" ht="12.75" customHeight="1" x14ac:dyDescent="0.3"/>
    <row r="260" s="1" customFormat="1" ht="12.75" customHeight="1" x14ac:dyDescent="0.3"/>
    <row r="261" s="1" customFormat="1" ht="12.75" customHeight="1" x14ac:dyDescent="0.3"/>
    <row r="262" s="1" customFormat="1" ht="12.75" customHeight="1" x14ac:dyDescent="0.3"/>
    <row r="263" s="1" customFormat="1" ht="12.75" customHeight="1" x14ac:dyDescent="0.3"/>
    <row r="264" s="1" customFormat="1" ht="12.75" customHeight="1" x14ac:dyDescent="0.3"/>
    <row r="265" s="1" customFormat="1" ht="12.75" customHeight="1" x14ac:dyDescent="0.3"/>
    <row r="266" s="1" customFormat="1" ht="12.75" customHeight="1" x14ac:dyDescent="0.3"/>
    <row r="267" s="1" customFormat="1" ht="12.75" customHeight="1" x14ac:dyDescent="0.3"/>
    <row r="268" s="1" customFormat="1" ht="12.75" customHeight="1" x14ac:dyDescent="0.3"/>
    <row r="269" s="1" customFormat="1" ht="12.75" customHeight="1" x14ac:dyDescent="0.3"/>
    <row r="270" s="1" customFormat="1" ht="12.75" customHeight="1" x14ac:dyDescent="0.3"/>
    <row r="271" s="1" customFormat="1" ht="12.75" customHeight="1" x14ac:dyDescent="0.3"/>
    <row r="272" s="1" customFormat="1" ht="12.75" customHeight="1" x14ac:dyDescent="0.3"/>
    <row r="273" s="1" customFormat="1" ht="12.75" customHeight="1" x14ac:dyDescent="0.3"/>
    <row r="274" s="1" customFormat="1" ht="12.75" customHeight="1" x14ac:dyDescent="0.3"/>
    <row r="275" s="1" customFormat="1" ht="12.75" customHeight="1" x14ac:dyDescent="0.3"/>
    <row r="276" s="1" customFormat="1" ht="12.75" customHeight="1" x14ac:dyDescent="0.3"/>
    <row r="277" s="1" customFormat="1" ht="12.75" customHeight="1" x14ac:dyDescent="0.3"/>
    <row r="278" s="1" customFormat="1" ht="12.75" customHeight="1" x14ac:dyDescent="0.3"/>
    <row r="279" s="1" customFormat="1" ht="12.75" customHeight="1" x14ac:dyDescent="0.3"/>
    <row r="280" s="1" customFormat="1" ht="12.75" customHeight="1" x14ac:dyDescent="0.3"/>
    <row r="281" s="1" customFormat="1" ht="12.75" customHeight="1" x14ac:dyDescent="0.3"/>
    <row r="282" s="1" customFormat="1" ht="12.75" customHeight="1" x14ac:dyDescent="0.3"/>
    <row r="283" s="1" customFormat="1" ht="12.75" customHeight="1" x14ac:dyDescent="0.3"/>
    <row r="284" s="1" customFormat="1" ht="12.75" customHeight="1" x14ac:dyDescent="0.3"/>
    <row r="285" s="1" customFormat="1" ht="12.75" customHeight="1" x14ac:dyDescent="0.3"/>
    <row r="286" s="1" customFormat="1" ht="12.75" customHeight="1" x14ac:dyDescent="0.3"/>
    <row r="287" s="1" customFormat="1" ht="12.75" customHeight="1" x14ac:dyDescent="0.3"/>
    <row r="288" s="1" customFormat="1" ht="12.75" customHeight="1" x14ac:dyDescent="0.3"/>
    <row r="289" s="1" customFormat="1" ht="12.75" customHeight="1" x14ac:dyDescent="0.3"/>
    <row r="290" s="1" customFormat="1" ht="12.75" customHeight="1" x14ac:dyDescent="0.3"/>
    <row r="291" s="1" customFormat="1" ht="12.75" customHeight="1" x14ac:dyDescent="0.3"/>
    <row r="292" s="1" customFormat="1" ht="12.75" customHeight="1" x14ac:dyDescent="0.3"/>
    <row r="293" s="1" customFormat="1" ht="12.75" customHeight="1" x14ac:dyDescent="0.3"/>
    <row r="294" s="1" customFormat="1" ht="12.75" customHeight="1" x14ac:dyDescent="0.3"/>
    <row r="295" s="1" customFormat="1" ht="12.75" customHeight="1" x14ac:dyDescent="0.3"/>
    <row r="296" s="1" customFormat="1" ht="12.75" customHeight="1" x14ac:dyDescent="0.3"/>
    <row r="297" s="1" customFormat="1" ht="12.75" customHeight="1" x14ac:dyDescent="0.3"/>
    <row r="298" s="1" customFormat="1" ht="12.75" customHeight="1" x14ac:dyDescent="0.3"/>
    <row r="299" s="1" customFormat="1" ht="12.75" customHeight="1" x14ac:dyDescent="0.3"/>
    <row r="300" s="1" customFormat="1" ht="12.75" customHeight="1" x14ac:dyDescent="0.3"/>
    <row r="301" s="1" customFormat="1" ht="12.75" customHeight="1" x14ac:dyDescent="0.3"/>
    <row r="302" s="1" customFormat="1" ht="12.75" customHeight="1" x14ac:dyDescent="0.3"/>
    <row r="303" s="1" customFormat="1" ht="12.75" customHeight="1" x14ac:dyDescent="0.3"/>
    <row r="304" s="1" customFormat="1" ht="12.75" customHeight="1" x14ac:dyDescent="0.3"/>
    <row r="305" s="1" customFormat="1" ht="12.75" customHeight="1" x14ac:dyDescent="0.3"/>
    <row r="306" s="1" customFormat="1" ht="12.75" customHeight="1" x14ac:dyDescent="0.3"/>
    <row r="307" s="1" customFormat="1" ht="12.75" customHeight="1" x14ac:dyDescent="0.3"/>
    <row r="308" s="1" customFormat="1" ht="12.75" customHeight="1" x14ac:dyDescent="0.3"/>
    <row r="309" s="1" customFormat="1" ht="12.75" customHeight="1" x14ac:dyDescent="0.3"/>
    <row r="310" s="1" customFormat="1" ht="12.75" customHeight="1" x14ac:dyDescent="0.3"/>
    <row r="311" s="1" customFormat="1" ht="12.75" customHeight="1" x14ac:dyDescent="0.3"/>
    <row r="312" s="1" customFormat="1" ht="12.75" customHeight="1" x14ac:dyDescent="0.3"/>
    <row r="313" s="1" customFormat="1" ht="12.75" customHeight="1" x14ac:dyDescent="0.3"/>
    <row r="314" s="1" customFormat="1" ht="12.75" customHeight="1" x14ac:dyDescent="0.3"/>
    <row r="315" s="1" customFormat="1" ht="12.75" customHeight="1" x14ac:dyDescent="0.3"/>
    <row r="316" s="1" customFormat="1" ht="12.75" customHeight="1" x14ac:dyDescent="0.3"/>
    <row r="317" s="1" customFormat="1" ht="12.75" customHeight="1" x14ac:dyDescent="0.3"/>
    <row r="318" s="1" customFormat="1" ht="12.75" customHeight="1" x14ac:dyDescent="0.3"/>
    <row r="319" s="1" customFormat="1" ht="12.75" customHeight="1" x14ac:dyDescent="0.3"/>
    <row r="320" s="1" customFormat="1" ht="12.75" customHeight="1" x14ac:dyDescent="0.3"/>
    <row r="321" s="1" customFormat="1" ht="12.75" customHeight="1" x14ac:dyDescent="0.3"/>
    <row r="322" s="1" customFormat="1" ht="12.75" customHeight="1" x14ac:dyDescent="0.3"/>
    <row r="323" s="1" customFormat="1" ht="12.75" customHeight="1" x14ac:dyDescent="0.3"/>
    <row r="324" s="1" customFormat="1" ht="12.75" customHeight="1" x14ac:dyDescent="0.3"/>
    <row r="325" s="1" customFormat="1" ht="12.75" customHeight="1" x14ac:dyDescent="0.3"/>
    <row r="326" s="1" customFormat="1" ht="12.75" customHeight="1" x14ac:dyDescent="0.3"/>
    <row r="327" s="1" customFormat="1" ht="12.75" customHeight="1" x14ac:dyDescent="0.3"/>
    <row r="328" s="1" customFormat="1" ht="12.75" customHeight="1" x14ac:dyDescent="0.3"/>
    <row r="329" s="1" customFormat="1" ht="12.75" customHeight="1" x14ac:dyDescent="0.3"/>
    <row r="330" s="1" customFormat="1" ht="12.75" customHeight="1" x14ac:dyDescent="0.3"/>
    <row r="331" s="1" customFormat="1" ht="12.75" customHeight="1" x14ac:dyDescent="0.3"/>
    <row r="332" s="1" customFormat="1" ht="12.75" customHeight="1" x14ac:dyDescent="0.3"/>
    <row r="333" s="1" customFormat="1" ht="12.75" customHeight="1" x14ac:dyDescent="0.3"/>
    <row r="334" s="1" customFormat="1" ht="12.75" customHeight="1" x14ac:dyDescent="0.3"/>
    <row r="335" s="1" customFormat="1" ht="12.75" customHeight="1" x14ac:dyDescent="0.3"/>
    <row r="336" s="1" customFormat="1" ht="12.75" customHeight="1" x14ac:dyDescent="0.3"/>
    <row r="337" s="1" customFormat="1" ht="12.75" customHeight="1" x14ac:dyDescent="0.3"/>
    <row r="338" s="1" customFormat="1" ht="12.75" customHeight="1" x14ac:dyDescent="0.3"/>
    <row r="339" s="1" customFormat="1" ht="12.75" customHeight="1" x14ac:dyDescent="0.3"/>
    <row r="340" s="1" customFormat="1" ht="12.75" customHeight="1" x14ac:dyDescent="0.3"/>
    <row r="341" s="1" customFormat="1" ht="12.75" customHeight="1" x14ac:dyDescent="0.3"/>
    <row r="342" s="1" customFormat="1" ht="12.75" customHeight="1" x14ac:dyDescent="0.3"/>
    <row r="343" s="1" customFormat="1" ht="12.75" customHeight="1" x14ac:dyDescent="0.3"/>
    <row r="344" s="1" customFormat="1" ht="12.75" customHeight="1" x14ac:dyDescent="0.3"/>
    <row r="345" s="1" customFormat="1" ht="12.75" customHeight="1" x14ac:dyDescent="0.3"/>
    <row r="346" s="1" customFormat="1" ht="12.75" customHeight="1" x14ac:dyDescent="0.3"/>
    <row r="347" s="1" customFormat="1" ht="12.75" customHeight="1" x14ac:dyDescent="0.3"/>
    <row r="348" s="1" customFormat="1" ht="12.75" customHeight="1" x14ac:dyDescent="0.3"/>
    <row r="349" s="1" customFormat="1" ht="12.75" customHeight="1" x14ac:dyDescent="0.3"/>
    <row r="350" s="1" customFormat="1" ht="12.75" customHeight="1" x14ac:dyDescent="0.3"/>
    <row r="351" s="1" customFormat="1" ht="12.75" customHeight="1" x14ac:dyDescent="0.3"/>
    <row r="352" s="1" customFormat="1" ht="12.75" customHeight="1" x14ac:dyDescent="0.3"/>
    <row r="353" s="1" customFormat="1" ht="12.75" customHeight="1" x14ac:dyDescent="0.3"/>
    <row r="354" s="1" customFormat="1" ht="12.75" customHeight="1" x14ac:dyDescent="0.3"/>
    <row r="355" s="1" customFormat="1" ht="12.75" customHeight="1" x14ac:dyDescent="0.3"/>
    <row r="356" s="1" customFormat="1" ht="12.75" customHeight="1" x14ac:dyDescent="0.3"/>
    <row r="357" s="1" customFormat="1" ht="12.75" customHeight="1" x14ac:dyDescent="0.3"/>
    <row r="358" s="1" customFormat="1" ht="12.75" customHeight="1" x14ac:dyDescent="0.3"/>
    <row r="359" s="1" customFormat="1" ht="12.75" customHeight="1" x14ac:dyDescent="0.3"/>
    <row r="360" s="1" customFormat="1" ht="12.75" customHeight="1" x14ac:dyDescent="0.3"/>
    <row r="361" s="1" customFormat="1" ht="12.75" customHeight="1" x14ac:dyDescent="0.3"/>
    <row r="362" s="1" customFormat="1" ht="12.75" customHeight="1" x14ac:dyDescent="0.3"/>
    <row r="363" s="1" customFormat="1" ht="12.75" customHeight="1" x14ac:dyDescent="0.3"/>
    <row r="364" s="1" customFormat="1" ht="12.75" customHeight="1" x14ac:dyDescent="0.3"/>
    <row r="365" s="1" customFormat="1" ht="12.75" customHeight="1" x14ac:dyDescent="0.3"/>
    <row r="366" s="1" customFormat="1" ht="12.75" customHeight="1" x14ac:dyDescent="0.3"/>
    <row r="367" s="1" customFormat="1" ht="12.75" customHeight="1" x14ac:dyDescent="0.3"/>
    <row r="368" s="1" customFormat="1" ht="12.75" customHeight="1" x14ac:dyDescent="0.3"/>
    <row r="369" s="1" customFormat="1" ht="12.75" customHeight="1" x14ac:dyDescent="0.3"/>
    <row r="370" s="1" customFormat="1" ht="12.75" customHeight="1" x14ac:dyDescent="0.3"/>
    <row r="371" s="1" customFormat="1" ht="12.75" customHeight="1" x14ac:dyDescent="0.3"/>
    <row r="372" s="1" customFormat="1" ht="12.75" customHeight="1" x14ac:dyDescent="0.3"/>
    <row r="373" s="1" customFormat="1" ht="12.75" customHeight="1" x14ac:dyDescent="0.3"/>
    <row r="374" s="1" customFormat="1" ht="12.75" customHeight="1" x14ac:dyDescent="0.3"/>
    <row r="375" s="1" customFormat="1" ht="12.75" customHeight="1" x14ac:dyDescent="0.3"/>
    <row r="376" s="1" customFormat="1" ht="12.75" customHeight="1" x14ac:dyDescent="0.3"/>
    <row r="377" s="1" customFormat="1" ht="12.75" customHeight="1" x14ac:dyDescent="0.3"/>
    <row r="378" s="1" customFormat="1" ht="12.75" customHeight="1" x14ac:dyDescent="0.3"/>
    <row r="379" s="1" customFormat="1" ht="12.75" customHeight="1" x14ac:dyDescent="0.3"/>
    <row r="380" s="1" customFormat="1" ht="12.75" customHeight="1" x14ac:dyDescent="0.3"/>
    <row r="381" s="1" customFormat="1" ht="12.75" customHeight="1" x14ac:dyDescent="0.3"/>
    <row r="382" s="1" customFormat="1" ht="12.75" customHeight="1" x14ac:dyDescent="0.3"/>
    <row r="383" s="1" customFormat="1" ht="12.75" customHeight="1" x14ac:dyDescent="0.3"/>
    <row r="384" s="1" customFormat="1" ht="12.75" customHeight="1" x14ac:dyDescent="0.3"/>
    <row r="385" s="1" customFormat="1" ht="12.75" customHeight="1" x14ac:dyDescent="0.3"/>
    <row r="386" s="1" customFormat="1" ht="12.75" customHeight="1" x14ac:dyDescent="0.3"/>
    <row r="387" s="1" customFormat="1" ht="12.75" customHeight="1" x14ac:dyDescent="0.3"/>
    <row r="388" s="1" customFormat="1" ht="12.75" customHeight="1" x14ac:dyDescent="0.3"/>
    <row r="389" s="1" customFormat="1" ht="12.75" customHeight="1" x14ac:dyDescent="0.3"/>
    <row r="390" s="1" customFormat="1" ht="12.75" customHeight="1" x14ac:dyDescent="0.3"/>
    <row r="391" s="1" customFormat="1" ht="12.75" customHeight="1" x14ac:dyDescent="0.3"/>
    <row r="392" s="1" customFormat="1" ht="12.75" customHeight="1" x14ac:dyDescent="0.3"/>
    <row r="393" s="1" customFormat="1" ht="12.75" customHeight="1" x14ac:dyDescent="0.3"/>
    <row r="394" s="1" customFormat="1" ht="12.75" customHeight="1" x14ac:dyDescent="0.3"/>
    <row r="395" s="1" customFormat="1" ht="12.75" customHeight="1" x14ac:dyDescent="0.3"/>
    <row r="396" s="1" customFormat="1" ht="12.75" customHeight="1" x14ac:dyDescent="0.3"/>
    <row r="397" s="1" customFormat="1" ht="12.75" customHeight="1" x14ac:dyDescent="0.3"/>
    <row r="398" s="1" customFormat="1" ht="12.75" customHeight="1" x14ac:dyDescent="0.3"/>
    <row r="399" s="1" customFormat="1" ht="12.75" customHeight="1" x14ac:dyDescent="0.3"/>
    <row r="400" s="1" customFormat="1" ht="12.75" customHeight="1" x14ac:dyDescent="0.3"/>
    <row r="401" s="1" customFormat="1" ht="12.75" customHeight="1" x14ac:dyDescent="0.3"/>
    <row r="402" s="1" customFormat="1" ht="12.75" customHeight="1" x14ac:dyDescent="0.3"/>
    <row r="403" s="1" customFormat="1" ht="12.75" customHeight="1" x14ac:dyDescent="0.3"/>
    <row r="404" s="1" customFormat="1" ht="12.75" customHeight="1" x14ac:dyDescent="0.3"/>
    <row r="405" s="1" customFormat="1" ht="12.75" customHeight="1" x14ac:dyDescent="0.3"/>
    <row r="406" s="1" customFormat="1" ht="12.75" customHeight="1" x14ac:dyDescent="0.3"/>
    <row r="407" s="1" customFormat="1" ht="12.75" customHeight="1" x14ac:dyDescent="0.3"/>
    <row r="408" s="1" customFormat="1" ht="12.75" customHeight="1" x14ac:dyDescent="0.3"/>
    <row r="409" s="1" customFormat="1" ht="12.75" customHeight="1" x14ac:dyDescent="0.3"/>
    <row r="410" s="1" customFormat="1" ht="12.75" customHeight="1" x14ac:dyDescent="0.3"/>
    <row r="411" s="1" customFormat="1" ht="12.75" customHeight="1" x14ac:dyDescent="0.3"/>
    <row r="412" s="1" customFormat="1" ht="12.75" customHeight="1" x14ac:dyDescent="0.3"/>
    <row r="413" s="1" customFormat="1" ht="12.75" customHeight="1" x14ac:dyDescent="0.3"/>
    <row r="414" s="1" customFormat="1" ht="12.75" customHeight="1" x14ac:dyDescent="0.3"/>
    <row r="415" s="1" customFormat="1" ht="12.75" customHeight="1" x14ac:dyDescent="0.3"/>
    <row r="416" s="1" customFormat="1" ht="12.75" customHeight="1" x14ac:dyDescent="0.3"/>
    <row r="417" s="1" customFormat="1" ht="12.75" customHeight="1" x14ac:dyDescent="0.3"/>
    <row r="418" s="1" customFormat="1" ht="12.75" customHeight="1" x14ac:dyDescent="0.3"/>
    <row r="419" s="1" customFormat="1" ht="12.75" customHeight="1" x14ac:dyDescent="0.3"/>
    <row r="420" s="1" customFormat="1" ht="12.75" customHeight="1" x14ac:dyDescent="0.3"/>
    <row r="421" s="1" customFormat="1" ht="12.75" customHeight="1" x14ac:dyDescent="0.3"/>
    <row r="422" s="1" customFormat="1" ht="12.75" customHeight="1" x14ac:dyDescent="0.3"/>
    <row r="423" s="1" customFormat="1" ht="12.75" customHeight="1" x14ac:dyDescent="0.3"/>
    <row r="424" s="1" customFormat="1" ht="12.75" customHeight="1" x14ac:dyDescent="0.3"/>
    <row r="425" s="1" customFormat="1" ht="12.75" customHeight="1" x14ac:dyDescent="0.3"/>
    <row r="426" s="1" customFormat="1" ht="12.75" customHeight="1" x14ac:dyDescent="0.3"/>
    <row r="427" s="1" customFormat="1" ht="12.75" customHeight="1" x14ac:dyDescent="0.3"/>
    <row r="428" s="1" customFormat="1" ht="12.75" customHeight="1" x14ac:dyDescent="0.3"/>
    <row r="429" s="1" customFormat="1" ht="12.75" customHeight="1" x14ac:dyDescent="0.3"/>
    <row r="430" s="1" customFormat="1" ht="12.75" customHeight="1" x14ac:dyDescent="0.3"/>
    <row r="431" s="1" customFormat="1" ht="12.75" customHeight="1" x14ac:dyDescent="0.3"/>
    <row r="432" s="1" customFormat="1" ht="12.75" customHeight="1" x14ac:dyDescent="0.3"/>
    <row r="433" s="1" customFormat="1" ht="12.75" customHeight="1" x14ac:dyDescent="0.3"/>
    <row r="434" s="1" customFormat="1" ht="12.75" customHeight="1" x14ac:dyDescent="0.3"/>
    <row r="435" s="1" customFormat="1" ht="12.75" customHeight="1" x14ac:dyDescent="0.3"/>
    <row r="436" s="1" customFormat="1" ht="12.75" customHeight="1" x14ac:dyDescent="0.3"/>
    <row r="437" s="1" customFormat="1" ht="12.75" customHeight="1" x14ac:dyDescent="0.3"/>
    <row r="438" s="1" customFormat="1" ht="12.75" customHeight="1" x14ac:dyDescent="0.3"/>
    <row r="439" s="1" customFormat="1" ht="12.75" customHeight="1" x14ac:dyDescent="0.3"/>
    <row r="440" s="1" customFormat="1" ht="12.75" customHeight="1" x14ac:dyDescent="0.3"/>
    <row r="441" s="1" customFormat="1" ht="12.75" customHeight="1" x14ac:dyDescent="0.3"/>
    <row r="442" s="1" customFormat="1" ht="12.75" customHeight="1" x14ac:dyDescent="0.3"/>
    <row r="443" s="1" customFormat="1" ht="12.75" customHeight="1" x14ac:dyDescent="0.3"/>
    <row r="444" s="1" customFormat="1" ht="12.75" customHeight="1" x14ac:dyDescent="0.3"/>
    <row r="445" s="1" customFormat="1" ht="12.75" customHeight="1" x14ac:dyDescent="0.3"/>
    <row r="446" s="1" customFormat="1" ht="12.75" customHeight="1" x14ac:dyDescent="0.3"/>
    <row r="447" s="1" customFormat="1" ht="12.75" customHeight="1" x14ac:dyDescent="0.3"/>
    <row r="448" s="1" customFormat="1" ht="12.75" customHeight="1" x14ac:dyDescent="0.3"/>
    <row r="449" s="1" customFormat="1" ht="12.75" customHeight="1" x14ac:dyDescent="0.3"/>
    <row r="450" s="1" customFormat="1" ht="12.75" customHeight="1" x14ac:dyDescent="0.3"/>
    <row r="451" s="1" customFormat="1" ht="12.75" customHeight="1" x14ac:dyDescent="0.3"/>
    <row r="452" s="1" customFormat="1" ht="12.75" customHeight="1" x14ac:dyDescent="0.3"/>
    <row r="453" s="1" customFormat="1" ht="12.75" customHeight="1" x14ac:dyDescent="0.3"/>
    <row r="454" s="1" customFormat="1" ht="12.75" customHeight="1" x14ac:dyDescent="0.3"/>
    <row r="455" s="1" customFormat="1" ht="12.75" customHeight="1" x14ac:dyDescent="0.3"/>
    <row r="456" s="1" customFormat="1" ht="12.75" customHeight="1" x14ac:dyDescent="0.3"/>
    <row r="457" s="1" customFormat="1" ht="12.75" customHeight="1" x14ac:dyDescent="0.3"/>
    <row r="458" s="1" customFormat="1" ht="12.75" customHeight="1" x14ac:dyDescent="0.3"/>
    <row r="459" s="1" customFormat="1" ht="12.75" customHeight="1" x14ac:dyDescent="0.3"/>
    <row r="460" s="1" customFormat="1" ht="12.75" customHeight="1" x14ac:dyDescent="0.3"/>
    <row r="461" s="1" customFormat="1" ht="12.75" customHeight="1" x14ac:dyDescent="0.3"/>
    <row r="462" s="1" customFormat="1" ht="12.75" customHeight="1" x14ac:dyDescent="0.3"/>
    <row r="463" s="1" customFormat="1" ht="12.75" customHeight="1" x14ac:dyDescent="0.3"/>
    <row r="464" s="1" customFormat="1" ht="12.75" customHeight="1" x14ac:dyDescent="0.3"/>
    <row r="465" s="1" customFormat="1" ht="12.75" customHeight="1" x14ac:dyDescent="0.3"/>
    <row r="466" s="1" customFormat="1" ht="12.75" customHeight="1" x14ac:dyDescent="0.3"/>
    <row r="467" s="1" customFormat="1" ht="12.75" customHeight="1" x14ac:dyDescent="0.3"/>
    <row r="468" s="1" customFormat="1" ht="12.75" customHeight="1" x14ac:dyDescent="0.3"/>
    <row r="469" s="1" customFormat="1" ht="12.75" customHeight="1" x14ac:dyDescent="0.3"/>
    <row r="470" s="1" customFormat="1" ht="12.75" customHeight="1" x14ac:dyDescent="0.3"/>
    <row r="471" s="1" customFormat="1" ht="12.75" customHeight="1" x14ac:dyDescent="0.3"/>
    <row r="472" s="1" customFormat="1" ht="12.75" customHeight="1" x14ac:dyDescent="0.3"/>
    <row r="473" s="1" customFormat="1" ht="12.75" customHeight="1" x14ac:dyDescent="0.3"/>
    <row r="474" s="1" customFormat="1" ht="12.75" customHeight="1" x14ac:dyDescent="0.3"/>
    <row r="475" s="1" customFormat="1" ht="12.75" customHeight="1" x14ac:dyDescent="0.3"/>
    <row r="476" s="1" customFormat="1" ht="12.75" customHeight="1" x14ac:dyDescent="0.3"/>
    <row r="477" s="1" customFormat="1" ht="12.75" customHeight="1" x14ac:dyDescent="0.3"/>
    <row r="478" s="1" customFormat="1" ht="12.75" customHeight="1" x14ac:dyDescent="0.3"/>
    <row r="479" s="1" customFormat="1" ht="12.75" customHeight="1" x14ac:dyDescent="0.3"/>
    <row r="480" s="1" customFormat="1" ht="12.75" customHeight="1" x14ac:dyDescent="0.3"/>
    <row r="481" s="1" customFormat="1" ht="12.75" customHeight="1" x14ac:dyDescent="0.3"/>
    <row r="482" s="1" customFormat="1" ht="12.75" customHeight="1" x14ac:dyDescent="0.3"/>
    <row r="483" s="1" customFormat="1" ht="12.75" customHeight="1" x14ac:dyDescent="0.3"/>
    <row r="484" s="1" customFormat="1" ht="12.75" customHeight="1" x14ac:dyDescent="0.3"/>
    <row r="485" s="1" customFormat="1" ht="12.75" customHeight="1" x14ac:dyDescent="0.3"/>
    <row r="486" s="1" customFormat="1" ht="12.75" customHeight="1" x14ac:dyDescent="0.3"/>
    <row r="487" s="1" customFormat="1" ht="12.75" customHeight="1" x14ac:dyDescent="0.3"/>
    <row r="488" s="1" customFormat="1" ht="12.75" customHeight="1" x14ac:dyDescent="0.3"/>
    <row r="489" s="1" customFormat="1" ht="12.75" customHeight="1" x14ac:dyDescent="0.3"/>
    <row r="490" s="1" customFormat="1" ht="12.75" customHeight="1" x14ac:dyDescent="0.3"/>
    <row r="491" s="1" customFormat="1" ht="12.75" customHeight="1" x14ac:dyDescent="0.3"/>
    <row r="492" s="1" customFormat="1" ht="12.75" customHeight="1" x14ac:dyDescent="0.3"/>
    <row r="493" s="1" customFormat="1" ht="12.75" customHeight="1" x14ac:dyDescent="0.3"/>
    <row r="494" s="1" customFormat="1" ht="12.75" customHeight="1" x14ac:dyDescent="0.3"/>
    <row r="495" s="1" customFormat="1" ht="12.75" customHeight="1" x14ac:dyDescent="0.3"/>
    <row r="496" s="1" customFormat="1" ht="12.75" customHeight="1" x14ac:dyDescent="0.3"/>
    <row r="497" s="1" customFormat="1" ht="12.75" customHeight="1" x14ac:dyDescent="0.3"/>
    <row r="498" s="1" customFormat="1" ht="12.75" customHeight="1" x14ac:dyDescent="0.3"/>
    <row r="499" s="1" customFormat="1" ht="12.75" customHeight="1" x14ac:dyDescent="0.3"/>
    <row r="500" s="1" customFormat="1" ht="12.75" customHeight="1" x14ac:dyDescent="0.3"/>
    <row r="501" s="1" customFormat="1" ht="12.75" customHeight="1" x14ac:dyDescent="0.3"/>
    <row r="502" s="1" customFormat="1" ht="12.75" customHeight="1" x14ac:dyDescent="0.3"/>
    <row r="503" s="1" customFormat="1" ht="12.75" customHeight="1" x14ac:dyDescent="0.3"/>
    <row r="504" s="1" customFormat="1" ht="12.75" customHeight="1" x14ac:dyDescent="0.3"/>
    <row r="505" s="1" customFormat="1" ht="12.75" customHeight="1" x14ac:dyDescent="0.3"/>
    <row r="506" s="1" customFormat="1" ht="12.75" customHeight="1" x14ac:dyDescent="0.3"/>
    <row r="507" s="1" customFormat="1" ht="12.75" customHeight="1" x14ac:dyDescent="0.3"/>
    <row r="508" s="1" customFormat="1" ht="12.75" customHeight="1" x14ac:dyDescent="0.3"/>
    <row r="509" s="1" customFormat="1" ht="12.75" customHeight="1" x14ac:dyDescent="0.3"/>
    <row r="510" s="1" customFormat="1" ht="12.75" customHeight="1" x14ac:dyDescent="0.3"/>
    <row r="511" s="1" customFormat="1" ht="12.75" customHeight="1" x14ac:dyDescent="0.3"/>
    <row r="512" s="1" customFormat="1" ht="12.75" customHeight="1" x14ac:dyDescent="0.3"/>
    <row r="513" s="1" customFormat="1" ht="12.75" customHeight="1" x14ac:dyDescent="0.3"/>
    <row r="514" s="1" customFormat="1" ht="12.75" customHeight="1" x14ac:dyDescent="0.3"/>
    <row r="515" s="1" customFormat="1" ht="12.75" customHeight="1" x14ac:dyDescent="0.3"/>
    <row r="516" s="1" customFormat="1" ht="12.75" customHeight="1" x14ac:dyDescent="0.3"/>
    <row r="517" s="1" customFormat="1" ht="12.75" customHeight="1" x14ac:dyDescent="0.3"/>
    <row r="518" s="1" customFormat="1" ht="12.75" customHeight="1" x14ac:dyDescent="0.3"/>
    <row r="519" s="1" customFormat="1" ht="12.75" customHeight="1" x14ac:dyDescent="0.3"/>
    <row r="520" s="1" customFormat="1" ht="12.75" customHeight="1" x14ac:dyDescent="0.3"/>
    <row r="521" s="1" customFormat="1" ht="12.75" customHeight="1" x14ac:dyDescent="0.3"/>
    <row r="522" s="1" customFormat="1" ht="12.75" customHeight="1" x14ac:dyDescent="0.3"/>
    <row r="523" s="1" customFormat="1" ht="12.75" customHeight="1" x14ac:dyDescent="0.3"/>
    <row r="524" s="1" customFormat="1" ht="12.75" customHeight="1" x14ac:dyDescent="0.3"/>
    <row r="525" s="1" customFormat="1" ht="12.75" customHeight="1" x14ac:dyDescent="0.3"/>
    <row r="526" s="1" customFormat="1" ht="12.75" customHeight="1" x14ac:dyDescent="0.3"/>
    <row r="527" s="1" customFormat="1" ht="12.75" customHeight="1" x14ac:dyDescent="0.3"/>
    <row r="528" s="1" customFormat="1" ht="12.75" customHeight="1" x14ac:dyDescent="0.3"/>
    <row r="529" s="1" customFormat="1" ht="12.75" customHeight="1" x14ac:dyDescent="0.3"/>
    <row r="530" s="1" customFormat="1" ht="12.75" customHeight="1" x14ac:dyDescent="0.3"/>
    <row r="531" s="1" customFormat="1" ht="12.75" customHeight="1" x14ac:dyDescent="0.3"/>
    <row r="532" s="1" customFormat="1" ht="12.75" customHeight="1" x14ac:dyDescent="0.3"/>
    <row r="533" s="1" customFormat="1" ht="12.75" customHeight="1" x14ac:dyDescent="0.3"/>
    <row r="534" s="1" customFormat="1" ht="12.75" customHeight="1" x14ac:dyDescent="0.3"/>
    <row r="535" s="1" customFormat="1" ht="12.75" customHeight="1" x14ac:dyDescent="0.3"/>
    <row r="536" s="1" customFormat="1" ht="12.75" customHeight="1" x14ac:dyDescent="0.3"/>
    <row r="537" s="1" customFormat="1" ht="12.75" customHeight="1" x14ac:dyDescent="0.3"/>
    <row r="538" s="1" customFormat="1" ht="12.75" customHeight="1" x14ac:dyDescent="0.3"/>
    <row r="539" s="1" customFormat="1" ht="12.75" customHeight="1" x14ac:dyDescent="0.3"/>
    <row r="540" s="1" customFormat="1" ht="12.75" customHeight="1" x14ac:dyDescent="0.3"/>
    <row r="541" s="1" customFormat="1" ht="12.75" customHeight="1" x14ac:dyDescent="0.3"/>
    <row r="542" s="1" customFormat="1" ht="12.75" customHeight="1" x14ac:dyDescent="0.3"/>
    <row r="543" s="1" customFormat="1" ht="12.75" customHeight="1" x14ac:dyDescent="0.3"/>
    <row r="544" s="1" customFormat="1" ht="12.75" customHeight="1" x14ac:dyDescent="0.3"/>
    <row r="545" s="1" customFormat="1" ht="12.75" customHeight="1" x14ac:dyDescent="0.3"/>
    <row r="546" s="1" customFormat="1" ht="12.75" customHeight="1" x14ac:dyDescent="0.3"/>
    <row r="547" s="1" customFormat="1" ht="12.75" customHeight="1" x14ac:dyDescent="0.3"/>
    <row r="548" s="1" customFormat="1" ht="12.75" customHeight="1" x14ac:dyDescent="0.3"/>
    <row r="549" s="1" customFormat="1" ht="12.75" customHeight="1" x14ac:dyDescent="0.3"/>
    <row r="550" s="1" customFormat="1" ht="12.75" customHeight="1" x14ac:dyDescent="0.3"/>
    <row r="551" s="1" customFormat="1" ht="12.75" customHeight="1" x14ac:dyDescent="0.3"/>
    <row r="552" s="1" customFormat="1" ht="12.75" customHeight="1" x14ac:dyDescent="0.3"/>
    <row r="553" s="1" customFormat="1" ht="12.75" customHeight="1" x14ac:dyDescent="0.3"/>
    <row r="554" s="1" customFormat="1" ht="12.75" customHeight="1" x14ac:dyDescent="0.3"/>
    <row r="555" s="1" customFormat="1" ht="12.75" customHeight="1" x14ac:dyDescent="0.3"/>
    <row r="556" s="1" customFormat="1" ht="12.75" customHeight="1" x14ac:dyDescent="0.3"/>
    <row r="557" s="1" customFormat="1" ht="12.75" customHeight="1" x14ac:dyDescent="0.3"/>
    <row r="558" s="1" customFormat="1" ht="12.75" customHeight="1" x14ac:dyDescent="0.3"/>
    <row r="559" s="1" customFormat="1" ht="12.75" customHeight="1" x14ac:dyDescent="0.3"/>
    <row r="560" s="1" customFormat="1" ht="12.75" customHeight="1" x14ac:dyDescent="0.3"/>
    <row r="561" s="1" customFormat="1" ht="12.75" customHeight="1" x14ac:dyDescent="0.3"/>
    <row r="562" s="1" customFormat="1" ht="12.75" customHeight="1" x14ac:dyDescent="0.3"/>
    <row r="563" s="1" customFormat="1" ht="12.75" customHeight="1" x14ac:dyDescent="0.3"/>
    <row r="564" s="1" customFormat="1" ht="12.75" customHeight="1" x14ac:dyDescent="0.3"/>
    <row r="565" s="1" customFormat="1" ht="12.75" customHeight="1" x14ac:dyDescent="0.3"/>
    <row r="566" s="1" customFormat="1" ht="12.75" customHeight="1" x14ac:dyDescent="0.3"/>
    <row r="567" s="1" customFormat="1" ht="12.75" customHeight="1" x14ac:dyDescent="0.3"/>
    <row r="568" s="1" customFormat="1" ht="12.75" customHeight="1" x14ac:dyDescent="0.3"/>
    <row r="569" s="1" customFormat="1" ht="12.75" customHeight="1" x14ac:dyDescent="0.3"/>
    <row r="570" s="1" customFormat="1" ht="12.75" customHeight="1" x14ac:dyDescent="0.3"/>
    <row r="571" s="1" customFormat="1" ht="12.75" customHeight="1" x14ac:dyDescent="0.3"/>
    <row r="572" s="1" customFormat="1" ht="12.75" customHeight="1" x14ac:dyDescent="0.3"/>
    <row r="573" s="1" customFormat="1" ht="12.75" customHeight="1" x14ac:dyDescent="0.3"/>
    <row r="574" s="1" customFormat="1" ht="12.75" customHeight="1" x14ac:dyDescent="0.3"/>
    <row r="575" s="1" customFormat="1" ht="12.75" customHeight="1" x14ac:dyDescent="0.3"/>
    <row r="576" s="1" customFormat="1" ht="12.75" customHeight="1" x14ac:dyDescent="0.3"/>
    <row r="577" s="1" customFormat="1" ht="12.75" customHeight="1" x14ac:dyDescent="0.3"/>
    <row r="578" s="1" customFormat="1" ht="12.75" customHeight="1" x14ac:dyDescent="0.3"/>
    <row r="579" s="1" customFormat="1" ht="12.75" customHeight="1" x14ac:dyDescent="0.3"/>
    <row r="580" s="1" customFormat="1" ht="12.75" customHeight="1" x14ac:dyDescent="0.3"/>
    <row r="581" s="1" customFormat="1" ht="12.75" customHeight="1" x14ac:dyDescent="0.3"/>
    <row r="582" s="1" customFormat="1" ht="12.75" customHeight="1" x14ac:dyDescent="0.3"/>
    <row r="583" s="1" customFormat="1" ht="12.75" customHeight="1" x14ac:dyDescent="0.3"/>
    <row r="584" s="1" customFormat="1" ht="12.75" customHeight="1" x14ac:dyDescent="0.3"/>
    <row r="585" s="1" customFormat="1" ht="12.75" customHeight="1" x14ac:dyDescent="0.3"/>
    <row r="586" s="1" customFormat="1" ht="12.75" customHeight="1" x14ac:dyDescent="0.3"/>
    <row r="587" s="1" customFormat="1" ht="12.75" customHeight="1" x14ac:dyDescent="0.3"/>
    <row r="588" s="1" customFormat="1" ht="12.75" customHeight="1" x14ac:dyDescent="0.3"/>
    <row r="589" s="1" customFormat="1" ht="12.75" customHeight="1" x14ac:dyDescent="0.3"/>
    <row r="590" s="1" customFormat="1" ht="12.75" customHeight="1" x14ac:dyDescent="0.3"/>
    <row r="591" s="1" customFormat="1" ht="12.75" customHeight="1" x14ac:dyDescent="0.3"/>
    <row r="592" s="1" customFormat="1" ht="12.75" customHeight="1" x14ac:dyDescent="0.3"/>
    <row r="593" s="1" customFormat="1" ht="12.75" customHeight="1" x14ac:dyDescent="0.3"/>
    <row r="594" s="1" customFormat="1" ht="12.75" customHeight="1" x14ac:dyDescent="0.3"/>
    <row r="595" s="1" customFormat="1" ht="12.75" customHeight="1" x14ac:dyDescent="0.3"/>
    <row r="596" s="1" customFormat="1" ht="12.75" customHeight="1" x14ac:dyDescent="0.3"/>
    <row r="597" s="1" customFormat="1" ht="12.75" customHeight="1" x14ac:dyDescent="0.3"/>
    <row r="598" s="1" customFormat="1" ht="12.75" customHeight="1" x14ac:dyDescent="0.3"/>
    <row r="599" s="1" customFormat="1" ht="12.75" customHeight="1" x14ac:dyDescent="0.3"/>
    <row r="600" s="1" customFormat="1" ht="12.75" customHeight="1" x14ac:dyDescent="0.3"/>
    <row r="601" s="1" customFormat="1" ht="12.75" customHeight="1" x14ac:dyDescent="0.3"/>
    <row r="602" s="1" customFormat="1" ht="12.75" customHeight="1" x14ac:dyDescent="0.3"/>
    <row r="603" s="1" customFormat="1" ht="12.75" customHeight="1" x14ac:dyDescent="0.3"/>
    <row r="604" s="1" customFormat="1" ht="12.75" customHeight="1" x14ac:dyDescent="0.3"/>
    <row r="605" s="1" customFormat="1" ht="12.75" customHeight="1" x14ac:dyDescent="0.3"/>
    <row r="606" s="1" customFormat="1" ht="12.75" customHeight="1" x14ac:dyDescent="0.3"/>
    <row r="607" s="1" customFormat="1" ht="12.75" customHeight="1" x14ac:dyDescent="0.3"/>
    <row r="608" s="1" customFormat="1" ht="12.75" customHeight="1" x14ac:dyDescent="0.3"/>
    <row r="609" s="1" customFormat="1" ht="12.75" customHeight="1" x14ac:dyDescent="0.3"/>
    <row r="610" s="1" customFormat="1" ht="12.75" customHeight="1" x14ac:dyDescent="0.3"/>
    <row r="611" s="1" customFormat="1" ht="12.75" customHeight="1" x14ac:dyDescent="0.3"/>
    <row r="612" s="1" customFormat="1" ht="12.75" customHeight="1" x14ac:dyDescent="0.3"/>
    <row r="613" s="1" customFormat="1" ht="12.75" customHeight="1" x14ac:dyDescent="0.3"/>
    <row r="614" s="1" customFormat="1" ht="12.75" customHeight="1" x14ac:dyDescent="0.3"/>
    <row r="615" s="1" customFormat="1" ht="12.75" customHeight="1" x14ac:dyDescent="0.3"/>
    <row r="616" s="1" customFormat="1" ht="12.75" customHeight="1" x14ac:dyDescent="0.3"/>
    <row r="617" s="1" customFormat="1" ht="12.75" customHeight="1" x14ac:dyDescent="0.3"/>
    <row r="618" s="1" customFormat="1" ht="12.75" customHeight="1" x14ac:dyDescent="0.3"/>
    <row r="619" s="1" customFormat="1" ht="12.75" customHeight="1" x14ac:dyDescent="0.3"/>
    <row r="620" s="1" customFormat="1" ht="12.75" customHeight="1" x14ac:dyDescent="0.3"/>
    <row r="621" s="1" customFormat="1" ht="12.75" customHeight="1" x14ac:dyDescent="0.3"/>
    <row r="622" s="1" customFormat="1" ht="12.75" customHeight="1" x14ac:dyDescent="0.3"/>
    <row r="623" s="1" customFormat="1" ht="12.75" customHeight="1" x14ac:dyDescent="0.3"/>
    <row r="624" s="1" customFormat="1" ht="12.75" customHeight="1" x14ac:dyDescent="0.3"/>
    <row r="625" s="1" customFormat="1" ht="12.75" customHeight="1" x14ac:dyDescent="0.3"/>
    <row r="626" s="1" customFormat="1" ht="12.75" customHeight="1" x14ac:dyDescent="0.3"/>
    <row r="627" s="1" customFormat="1" ht="12.75" customHeight="1" x14ac:dyDescent="0.3"/>
    <row r="628" s="1" customFormat="1" ht="12.75" customHeight="1" x14ac:dyDescent="0.3"/>
    <row r="629" s="1" customFormat="1" ht="12.75" customHeight="1" x14ac:dyDescent="0.3"/>
    <row r="630" s="1" customFormat="1" ht="12.75" customHeight="1" x14ac:dyDescent="0.3"/>
    <row r="631" s="1" customFormat="1" ht="12.75" customHeight="1" x14ac:dyDescent="0.3"/>
    <row r="632" s="1" customFormat="1" ht="12.75" customHeight="1" x14ac:dyDescent="0.3"/>
    <row r="633" s="1" customFormat="1" ht="12.75" customHeight="1" x14ac:dyDescent="0.3"/>
    <row r="634" s="1" customFormat="1" ht="12.75" customHeight="1" x14ac:dyDescent="0.3"/>
    <row r="635" s="1" customFormat="1" ht="12.75" customHeight="1" x14ac:dyDescent="0.3"/>
    <row r="636" s="1" customFormat="1" ht="12.75" customHeight="1" x14ac:dyDescent="0.3"/>
    <row r="637" s="1" customFormat="1" ht="12.75" customHeight="1" x14ac:dyDescent="0.3"/>
    <row r="638" s="1" customFormat="1" ht="12.75" customHeight="1" x14ac:dyDescent="0.3"/>
    <row r="639" s="1" customFormat="1" ht="12.75" customHeight="1" x14ac:dyDescent="0.3"/>
    <row r="640" s="1" customFormat="1" ht="12.75" customHeight="1" x14ac:dyDescent="0.3"/>
    <row r="641" s="1" customFormat="1" ht="12.75" customHeight="1" x14ac:dyDescent="0.3"/>
    <row r="642" s="1" customFormat="1" ht="12.75" customHeight="1" x14ac:dyDescent="0.3"/>
    <row r="643" s="1" customFormat="1" ht="12.75" customHeight="1" x14ac:dyDescent="0.3"/>
    <row r="644" s="1" customFormat="1" ht="12.75" customHeight="1" x14ac:dyDescent="0.3"/>
    <row r="645" s="1" customFormat="1" ht="12.75" customHeight="1" x14ac:dyDescent="0.3"/>
    <row r="646" s="1" customFormat="1" ht="12.75" customHeight="1" x14ac:dyDescent="0.3"/>
    <row r="647" s="1" customFormat="1" ht="12.75" customHeight="1" x14ac:dyDescent="0.3"/>
    <row r="648" s="1" customFormat="1" ht="12.75" customHeight="1" x14ac:dyDescent="0.3"/>
    <row r="649" s="1" customFormat="1" ht="12.75" customHeight="1" x14ac:dyDescent="0.3"/>
    <row r="650" s="1" customFormat="1" ht="12.75" customHeight="1" x14ac:dyDescent="0.3"/>
    <row r="651" s="1" customFormat="1" ht="12.75" customHeight="1" x14ac:dyDescent="0.3"/>
    <row r="652" s="1" customFormat="1" ht="12.75" customHeight="1" x14ac:dyDescent="0.3"/>
    <row r="653" s="1" customFormat="1" ht="12.75" customHeight="1" x14ac:dyDescent="0.3"/>
    <row r="654" s="1" customFormat="1" ht="12.75" customHeight="1" x14ac:dyDescent="0.3"/>
    <row r="655" s="1" customFormat="1" ht="12.75" customHeight="1" x14ac:dyDescent="0.3"/>
    <row r="656" s="1" customFormat="1" ht="12.75" customHeight="1" x14ac:dyDescent="0.3"/>
    <row r="657" s="1" customFormat="1" ht="12.75" customHeight="1" x14ac:dyDescent="0.3"/>
    <row r="658" s="1" customFormat="1" ht="12.75" customHeight="1" x14ac:dyDescent="0.3"/>
    <row r="659" s="1" customFormat="1" ht="12.75" customHeight="1" x14ac:dyDescent="0.3"/>
    <row r="660" s="1" customFormat="1" ht="12.75" customHeight="1" x14ac:dyDescent="0.3"/>
    <row r="661" s="1" customFormat="1" ht="12.75" customHeight="1" x14ac:dyDescent="0.3"/>
    <row r="662" s="1" customFormat="1" ht="12.75" customHeight="1" x14ac:dyDescent="0.3"/>
    <row r="663" s="1" customFormat="1" ht="12.75" customHeight="1" x14ac:dyDescent="0.3"/>
    <row r="664" s="1" customFormat="1" ht="12.75" customHeight="1" x14ac:dyDescent="0.3"/>
    <row r="665" s="1" customFormat="1" ht="12.75" customHeight="1" x14ac:dyDescent="0.3"/>
    <row r="666" s="1" customFormat="1" ht="12.75" customHeight="1" x14ac:dyDescent="0.3"/>
    <row r="667" s="1" customFormat="1" ht="12.75" customHeight="1" x14ac:dyDescent="0.3"/>
    <row r="668" s="1" customFormat="1" ht="12.75" customHeight="1" x14ac:dyDescent="0.3"/>
    <row r="669" s="1" customFormat="1" ht="12.75" customHeight="1" x14ac:dyDescent="0.3"/>
    <row r="670" s="1" customFormat="1" ht="12.75" customHeight="1" x14ac:dyDescent="0.3"/>
    <row r="671" s="1" customFormat="1" ht="12.75" customHeight="1" x14ac:dyDescent="0.3"/>
    <row r="672" s="1" customFormat="1" ht="12.75" customHeight="1" x14ac:dyDescent="0.3"/>
    <row r="673" s="1" customFormat="1" ht="12.75" customHeight="1" x14ac:dyDescent="0.3"/>
    <row r="674" s="1" customFormat="1" ht="12.75" customHeight="1" x14ac:dyDescent="0.3"/>
    <row r="675" s="1" customFormat="1" ht="12.75" customHeight="1" x14ac:dyDescent="0.3"/>
    <row r="676" s="1" customFormat="1" ht="12.75" customHeight="1" x14ac:dyDescent="0.3"/>
    <row r="677" s="1" customFormat="1" ht="12.75" customHeight="1" x14ac:dyDescent="0.3"/>
    <row r="678" s="1" customFormat="1" ht="12.75" customHeight="1" x14ac:dyDescent="0.3"/>
    <row r="679" s="1" customFormat="1" ht="12.75" customHeight="1" x14ac:dyDescent="0.3"/>
    <row r="680" s="1" customFormat="1" ht="12.75" customHeight="1" x14ac:dyDescent="0.3"/>
    <row r="681" s="1" customFormat="1" ht="12.75" customHeight="1" x14ac:dyDescent="0.3"/>
    <row r="682" s="1" customFormat="1" ht="12.75" customHeight="1" x14ac:dyDescent="0.3"/>
    <row r="683" s="1" customFormat="1" ht="12.75" customHeight="1" x14ac:dyDescent="0.3"/>
    <row r="684" s="1" customFormat="1" ht="12.75" customHeight="1" x14ac:dyDescent="0.3"/>
    <row r="685" s="1" customFormat="1" ht="12.75" customHeight="1" x14ac:dyDescent="0.3"/>
    <row r="686" s="1" customFormat="1" ht="12.75" customHeight="1" x14ac:dyDescent="0.3"/>
    <row r="687" s="1" customFormat="1" ht="12.75" customHeight="1" x14ac:dyDescent="0.3"/>
    <row r="688" s="1" customFormat="1" ht="12.75" customHeight="1" x14ac:dyDescent="0.3"/>
    <row r="689" s="1" customFormat="1" ht="12.75" customHeight="1" x14ac:dyDescent="0.3"/>
    <row r="690" s="1" customFormat="1" ht="12.75" customHeight="1" x14ac:dyDescent="0.3"/>
    <row r="691" s="1" customFormat="1" ht="12.75" customHeight="1" x14ac:dyDescent="0.3"/>
    <row r="692" s="1" customFormat="1" ht="12.75" customHeight="1" x14ac:dyDescent="0.3"/>
    <row r="693" s="1" customFormat="1" ht="12.75" customHeight="1" x14ac:dyDescent="0.3"/>
    <row r="694" s="1" customFormat="1" ht="12.75" customHeight="1" x14ac:dyDescent="0.3"/>
    <row r="695" s="1" customFormat="1" ht="12.75" customHeight="1" x14ac:dyDescent="0.3"/>
    <row r="696" s="1" customFormat="1" ht="12.75" customHeight="1" x14ac:dyDescent="0.3"/>
    <row r="697" s="1" customFormat="1" ht="12.75" customHeight="1" x14ac:dyDescent="0.3"/>
    <row r="698" s="1" customFormat="1" ht="12.75" customHeight="1" x14ac:dyDescent="0.3"/>
    <row r="699" s="1" customFormat="1" ht="12.75" customHeight="1" x14ac:dyDescent="0.3"/>
    <row r="700" s="1" customFormat="1" ht="12.75" customHeight="1" x14ac:dyDescent="0.3"/>
    <row r="701" s="1" customFormat="1" ht="12.75" customHeight="1" x14ac:dyDescent="0.3"/>
    <row r="702" s="1" customFormat="1" ht="12.75" customHeight="1" x14ac:dyDescent="0.3"/>
    <row r="703" s="1" customFormat="1" ht="12.75" customHeight="1" x14ac:dyDescent="0.3"/>
    <row r="704" s="1" customFormat="1" ht="12.75" customHeight="1" x14ac:dyDescent="0.3"/>
    <row r="705" s="1" customFormat="1" ht="12.75" customHeight="1" x14ac:dyDescent="0.3"/>
    <row r="706" s="1" customFormat="1" ht="12.75" customHeight="1" x14ac:dyDescent="0.3"/>
    <row r="707" s="1" customFormat="1" ht="12.75" customHeight="1" x14ac:dyDescent="0.3"/>
    <row r="708" s="1" customFormat="1" ht="12.75" customHeight="1" x14ac:dyDescent="0.3"/>
    <row r="709" s="1" customFormat="1" ht="12.75" customHeight="1" x14ac:dyDescent="0.3"/>
    <row r="710" s="1" customFormat="1" ht="12.75" customHeight="1" x14ac:dyDescent="0.3"/>
    <row r="711" s="1" customFormat="1" ht="12.75" customHeight="1" x14ac:dyDescent="0.3"/>
    <row r="712" s="1" customFormat="1" ht="12.75" customHeight="1" x14ac:dyDescent="0.3"/>
    <row r="713" s="1" customFormat="1" ht="12.75" customHeight="1" x14ac:dyDescent="0.3"/>
    <row r="714" s="1" customFormat="1" ht="12.75" customHeight="1" x14ac:dyDescent="0.3"/>
    <row r="715" s="1" customFormat="1" ht="12.75" customHeight="1" x14ac:dyDescent="0.3"/>
    <row r="716" s="1" customFormat="1" ht="12.75" customHeight="1" x14ac:dyDescent="0.3"/>
    <row r="717" s="1" customFormat="1" ht="12.75" customHeight="1" x14ac:dyDescent="0.3"/>
    <row r="718" s="1" customFormat="1" ht="12.75" customHeight="1" x14ac:dyDescent="0.3"/>
    <row r="719" s="1" customFormat="1" ht="12.75" customHeight="1" x14ac:dyDescent="0.3"/>
    <row r="720" s="1" customFormat="1" ht="12.75" customHeight="1" x14ac:dyDescent="0.3"/>
    <row r="721" s="1" customFormat="1" ht="12.75" customHeight="1" x14ac:dyDescent="0.3"/>
    <row r="722" s="1" customFormat="1" ht="12.75" customHeight="1" x14ac:dyDescent="0.3"/>
    <row r="723" s="1" customFormat="1" ht="12.75" customHeight="1" x14ac:dyDescent="0.3"/>
    <row r="724" s="1" customFormat="1" ht="12.75" customHeight="1" x14ac:dyDescent="0.3"/>
    <row r="725" s="1" customFormat="1" ht="12.75" customHeight="1" x14ac:dyDescent="0.3"/>
    <row r="726" s="1" customFormat="1" ht="12.75" customHeight="1" x14ac:dyDescent="0.3"/>
    <row r="727" s="1" customFormat="1" ht="12.75" customHeight="1" x14ac:dyDescent="0.3"/>
    <row r="728" s="1" customFormat="1" ht="12.75" customHeight="1" x14ac:dyDescent="0.3"/>
    <row r="729" s="1" customFormat="1" ht="12.75" customHeight="1" x14ac:dyDescent="0.3"/>
    <row r="730" s="1" customFormat="1" ht="12.75" customHeight="1" x14ac:dyDescent="0.3"/>
    <row r="731" s="1" customFormat="1" ht="12.75" customHeight="1" x14ac:dyDescent="0.3"/>
    <row r="732" s="1" customFormat="1" ht="12.75" customHeight="1" x14ac:dyDescent="0.3"/>
    <row r="733" s="1" customFormat="1" ht="12.75" customHeight="1" x14ac:dyDescent="0.3"/>
    <row r="734" s="1" customFormat="1" ht="12.75" customHeight="1" x14ac:dyDescent="0.3"/>
    <row r="735" s="1" customFormat="1" ht="12.75" customHeight="1" x14ac:dyDescent="0.3"/>
    <row r="736" s="1" customFormat="1" ht="12.75" customHeight="1" x14ac:dyDescent="0.3"/>
    <row r="737" s="1" customFormat="1" ht="12.75" customHeight="1" x14ac:dyDescent="0.3"/>
    <row r="738" s="1" customFormat="1" ht="12.75" customHeight="1" x14ac:dyDescent="0.3"/>
    <row r="739" s="1" customFormat="1" ht="12.75" customHeight="1" x14ac:dyDescent="0.3"/>
    <row r="740" s="1" customFormat="1" ht="12.75" customHeight="1" x14ac:dyDescent="0.3"/>
    <row r="741" s="1" customFormat="1" ht="12.75" customHeight="1" x14ac:dyDescent="0.3"/>
    <row r="742" s="1" customFormat="1" ht="12.75" customHeight="1" x14ac:dyDescent="0.3"/>
    <row r="743" s="1" customFormat="1" ht="12.75" customHeight="1" x14ac:dyDescent="0.3"/>
    <row r="744" s="1" customFormat="1" ht="12.75" customHeight="1" x14ac:dyDescent="0.3"/>
    <row r="745" s="1" customFormat="1" ht="12.75" customHeight="1" x14ac:dyDescent="0.3"/>
    <row r="746" s="1" customFormat="1" ht="12.75" customHeight="1" x14ac:dyDescent="0.3"/>
    <row r="747" s="1" customFormat="1" ht="12.75" customHeight="1" x14ac:dyDescent="0.3"/>
    <row r="748" s="1" customFormat="1" ht="12.75" customHeight="1" x14ac:dyDescent="0.3"/>
    <row r="749" s="1" customFormat="1" ht="12.75" customHeight="1" x14ac:dyDescent="0.3"/>
    <row r="750" s="1" customFormat="1" ht="12.75" customHeight="1" x14ac:dyDescent="0.3"/>
    <row r="751" s="1" customFormat="1" ht="12.75" customHeight="1" x14ac:dyDescent="0.3"/>
    <row r="752" s="1" customFormat="1" ht="12.75" customHeight="1" x14ac:dyDescent="0.3"/>
    <row r="753" s="1" customFormat="1" ht="12.75" customHeight="1" x14ac:dyDescent="0.3"/>
    <row r="754" s="1" customFormat="1" ht="12.75" customHeight="1" x14ac:dyDescent="0.3"/>
    <row r="755" s="1" customFormat="1" ht="12.75" customHeight="1" x14ac:dyDescent="0.3"/>
    <row r="756" s="1" customFormat="1" ht="12.75" customHeight="1" x14ac:dyDescent="0.3"/>
    <row r="757" s="1" customFormat="1" ht="12.75" customHeight="1" x14ac:dyDescent="0.3"/>
    <row r="758" s="1" customFormat="1" ht="12.75" customHeight="1" x14ac:dyDescent="0.3"/>
    <row r="759" s="1" customFormat="1" ht="12.75" customHeight="1" x14ac:dyDescent="0.3"/>
    <row r="760" s="1" customFormat="1" ht="12.75" customHeight="1" x14ac:dyDescent="0.3"/>
    <row r="761" s="1" customFormat="1" ht="12.75" customHeight="1" x14ac:dyDescent="0.3"/>
    <row r="762" s="1" customFormat="1" ht="12.75" customHeight="1" x14ac:dyDescent="0.3"/>
    <row r="763" s="1" customFormat="1" ht="12.75" customHeight="1" x14ac:dyDescent="0.3"/>
    <row r="764" s="1" customFormat="1" ht="12.75" customHeight="1" x14ac:dyDescent="0.3"/>
    <row r="765" s="1" customFormat="1" ht="12.75" customHeight="1" x14ac:dyDescent="0.3"/>
    <row r="766" s="1" customFormat="1" ht="12.75" customHeight="1" x14ac:dyDescent="0.3"/>
    <row r="767" s="1" customFormat="1" ht="12.75" customHeight="1" x14ac:dyDescent="0.3"/>
    <row r="768" s="1" customFormat="1" ht="12.75" customHeight="1" x14ac:dyDescent="0.3"/>
    <row r="769" s="1" customFormat="1" ht="12.75" customHeight="1" x14ac:dyDescent="0.3"/>
    <row r="770" s="1" customFormat="1" ht="12.75" customHeight="1" x14ac:dyDescent="0.3"/>
    <row r="771" s="1" customFormat="1" ht="12.75" customHeight="1" x14ac:dyDescent="0.3"/>
    <row r="772" s="1" customFormat="1" ht="12.75" customHeight="1" x14ac:dyDescent="0.3"/>
    <row r="773" s="1" customFormat="1" ht="12.75" customHeight="1" x14ac:dyDescent="0.3"/>
    <row r="774" s="1" customFormat="1" ht="12.75" customHeight="1" x14ac:dyDescent="0.3"/>
    <row r="775" s="1" customFormat="1" ht="12.75" customHeight="1" x14ac:dyDescent="0.3"/>
    <row r="776" s="1" customFormat="1" ht="12.75" customHeight="1" x14ac:dyDescent="0.3"/>
    <row r="777" s="1" customFormat="1" ht="12.75" customHeight="1" x14ac:dyDescent="0.3"/>
    <row r="778" s="1" customFormat="1" ht="12.75" customHeight="1" x14ac:dyDescent="0.3"/>
    <row r="779" s="1" customFormat="1" ht="12.75" customHeight="1" x14ac:dyDescent="0.3"/>
    <row r="780" s="1" customFormat="1" ht="12.75" customHeight="1" x14ac:dyDescent="0.3"/>
    <row r="781" s="1" customFormat="1" ht="12.75" customHeight="1" x14ac:dyDescent="0.3"/>
    <row r="782" s="1" customFormat="1" ht="12.75" customHeight="1" x14ac:dyDescent="0.3"/>
    <row r="783" s="1" customFormat="1" ht="12.75" customHeight="1" x14ac:dyDescent="0.3"/>
    <row r="784" s="1" customFormat="1" ht="12.75" customHeight="1" x14ac:dyDescent="0.3"/>
    <row r="785" s="1" customFormat="1" ht="12.75" customHeight="1" x14ac:dyDescent="0.3"/>
    <row r="786" s="1" customFormat="1" ht="12.75" customHeight="1" x14ac:dyDescent="0.3"/>
    <row r="787" s="1" customFormat="1" ht="12.75" customHeight="1" x14ac:dyDescent="0.3"/>
    <row r="788" s="1" customFormat="1" ht="12.75" customHeight="1" x14ac:dyDescent="0.3"/>
    <row r="789" s="1" customFormat="1" ht="12.75" customHeight="1" x14ac:dyDescent="0.3"/>
    <row r="790" s="1" customFormat="1" ht="12.75" customHeight="1" x14ac:dyDescent="0.3"/>
    <row r="791" s="1" customFormat="1" ht="12.75" customHeight="1" x14ac:dyDescent="0.3"/>
    <row r="792" s="1" customFormat="1" ht="12.75" customHeight="1" x14ac:dyDescent="0.3"/>
    <row r="793" s="1" customFormat="1" ht="12.75" customHeight="1" x14ac:dyDescent="0.3"/>
    <row r="794" s="1" customFormat="1" ht="12.75" customHeight="1" x14ac:dyDescent="0.3"/>
    <row r="795" s="1" customFormat="1" ht="12.75" customHeight="1" x14ac:dyDescent="0.3"/>
    <row r="796" s="1" customFormat="1" ht="12.75" customHeight="1" x14ac:dyDescent="0.3"/>
    <row r="797" s="1" customFormat="1" ht="12.75" customHeight="1" x14ac:dyDescent="0.3"/>
    <row r="798" s="1" customFormat="1" ht="12.75" customHeight="1" x14ac:dyDescent="0.3"/>
    <row r="799" s="1" customFormat="1" ht="12.75" customHeight="1" x14ac:dyDescent="0.3"/>
    <row r="800" s="1" customFormat="1" ht="12.75" customHeight="1" x14ac:dyDescent="0.3"/>
    <row r="801" s="1" customFormat="1" ht="12.75" customHeight="1" x14ac:dyDescent="0.3"/>
    <row r="802" s="1" customFormat="1" ht="12.75" customHeight="1" x14ac:dyDescent="0.3"/>
    <row r="803" s="1" customFormat="1" ht="12.75" customHeight="1" x14ac:dyDescent="0.3"/>
    <row r="804" s="1" customFormat="1" ht="12.75" customHeight="1" x14ac:dyDescent="0.3"/>
    <row r="805" s="1" customFormat="1" ht="12.75" customHeight="1" x14ac:dyDescent="0.3"/>
    <row r="806" s="1" customFormat="1" ht="12.75" customHeight="1" x14ac:dyDescent="0.3"/>
    <row r="807" s="1" customFormat="1" ht="12.75" customHeight="1" x14ac:dyDescent="0.3"/>
    <row r="808" s="1" customFormat="1" ht="12.75" customHeight="1" x14ac:dyDescent="0.3"/>
    <row r="809" s="1" customFormat="1" ht="12.75" customHeight="1" x14ac:dyDescent="0.3"/>
    <row r="810" s="1" customFormat="1" ht="12.75" customHeight="1" x14ac:dyDescent="0.3"/>
    <row r="811" s="1" customFormat="1" ht="12.75" customHeight="1" x14ac:dyDescent="0.3"/>
    <row r="812" s="1" customFormat="1" ht="12.75" customHeight="1" x14ac:dyDescent="0.3"/>
    <row r="813" s="1" customFormat="1" ht="12.75" customHeight="1" x14ac:dyDescent="0.3"/>
    <row r="814" s="1" customFormat="1" ht="12.75" customHeight="1" x14ac:dyDescent="0.3"/>
    <row r="815" s="1" customFormat="1" ht="12.75" customHeight="1" x14ac:dyDescent="0.3"/>
    <row r="816" s="1" customFormat="1" ht="12.75" customHeight="1" x14ac:dyDescent="0.3"/>
    <row r="817" s="1" customFormat="1" ht="12.75" customHeight="1" x14ac:dyDescent="0.3"/>
    <row r="818" s="1" customFormat="1" ht="12.75" customHeight="1" x14ac:dyDescent="0.3"/>
    <row r="819" s="1" customFormat="1" ht="12.75" customHeight="1" x14ac:dyDescent="0.3"/>
    <row r="820" s="1" customFormat="1" ht="12.75" customHeight="1" x14ac:dyDescent="0.3"/>
    <row r="821" s="1" customFormat="1" ht="12.75" customHeight="1" x14ac:dyDescent="0.3"/>
    <row r="822" s="1" customFormat="1" ht="12.75" customHeight="1" x14ac:dyDescent="0.3"/>
    <row r="823" s="1" customFormat="1" ht="12.75" customHeight="1" x14ac:dyDescent="0.3"/>
    <row r="824" s="1" customFormat="1" ht="12.75" customHeight="1" x14ac:dyDescent="0.3"/>
    <row r="825" s="1" customFormat="1" ht="12.75" customHeight="1" x14ac:dyDescent="0.3"/>
    <row r="826" s="1" customFormat="1" ht="12.75" customHeight="1" x14ac:dyDescent="0.3"/>
    <row r="827" s="1" customFormat="1" ht="12.75" customHeight="1" x14ac:dyDescent="0.3"/>
    <row r="828" s="1" customFormat="1" ht="12.75" customHeight="1" x14ac:dyDescent="0.3"/>
    <row r="829" s="1" customFormat="1" ht="12.75" customHeight="1" x14ac:dyDescent="0.3"/>
    <row r="830" s="1" customFormat="1" ht="12.75" customHeight="1" x14ac:dyDescent="0.3"/>
    <row r="831" s="1" customFormat="1" ht="12.75" customHeight="1" x14ac:dyDescent="0.3"/>
    <row r="832" s="1" customFormat="1" ht="12.75" customHeight="1" x14ac:dyDescent="0.3"/>
    <row r="833" s="1" customFormat="1" ht="12.75" customHeight="1" x14ac:dyDescent="0.3"/>
    <row r="834" s="1" customFormat="1" ht="12.75" customHeight="1" x14ac:dyDescent="0.3"/>
    <row r="835" s="1" customFormat="1" ht="12.75" customHeight="1" x14ac:dyDescent="0.3"/>
    <row r="836" s="1" customFormat="1" ht="12.75" customHeight="1" x14ac:dyDescent="0.3"/>
    <row r="837" s="1" customFormat="1" ht="12.75" customHeight="1" x14ac:dyDescent="0.3"/>
    <row r="838" s="1" customFormat="1" ht="12.75" customHeight="1" x14ac:dyDescent="0.3"/>
    <row r="839" s="1" customFormat="1" ht="12.75" customHeight="1" x14ac:dyDescent="0.3"/>
    <row r="840" s="1" customFormat="1" ht="12.75" customHeight="1" x14ac:dyDescent="0.3"/>
    <row r="841" s="1" customFormat="1" ht="12.75" customHeight="1" x14ac:dyDescent="0.3"/>
    <row r="842" s="1" customFormat="1" ht="12.75" customHeight="1" x14ac:dyDescent="0.3"/>
    <row r="843" s="1" customFormat="1" ht="12.75" customHeight="1" x14ac:dyDescent="0.3"/>
    <row r="844" s="1" customFormat="1" ht="12.75" customHeight="1" x14ac:dyDescent="0.3"/>
    <row r="845" s="1" customFormat="1" ht="12.75" customHeight="1" x14ac:dyDescent="0.3"/>
    <row r="846" s="1" customFormat="1" ht="12.75" customHeight="1" x14ac:dyDescent="0.3"/>
    <row r="847" s="1" customFormat="1" ht="12.75" customHeight="1" x14ac:dyDescent="0.3"/>
    <row r="848" s="1" customFormat="1" ht="12.75" customHeight="1" x14ac:dyDescent="0.3"/>
    <row r="849" s="1" customFormat="1" ht="12.75" customHeight="1" x14ac:dyDescent="0.3"/>
    <row r="850" s="1" customFormat="1" ht="12.75" customHeight="1" x14ac:dyDescent="0.3"/>
    <row r="851" s="1" customFormat="1" ht="12.75" customHeight="1" x14ac:dyDescent="0.3"/>
    <row r="852" s="1" customFormat="1" ht="12.75" customHeight="1" x14ac:dyDescent="0.3"/>
    <row r="853" s="1" customFormat="1" ht="12.75" customHeight="1" x14ac:dyDescent="0.3"/>
    <row r="854" s="1" customFormat="1" ht="12.75" customHeight="1" x14ac:dyDescent="0.3"/>
    <row r="855" s="1" customFormat="1" ht="12.75" customHeight="1" x14ac:dyDescent="0.3"/>
    <row r="856" s="1" customFormat="1" ht="12.75" customHeight="1" x14ac:dyDescent="0.3"/>
    <row r="857" s="1" customFormat="1" ht="12.75" customHeight="1" x14ac:dyDescent="0.3"/>
    <row r="858" s="1" customFormat="1" ht="12.75" customHeight="1" x14ac:dyDescent="0.3"/>
    <row r="859" s="1" customFormat="1" ht="12.75" customHeight="1" x14ac:dyDescent="0.3"/>
    <row r="860" s="1" customFormat="1" ht="12.75" customHeight="1" x14ac:dyDescent="0.3"/>
    <row r="861" s="1" customFormat="1" ht="12.75" customHeight="1" x14ac:dyDescent="0.3"/>
    <row r="862" s="1" customFormat="1" ht="12.75" customHeight="1" x14ac:dyDescent="0.3"/>
    <row r="863" s="1" customFormat="1" ht="12.75" customHeight="1" x14ac:dyDescent="0.3"/>
    <row r="864" s="1" customFormat="1" ht="12.75" customHeight="1" x14ac:dyDescent="0.3"/>
    <row r="865" s="1" customFormat="1" ht="12.75" customHeight="1" x14ac:dyDescent="0.3"/>
    <row r="866" s="1" customFormat="1" ht="12.75" customHeight="1" x14ac:dyDescent="0.3"/>
    <row r="867" s="1" customFormat="1" ht="12.75" customHeight="1" x14ac:dyDescent="0.3"/>
    <row r="868" s="1" customFormat="1" ht="12.75" customHeight="1" x14ac:dyDescent="0.3"/>
    <row r="869" s="1" customFormat="1" ht="12.75" customHeight="1" x14ac:dyDescent="0.3"/>
    <row r="870" s="1" customFormat="1" ht="12.75" customHeight="1" x14ac:dyDescent="0.3"/>
    <row r="871" s="1" customFormat="1" ht="12.75" customHeight="1" x14ac:dyDescent="0.3"/>
    <row r="872" s="1" customFormat="1" ht="12.75" customHeight="1" x14ac:dyDescent="0.3"/>
    <row r="873" s="1" customFormat="1" ht="12.75" customHeight="1" x14ac:dyDescent="0.3"/>
    <row r="874" s="1" customFormat="1" ht="12.75" customHeight="1" x14ac:dyDescent="0.3"/>
    <row r="875" s="1" customFormat="1" ht="12.75" customHeight="1" x14ac:dyDescent="0.3"/>
    <row r="876" s="1" customFormat="1" ht="12.75" customHeight="1" x14ac:dyDescent="0.3"/>
    <row r="877" s="1" customFormat="1" ht="12.75" customHeight="1" x14ac:dyDescent="0.3"/>
    <row r="878" s="1" customFormat="1" ht="12.75" customHeight="1" x14ac:dyDescent="0.3"/>
    <row r="879" s="1" customFormat="1" ht="12.75" customHeight="1" x14ac:dyDescent="0.3"/>
    <row r="880" s="1" customFormat="1" ht="12.75" customHeight="1" x14ac:dyDescent="0.3"/>
    <row r="881" s="1" customFormat="1" ht="12.75" customHeight="1" x14ac:dyDescent="0.3"/>
    <row r="882" s="1" customFormat="1" ht="12.75" customHeight="1" x14ac:dyDescent="0.3"/>
    <row r="883" s="1" customFormat="1" ht="12.75" customHeight="1" x14ac:dyDescent="0.3"/>
    <row r="884" s="1" customFormat="1" ht="12.75" customHeight="1" x14ac:dyDescent="0.3"/>
    <row r="885" s="1" customFormat="1" ht="12.75" customHeight="1" x14ac:dyDescent="0.3"/>
    <row r="886" s="1" customFormat="1" ht="12.75" customHeight="1" x14ac:dyDescent="0.3"/>
    <row r="887" s="1" customFormat="1" ht="12.75" customHeight="1" x14ac:dyDescent="0.3"/>
    <row r="888" s="1" customFormat="1" ht="12.75" customHeight="1" x14ac:dyDescent="0.3"/>
    <row r="889" s="1" customFormat="1" ht="12.75" customHeight="1" x14ac:dyDescent="0.3"/>
    <row r="890" s="1" customFormat="1" ht="12.75" customHeight="1" x14ac:dyDescent="0.3"/>
    <row r="891" s="1" customFormat="1" ht="12.75" customHeight="1" x14ac:dyDescent="0.3"/>
    <row r="892" s="1" customFormat="1" ht="12.75" customHeight="1" x14ac:dyDescent="0.3"/>
    <row r="893" s="1" customFormat="1" ht="12.75" customHeight="1" x14ac:dyDescent="0.3"/>
    <row r="894" s="1" customFormat="1" ht="12.75" customHeight="1" x14ac:dyDescent="0.3"/>
    <row r="895" s="1" customFormat="1" ht="12.75" customHeight="1" x14ac:dyDescent="0.3"/>
    <row r="896" s="1" customFormat="1" ht="12.75" customHeight="1" x14ac:dyDescent="0.3"/>
    <row r="897" s="1" customFormat="1" ht="12.75" customHeight="1" x14ac:dyDescent="0.3"/>
    <row r="898" s="1" customFormat="1" ht="12.75" customHeight="1" x14ac:dyDescent="0.3"/>
    <row r="899" s="1" customFormat="1" ht="12.75" customHeight="1" x14ac:dyDescent="0.3"/>
    <row r="900" s="1" customFormat="1" ht="12.75" customHeight="1" x14ac:dyDescent="0.3"/>
    <row r="901" s="1" customFormat="1" ht="12.75" customHeight="1" x14ac:dyDescent="0.3"/>
    <row r="902" s="1" customFormat="1" ht="12.75" customHeight="1" x14ac:dyDescent="0.3"/>
    <row r="903" s="1" customFormat="1" ht="12.75" customHeight="1" x14ac:dyDescent="0.3"/>
    <row r="904" s="1" customFormat="1" ht="12.75" customHeight="1" x14ac:dyDescent="0.3"/>
    <row r="905" s="1" customFormat="1" ht="12.75" customHeight="1" x14ac:dyDescent="0.3"/>
    <row r="906" s="1" customFormat="1" ht="12.75" customHeight="1" x14ac:dyDescent="0.3"/>
    <row r="907" s="1" customFormat="1" ht="12.75" customHeight="1" x14ac:dyDescent="0.3"/>
    <row r="908" s="1" customFormat="1" ht="12.75" customHeight="1" x14ac:dyDescent="0.3"/>
    <row r="909" s="1" customFormat="1" ht="12.75" customHeight="1" x14ac:dyDescent="0.3"/>
    <row r="910" s="1" customFormat="1" ht="12.75" customHeight="1" x14ac:dyDescent="0.3"/>
    <row r="911" s="1" customFormat="1" ht="12.75" customHeight="1" x14ac:dyDescent="0.3"/>
    <row r="912" s="1" customFormat="1" ht="12.75" customHeight="1" x14ac:dyDescent="0.3"/>
    <row r="913" s="1" customFormat="1" ht="12.75" customHeight="1" x14ac:dyDescent="0.3"/>
    <row r="914" s="1" customFormat="1" ht="12.75" customHeight="1" x14ac:dyDescent="0.3"/>
    <row r="915" s="1" customFormat="1" ht="12.75" customHeight="1" x14ac:dyDescent="0.3"/>
    <row r="916" s="1" customFormat="1" ht="12.75" customHeight="1" x14ac:dyDescent="0.3"/>
    <row r="917" s="1" customFormat="1" ht="12.75" customHeight="1" x14ac:dyDescent="0.3"/>
    <row r="918" s="1" customFormat="1" ht="12.75" customHeight="1" x14ac:dyDescent="0.3"/>
    <row r="919" s="1" customFormat="1" ht="12.75" customHeight="1" x14ac:dyDescent="0.3"/>
    <row r="920" s="1" customFormat="1" ht="12.75" customHeight="1" x14ac:dyDescent="0.3"/>
    <row r="921" s="1" customFormat="1" ht="12.75" customHeight="1" x14ac:dyDescent="0.3"/>
    <row r="922" s="1" customFormat="1" ht="12.75" customHeight="1" x14ac:dyDescent="0.3"/>
    <row r="923" s="1" customFormat="1" ht="12.75" customHeight="1" x14ac:dyDescent="0.3"/>
    <row r="924" s="1" customFormat="1" ht="12.75" customHeight="1" x14ac:dyDescent="0.3"/>
    <row r="925" s="1" customFormat="1" ht="12.75" customHeight="1" x14ac:dyDescent="0.3"/>
    <row r="926" s="1" customFormat="1" ht="12.75" customHeight="1" x14ac:dyDescent="0.3"/>
    <row r="927" s="1" customFormat="1" ht="12.75" customHeight="1" x14ac:dyDescent="0.3"/>
    <row r="928" s="1" customFormat="1" ht="12.75" customHeight="1" x14ac:dyDescent="0.3"/>
    <row r="929" s="1" customFormat="1" ht="12.75" customHeight="1" x14ac:dyDescent="0.3"/>
    <row r="930" s="1" customFormat="1" ht="12.75" customHeight="1" x14ac:dyDescent="0.3"/>
    <row r="931" s="1" customFormat="1" ht="12.75" customHeight="1" x14ac:dyDescent="0.3"/>
    <row r="932" s="1" customFormat="1" ht="12.75" customHeight="1" x14ac:dyDescent="0.3"/>
    <row r="933" s="1" customFormat="1" ht="12.75" customHeight="1" x14ac:dyDescent="0.3"/>
    <row r="934" s="1" customFormat="1" ht="12.75" customHeight="1" x14ac:dyDescent="0.3"/>
    <row r="935" s="1" customFormat="1" ht="12.75" customHeight="1" x14ac:dyDescent="0.3"/>
    <row r="936" s="1" customFormat="1" ht="12.75" customHeight="1" x14ac:dyDescent="0.3"/>
    <row r="937" s="1" customFormat="1" ht="12.75" customHeight="1" x14ac:dyDescent="0.3"/>
    <row r="938" s="1" customFormat="1" ht="12.75" customHeight="1" x14ac:dyDescent="0.3"/>
    <row r="939" s="1" customFormat="1" ht="12.75" customHeight="1" x14ac:dyDescent="0.3"/>
    <row r="940" s="1" customFormat="1" ht="12.75" customHeight="1" x14ac:dyDescent="0.3"/>
    <row r="941" s="1" customFormat="1" ht="12.75" customHeight="1" x14ac:dyDescent="0.3"/>
    <row r="942" s="1" customFormat="1" ht="12.75" customHeight="1" x14ac:dyDescent="0.3"/>
    <row r="943" s="1" customFormat="1" ht="12.75" customHeight="1" x14ac:dyDescent="0.3"/>
    <row r="944" s="1" customFormat="1" ht="12.75" customHeight="1" x14ac:dyDescent="0.3"/>
    <row r="945" s="1" customFormat="1" ht="12.75" customHeight="1" x14ac:dyDescent="0.3"/>
    <row r="946" s="1" customFormat="1" ht="12.75" customHeight="1" x14ac:dyDescent="0.3"/>
    <row r="947" s="1" customFormat="1" ht="12.75" customHeight="1" x14ac:dyDescent="0.3"/>
    <row r="948" s="1" customFormat="1" ht="12.75" customHeight="1" x14ac:dyDescent="0.3"/>
    <row r="949" s="1" customFormat="1" ht="12.75" customHeight="1" x14ac:dyDescent="0.3"/>
    <row r="950" s="1" customFormat="1" ht="12.75" customHeight="1" x14ac:dyDescent="0.3"/>
    <row r="951" s="1" customFormat="1" ht="12.75" customHeight="1" x14ac:dyDescent="0.3"/>
    <row r="952" s="1" customFormat="1" ht="12.75" customHeight="1" x14ac:dyDescent="0.3"/>
    <row r="953" s="1" customFormat="1" ht="12.75" customHeight="1" x14ac:dyDescent="0.3"/>
    <row r="954" s="1" customFormat="1" ht="12.75" customHeight="1" x14ac:dyDescent="0.3"/>
    <row r="955" s="1" customFormat="1" ht="12.75" customHeight="1" x14ac:dyDescent="0.3"/>
    <row r="956" s="1" customFormat="1" ht="12.75" customHeight="1" x14ac:dyDescent="0.3"/>
    <row r="957" s="1" customFormat="1" ht="12.75" customHeight="1" x14ac:dyDescent="0.3"/>
    <row r="958" s="1" customFormat="1" ht="12.75" customHeight="1" x14ac:dyDescent="0.3"/>
    <row r="959" s="1" customFormat="1" ht="12.75" customHeight="1" x14ac:dyDescent="0.3"/>
    <row r="960" s="1" customFormat="1" ht="12.75" customHeight="1" x14ac:dyDescent="0.3"/>
    <row r="961" s="1" customFormat="1" ht="12.75" customHeight="1" x14ac:dyDescent="0.3"/>
    <row r="962" s="1" customFormat="1" ht="12.75" customHeight="1" x14ac:dyDescent="0.3"/>
    <row r="963" s="1" customFormat="1" ht="12.75" customHeight="1" x14ac:dyDescent="0.3"/>
    <row r="964" s="1" customFormat="1" ht="12.75" customHeight="1" x14ac:dyDescent="0.3"/>
    <row r="965" s="1" customFormat="1" ht="12.75" customHeight="1" x14ac:dyDescent="0.3"/>
    <row r="966" s="1" customFormat="1" ht="12.75" customHeight="1" x14ac:dyDescent="0.3"/>
    <row r="967" s="1" customFormat="1" ht="12.75" customHeight="1" x14ac:dyDescent="0.3"/>
    <row r="968" s="1" customFormat="1" ht="12.75" customHeight="1" x14ac:dyDescent="0.3"/>
    <row r="969" s="1" customFormat="1" ht="12.75" customHeight="1" x14ac:dyDescent="0.3"/>
    <row r="970" s="1" customFormat="1" ht="12.75" customHeight="1" x14ac:dyDescent="0.3"/>
    <row r="971" s="1" customFormat="1" ht="12.75" customHeight="1" x14ac:dyDescent="0.3"/>
    <row r="972" s="1" customFormat="1" ht="12.75" customHeight="1" x14ac:dyDescent="0.3"/>
    <row r="973" s="1" customFormat="1" ht="12.75" customHeight="1" x14ac:dyDescent="0.3"/>
    <row r="974" s="1" customFormat="1" ht="12.75" customHeight="1" x14ac:dyDescent="0.3"/>
    <row r="975" s="1" customFormat="1" ht="12.75" customHeight="1" x14ac:dyDescent="0.3"/>
    <row r="976" s="1" customFormat="1" ht="12.75" customHeight="1" x14ac:dyDescent="0.3"/>
    <row r="977" s="1" customFormat="1" ht="12.75" customHeight="1" x14ac:dyDescent="0.3"/>
    <row r="978" s="1" customFormat="1" ht="12.75" customHeight="1" x14ac:dyDescent="0.3"/>
    <row r="979" s="1" customFormat="1" ht="12.75" customHeight="1" x14ac:dyDescent="0.3"/>
    <row r="980" s="1" customFormat="1" ht="12.75" customHeight="1" x14ac:dyDescent="0.3"/>
    <row r="981" s="1" customFormat="1" ht="12.75" customHeight="1" x14ac:dyDescent="0.3"/>
    <row r="982" s="1" customFormat="1" ht="12.75" customHeight="1" x14ac:dyDescent="0.3"/>
    <row r="983" s="1" customFormat="1" ht="12.75" customHeight="1" x14ac:dyDescent="0.3"/>
    <row r="984" s="1" customFormat="1" ht="12.75" customHeight="1" x14ac:dyDescent="0.3"/>
    <row r="985" s="1" customFormat="1" ht="12.75" customHeight="1" x14ac:dyDescent="0.3"/>
    <row r="986" s="1" customFormat="1" ht="12.75" customHeight="1" x14ac:dyDescent="0.3"/>
    <row r="987" s="1" customFormat="1" ht="12.75" customHeight="1" x14ac:dyDescent="0.3"/>
    <row r="988" s="1" customFormat="1" ht="12.75" customHeight="1" x14ac:dyDescent="0.3"/>
    <row r="989" s="1" customFormat="1" ht="12.75" customHeight="1" x14ac:dyDescent="0.3"/>
    <row r="990" s="1" customFormat="1" ht="12.75" customHeight="1" x14ac:dyDescent="0.3"/>
    <row r="991" s="1" customFormat="1" ht="12.75" customHeight="1" x14ac:dyDescent="0.3"/>
    <row r="992" s="1" customFormat="1" ht="12.75" customHeight="1" x14ac:dyDescent="0.3"/>
    <row r="993" s="1" customFormat="1" ht="12.75" customHeight="1" x14ac:dyDescent="0.3"/>
    <row r="994" s="1" customFormat="1" ht="12.75" customHeight="1" x14ac:dyDescent="0.3"/>
    <row r="995" s="1" customFormat="1" ht="12.75" customHeight="1" x14ac:dyDescent="0.3"/>
    <row r="996" s="1" customFormat="1" ht="12.75" customHeight="1" x14ac:dyDescent="0.3"/>
    <row r="997" s="1" customFormat="1" ht="12.75" customHeight="1" x14ac:dyDescent="0.3"/>
    <row r="998" s="1" customFormat="1" ht="12.75" customHeight="1" x14ac:dyDescent="0.3"/>
    <row r="999" s="1" customFormat="1" ht="12.75" customHeight="1" x14ac:dyDescent="0.3"/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2BDB5-8577-493B-AC61-B9B4E88CFC18}">
  <dimension ref="A1:M999"/>
  <sheetViews>
    <sheetView workbookViewId="0">
      <selection sqref="A1:XFD1048576"/>
    </sheetView>
  </sheetViews>
  <sheetFormatPr baseColWidth="10" defaultColWidth="12.6328125" defaultRowHeight="15" customHeight="1" x14ac:dyDescent="0.3"/>
  <cols>
    <col min="1" max="1" width="15.7265625" style="1" customWidth="1"/>
    <col min="2" max="7" width="10.6328125" style="1" customWidth="1"/>
    <col min="8" max="8" width="11.36328125" style="1" customWidth="1"/>
    <col min="9" max="25" width="10.6328125" style="1" customWidth="1"/>
    <col min="26" max="16384" width="12.6328125" style="1"/>
  </cols>
  <sheetData>
    <row r="1" spans="1:13" ht="12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2.75" customHeight="1" x14ac:dyDescent="0.3">
      <c r="A2" s="1" t="s">
        <v>12</v>
      </c>
      <c r="B2" s="1" t="s">
        <v>13</v>
      </c>
      <c r="D2" s="1">
        <v>1</v>
      </c>
      <c r="H2" s="2" t="s">
        <v>14</v>
      </c>
      <c r="I2" s="3">
        <f t="shared" ref="I2:L2" si="0">SUM(C22+C37+C55+C65+C66+C96+C105+C113+C128+C146+C150)</f>
        <v>10</v>
      </c>
      <c r="J2" s="3">
        <f t="shared" si="0"/>
        <v>1</v>
      </c>
      <c r="K2" s="3">
        <f t="shared" si="0"/>
        <v>0</v>
      </c>
      <c r="L2" s="3">
        <f t="shared" si="0"/>
        <v>0</v>
      </c>
      <c r="M2" s="3">
        <f t="shared" ref="M2:M13" si="1">SUM(I2:L2)</f>
        <v>11</v>
      </c>
    </row>
    <row r="3" spans="1:13" ht="13.5" customHeight="1" x14ac:dyDescent="0.3">
      <c r="A3" s="1" t="s">
        <v>15</v>
      </c>
      <c r="B3" s="1" t="s">
        <v>16</v>
      </c>
      <c r="C3" s="1">
        <v>1</v>
      </c>
      <c r="H3" s="2" t="s">
        <v>17</v>
      </c>
      <c r="I3" s="3">
        <f t="shared" ref="I3:L3" si="2">SUM(C6+C32+C50+C52+C58+C69+C76+C94+C115+C122+C123+C152)</f>
        <v>1</v>
      </c>
      <c r="J3" s="3">
        <f t="shared" si="2"/>
        <v>11</v>
      </c>
      <c r="K3" s="3">
        <f t="shared" si="2"/>
        <v>0</v>
      </c>
      <c r="L3" s="3">
        <f t="shared" si="2"/>
        <v>0</v>
      </c>
      <c r="M3" s="3">
        <f t="shared" si="1"/>
        <v>12</v>
      </c>
    </row>
    <row r="4" spans="1:13" ht="12.75" customHeight="1" x14ac:dyDescent="0.3">
      <c r="A4" s="1" t="s">
        <v>18</v>
      </c>
      <c r="B4" s="1" t="s">
        <v>13</v>
      </c>
      <c r="D4" s="1">
        <v>1</v>
      </c>
      <c r="H4" s="2" t="s">
        <v>19</v>
      </c>
      <c r="I4" s="3">
        <f t="shared" ref="I4:L4" si="3">SUM(C26+C14+C27+C62+C68+C124+C138+C142+C153+C155)</f>
        <v>10</v>
      </c>
      <c r="J4" s="3">
        <f t="shared" si="3"/>
        <v>0</v>
      </c>
      <c r="K4" s="3">
        <f t="shared" si="3"/>
        <v>0</v>
      </c>
      <c r="L4" s="3">
        <f t="shared" si="3"/>
        <v>0</v>
      </c>
      <c r="M4" s="3">
        <f t="shared" si="1"/>
        <v>10</v>
      </c>
    </row>
    <row r="5" spans="1:13" ht="12.75" customHeight="1" x14ac:dyDescent="0.3">
      <c r="A5" s="1" t="s">
        <v>20</v>
      </c>
      <c r="B5" s="1" t="s">
        <v>21</v>
      </c>
      <c r="E5" s="1">
        <v>1</v>
      </c>
      <c r="H5" s="2" t="s">
        <v>22</v>
      </c>
      <c r="I5" s="3">
        <f t="shared" ref="I5:L5" si="4">SUM(C5+C36+C56+C63+C73+C85+C87+C95+C135)</f>
        <v>0</v>
      </c>
      <c r="J5" s="3">
        <f t="shared" si="4"/>
        <v>0</v>
      </c>
      <c r="K5" s="3">
        <f t="shared" si="4"/>
        <v>7</v>
      </c>
      <c r="L5" s="3">
        <f t="shared" si="4"/>
        <v>2</v>
      </c>
      <c r="M5" s="3">
        <f t="shared" si="1"/>
        <v>9</v>
      </c>
    </row>
    <row r="6" spans="1:13" ht="12.75" customHeight="1" x14ac:dyDescent="0.3">
      <c r="A6" s="1" t="s">
        <v>23</v>
      </c>
      <c r="B6" s="1" t="s">
        <v>24</v>
      </c>
      <c r="C6" s="1">
        <v>1</v>
      </c>
      <c r="H6" s="2" t="s">
        <v>25</v>
      </c>
      <c r="I6" s="3">
        <f t="shared" ref="I6:L6" si="5">SUM(C12+C15+C18+C28+C41+C59+C78+C64+C82+C83+C86+C106+C119+C143+C148+C154)</f>
        <v>16</v>
      </c>
      <c r="J6" s="3">
        <f t="shared" si="5"/>
        <v>0</v>
      </c>
      <c r="K6" s="3">
        <f t="shared" si="5"/>
        <v>0</v>
      </c>
      <c r="L6" s="3">
        <f t="shared" si="5"/>
        <v>0</v>
      </c>
      <c r="M6" s="3">
        <f t="shared" si="1"/>
        <v>16</v>
      </c>
    </row>
    <row r="7" spans="1:13" ht="12" customHeight="1" x14ac:dyDescent="0.3">
      <c r="A7" s="1" t="s">
        <v>26</v>
      </c>
      <c r="B7" s="1" t="s">
        <v>27</v>
      </c>
      <c r="D7" s="1">
        <v>1</v>
      </c>
      <c r="H7" s="2" t="s">
        <v>28</v>
      </c>
      <c r="I7" s="3">
        <f t="shared" ref="I7:L7" si="6">SUM(C3+C20+C46+C49+C54+C89+C90+C102+C112+C114+C129+C141)</f>
        <v>5</v>
      </c>
      <c r="J7" s="3">
        <f t="shared" si="6"/>
        <v>5</v>
      </c>
      <c r="K7" s="3">
        <f t="shared" si="6"/>
        <v>2</v>
      </c>
      <c r="L7" s="3">
        <f t="shared" si="6"/>
        <v>0</v>
      </c>
      <c r="M7" s="3">
        <f t="shared" si="1"/>
        <v>12</v>
      </c>
    </row>
    <row r="8" spans="1:13" ht="12" customHeight="1" x14ac:dyDescent="0.3">
      <c r="A8" s="1" t="s">
        <v>29</v>
      </c>
      <c r="B8" s="1" t="s">
        <v>30</v>
      </c>
      <c r="D8" s="1">
        <v>1</v>
      </c>
      <c r="H8" s="2" t="s">
        <v>27</v>
      </c>
      <c r="I8" s="3">
        <f t="shared" ref="I8:L8" si="7">SUM(C7+C30+C29+C44+C51+C60+C72+C79+C101+C99+C107+C111+C117+C140+C144)</f>
        <v>1</v>
      </c>
      <c r="J8" s="3">
        <f t="shared" si="7"/>
        <v>13</v>
      </c>
      <c r="K8" s="3">
        <f t="shared" si="7"/>
        <v>1</v>
      </c>
      <c r="L8" s="3">
        <f t="shared" si="7"/>
        <v>0</v>
      </c>
      <c r="M8" s="3">
        <f t="shared" si="1"/>
        <v>15</v>
      </c>
    </row>
    <row r="9" spans="1:13" ht="12" customHeight="1" x14ac:dyDescent="0.3">
      <c r="A9" s="1" t="s">
        <v>31</v>
      </c>
      <c r="B9" s="1" t="s">
        <v>13</v>
      </c>
      <c r="D9" s="1">
        <v>1</v>
      </c>
      <c r="H9" s="2" t="s">
        <v>13</v>
      </c>
      <c r="I9" s="3">
        <f t="shared" ref="I9:J9" si="8">SUM(C4+C9+C17+C19+C2+C48+C92+C120+C126+C127+C130+C133+C151)</f>
        <v>0</v>
      </c>
      <c r="J9" s="3">
        <f t="shared" si="8"/>
        <v>11</v>
      </c>
      <c r="K9" s="3">
        <f>SUM(D4+D9+D17+D19+D2+D48+D92+D120+D126+D127+D130+D133+D151)</f>
        <v>11</v>
      </c>
      <c r="L9" s="3">
        <f>SUM(F4+F9+F17+F19+F2+F48+F92+F120+F126+F127+F130+F133+F151)</f>
        <v>0</v>
      </c>
      <c r="M9" s="3">
        <f t="shared" si="1"/>
        <v>22</v>
      </c>
    </row>
    <row r="10" spans="1:13" ht="13.5" customHeight="1" x14ac:dyDescent="0.3">
      <c r="A10" s="1" t="s">
        <v>32</v>
      </c>
      <c r="B10" s="1" t="s">
        <v>33</v>
      </c>
      <c r="C10" s="1">
        <v>1</v>
      </c>
      <c r="H10" s="2" t="s">
        <v>30</v>
      </c>
      <c r="I10" s="3">
        <f t="shared" ref="I10:L10" si="9">SUM(C8+C13+C16+C25+C31+C35+C43+C45+C70+C71+C75+C81+C88+C93+C98+C100+C104+C118+C136+C137+C156)</f>
        <v>0</v>
      </c>
      <c r="J10" s="3">
        <f t="shared" si="9"/>
        <v>21</v>
      </c>
      <c r="K10" s="3">
        <f t="shared" si="9"/>
        <v>0</v>
      </c>
      <c r="L10" s="3">
        <f t="shared" si="9"/>
        <v>0</v>
      </c>
      <c r="M10" s="3">
        <f t="shared" si="1"/>
        <v>21</v>
      </c>
    </row>
    <row r="11" spans="1:13" ht="12" customHeight="1" x14ac:dyDescent="0.3">
      <c r="A11" s="1" t="s">
        <v>34</v>
      </c>
      <c r="B11" s="1" t="s">
        <v>33</v>
      </c>
      <c r="C11" s="1">
        <v>1</v>
      </c>
      <c r="H11" s="2" t="s">
        <v>35</v>
      </c>
      <c r="I11" s="3">
        <f t="shared" ref="I11:L11" si="10">SUM(C38+C42+C47+C53+C74+C77+C80+C91+C97+C103+C108+C116+C131+C145+C147)</f>
        <v>1</v>
      </c>
      <c r="J11" s="3">
        <f t="shared" si="10"/>
        <v>8</v>
      </c>
      <c r="K11" s="3">
        <f t="shared" si="10"/>
        <v>6</v>
      </c>
      <c r="L11" s="3">
        <f t="shared" si="10"/>
        <v>0</v>
      </c>
      <c r="M11" s="3">
        <f t="shared" si="1"/>
        <v>15</v>
      </c>
    </row>
    <row r="12" spans="1:13" ht="13.5" customHeight="1" x14ac:dyDescent="0.3">
      <c r="A12" s="1" t="s">
        <v>36</v>
      </c>
      <c r="B12" s="1" t="s">
        <v>37</v>
      </c>
      <c r="C12" s="1">
        <v>1</v>
      </c>
      <c r="H12" s="2" t="s">
        <v>38</v>
      </c>
      <c r="I12" s="3">
        <f t="shared" ref="I12:L12" si="11">SUM(C21+C24+C34+C40+C67+C84+C132)</f>
        <v>3</v>
      </c>
      <c r="J12" s="3">
        <f t="shared" si="11"/>
        <v>4</v>
      </c>
      <c r="K12" s="3">
        <f t="shared" si="11"/>
        <v>0</v>
      </c>
      <c r="L12" s="3">
        <f t="shared" si="11"/>
        <v>0</v>
      </c>
      <c r="M12" s="3">
        <f t="shared" si="1"/>
        <v>7</v>
      </c>
    </row>
    <row r="13" spans="1:13" ht="12.75" customHeight="1" x14ac:dyDescent="0.3">
      <c r="A13" s="1" t="s">
        <v>39</v>
      </c>
      <c r="B13" s="1" t="s">
        <v>30</v>
      </c>
      <c r="D13" s="1">
        <v>1</v>
      </c>
      <c r="H13" s="2" t="s">
        <v>33</v>
      </c>
      <c r="I13" s="3">
        <f t="shared" ref="I13:L13" si="12">SUM(C10+C11+C57+C125+C149)</f>
        <v>4</v>
      </c>
      <c r="J13" s="3">
        <f t="shared" si="12"/>
        <v>0</v>
      </c>
      <c r="K13" s="3">
        <f t="shared" si="12"/>
        <v>1</v>
      </c>
      <c r="L13" s="3">
        <f t="shared" si="12"/>
        <v>0</v>
      </c>
      <c r="M13" s="3">
        <f t="shared" si="1"/>
        <v>5</v>
      </c>
    </row>
    <row r="14" spans="1:13" ht="12.75" customHeight="1" x14ac:dyDescent="0.3">
      <c r="A14" s="1" t="s">
        <v>40</v>
      </c>
      <c r="B14" s="1" t="s">
        <v>19</v>
      </c>
      <c r="C14" s="1">
        <v>1</v>
      </c>
      <c r="I14" s="4"/>
      <c r="J14" s="4"/>
      <c r="K14" s="4"/>
      <c r="L14" s="4"/>
    </row>
    <row r="15" spans="1:13" ht="12.75" customHeight="1" x14ac:dyDescent="0.3">
      <c r="A15" s="1" t="s">
        <v>41</v>
      </c>
      <c r="B15" s="1" t="s">
        <v>42</v>
      </c>
      <c r="C15" s="1">
        <v>1</v>
      </c>
      <c r="I15" s="4"/>
      <c r="J15" s="4"/>
      <c r="K15" s="4"/>
      <c r="L15" s="4"/>
    </row>
    <row r="16" spans="1:13" ht="12.75" customHeight="1" x14ac:dyDescent="0.3">
      <c r="A16" s="1" t="s">
        <v>43</v>
      </c>
      <c r="B16" s="1" t="s">
        <v>30</v>
      </c>
      <c r="D16" s="1">
        <v>1</v>
      </c>
      <c r="I16" s="4"/>
      <c r="J16" s="4"/>
      <c r="K16" s="4"/>
      <c r="L16" s="4"/>
    </row>
    <row r="17" spans="1:12" ht="12.75" customHeight="1" x14ac:dyDescent="0.3">
      <c r="A17" s="1" t="s">
        <v>44</v>
      </c>
      <c r="B17" s="1" t="s">
        <v>13</v>
      </c>
      <c r="D17" s="1">
        <v>1</v>
      </c>
      <c r="I17" s="4"/>
      <c r="J17" s="4"/>
      <c r="K17" s="4"/>
      <c r="L17" s="4"/>
    </row>
    <row r="18" spans="1:12" ht="12.75" customHeight="1" x14ac:dyDescent="0.3">
      <c r="A18" s="1" t="s">
        <v>45</v>
      </c>
      <c r="B18" s="1" t="s">
        <v>37</v>
      </c>
      <c r="C18" s="1">
        <v>1</v>
      </c>
      <c r="I18" s="4"/>
      <c r="J18" s="4"/>
      <c r="K18" s="4"/>
      <c r="L18" s="4"/>
    </row>
    <row r="19" spans="1:12" ht="12.75" customHeight="1" x14ac:dyDescent="0.3">
      <c r="A19" s="1" t="s">
        <v>46</v>
      </c>
      <c r="B19" s="1" t="s">
        <v>13</v>
      </c>
      <c r="D19" s="1">
        <v>1</v>
      </c>
    </row>
    <row r="20" spans="1:12" ht="12.75" customHeight="1" x14ac:dyDescent="0.3">
      <c r="A20" s="1" t="s">
        <v>47</v>
      </c>
      <c r="B20" s="1" t="s">
        <v>16</v>
      </c>
      <c r="D20" s="1">
        <v>1</v>
      </c>
    </row>
    <row r="21" spans="1:12" ht="12.75" customHeight="1" x14ac:dyDescent="0.3">
      <c r="A21" s="1" t="s">
        <v>48</v>
      </c>
      <c r="B21" s="1" t="s">
        <v>38</v>
      </c>
      <c r="D21" s="1">
        <v>1</v>
      </c>
    </row>
    <row r="22" spans="1:12" ht="12.75" customHeight="1" x14ac:dyDescent="0.3">
      <c r="A22" s="1" t="s">
        <v>49</v>
      </c>
      <c r="B22" s="1" t="s">
        <v>14</v>
      </c>
      <c r="C22" s="1">
        <v>1</v>
      </c>
    </row>
    <row r="23" spans="1:12" ht="12.75" customHeight="1" x14ac:dyDescent="0.3">
      <c r="A23" s="1" t="s">
        <v>50</v>
      </c>
      <c r="B23" s="1" t="s">
        <v>13</v>
      </c>
      <c r="D23" s="1">
        <v>1</v>
      </c>
    </row>
    <row r="24" spans="1:12" ht="12.75" customHeight="1" x14ac:dyDescent="0.3">
      <c r="A24" s="1" t="s">
        <v>51</v>
      </c>
      <c r="B24" s="1" t="s">
        <v>38</v>
      </c>
      <c r="C24" s="1">
        <v>1</v>
      </c>
    </row>
    <row r="25" spans="1:12" ht="12.75" customHeight="1" x14ac:dyDescent="0.3">
      <c r="A25" s="1" t="s">
        <v>52</v>
      </c>
      <c r="B25" s="1" t="s">
        <v>30</v>
      </c>
      <c r="D25" s="1">
        <v>1</v>
      </c>
    </row>
    <row r="26" spans="1:12" ht="12.75" customHeight="1" x14ac:dyDescent="0.3">
      <c r="A26" s="1" t="s">
        <v>53</v>
      </c>
      <c r="B26" s="1" t="s">
        <v>19</v>
      </c>
      <c r="C26" s="1">
        <v>1</v>
      </c>
    </row>
    <row r="27" spans="1:12" ht="12.75" customHeight="1" x14ac:dyDescent="0.3">
      <c r="A27" s="1" t="s">
        <v>54</v>
      </c>
      <c r="B27" s="1" t="s">
        <v>19</v>
      </c>
      <c r="C27" s="1">
        <v>1</v>
      </c>
    </row>
    <row r="28" spans="1:12" ht="12.75" customHeight="1" x14ac:dyDescent="0.3">
      <c r="A28" s="1" t="s">
        <v>55</v>
      </c>
      <c r="B28" s="1" t="s">
        <v>37</v>
      </c>
      <c r="C28" s="1">
        <v>1</v>
      </c>
    </row>
    <row r="29" spans="1:12" ht="12.75" customHeight="1" x14ac:dyDescent="0.3">
      <c r="A29" s="1" t="s">
        <v>56</v>
      </c>
      <c r="B29" s="1" t="s">
        <v>27</v>
      </c>
      <c r="D29" s="1">
        <v>1</v>
      </c>
    </row>
    <row r="30" spans="1:12" ht="12.75" customHeight="1" x14ac:dyDescent="0.3">
      <c r="A30" s="1" t="s">
        <v>57</v>
      </c>
      <c r="B30" s="1" t="s">
        <v>27</v>
      </c>
      <c r="D30" s="1">
        <v>1</v>
      </c>
    </row>
    <row r="31" spans="1:12" ht="12.75" customHeight="1" x14ac:dyDescent="0.3">
      <c r="A31" s="1" t="s">
        <v>58</v>
      </c>
      <c r="B31" s="1" t="s">
        <v>30</v>
      </c>
      <c r="D31" s="1">
        <v>1</v>
      </c>
    </row>
    <row r="32" spans="1:12" ht="12.75" customHeight="1" x14ac:dyDescent="0.3">
      <c r="A32" s="1" t="s">
        <v>59</v>
      </c>
      <c r="B32" s="1" t="s">
        <v>24</v>
      </c>
      <c r="D32" s="1">
        <v>1</v>
      </c>
    </row>
    <row r="33" spans="1:12" ht="12.75" customHeight="1" x14ac:dyDescent="0.3">
      <c r="A33" s="1" t="s">
        <v>60</v>
      </c>
      <c r="B33" s="1" t="s">
        <v>27</v>
      </c>
      <c r="D33" s="1">
        <v>1</v>
      </c>
    </row>
    <row r="34" spans="1:12" ht="12.75" customHeight="1" x14ac:dyDescent="0.3">
      <c r="A34" s="1" t="s">
        <v>61</v>
      </c>
      <c r="B34" s="1" t="s">
        <v>38</v>
      </c>
      <c r="D34" s="1">
        <v>1</v>
      </c>
    </row>
    <row r="35" spans="1:12" ht="12.75" customHeight="1" x14ac:dyDescent="0.3">
      <c r="A35" s="1" t="s">
        <v>62</v>
      </c>
      <c r="B35" s="1" t="s">
        <v>30</v>
      </c>
      <c r="D35" s="1">
        <v>1</v>
      </c>
    </row>
    <row r="36" spans="1:12" ht="12.75" customHeight="1" x14ac:dyDescent="0.3">
      <c r="A36" s="1" t="s">
        <v>63</v>
      </c>
      <c r="B36" s="1" t="s">
        <v>21</v>
      </c>
      <c r="E36" s="1">
        <v>1</v>
      </c>
    </row>
    <row r="37" spans="1:12" ht="12.75" customHeight="1" x14ac:dyDescent="0.3">
      <c r="A37" s="1" t="s">
        <v>64</v>
      </c>
      <c r="B37" s="1" t="s">
        <v>14</v>
      </c>
      <c r="C37" s="1">
        <v>1</v>
      </c>
    </row>
    <row r="38" spans="1:12" ht="12.75" customHeight="1" x14ac:dyDescent="0.3">
      <c r="A38" s="1" t="s">
        <v>65</v>
      </c>
      <c r="B38" s="1" t="s">
        <v>66</v>
      </c>
      <c r="D38" s="1">
        <v>1</v>
      </c>
    </row>
    <row r="39" spans="1:12" ht="12.75" customHeight="1" x14ac:dyDescent="0.3">
      <c r="A39" s="1" t="s">
        <v>67</v>
      </c>
      <c r="B39" s="1" t="s">
        <v>16</v>
      </c>
      <c r="E39" s="1">
        <v>1</v>
      </c>
    </row>
    <row r="40" spans="1:12" ht="12.75" customHeight="1" x14ac:dyDescent="0.3">
      <c r="A40" s="1" t="s">
        <v>68</v>
      </c>
      <c r="B40" s="1" t="s">
        <v>38</v>
      </c>
      <c r="C40" s="1">
        <v>1</v>
      </c>
    </row>
    <row r="41" spans="1:12" ht="12.75" customHeight="1" x14ac:dyDescent="0.3">
      <c r="A41" s="1" t="s">
        <v>69</v>
      </c>
      <c r="B41" s="1" t="s">
        <v>37</v>
      </c>
      <c r="C41" s="1">
        <v>1</v>
      </c>
    </row>
    <row r="42" spans="1:12" ht="12.75" customHeight="1" x14ac:dyDescent="0.3">
      <c r="A42" s="1" t="s">
        <v>70</v>
      </c>
      <c r="B42" s="1" t="s">
        <v>66</v>
      </c>
      <c r="D42" s="1">
        <v>1</v>
      </c>
    </row>
    <row r="43" spans="1:12" ht="12.75" customHeight="1" x14ac:dyDescent="0.3">
      <c r="A43" s="1" t="s">
        <v>71</v>
      </c>
      <c r="B43" s="1" t="s">
        <v>30</v>
      </c>
      <c r="D43" s="1">
        <v>1</v>
      </c>
    </row>
    <row r="44" spans="1:12" ht="12.75" customHeight="1" x14ac:dyDescent="0.3">
      <c r="A44" s="1" t="s">
        <v>72</v>
      </c>
      <c r="B44" s="1" t="s">
        <v>27</v>
      </c>
      <c r="D44" s="1">
        <v>1</v>
      </c>
    </row>
    <row r="45" spans="1:12" ht="12.75" customHeight="1" x14ac:dyDescent="0.3">
      <c r="A45" s="1" t="s">
        <v>73</v>
      </c>
      <c r="B45" s="1" t="s">
        <v>30</v>
      </c>
      <c r="D45" s="1">
        <v>1</v>
      </c>
      <c r="H45" s="1" t="s">
        <v>6</v>
      </c>
      <c r="I45" s="1" t="s">
        <v>7</v>
      </c>
      <c r="J45" s="1" t="s">
        <v>8</v>
      </c>
      <c r="K45" s="1" t="s">
        <v>9</v>
      </c>
      <c r="L45" s="1" t="s">
        <v>10</v>
      </c>
    </row>
    <row r="46" spans="1:12" ht="12.75" customHeight="1" x14ac:dyDescent="0.3">
      <c r="A46" s="1" t="s">
        <v>74</v>
      </c>
      <c r="B46" s="1" t="s">
        <v>16</v>
      </c>
      <c r="E46" s="1">
        <v>1</v>
      </c>
      <c r="H46" s="2" t="s">
        <v>14</v>
      </c>
      <c r="I46" s="4">
        <f t="shared" ref="I46:I57" si="13">I2/M2</f>
        <v>0.90909090909090906</v>
      </c>
      <c r="J46" s="4">
        <f t="shared" ref="J46:J57" si="14">J2/M2</f>
        <v>9.0909090909090912E-2</v>
      </c>
      <c r="K46" s="4">
        <f t="shared" ref="K46:K57" si="15">K2/M2</f>
        <v>0</v>
      </c>
      <c r="L46" s="4">
        <f t="shared" ref="L46:L57" si="16">L2/M2</f>
        <v>0</v>
      </c>
    </row>
    <row r="47" spans="1:12" ht="12.75" customHeight="1" x14ac:dyDescent="0.3">
      <c r="A47" s="1" t="s">
        <v>75</v>
      </c>
      <c r="B47" s="1" t="s">
        <v>66</v>
      </c>
      <c r="C47" s="1">
        <v>1</v>
      </c>
      <c r="H47" s="2" t="s">
        <v>17</v>
      </c>
      <c r="I47" s="4">
        <f t="shared" si="13"/>
        <v>8.3333333333333329E-2</v>
      </c>
      <c r="J47" s="4">
        <f t="shared" si="14"/>
        <v>0.91666666666666663</v>
      </c>
      <c r="K47" s="4">
        <f t="shared" si="15"/>
        <v>0</v>
      </c>
      <c r="L47" s="4">
        <f t="shared" si="16"/>
        <v>0</v>
      </c>
    </row>
    <row r="48" spans="1:12" ht="15.75" customHeight="1" x14ac:dyDescent="0.3">
      <c r="A48" s="1" t="s">
        <v>76</v>
      </c>
      <c r="B48" s="1" t="s">
        <v>13</v>
      </c>
      <c r="E48" s="1">
        <v>1</v>
      </c>
      <c r="H48" s="2" t="s">
        <v>19</v>
      </c>
      <c r="I48" s="4">
        <f t="shared" si="13"/>
        <v>1</v>
      </c>
      <c r="J48" s="4">
        <f t="shared" si="14"/>
        <v>0</v>
      </c>
      <c r="K48" s="4">
        <f t="shared" si="15"/>
        <v>0</v>
      </c>
      <c r="L48" s="4">
        <f t="shared" si="16"/>
        <v>0</v>
      </c>
    </row>
    <row r="49" spans="1:12" ht="12" customHeight="1" x14ac:dyDescent="0.3">
      <c r="A49" s="1" t="s">
        <v>77</v>
      </c>
      <c r="B49" s="1" t="s">
        <v>16</v>
      </c>
      <c r="E49" s="1">
        <v>1</v>
      </c>
      <c r="H49" s="2" t="s">
        <v>22</v>
      </c>
      <c r="I49" s="4">
        <f t="shared" si="13"/>
        <v>0</v>
      </c>
      <c r="J49" s="4">
        <f t="shared" si="14"/>
        <v>0</v>
      </c>
      <c r="K49" s="4">
        <f t="shared" si="15"/>
        <v>0.77777777777777779</v>
      </c>
      <c r="L49" s="4">
        <f t="shared" si="16"/>
        <v>0.22222222222222221</v>
      </c>
    </row>
    <row r="50" spans="1:12" ht="15.75" customHeight="1" x14ac:dyDescent="0.3">
      <c r="A50" s="1" t="s">
        <v>78</v>
      </c>
      <c r="B50" s="1" t="s">
        <v>24</v>
      </c>
      <c r="D50" s="1">
        <v>1</v>
      </c>
      <c r="H50" s="2" t="s">
        <v>25</v>
      </c>
      <c r="I50" s="4">
        <f t="shared" si="13"/>
        <v>1</v>
      </c>
      <c r="J50" s="4">
        <f t="shared" si="14"/>
        <v>0</v>
      </c>
      <c r="K50" s="4">
        <f t="shared" si="15"/>
        <v>0</v>
      </c>
      <c r="L50" s="4">
        <f t="shared" si="16"/>
        <v>0</v>
      </c>
    </row>
    <row r="51" spans="1:12" ht="15.75" customHeight="1" x14ac:dyDescent="0.3">
      <c r="A51" s="1" t="s">
        <v>79</v>
      </c>
      <c r="B51" s="1" t="s">
        <v>27</v>
      </c>
      <c r="D51" s="1">
        <v>1</v>
      </c>
      <c r="H51" s="2" t="s">
        <v>28</v>
      </c>
      <c r="I51" s="4">
        <f t="shared" si="13"/>
        <v>0.41666666666666669</v>
      </c>
      <c r="J51" s="4">
        <f t="shared" si="14"/>
        <v>0.41666666666666669</v>
      </c>
      <c r="K51" s="4">
        <f t="shared" si="15"/>
        <v>0.16666666666666666</v>
      </c>
      <c r="L51" s="4">
        <f t="shared" si="16"/>
        <v>0</v>
      </c>
    </row>
    <row r="52" spans="1:12" ht="15" customHeight="1" x14ac:dyDescent="0.3">
      <c r="A52" s="1" t="s">
        <v>80</v>
      </c>
      <c r="B52" s="1" t="s">
        <v>24</v>
      </c>
      <c r="D52" s="1">
        <v>1</v>
      </c>
      <c r="H52" s="2" t="s">
        <v>27</v>
      </c>
      <c r="I52" s="4">
        <f t="shared" si="13"/>
        <v>6.6666666666666666E-2</v>
      </c>
      <c r="J52" s="4">
        <f t="shared" si="14"/>
        <v>0.8666666666666667</v>
      </c>
      <c r="K52" s="4">
        <f t="shared" si="15"/>
        <v>6.6666666666666666E-2</v>
      </c>
      <c r="L52" s="4">
        <f t="shared" si="16"/>
        <v>0</v>
      </c>
    </row>
    <row r="53" spans="1:12" ht="12" customHeight="1" x14ac:dyDescent="0.3">
      <c r="A53" s="1" t="s">
        <v>81</v>
      </c>
      <c r="B53" s="1" t="s">
        <v>66</v>
      </c>
      <c r="D53" s="1">
        <v>1</v>
      </c>
      <c r="H53" s="2" t="s">
        <v>13</v>
      </c>
      <c r="I53" s="4">
        <f t="shared" si="13"/>
        <v>0</v>
      </c>
      <c r="J53" s="4">
        <f t="shared" si="14"/>
        <v>0.5</v>
      </c>
      <c r="K53" s="4">
        <f t="shared" si="15"/>
        <v>0.5</v>
      </c>
      <c r="L53" s="4">
        <f t="shared" si="16"/>
        <v>0</v>
      </c>
    </row>
    <row r="54" spans="1:12" ht="12.75" customHeight="1" x14ac:dyDescent="0.3">
      <c r="A54" s="1" t="s">
        <v>82</v>
      </c>
      <c r="B54" s="1" t="s">
        <v>16</v>
      </c>
      <c r="D54" s="1">
        <v>1</v>
      </c>
      <c r="H54" s="2" t="s">
        <v>30</v>
      </c>
      <c r="I54" s="4">
        <f t="shared" si="13"/>
        <v>0</v>
      </c>
      <c r="J54" s="4">
        <f t="shared" si="14"/>
        <v>1</v>
      </c>
      <c r="K54" s="4">
        <f t="shared" si="15"/>
        <v>0</v>
      </c>
      <c r="L54" s="4">
        <f t="shared" si="16"/>
        <v>0</v>
      </c>
    </row>
    <row r="55" spans="1:12" ht="13.5" customHeight="1" x14ac:dyDescent="0.3">
      <c r="A55" s="1" t="s">
        <v>83</v>
      </c>
      <c r="B55" s="1" t="s">
        <v>14</v>
      </c>
      <c r="C55" s="1">
        <v>1</v>
      </c>
      <c r="H55" s="2" t="s">
        <v>35</v>
      </c>
      <c r="I55" s="4">
        <f t="shared" si="13"/>
        <v>6.6666666666666666E-2</v>
      </c>
      <c r="J55" s="4">
        <f t="shared" si="14"/>
        <v>0.53333333333333333</v>
      </c>
      <c r="K55" s="4">
        <f t="shared" si="15"/>
        <v>0.4</v>
      </c>
      <c r="L55" s="4">
        <f t="shared" si="16"/>
        <v>0</v>
      </c>
    </row>
    <row r="56" spans="1:12" ht="12" customHeight="1" x14ac:dyDescent="0.3">
      <c r="A56" s="1" t="s">
        <v>84</v>
      </c>
      <c r="B56" s="1" t="s">
        <v>21</v>
      </c>
      <c r="E56" s="1">
        <v>1</v>
      </c>
      <c r="H56" s="2" t="s">
        <v>38</v>
      </c>
      <c r="I56" s="4">
        <f t="shared" si="13"/>
        <v>0.42857142857142855</v>
      </c>
      <c r="J56" s="4">
        <f t="shared" si="14"/>
        <v>0.5714285714285714</v>
      </c>
      <c r="K56" s="4">
        <f t="shared" si="15"/>
        <v>0</v>
      </c>
      <c r="L56" s="4">
        <f t="shared" si="16"/>
        <v>0</v>
      </c>
    </row>
    <row r="57" spans="1:12" ht="12.75" customHeight="1" x14ac:dyDescent="0.3">
      <c r="A57" s="1" t="s">
        <v>85</v>
      </c>
      <c r="B57" s="1" t="s">
        <v>33</v>
      </c>
      <c r="C57" s="1">
        <v>1</v>
      </c>
      <c r="H57" s="2" t="s">
        <v>33</v>
      </c>
      <c r="I57" s="4">
        <f t="shared" si="13"/>
        <v>0.8</v>
      </c>
      <c r="J57" s="4">
        <f t="shared" si="14"/>
        <v>0</v>
      </c>
      <c r="K57" s="4">
        <f t="shared" si="15"/>
        <v>0.2</v>
      </c>
      <c r="L57" s="4">
        <f t="shared" si="16"/>
        <v>0</v>
      </c>
    </row>
    <row r="58" spans="1:12" ht="12.75" customHeight="1" x14ac:dyDescent="0.3">
      <c r="A58" s="1" t="s">
        <v>86</v>
      </c>
      <c r="B58" s="1" t="s">
        <v>24</v>
      </c>
      <c r="D58" s="1">
        <v>1</v>
      </c>
    </row>
    <row r="59" spans="1:12" ht="12.75" customHeight="1" x14ac:dyDescent="0.3">
      <c r="A59" s="1" t="s">
        <v>87</v>
      </c>
      <c r="B59" s="1" t="s">
        <v>37</v>
      </c>
      <c r="C59" s="1">
        <v>1</v>
      </c>
    </row>
    <row r="60" spans="1:12" ht="12.75" customHeight="1" x14ac:dyDescent="0.3">
      <c r="A60" s="1" t="s">
        <v>88</v>
      </c>
      <c r="B60" s="1" t="s">
        <v>27</v>
      </c>
      <c r="C60" s="1">
        <v>1</v>
      </c>
    </row>
    <row r="61" spans="1:12" ht="12.75" customHeight="1" x14ac:dyDescent="0.3">
      <c r="A61" s="1" t="s">
        <v>89</v>
      </c>
      <c r="B61" s="1" t="s">
        <v>13</v>
      </c>
      <c r="E61" s="1">
        <v>1</v>
      </c>
    </row>
    <row r="62" spans="1:12" ht="12.75" customHeight="1" x14ac:dyDescent="0.3">
      <c r="A62" s="1" t="s">
        <v>90</v>
      </c>
      <c r="B62" s="1" t="s">
        <v>19</v>
      </c>
      <c r="C62" s="1">
        <v>1</v>
      </c>
    </row>
    <row r="63" spans="1:12" ht="12.75" customHeight="1" x14ac:dyDescent="0.3">
      <c r="A63" s="1" t="s">
        <v>91</v>
      </c>
      <c r="B63" s="1" t="s">
        <v>21</v>
      </c>
      <c r="F63" s="1">
        <v>1</v>
      </c>
    </row>
    <row r="64" spans="1:12" ht="12.75" customHeight="1" x14ac:dyDescent="0.3">
      <c r="A64" s="1" t="s">
        <v>92</v>
      </c>
      <c r="B64" s="1" t="s">
        <v>42</v>
      </c>
      <c r="C64" s="1">
        <v>1</v>
      </c>
    </row>
    <row r="65" spans="1:6" ht="12.75" customHeight="1" x14ac:dyDescent="0.3">
      <c r="A65" s="1" t="s">
        <v>93</v>
      </c>
      <c r="B65" s="1" t="s">
        <v>14</v>
      </c>
      <c r="C65" s="1">
        <v>1</v>
      </c>
    </row>
    <row r="66" spans="1:6" ht="12.75" customHeight="1" x14ac:dyDescent="0.3">
      <c r="A66" s="1" t="s">
        <v>94</v>
      </c>
      <c r="B66" s="1" t="s">
        <v>14</v>
      </c>
      <c r="C66" s="1">
        <v>1</v>
      </c>
    </row>
    <row r="67" spans="1:6" ht="12.75" customHeight="1" x14ac:dyDescent="0.3">
      <c r="A67" s="1" t="s">
        <v>95</v>
      </c>
      <c r="B67" s="1" t="s">
        <v>38</v>
      </c>
      <c r="C67" s="1">
        <v>1</v>
      </c>
    </row>
    <row r="68" spans="1:6" ht="12.75" customHeight="1" x14ac:dyDescent="0.3">
      <c r="A68" s="1" t="s">
        <v>96</v>
      </c>
      <c r="B68" s="1" t="s">
        <v>19</v>
      </c>
      <c r="C68" s="1">
        <v>1</v>
      </c>
    </row>
    <row r="69" spans="1:6" ht="12.75" customHeight="1" x14ac:dyDescent="0.3">
      <c r="A69" s="1" t="s">
        <v>97</v>
      </c>
      <c r="B69" s="1" t="s">
        <v>24</v>
      </c>
      <c r="D69" s="1">
        <v>1</v>
      </c>
    </row>
    <row r="70" spans="1:6" ht="12.75" customHeight="1" x14ac:dyDescent="0.3">
      <c r="A70" s="1" t="s">
        <v>98</v>
      </c>
      <c r="B70" s="1" t="s">
        <v>30</v>
      </c>
      <c r="D70" s="1">
        <v>1</v>
      </c>
    </row>
    <row r="71" spans="1:6" ht="12.75" customHeight="1" x14ac:dyDescent="0.3">
      <c r="A71" s="1" t="s">
        <v>99</v>
      </c>
      <c r="B71" s="1" t="s">
        <v>30</v>
      </c>
      <c r="D71" s="1">
        <v>1</v>
      </c>
    </row>
    <row r="72" spans="1:6" ht="12.75" customHeight="1" x14ac:dyDescent="0.3">
      <c r="A72" s="1" t="s">
        <v>100</v>
      </c>
      <c r="B72" s="1" t="s">
        <v>27</v>
      </c>
      <c r="D72" s="1">
        <v>1</v>
      </c>
    </row>
    <row r="73" spans="1:6" ht="12.75" customHeight="1" x14ac:dyDescent="0.3">
      <c r="A73" s="1" t="s">
        <v>101</v>
      </c>
      <c r="B73" s="1" t="s">
        <v>21</v>
      </c>
      <c r="F73" s="1">
        <v>1</v>
      </c>
    </row>
    <row r="74" spans="1:6" ht="12.75" customHeight="1" x14ac:dyDescent="0.3">
      <c r="A74" s="1" t="s">
        <v>102</v>
      </c>
      <c r="B74" s="1" t="s">
        <v>66</v>
      </c>
      <c r="D74" s="1">
        <v>1</v>
      </c>
    </row>
    <row r="75" spans="1:6" ht="12.75" customHeight="1" x14ac:dyDescent="0.3">
      <c r="A75" s="1" t="s">
        <v>103</v>
      </c>
      <c r="B75" s="1" t="s">
        <v>30</v>
      </c>
      <c r="D75" s="1">
        <v>1</v>
      </c>
    </row>
    <row r="76" spans="1:6" ht="12.75" customHeight="1" x14ac:dyDescent="0.3">
      <c r="A76" s="1" t="s">
        <v>104</v>
      </c>
      <c r="B76" s="1" t="s">
        <v>24</v>
      </c>
      <c r="D76" s="1">
        <v>1</v>
      </c>
    </row>
    <row r="77" spans="1:6" ht="12.75" customHeight="1" x14ac:dyDescent="0.3">
      <c r="A77" s="1" t="s">
        <v>105</v>
      </c>
      <c r="B77" s="1" t="s">
        <v>66</v>
      </c>
      <c r="D77" s="1">
        <v>1</v>
      </c>
    </row>
    <row r="78" spans="1:6" ht="12.75" customHeight="1" x14ac:dyDescent="0.3">
      <c r="A78" s="1" t="s">
        <v>106</v>
      </c>
      <c r="B78" s="1" t="s">
        <v>42</v>
      </c>
      <c r="C78" s="1">
        <v>1</v>
      </c>
    </row>
    <row r="79" spans="1:6" ht="12.75" customHeight="1" x14ac:dyDescent="0.3">
      <c r="A79" s="1" t="s">
        <v>107</v>
      </c>
      <c r="B79" s="1" t="s">
        <v>27</v>
      </c>
      <c r="D79" s="1">
        <v>1</v>
      </c>
    </row>
    <row r="80" spans="1:6" ht="12.75" customHeight="1" x14ac:dyDescent="0.3">
      <c r="A80" s="1" t="s">
        <v>108</v>
      </c>
      <c r="B80" s="1" t="s">
        <v>66</v>
      </c>
      <c r="D80" s="1">
        <v>1</v>
      </c>
    </row>
    <row r="81" spans="1:5" ht="12.75" customHeight="1" x14ac:dyDescent="0.3">
      <c r="A81" s="1" t="s">
        <v>109</v>
      </c>
      <c r="B81" s="1" t="s">
        <v>30</v>
      </c>
      <c r="D81" s="1">
        <v>1</v>
      </c>
    </row>
    <row r="82" spans="1:5" ht="12.75" customHeight="1" x14ac:dyDescent="0.3">
      <c r="A82" s="1" t="s">
        <v>110</v>
      </c>
      <c r="B82" s="1" t="s">
        <v>37</v>
      </c>
      <c r="C82" s="1">
        <v>1</v>
      </c>
    </row>
    <row r="83" spans="1:5" ht="12.75" customHeight="1" x14ac:dyDescent="0.3">
      <c r="A83" s="1" t="s">
        <v>111</v>
      </c>
      <c r="B83" s="1" t="s">
        <v>37</v>
      </c>
      <c r="C83" s="1">
        <v>1</v>
      </c>
    </row>
    <row r="84" spans="1:5" ht="12.75" customHeight="1" x14ac:dyDescent="0.3">
      <c r="A84" s="1" t="s">
        <v>112</v>
      </c>
      <c r="B84" s="1" t="s">
        <v>38</v>
      </c>
      <c r="D84" s="1">
        <v>1</v>
      </c>
    </row>
    <row r="85" spans="1:5" ht="12.75" customHeight="1" x14ac:dyDescent="0.3">
      <c r="A85" s="1" t="s">
        <v>113</v>
      </c>
      <c r="B85" s="1" t="s">
        <v>21</v>
      </c>
      <c r="E85" s="1">
        <v>1</v>
      </c>
    </row>
    <row r="86" spans="1:5" ht="12.75" customHeight="1" x14ac:dyDescent="0.3">
      <c r="A86" s="1" t="s">
        <v>114</v>
      </c>
      <c r="B86" s="1" t="s">
        <v>42</v>
      </c>
      <c r="C86" s="1">
        <v>1</v>
      </c>
    </row>
    <row r="87" spans="1:5" ht="12.75" customHeight="1" x14ac:dyDescent="0.3">
      <c r="A87" s="1" t="s">
        <v>115</v>
      </c>
      <c r="B87" s="1" t="s">
        <v>21</v>
      </c>
      <c r="E87" s="1">
        <v>1</v>
      </c>
    </row>
    <row r="88" spans="1:5" ht="12.75" customHeight="1" x14ac:dyDescent="0.3">
      <c r="A88" s="1" t="s">
        <v>116</v>
      </c>
      <c r="B88" s="1" t="s">
        <v>30</v>
      </c>
      <c r="D88" s="1">
        <v>1</v>
      </c>
    </row>
    <row r="89" spans="1:5" ht="12.75" customHeight="1" x14ac:dyDescent="0.3">
      <c r="A89" s="1" t="s">
        <v>117</v>
      </c>
      <c r="B89" s="1" t="s">
        <v>16</v>
      </c>
      <c r="C89" s="1">
        <v>1</v>
      </c>
    </row>
    <row r="90" spans="1:5" ht="12.75" customHeight="1" x14ac:dyDescent="0.3">
      <c r="A90" s="1" t="s">
        <v>118</v>
      </c>
      <c r="B90" s="1" t="s">
        <v>16</v>
      </c>
      <c r="D90" s="1">
        <v>1</v>
      </c>
    </row>
    <row r="91" spans="1:5" ht="12.75" customHeight="1" x14ac:dyDescent="0.3">
      <c r="A91" s="1" t="s">
        <v>119</v>
      </c>
      <c r="B91" s="1" t="s">
        <v>66</v>
      </c>
      <c r="E91" s="1">
        <v>1</v>
      </c>
    </row>
    <row r="92" spans="1:5" ht="12.75" customHeight="1" x14ac:dyDescent="0.3">
      <c r="A92" s="1" t="s">
        <v>120</v>
      </c>
      <c r="B92" s="1" t="s">
        <v>13</v>
      </c>
      <c r="E92" s="1">
        <v>1</v>
      </c>
    </row>
    <row r="93" spans="1:5" ht="12.75" customHeight="1" x14ac:dyDescent="0.3">
      <c r="A93" s="1" t="s">
        <v>121</v>
      </c>
      <c r="B93" s="1" t="s">
        <v>30</v>
      </c>
      <c r="D93" s="1">
        <v>1</v>
      </c>
    </row>
    <row r="94" spans="1:5" ht="12.75" customHeight="1" x14ac:dyDescent="0.3">
      <c r="A94" s="1" t="s">
        <v>122</v>
      </c>
      <c r="B94" s="1" t="s">
        <v>24</v>
      </c>
      <c r="D94" s="1">
        <v>1</v>
      </c>
    </row>
    <row r="95" spans="1:5" ht="12.75" customHeight="1" x14ac:dyDescent="0.3">
      <c r="A95" s="1" t="s">
        <v>123</v>
      </c>
      <c r="B95" s="1" t="s">
        <v>21</v>
      </c>
      <c r="E95" s="1">
        <v>1</v>
      </c>
    </row>
    <row r="96" spans="1:5" ht="12.75" customHeight="1" x14ac:dyDescent="0.3">
      <c r="A96" s="1" t="s">
        <v>124</v>
      </c>
      <c r="B96" s="1" t="s">
        <v>14</v>
      </c>
      <c r="C96" s="1">
        <v>1</v>
      </c>
    </row>
    <row r="97" spans="1:5" ht="12.75" customHeight="1" x14ac:dyDescent="0.3">
      <c r="A97" s="1" t="s">
        <v>125</v>
      </c>
      <c r="B97" s="1" t="s">
        <v>66</v>
      </c>
      <c r="E97" s="1">
        <v>1</v>
      </c>
    </row>
    <row r="98" spans="1:5" ht="12.75" customHeight="1" x14ac:dyDescent="0.3">
      <c r="A98" s="1" t="s">
        <v>126</v>
      </c>
      <c r="B98" s="1" t="s">
        <v>30</v>
      </c>
      <c r="D98" s="1">
        <v>1</v>
      </c>
    </row>
    <row r="99" spans="1:5" ht="12.75" customHeight="1" x14ac:dyDescent="0.3">
      <c r="A99" s="1" t="s">
        <v>127</v>
      </c>
      <c r="B99" s="1" t="s">
        <v>27</v>
      </c>
      <c r="D99" s="1">
        <v>1</v>
      </c>
    </row>
    <row r="100" spans="1:5" ht="12.75" customHeight="1" x14ac:dyDescent="0.3">
      <c r="A100" s="1" t="s">
        <v>128</v>
      </c>
      <c r="B100" s="1" t="s">
        <v>30</v>
      </c>
      <c r="D100" s="1">
        <v>1</v>
      </c>
    </row>
    <row r="101" spans="1:5" ht="12.75" customHeight="1" x14ac:dyDescent="0.3">
      <c r="A101" s="1" t="s">
        <v>129</v>
      </c>
      <c r="B101" s="1" t="s">
        <v>27</v>
      </c>
      <c r="D101" s="1">
        <v>1</v>
      </c>
    </row>
    <row r="102" spans="1:5" ht="12.75" customHeight="1" x14ac:dyDescent="0.3">
      <c r="A102" s="1" t="s">
        <v>130</v>
      </c>
      <c r="B102" s="1" t="s">
        <v>16</v>
      </c>
      <c r="C102" s="1">
        <v>1</v>
      </c>
    </row>
    <row r="103" spans="1:5" ht="12.75" customHeight="1" x14ac:dyDescent="0.3">
      <c r="A103" s="1" t="s">
        <v>131</v>
      </c>
      <c r="B103" s="1" t="s">
        <v>66</v>
      </c>
      <c r="E103" s="1">
        <v>1</v>
      </c>
    </row>
    <row r="104" spans="1:5" ht="12.75" customHeight="1" x14ac:dyDescent="0.3">
      <c r="A104" s="1" t="s">
        <v>132</v>
      </c>
      <c r="B104" s="1" t="s">
        <v>30</v>
      </c>
      <c r="D104" s="1">
        <v>1</v>
      </c>
    </row>
    <row r="105" spans="1:5" ht="12.75" customHeight="1" x14ac:dyDescent="0.3">
      <c r="A105" s="1" t="s">
        <v>133</v>
      </c>
      <c r="B105" s="1" t="s">
        <v>14</v>
      </c>
      <c r="C105" s="1">
        <v>1</v>
      </c>
    </row>
    <row r="106" spans="1:5" ht="12.75" customHeight="1" x14ac:dyDescent="0.3">
      <c r="A106" s="1" t="s">
        <v>134</v>
      </c>
      <c r="B106" s="1" t="s">
        <v>42</v>
      </c>
      <c r="C106" s="1">
        <v>1</v>
      </c>
    </row>
    <row r="107" spans="1:5" ht="12.75" customHeight="1" x14ac:dyDescent="0.3">
      <c r="A107" s="1" t="s">
        <v>135</v>
      </c>
      <c r="B107" s="1" t="s">
        <v>27</v>
      </c>
      <c r="D107" s="1">
        <v>1</v>
      </c>
    </row>
    <row r="108" spans="1:5" ht="12.75" customHeight="1" x14ac:dyDescent="0.3">
      <c r="A108" s="1" t="s">
        <v>136</v>
      </c>
      <c r="B108" s="1" t="s">
        <v>66</v>
      </c>
      <c r="D108" s="1">
        <v>1</v>
      </c>
    </row>
    <row r="109" spans="1:5" ht="12.75" customHeight="1" x14ac:dyDescent="0.3">
      <c r="A109" s="1" t="s">
        <v>137</v>
      </c>
      <c r="B109" s="1" t="s">
        <v>13</v>
      </c>
      <c r="D109" s="1">
        <v>1</v>
      </c>
    </row>
    <row r="110" spans="1:5" ht="12.75" customHeight="1" x14ac:dyDescent="0.3">
      <c r="A110" s="1" t="s">
        <v>138</v>
      </c>
      <c r="B110" s="1" t="s">
        <v>42</v>
      </c>
      <c r="C110" s="1">
        <v>1</v>
      </c>
    </row>
    <row r="111" spans="1:5" ht="12.75" customHeight="1" x14ac:dyDescent="0.3">
      <c r="A111" s="1" t="s">
        <v>139</v>
      </c>
      <c r="B111" s="1" t="s">
        <v>27</v>
      </c>
      <c r="E111" s="1">
        <v>1</v>
      </c>
    </row>
    <row r="112" spans="1:5" ht="12.75" customHeight="1" x14ac:dyDescent="0.3">
      <c r="A112" s="1" t="s">
        <v>140</v>
      </c>
      <c r="B112" s="1" t="s">
        <v>16</v>
      </c>
      <c r="D112" s="1">
        <v>1</v>
      </c>
    </row>
    <row r="113" spans="1:6" ht="12.75" customHeight="1" x14ac:dyDescent="0.3">
      <c r="A113" s="1" t="s">
        <v>141</v>
      </c>
      <c r="B113" s="1" t="s">
        <v>14</v>
      </c>
      <c r="C113" s="1">
        <v>1</v>
      </c>
    </row>
    <row r="114" spans="1:6" ht="12.75" customHeight="1" x14ac:dyDescent="0.3">
      <c r="A114" s="1" t="s">
        <v>142</v>
      </c>
      <c r="B114" s="1" t="s">
        <v>16</v>
      </c>
      <c r="D114" s="1">
        <v>1</v>
      </c>
    </row>
    <row r="115" spans="1:6" ht="12.75" customHeight="1" x14ac:dyDescent="0.3">
      <c r="A115" s="1" t="s">
        <v>143</v>
      </c>
      <c r="B115" s="1" t="s">
        <v>24</v>
      </c>
      <c r="D115" s="1">
        <v>1</v>
      </c>
    </row>
    <row r="116" spans="1:6" ht="12.75" customHeight="1" x14ac:dyDescent="0.3">
      <c r="A116" s="1" t="s">
        <v>144</v>
      </c>
      <c r="B116" s="1" t="s">
        <v>66</v>
      </c>
      <c r="D116" s="1">
        <v>1</v>
      </c>
    </row>
    <row r="117" spans="1:6" ht="12.75" customHeight="1" x14ac:dyDescent="0.3">
      <c r="A117" s="1" t="s">
        <v>145</v>
      </c>
      <c r="B117" s="1" t="s">
        <v>27</v>
      </c>
      <c r="D117" s="1">
        <v>1</v>
      </c>
    </row>
    <row r="118" spans="1:6" ht="12.75" customHeight="1" x14ac:dyDescent="0.3">
      <c r="A118" s="1" t="s">
        <v>146</v>
      </c>
      <c r="B118" s="1" t="s">
        <v>30</v>
      </c>
      <c r="D118" s="1">
        <v>1</v>
      </c>
    </row>
    <row r="119" spans="1:6" ht="12.75" customHeight="1" x14ac:dyDescent="0.3">
      <c r="A119" s="1" t="s">
        <v>147</v>
      </c>
      <c r="B119" s="1" t="s">
        <v>42</v>
      </c>
      <c r="C119" s="1">
        <v>1</v>
      </c>
    </row>
    <row r="120" spans="1:6" ht="12.75" customHeight="1" x14ac:dyDescent="0.3">
      <c r="A120" s="1" t="s">
        <v>148</v>
      </c>
      <c r="B120" s="1" t="s">
        <v>13</v>
      </c>
      <c r="D120" s="1">
        <v>1</v>
      </c>
    </row>
    <row r="121" spans="1:6" ht="12.75" customHeight="1" x14ac:dyDescent="0.3">
      <c r="A121" s="1" t="s">
        <v>149</v>
      </c>
      <c r="B121" s="1" t="s">
        <v>150</v>
      </c>
      <c r="F121" s="1">
        <v>1</v>
      </c>
    </row>
    <row r="122" spans="1:6" ht="12.75" customHeight="1" x14ac:dyDescent="0.3">
      <c r="A122" s="1" t="s">
        <v>151</v>
      </c>
      <c r="B122" s="1" t="s">
        <v>24</v>
      </c>
      <c r="D122" s="1">
        <v>1</v>
      </c>
    </row>
    <row r="123" spans="1:6" ht="12.75" customHeight="1" x14ac:dyDescent="0.3">
      <c r="A123" s="1" t="s">
        <v>152</v>
      </c>
      <c r="B123" s="1" t="s">
        <v>24</v>
      </c>
      <c r="D123" s="1">
        <v>1</v>
      </c>
    </row>
    <row r="124" spans="1:6" ht="12.75" customHeight="1" x14ac:dyDescent="0.3">
      <c r="A124" s="1" t="s">
        <v>153</v>
      </c>
      <c r="B124" s="1" t="s">
        <v>19</v>
      </c>
      <c r="C124" s="1">
        <v>1</v>
      </c>
    </row>
    <row r="125" spans="1:6" ht="12.75" customHeight="1" x14ac:dyDescent="0.3">
      <c r="A125" s="1" t="s">
        <v>154</v>
      </c>
      <c r="B125" s="1" t="s">
        <v>33</v>
      </c>
      <c r="C125" s="1">
        <v>1</v>
      </c>
    </row>
    <row r="126" spans="1:6" ht="12.75" customHeight="1" x14ac:dyDescent="0.3">
      <c r="A126" s="1" t="s">
        <v>155</v>
      </c>
      <c r="B126" s="1" t="s">
        <v>13</v>
      </c>
      <c r="D126" s="1">
        <v>1</v>
      </c>
    </row>
    <row r="127" spans="1:6" ht="12.75" customHeight="1" x14ac:dyDescent="0.3">
      <c r="A127" s="1" t="s">
        <v>156</v>
      </c>
      <c r="B127" s="1" t="s">
        <v>13</v>
      </c>
      <c r="D127" s="1">
        <v>1</v>
      </c>
    </row>
    <row r="128" spans="1:6" ht="12.75" customHeight="1" x14ac:dyDescent="0.3">
      <c r="A128" s="1" t="s">
        <v>157</v>
      </c>
      <c r="B128" s="1" t="s">
        <v>14</v>
      </c>
      <c r="D128" s="1">
        <v>1</v>
      </c>
    </row>
    <row r="129" spans="1:5" ht="12.75" customHeight="1" x14ac:dyDescent="0.3">
      <c r="A129" s="1" t="s">
        <v>158</v>
      </c>
      <c r="B129" s="1" t="s">
        <v>16</v>
      </c>
      <c r="C129" s="1">
        <v>1</v>
      </c>
    </row>
    <row r="130" spans="1:5" ht="12.75" customHeight="1" x14ac:dyDescent="0.3">
      <c r="A130" s="1" t="s">
        <v>159</v>
      </c>
      <c r="B130" s="1" t="s">
        <v>13</v>
      </c>
      <c r="D130" s="1">
        <v>1</v>
      </c>
    </row>
    <row r="131" spans="1:5" ht="12.75" customHeight="1" x14ac:dyDescent="0.3">
      <c r="A131" s="1" t="s">
        <v>160</v>
      </c>
      <c r="B131" s="1" t="s">
        <v>66</v>
      </c>
      <c r="E131" s="1">
        <v>1</v>
      </c>
    </row>
    <row r="132" spans="1:5" ht="12.75" customHeight="1" x14ac:dyDescent="0.3">
      <c r="A132" s="1" t="s">
        <v>161</v>
      </c>
      <c r="B132" s="1" t="s">
        <v>38</v>
      </c>
      <c r="D132" s="1">
        <v>1</v>
      </c>
    </row>
    <row r="133" spans="1:5" ht="12.75" customHeight="1" x14ac:dyDescent="0.3">
      <c r="A133" s="1" t="s">
        <v>162</v>
      </c>
      <c r="B133" s="1" t="s">
        <v>13</v>
      </c>
      <c r="D133" s="1">
        <v>1</v>
      </c>
    </row>
    <row r="134" spans="1:5" ht="12.75" customHeight="1" x14ac:dyDescent="0.3">
      <c r="A134" s="1" t="s">
        <v>163</v>
      </c>
      <c r="B134" s="1" t="s">
        <v>66</v>
      </c>
      <c r="D134" s="1">
        <v>1</v>
      </c>
    </row>
    <row r="135" spans="1:5" ht="12.75" customHeight="1" x14ac:dyDescent="0.3">
      <c r="A135" s="1" t="s">
        <v>164</v>
      </c>
      <c r="B135" s="1" t="s">
        <v>21</v>
      </c>
      <c r="E135" s="1">
        <v>1</v>
      </c>
    </row>
    <row r="136" spans="1:5" ht="12.75" customHeight="1" x14ac:dyDescent="0.3">
      <c r="A136" s="1" t="s">
        <v>165</v>
      </c>
      <c r="B136" s="1" t="s">
        <v>30</v>
      </c>
      <c r="D136" s="1">
        <v>1</v>
      </c>
    </row>
    <row r="137" spans="1:5" ht="12.75" customHeight="1" x14ac:dyDescent="0.3">
      <c r="A137" s="1" t="s">
        <v>166</v>
      </c>
      <c r="B137" s="1" t="s">
        <v>30</v>
      </c>
      <c r="D137" s="1">
        <v>1</v>
      </c>
    </row>
    <row r="138" spans="1:5" ht="12.75" customHeight="1" x14ac:dyDescent="0.3">
      <c r="A138" s="1" t="s">
        <v>167</v>
      </c>
      <c r="B138" s="1" t="s">
        <v>19</v>
      </c>
      <c r="C138" s="1">
        <v>1</v>
      </c>
    </row>
    <row r="139" spans="1:5" ht="12.75" customHeight="1" x14ac:dyDescent="0.3">
      <c r="A139" s="1" t="s">
        <v>168</v>
      </c>
      <c r="B139" s="1" t="s">
        <v>13</v>
      </c>
      <c r="D139" s="1">
        <v>1</v>
      </c>
    </row>
    <row r="140" spans="1:5" ht="12.75" customHeight="1" x14ac:dyDescent="0.3">
      <c r="A140" s="1" t="s">
        <v>169</v>
      </c>
      <c r="B140" s="1" t="s">
        <v>27</v>
      </c>
      <c r="D140" s="1">
        <v>1</v>
      </c>
    </row>
    <row r="141" spans="1:5" ht="12.75" customHeight="1" x14ac:dyDescent="0.3">
      <c r="A141" s="1" t="s">
        <v>170</v>
      </c>
      <c r="B141" s="1" t="s">
        <v>16</v>
      </c>
      <c r="C141" s="1">
        <v>1</v>
      </c>
    </row>
    <row r="142" spans="1:5" ht="12.75" customHeight="1" x14ac:dyDescent="0.3">
      <c r="A142" s="1" t="s">
        <v>171</v>
      </c>
      <c r="B142" s="1" t="s">
        <v>19</v>
      </c>
      <c r="C142" s="1">
        <v>1</v>
      </c>
    </row>
    <row r="143" spans="1:5" ht="12.75" customHeight="1" x14ac:dyDescent="0.3">
      <c r="A143" s="1" t="s">
        <v>172</v>
      </c>
      <c r="B143" s="1" t="s">
        <v>37</v>
      </c>
      <c r="C143" s="1">
        <v>1</v>
      </c>
    </row>
    <row r="144" spans="1:5" ht="12.75" customHeight="1" x14ac:dyDescent="0.3">
      <c r="A144" s="1" t="s">
        <v>173</v>
      </c>
      <c r="B144" s="1" t="s">
        <v>27</v>
      </c>
      <c r="D144" s="1">
        <v>1</v>
      </c>
    </row>
    <row r="145" spans="1:5" ht="12.75" customHeight="1" x14ac:dyDescent="0.3">
      <c r="A145" s="1" t="s">
        <v>174</v>
      </c>
      <c r="B145" s="1" t="s">
        <v>66</v>
      </c>
      <c r="E145" s="1">
        <v>1</v>
      </c>
    </row>
    <row r="146" spans="1:5" ht="12.75" customHeight="1" x14ac:dyDescent="0.3">
      <c r="A146" s="1" t="s">
        <v>175</v>
      </c>
      <c r="B146" s="1" t="s">
        <v>14</v>
      </c>
      <c r="C146" s="1">
        <v>1</v>
      </c>
    </row>
    <row r="147" spans="1:5" ht="12.75" customHeight="1" x14ac:dyDescent="0.3">
      <c r="A147" s="1" t="s">
        <v>176</v>
      </c>
      <c r="B147" s="1" t="s">
        <v>66</v>
      </c>
      <c r="E147" s="1">
        <v>1</v>
      </c>
    </row>
    <row r="148" spans="1:5" ht="12.75" customHeight="1" x14ac:dyDescent="0.3">
      <c r="A148" s="1" t="s">
        <v>177</v>
      </c>
      <c r="B148" s="1" t="s">
        <v>42</v>
      </c>
      <c r="C148" s="1">
        <v>1</v>
      </c>
    </row>
    <row r="149" spans="1:5" ht="12.75" customHeight="1" x14ac:dyDescent="0.3">
      <c r="A149" s="1" t="s">
        <v>178</v>
      </c>
      <c r="B149" s="1" t="s">
        <v>33</v>
      </c>
      <c r="E149" s="1">
        <v>1</v>
      </c>
    </row>
    <row r="150" spans="1:5" ht="12.75" customHeight="1" x14ac:dyDescent="0.3">
      <c r="A150" s="1" t="s">
        <v>179</v>
      </c>
      <c r="B150" s="1" t="s">
        <v>14</v>
      </c>
      <c r="C150" s="1">
        <v>1</v>
      </c>
    </row>
    <row r="151" spans="1:5" ht="12.75" customHeight="1" x14ac:dyDescent="0.3">
      <c r="A151" s="1" t="s">
        <v>180</v>
      </c>
      <c r="B151" s="1" t="s">
        <v>13</v>
      </c>
      <c r="D151" s="1">
        <v>1</v>
      </c>
    </row>
    <row r="152" spans="1:5" ht="12.75" customHeight="1" x14ac:dyDescent="0.3">
      <c r="A152" s="1" t="s">
        <v>181</v>
      </c>
      <c r="B152" s="1" t="s">
        <v>24</v>
      </c>
      <c r="D152" s="1">
        <v>1</v>
      </c>
    </row>
    <row r="153" spans="1:5" ht="12.75" customHeight="1" x14ac:dyDescent="0.3">
      <c r="A153" s="1" t="s">
        <v>182</v>
      </c>
      <c r="B153" s="1" t="s">
        <v>19</v>
      </c>
      <c r="C153" s="1">
        <v>1</v>
      </c>
    </row>
    <row r="154" spans="1:5" ht="12.75" customHeight="1" x14ac:dyDescent="0.3">
      <c r="A154" s="1" t="s">
        <v>183</v>
      </c>
      <c r="B154" s="1" t="s">
        <v>42</v>
      </c>
      <c r="C154" s="1">
        <v>1</v>
      </c>
    </row>
    <row r="155" spans="1:5" ht="12.75" customHeight="1" x14ac:dyDescent="0.3">
      <c r="A155" s="1" t="s">
        <v>184</v>
      </c>
      <c r="B155" s="1" t="s">
        <v>19</v>
      </c>
      <c r="C155" s="1">
        <v>1</v>
      </c>
    </row>
    <row r="156" spans="1:5" ht="12.75" customHeight="1" x14ac:dyDescent="0.3">
      <c r="A156" s="1" t="s">
        <v>185</v>
      </c>
      <c r="B156" s="1" t="s">
        <v>30</v>
      </c>
      <c r="D156" s="1">
        <v>1</v>
      </c>
    </row>
    <row r="157" spans="1:5" ht="12.75" customHeight="1" x14ac:dyDescent="0.3"/>
    <row r="158" spans="1:5" ht="12.75" customHeight="1" x14ac:dyDescent="0.3"/>
    <row r="159" spans="1:5" ht="12.75" customHeight="1" x14ac:dyDescent="0.3"/>
    <row r="160" spans="1:5" ht="12.75" customHeight="1" x14ac:dyDescent="0.3"/>
    <row r="161" s="1" customFormat="1" ht="12.75" customHeight="1" x14ac:dyDescent="0.3"/>
    <row r="162" s="1" customFormat="1" ht="12.75" customHeight="1" x14ac:dyDescent="0.3"/>
    <row r="163" s="1" customFormat="1" ht="12.75" customHeight="1" x14ac:dyDescent="0.3"/>
    <row r="164" s="1" customFormat="1" ht="12.75" customHeight="1" x14ac:dyDescent="0.3"/>
    <row r="165" s="1" customFormat="1" ht="12.75" customHeight="1" x14ac:dyDescent="0.3"/>
    <row r="166" s="1" customFormat="1" ht="12.75" customHeight="1" x14ac:dyDescent="0.3"/>
    <row r="167" s="1" customFormat="1" ht="12.75" customHeight="1" x14ac:dyDescent="0.3"/>
    <row r="168" s="1" customFormat="1" ht="12.75" customHeight="1" x14ac:dyDescent="0.3"/>
    <row r="169" s="1" customFormat="1" ht="12.75" customHeight="1" x14ac:dyDescent="0.3"/>
    <row r="170" s="1" customFormat="1" ht="12.75" customHeight="1" x14ac:dyDescent="0.3"/>
    <row r="171" s="1" customFormat="1" ht="12.75" customHeight="1" x14ac:dyDescent="0.3"/>
    <row r="172" s="1" customFormat="1" ht="12.75" customHeight="1" x14ac:dyDescent="0.3"/>
    <row r="173" s="1" customFormat="1" ht="12.75" customHeight="1" x14ac:dyDescent="0.3"/>
    <row r="174" s="1" customFormat="1" ht="12.75" customHeight="1" x14ac:dyDescent="0.3"/>
    <row r="175" s="1" customFormat="1" ht="12.75" customHeight="1" x14ac:dyDescent="0.3"/>
    <row r="176" s="1" customFormat="1" ht="12.75" customHeight="1" x14ac:dyDescent="0.3"/>
    <row r="177" s="1" customFormat="1" ht="12.75" customHeight="1" x14ac:dyDescent="0.3"/>
    <row r="178" s="1" customFormat="1" ht="12.75" customHeight="1" x14ac:dyDescent="0.3"/>
    <row r="179" s="1" customFormat="1" ht="12.75" customHeight="1" x14ac:dyDescent="0.3"/>
    <row r="180" s="1" customFormat="1" ht="12.75" customHeight="1" x14ac:dyDescent="0.3"/>
    <row r="181" s="1" customFormat="1" ht="12.75" customHeight="1" x14ac:dyDescent="0.3"/>
    <row r="182" s="1" customFormat="1" ht="12.75" customHeight="1" x14ac:dyDescent="0.3"/>
    <row r="183" s="1" customFormat="1" ht="12.75" customHeight="1" x14ac:dyDescent="0.3"/>
    <row r="184" s="1" customFormat="1" ht="12.75" customHeight="1" x14ac:dyDescent="0.3"/>
    <row r="185" s="1" customFormat="1" ht="12.75" customHeight="1" x14ac:dyDescent="0.3"/>
    <row r="186" s="1" customFormat="1" ht="12.75" customHeight="1" x14ac:dyDescent="0.3"/>
    <row r="187" s="1" customFormat="1" ht="12.75" customHeight="1" x14ac:dyDescent="0.3"/>
    <row r="188" s="1" customFormat="1" ht="12.75" customHeight="1" x14ac:dyDescent="0.3"/>
    <row r="189" s="1" customFormat="1" ht="12.75" customHeight="1" x14ac:dyDescent="0.3"/>
    <row r="190" s="1" customFormat="1" ht="12.75" customHeight="1" x14ac:dyDescent="0.3"/>
    <row r="191" s="1" customFormat="1" ht="12.75" customHeight="1" x14ac:dyDescent="0.3"/>
    <row r="192" s="1" customFormat="1" ht="12.75" customHeight="1" x14ac:dyDescent="0.3"/>
    <row r="193" s="1" customFormat="1" ht="12.75" customHeight="1" x14ac:dyDescent="0.3"/>
    <row r="194" s="1" customFormat="1" ht="12.75" customHeight="1" x14ac:dyDescent="0.3"/>
    <row r="195" s="1" customFormat="1" ht="12.75" customHeight="1" x14ac:dyDescent="0.3"/>
    <row r="196" s="1" customFormat="1" ht="12.75" customHeight="1" x14ac:dyDescent="0.3"/>
    <row r="197" s="1" customFormat="1" ht="12.75" customHeight="1" x14ac:dyDescent="0.3"/>
    <row r="198" s="1" customFormat="1" ht="12.75" customHeight="1" x14ac:dyDescent="0.3"/>
    <row r="199" s="1" customFormat="1" ht="12.75" customHeight="1" x14ac:dyDescent="0.3"/>
    <row r="200" s="1" customFormat="1" ht="12.75" customHeight="1" x14ac:dyDescent="0.3"/>
    <row r="201" s="1" customFormat="1" ht="12.75" customHeight="1" x14ac:dyDescent="0.3"/>
    <row r="202" s="1" customFormat="1" ht="12.75" customHeight="1" x14ac:dyDescent="0.3"/>
    <row r="203" s="1" customFormat="1" ht="12.75" customHeight="1" x14ac:dyDescent="0.3"/>
    <row r="204" s="1" customFormat="1" ht="12.75" customHeight="1" x14ac:dyDescent="0.3"/>
    <row r="205" s="1" customFormat="1" ht="12.75" customHeight="1" x14ac:dyDescent="0.3"/>
    <row r="206" s="1" customFormat="1" ht="12.75" customHeight="1" x14ac:dyDescent="0.3"/>
    <row r="207" s="1" customFormat="1" ht="12.75" customHeight="1" x14ac:dyDescent="0.3"/>
    <row r="208" s="1" customFormat="1" ht="12.75" customHeight="1" x14ac:dyDescent="0.3"/>
    <row r="209" s="1" customFormat="1" ht="12.75" customHeight="1" x14ac:dyDescent="0.3"/>
    <row r="210" s="1" customFormat="1" ht="12.75" customHeight="1" x14ac:dyDescent="0.3"/>
    <row r="211" s="1" customFormat="1" ht="12.75" customHeight="1" x14ac:dyDescent="0.3"/>
    <row r="212" s="1" customFormat="1" ht="12.75" customHeight="1" x14ac:dyDescent="0.3"/>
    <row r="213" s="1" customFormat="1" ht="12.75" customHeight="1" x14ac:dyDescent="0.3"/>
    <row r="214" s="1" customFormat="1" ht="12.75" customHeight="1" x14ac:dyDescent="0.3"/>
    <row r="215" s="1" customFormat="1" ht="12.75" customHeight="1" x14ac:dyDescent="0.3"/>
    <row r="216" s="1" customFormat="1" ht="12.75" customHeight="1" x14ac:dyDescent="0.3"/>
    <row r="217" s="1" customFormat="1" ht="12.75" customHeight="1" x14ac:dyDescent="0.3"/>
    <row r="218" s="1" customFormat="1" ht="12.75" customHeight="1" x14ac:dyDescent="0.3"/>
    <row r="219" s="1" customFormat="1" ht="12.75" customHeight="1" x14ac:dyDescent="0.3"/>
    <row r="220" s="1" customFormat="1" ht="12.75" customHeight="1" x14ac:dyDescent="0.3"/>
    <row r="221" s="1" customFormat="1" ht="12.75" customHeight="1" x14ac:dyDescent="0.3"/>
    <row r="222" s="1" customFormat="1" ht="12.75" customHeight="1" x14ac:dyDescent="0.3"/>
    <row r="223" s="1" customFormat="1" ht="12.75" customHeight="1" x14ac:dyDescent="0.3"/>
    <row r="224" s="1" customFormat="1" ht="12.75" customHeight="1" x14ac:dyDescent="0.3"/>
    <row r="225" s="1" customFormat="1" ht="12.75" customHeight="1" x14ac:dyDescent="0.3"/>
    <row r="226" s="1" customFormat="1" ht="12.75" customHeight="1" x14ac:dyDescent="0.3"/>
    <row r="227" s="1" customFormat="1" ht="12.75" customHeight="1" x14ac:dyDescent="0.3"/>
    <row r="228" s="1" customFormat="1" ht="12.75" customHeight="1" x14ac:dyDescent="0.3"/>
    <row r="229" s="1" customFormat="1" ht="12.75" customHeight="1" x14ac:dyDescent="0.3"/>
    <row r="230" s="1" customFormat="1" ht="12.75" customHeight="1" x14ac:dyDescent="0.3"/>
    <row r="231" s="1" customFormat="1" ht="12.75" customHeight="1" x14ac:dyDescent="0.3"/>
    <row r="232" s="1" customFormat="1" ht="12.75" customHeight="1" x14ac:dyDescent="0.3"/>
    <row r="233" s="1" customFormat="1" ht="12.75" customHeight="1" x14ac:dyDescent="0.3"/>
    <row r="234" s="1" customFormat="1" ht="12.75" customHeight="1" x14ac:dyDescent="0.3"/>
    <row r="235" s="1" customFormat="1" ht="12.75" customHeight="1" x14ac:dyDescent="0.3"/>
    <row r="236" s="1" customFormat="1" ht="12.75" customHeight="1" x14ac:dyDescent="0.3"/>
    <row r="237" s="1" customFormat="1" ht="12.75" customHeight="1" x14ac:dyDescent="0.3"/>
    <row r="238" s="1" customFormat="1" ht="12.75" customHeight="1" x14ac:dyDescent="0.3"/>
    <row r="239" s="1" customFormat="1" ht="12.75" customHeight="1" x14ac:dyDescent="0.3"/>
    <row r="240" s="1" customFormat="1" ht="12.75" customHeight="1" x14ac:dyDescent="0.3"/>
    <row r="241" s="1" customFormat="1" ht="12.75" customHeight="1" x14ac:dyDescent="0.3"/>
    <row r="242" s="1" customFormat="1" ht="12.75" customHeight="1" x14ac:dyDescent="0.3"/>
    <row r="243" s="1" customFormat="1" ht="12.75" customHeight="1" x14ac:dyDescent="0.3"/>
    <row r="244" s="1" customFormat="1" ht="12.75" customHeight="1" x14ac:dyDescent="0.3"/>
    <row r="245" s="1" customFormat="1" ht="12.75" customHeight="1" x14ac:dyDescent="0.3"/>
    <row r="246" s="1" customFormat="1" ht="12.75" customHeight="1" x14ac:dyDescent="0.3"/>
    <row r="247" s="1" customFormat="1" ht="12.75" customHeight="1" x14ac:dyDescent="0.3"/>
    <row r="248" s="1" customFormat="1" ht="12.75" customHeight="1" x14ac:dyDescent="0.3"/>
    <row r="249" s="1" customFormat="1" ht="12.75" customHeight="1" x14ac:dyDescent="0.3"/>
    <row r="250" s="1" customFormat="1" ht="12.75" customHeight="1" x14ac:dyDescent="0.3"/>
    <row r="251" s="1" customFormat="1" ht="12.75" customHeight="1" x14ac:dyDescent="0.3"/>
    <row r="252" s="1" customFormat="1" ht="12.75" customHeight="1" x14ac:dyDescent="0.3"/>
    <row r="253" s="1" customFormat="1" ht="12.75" customHeight="1" x14ac:dyDescent="0.3"/>
    <row r="254" s="1" customFormat="1" ht="12.75" customHeight="1" x14ac:dyDescent="0.3"/>
    <row r="255" s="1" customFormat="1" ht="12.75" customHeight="1" x14ac:dyDescent="0.3"/>
    <row r="256" s="1" customFormat="1" ht="12.75" customHeight="1" x14ac:dyDescent="0.3"/>
    <row r="257" s="1" customFormat="1" ht="12.75" customHeight="1" x14ac:dyDescent="0.3"/>
    <row r="258" s="1" customFormat="1" ht="12.75" customHeight="1" x14ac:dyDescent="0.3"/>
    <row r="259" s="1" customFormat="1" ht="12.75" customHeight="1" x14ac:dyDescent="0.3"/>
    <row r="260" s="1" customFormat="1" ht="12.75" customHeight="1" x14ac:dyDescent="0.3"/>
    <row r="261" s="1" customFormat="1" ht="12.75" customHeight="1" x14ac:dyDescent="0.3"/>
    <row r="262" s="1" customFormat="1" ht="12.75" customHeight="1" x14ac:dyDescent="0.3"/>
    <row r="263" s="1" customFormat="1" ht="12.75" customHeight="1" x14ac:dyDescent="0.3"/>
    <row r="264" s="1" customFormat="1" ht="12.75" customHeight="1" x14ac:dyDescent="0.3"/>
    <row r="265" s="1" customFormat="1" ht="12.75" customHeight="1" x14ac:dyDescent="0.3"/>
    <row r="266" s="1" customFormat="1" ht="12.75" customHeight="1" x14ac:dyDescent="0.3"/>
    <row r="267" s="1" customFormat="1" ht="12.75" customHeight="1" x14ac:dyDescent="0.3"/>
    <row r="268" s="1" customFormat="1" ht="12.75" customHeight="1" x14ac:dyDescent="0.3"/>
    <row r="269" s="1" customFormat="1" ht="12.75" customHeight="1" x14ac:dyDescent="0.3"/>
    <row r="270" s="1" customFormat="1" ht="12.75" customHeight="1" x14ac:dyDescent="0.3"/>
    <row r="271" s="1" customFormat="1" ht="12.75" customHeight="1" x14ac:dyDescent="0.3"/>
    <row r="272" s="1" customFormat="1" ht="12.75" customHeight="1" x14ac:dyDescent="0.3"/>
    <row r="273" s="1" customFormat="1" ht="12.75" customHeight="1" x14ac:dyDescent="0.3"/>
    <row r="274" s="1" customFormat="1" ht="12.75" customHeight="1" x14ac:dyDescent="0.3"/>
    <row r="275" s="1" customFormat="1" ht="12.75" customHeight="1" x14ac:dyDescent="0.3"/>
    <row r="276" s="1" customFormat="1" ht="12.75" customHeight="1" x14ac:dyDescent="0.3"/>
    <row r="277" s="1" customFormat="1" ht="12.75" customHeight="1" x14ac:dyDescent="0.3"/>
    <row r="278" s="1" customFormat="1" ht="12.75" customHeight="1" x14ac:dyDescent="0.3"/>
    <row r="279" s="1" customFormat="1" ht="12.75" customHeight="1" x14ac:dyDescent="0.3"/>
    <row r="280" s="1" customFormat="1" ht="12.75" customHeight="1" x14ac:dyDescent="0.3"/>
    <row r="281" s="1" customFormat="1" ht="12.75" customHeight="1" x14ac:dyDescent="0.3"/>
    <row r="282" s="1" customFormat="1" ht="12.75" customHeight="1" x14ac:dyDescent="0.3"/>
    <row r="283" s="1" customFormat="1" ht="12.75" customHeight="1" x14ac:dyDescent="0.3"/>
    <row r="284" s="1" customFormat="1" ht="12.75" customHeight="1" x14ac:dyDescent="0.3"/>
    <row r="285" s="1" customFormat="1" ht="12.75" customHeight="1" x14ac:dyDescent="0.3"/>
    <row r="286" s="1" customFormat="1" ht="12.75" customHeight="1" x14ac:dyDescent="0.3"/>
    <row r="287" s="1" customFormat="1" ht="12.75" customHeight="1" x14ac:dyDescent="0.3"/>
    <row r="288" s="1" customFormat="1" ht="12.75" customHeight="1" x14ac:dyDescent="0.3"/>
    <row r="289" s="1" customFormat="1" ht="12.75" customHeight="1" x14ac:dyDescent="0.3"/>
    <row r="290" s="1" customFormat="1" ht="12.75" customHeight="1" x14ac:dyDescent="0.3"/>
    <row r="291" s="1" customFormat="1" ht="12.75" customHeight="1" x14ac:dyDescent="0.3"/>
    <row r="292" s="1" customFormat="1" ht="12.75" customHeight="1" x14ac:dyDescent="0.3"/>
    <row r="293" s="1" customFormat="1" ht="12.75" customHeight="1" x14ac:dyDescent="0.3"/>
    <row r="294" s="1" customFormat="1" ht="12.75" customHeight="1" x14ac:dyDescent="0.3"/>
    <row r="295" s="1" customFormat="1" ht="12.75" customHeight="1" x14ac:dyDescent="0.3"/>
    <row r="296" s="1" customFormat="1" ht="12.75" customHeight="1" x14ac:dyDescent="0.3"/>
    <row r="297" s="1" customFormat="1" ht="12.75" customHeight="1" x14ac:dyDescent="0.3"/>
    <row r="298" s="1" customFormat="1" ht="12.75" customHeight="1" x14ac:dyDescent="0.3"/>
    <row r="299" s="1" customFormat="1" ht="12.75" customHeight="1" x14ac:dyDescent="0.3"/>
    <row r="300" s="1" customFormat="1" ht="12.75" customHeight="1" x14ac:dyDescent="0.3"/>
    <row r="301" s="1" customFormat="1" ht="12.75" customHeight="1" x14ac:dyDescent="0.3"/>
    <row r="302" s="1" customFormat="1" ht="12.75" customHeight="1" x14ac:dyDescent="0.3"/>
    <row r="303" s="1" customFormat="1" ht="12.75" customHeight="1" x14ac:dyDescent="0.3"/>
    <row r="304" s="1" customFormat="1" ht="12.75" customHeight="1" x14ac:dyDescent="0.3"/>
    <row r="305" s="1" customFormat="1" ht="12.75" customHeight="1" x14ac:dyDescent="0.3"/>
    <row r="306" s="1" customFormat="1" ht="12.75" customHeight="1" x14ac:dyDescent="0.3"/>
    <row r="307" s="1" customFormat="1" ht="12.75" customHeight="1" x14ac:dyDescent="0.3"/>
    <row r="308" s="1" customFormat="1" ht="12.75" customHeight="1" x14ac:dyDescent="0.3"/>
    <row r="309" s="1" customFormat="1" ht="12.75" customHeight="1" x14ac:dyDescent="0.3"/>
    <row r="310" s="1" customFormat="1" ht="12.75" customHeight="1" x14ac:dyDescent="0.3"/>
    <row r="311" s="1" customFormat="1" ht="12.75" customHeight="1" x14ac:dyDescent="0.3"/>
    <row r="312" s="1" customFormat="1" ht="12.75" customHeight="1" x14ac:dyDescent="0.3"/>
    <row r="313" s="1" customFormat="1" ht="12.75" customHeight="1" x14ac:dyDescent="0.3"/>
    <row r="314" s="1" customFormat="1" ht="12.75" customHeight="1" x14ac:dyDescent="0.3"/>
    <row r="315" s="1" customFormat="1" ht="12.75" customHeight="1" x14ac:dyDescent="0.3"/>
    <row r="316" s="1" customFormat="1" ht="12.75" customHeight="1" x14ac:dyDescent="0.3"/>
    <row r="317" s="1" customFormat="1" ht="12.75" customHeight="1" x14ac:dyDescent="0.3"/>
    <row r="318" s="1" customFormat="1" ht="12.75" customHeight="1" x14ac:dyDescent="0.3"/>
    <row r="319" s="1" customFormat="1" ht="12.75" customHeight="1" x14ac:dyDescent="0.3"/>
    <row r="320" s="1" customFormat="1" ht="12.75" customHeight="1" x14ac:dyDescent="0.3"/>
    <row r="321" s="1" customFormat="1" ht="12.75" customHeight="1" x14ac:dyDescent="0.3"/>
    <row r="322" s="1" customFormat="1" ht="12.75" customHeight="1" x14ac:dyDescent="0.3"/>
    <row r="323" s="1" customFormat="1" ht="12.75" customHeight="1" x14ac:dyDescent="0.3"/>
    <row r="324" s="1" customFormat="1" ht="12.75" customHeight="1" x14ac:dyDescent="0.3"/>
    <row r="325" s="1" customFormat="1" ht="12.75" customHeight="1" x14ac:dyDescent="0.3"/>
    <row r="326" s="1" customFormat="1" ht="12.75" customHeight="1" x14ac:dyDescent="0.3"/>
    <row r="327" s="1" customFormat="1" ht="12.75" customHeight="1" x14ac:dyDescent="0.3"/>
    <row r="328" s="1" customFormat="1" ht="12.75" customHeight="1" x14ac:dyDescent="0.3"/>
    <row r="329" s="1" customFormat="1" ht="12.75" customHeight="1" x14ac:dyDescent="0.3"/>
    <row r="330" s="1" customFormat="1" ht="12.75" customHeight="1" x14ac:dyDescent="0.3"/>
    <row r="331" s="1" customFormat="1" ht="12.75" customHeight="1" x14ac:dyDescent="0.3"/>
    <row r="332" s="1" customFormat="1" ht="12.75" customHeight="1" x14ac:dyDescent="0.3"/>
    <row r="333" s="1" customFormat="1" ht="12.75" customHeight="1" x14ac:dyDescent="0.3"/>
    <row r="334" s="1" customFormat="1" ht="12.75" customHeight="1" x14ac:dyDescent="0.3"/>
    <row r="335" s="1" customFormat="1" ht="12.75" customHeight="1" x14ac:dyDescent="0.3"/>
    <row r="336" s="1" customFormat="1" ht="12.75" customHeight="1" x14ac:dyDescent="0.3"/>
    <row r="337" s="1" customFormat="1" ht="12.75" customHeight="1" x14ac:dyDescent="0.3"/>
    <row r="338" s="1" customFormat="1" ht="12.75" customHeight="1" x14ac:dyDescent="0.3"/>
    <row r="339" s="1" customFormat="1" ht="12.75" customHeight="1" x14ac:dyDescent="0.3"/>
    <row r="340" s="1" customFormat="1" ht="12.75" customHeight="1" x14ac:dyDescent="0.3"/>
    <row r="341" s="1" customFormat="1" ht="12.75" customHeight="1" x14ac:dyDescent="0.3"/>
    <row r="342" s="1" customFormat="1" ht="12.75" customHeight="1" x14ac:dyDescent="0.3"/>
    <row r="343" s="1" customFormat="1" ht="12.75" customHeight="1" x14ac:dyDescent="0.3"/>
    <row r="344" s="1" customFormat="1" ht="12.75" customHeight="1" x14ac:dyDescent="0.3"/>
    <row r="345" s="1" customFormat="1" ht="12.75" customHeight="1" x14ac:dyDescent="0.3"/>
    <row r="346" s="1" customFormat="1" ht="12.75" customHeight="1" x14ac:dyDescent="0.3"/>
    <row r="347" s="1" customFormat="1" ht="12.75" customHeight="1" x14ac:dyDescent="0.3"/>
    <row r="348" s="1" customFormat="1" ht="12.75" customHeight="1" x14ac:dyDescent="0.3"/>
    <row r="349" s="1" customFormat="1" ht="12.75" customHeight="1" x14ac:dyDescent="0.3"/>
    <row r="350" s="1" customFormat="1" ht="12.75" customHeight="1" x14ac:dyDescent="0.3"/>
    <row r="351" s="1" customFormat="1" ht="12.75" customHeight="1" x14ac:dyDescent="0.3"/>
    <row r="352" s="1" customFormat="1" ht="12.75" customHeight="1" x14ac:dyDescent="0.3"/>
    <row r="353" s="1" customFormat="1" ht="12.75" customHeight="1" x14ac:dyDescent="0.3"/>
    <row r="354" s="1" customFormat="1" ht="12.75" customHeight="1" x14ac:dyDescent="0.3"/>
    <row r="355" s="1" customFormat="1" ht="12.75" customHeight="1" x14ac:dyDescent="0.3"/>
    <row r="356" s="1" customFormat="1" ht="12.75" customHeight="1" x14ac:dyDescent="0.3"/>
    <row r="357" s="1" customFormat="1" ht="12.75" customHeight="1" x14ac:dyDescent="0.3"/>
    <row r="358" s="1" customFormat="1" ht="12.75" customHeight="1" x14ac:dyDescent="0.3"/>
    <row r="359" s="1" customFormat="1" ht="12.75" customHeight="1" x14ac:dyDescent="0.3"/>
    <row r="360" s="1" customFormat="1" ht="12.75" customHeight="1" x14ac:dyDescent="0.3"/>
    <row r="361" s="1" customFormat="1" ht="12.75" customHeight="1" x14ac:dyDescent="0.3"/>
    <row r="362" s="1" customFormat="1" ht="12.75" customHeight="1" x14ac:dyDescent="0.3"/>
    <row r="363" s="1" customFormat="1" ht="12.75" customHeight="1" x14ac:dyDescent="0.3"/>
    <row r="364" s="1" customFormat="1" ht="12.75" customHeight="1" x14ac:dyDescent="0.3"/>
    <row r="365" s="1" customFormat="1" ht="12.75" customHeight="1" x14ac:dyDescent="0.3"/>
    <row r="366" s="1" customFormat="1" ht="12.75" customHeight="1" x14ac:dyDescent="0.3"/>
    <row r="367" s="1" customFormat="1" ht="12.75" customHeight="1" x14ac:dyDescent="0.3"/>
    <row r="368" s="1" customFormat="1" ht="12.75" customHeight="1" x14ac:dyDescent="0.3"/>
    <row r="369" s="1" customFormat="1" ht="12.75" customHeight="1" x14ac:dyDescent="0.3"/>
    <row r="370" s="1" customFormat="1" ht="12.75" customHeight="1" x14ac:dyDescent="0.3"/>
    <row r="371" s="1" customFormat="1" ht="12.75" customHeight="1" x14ac:dyDescent="0.3"/>
    <row r="372" s="1" customFormat="1" ht="12.75" customHeight="1" x14ac:dyDescent="0.3"/>
    <row r="373" s="1" customFormat="1" ht="12.75" customHeight="1" x14ac:dyDescent="0.3"/>
    <row r="374" s="1" customFormat="1" ht="12.75" customHeight="1" x14ac:dyDescent="0.3"/>
    <row r="375" s="1" customFormat="1" ht="12.75" customHeight="1" x14ac:dyDescent="0.3"/>
    <row r="376" s="1" customFormat="1" ht="12.75" customHeight="1" x14ac:dyDescent="0.3"/>
    <row r="377" s="1" customFormat="1" ht="12.75" customHeight="1" x14ac:dyDescent="0.3"/>
    <row r="378" s="1" customFormat="1" ht="12.75" customHeight="1" x14ac:dyDescent="0.3"/>
    <row r="379" s="1" customFormat="1" ht="12.75" customHeight="1" x14ac:dyDescent="0.3"/>
    <row r="380" s="1" customFormat="1" ht="12.75" customHeight="1" x14ac:dyDescent="0.3"/>
    <row r="381" s="1" customFormat="1" ht="12.75" customHeight="1" x14ac:dyDescent="0.3"/>
    <row r="382" s="1" customFormat="1" ht="12.75" customHeight="1" x14ac:dyDescent="0.3"/>
    <row r="383" s="1" customFormat="1" ht="12.75" customHeight="1" x14ac:dyDescent="0.3"/>
    <row r="384" s="1" customFormat="1" ht="12.75" customHeight="1" x14ac:dyDescent="0.3"/>
    <row r="385" s="1" customFormat="1" ht="12.75" customHeight="1" x14ac:dyDescent="0.3"/>
    <row r="386" s="1" customFormat="1" ht="12.75" customHeight="1" x14ac:dyDescent="0.3"/>
    <row r="387" s="1" customFormat="1" ht="12.75" customHeight="1" x14ac:dyDescent="0.3"/>
    <row r="388" s="1" customFormat="1" ht="12.75" customHeight="1" x14ac:dyDescent="0.3"/>
    <row r="389" s="1" customFormat="1" ht="12.75" customHeight="1" x14ac:dyDescent="0.3"/>
    <row r="390" s="1" customFormat="1" ht="12.75" customHeight="1" x14ac:dyDescent="0.3"/>
    <row r="391" s="1" customFormat="1" ht="12.75" customHeight="1" x14ac:dyDescent="0.3"/>
    <row r="392" s="1" customFormat="1" ht="12.75" customHeight="1" x14ac:dyDescent="0.3"/>
    <row r="393" s="1" customFormat="1" ht="12.75" customHeight="1" x14ac:dyDescent="0.3"/>
    <row r="394" s="1" customFormat="1" ht="12.75" customHeight="1" x14ac:dyDescent="0.3"/>
    <row r="395" s="1" customFormat="1" ht="12.75" customHeight="1" x14ac:dyDescent="0.3"/>
    <row r="396" s="1" customFormat="1" ht="12.75" customHeight="1" x14ac:dyDescent="0.3"/>
    <row r="397" s="1" customFormat="1" ht="12.75" customHeight="1" x14ac:dyDescent="0.3"/>
    <row r="398" s="1" customFormat="1" ht="12.75" customHeight="1" x14ac:dyDescent="0.3"/>
    <row r="399" s="1" customFormat="1" ht="12.75" customHeight="1" x14ac:dyDescent="0.3"/>
    <row r="400" s="1" customFormat="1" ht="12.75" customHeight="1" x14ac:dyDescent="0.3"/>
    <row r="401" s="1" customFormat="1" ht="12.75" customHeight="1" x14ac:dyDescent="0.3"/>
    <row r="402" s="1" customFormat="1" ht="12.75" customHeight="1" x14ac:dyDescent="0.3"/>
    <row r="403" s="1" customFormat="1" ht="12.75" customHeight="1" x14ac:dyDescent="0.3"/>
    <row r="404" s="1" customFormat="1" ht="12.75" customHeight="1" x14ac:dyDescent="0.3"/>
    <row r="405" s="1" customFormat="1" ht="12.75" customHeight="1" x14ac:dyDescent="0.3"/>
    <row r="406" s="1" customFormat="1" ht="12.75" customHeight="1" x14ac:dyDescent="0.3"/>
    <row r="407" s="1" customFormat="1" ht="12.75" customHeight="1" x14ac:dyDescent="0.3"/>
    <row r="408" s="1" customFormat="1" ht="12.75" customHeight="1" x14ac:dyDescent="0.3"/>
    <row r="409" s="1" customFormat="1" ht="12.75" customHeight="1" x14ac:dyDescent="0.3"/>
    <row r="410" s="1" customFormat="1" ht="12.75" customHeight="1" x14ac:dyDescent="0.3"/>
    <row r="411" s="1" customFormat="1" ht="12.75" customHeight="1" x14ac:dyDescent="0.3"/>
    <row r="412" s="1" customFormat="1" ht="12.75" customHeight="1" x14ac:dyDescent="0.3"/>
    <row r="413" s="1" customFormat="1" ht="12.75" customHeight="1" x14ac:dyDescent="0.3"/>
    <row r="414" s="1" customFormat="1" ht="12.75" customHeight="1" x14ac:dyDescent="0.3"/>
    <row r="415" s="1" customFormat="1" ht="12.75" customHeight="1" x14ac:dyDescent="0.3"/>
    <row r="416" s="1" customFormat="1" ht="12.75" customHeight="1" x14ac:dyDescent="0.3"/>
    <row r="417" s="1" customFormat="1" ht="12.75" customHeight="1" x14ac:dyDescent="0.3"/>
    <row r="418" s="1" customFormat="1" ht="12.75" customHeight="1" x14ac:dyDescent="0.3"/>
    <row r="419" s="1" customFormat="1" ht="12.75" customHeight="1" x14ac:dyDescent="0.3"/>
    <row r="420" s="1" customFormat="1" ht="12.75" customHeight="1" x14ac:dyDescent="0.3"/>
    <row r="421" s="1" customFormat="1" ht="12.75" customHeight="1" x14ac:dyDescent="0.3"/>
    <row r="422" s="1" customFormat="1" ht="12.75" customHeight="1" x14ac:dyDescent="0.3"/>
    <row r="423" s="1" customFormat="1" ht="12.75" customHeight="1" x14ac:dyDescent="0.3"/>
    <row r="424" s="1" customFormat="1" ht="12.75" customHeight="1" x14ac:dyDescent="0.3"/>
    <row r="425" s="1" customFormat="1" ht="12.75" customHeight="1" x14ac:dyDescent="0.3"/>
    <row r="426" s="1" customFormat="1" ht="12.75" customHeight="1" x14ac:dyDescent="0.3"/>
    <row r="427" s="1" customFormat="1" ht="12.75" customHeight="1" x14ac:dyDescent="0.3"/>
    <row r="428" s="1" customFormat="1" ht="12.75" customHeight="1" x14ac:dyDescent="0.3"/>
    <row r="429" s="1" customFormat="1" ht="12.75" customHeight="1" x14ac:dyDescent="0.3"/>
    <row r="430" s="1" customFormat="1" ht="12.75" customHeight="1" x14ac:dyDescent="0.3"/>
    <row r="431" s="1" customFormat="1" ht="12.75" customHeight="1" x14ac:dyDescent="0.3"/>
    <row r="432" s="1" customFormat="1" ht="12.75" customHeight="1" x14ac:dyDescent="0.3"/>
    <row r="433" s="1" customFormat="1" ht="12.75" customHeight="1" x14ac:dyDescent="0.3"/>
    <row r="434" s="1" customFormat="1" ht="12.75" customHeight="1" x14ac:dyDescent="0.3"/>
    <row r="435" s="1" customFormat="1" ht="12.75" customHeight="1" x14ac:dyDescent="0.3"/>
    <row r="436" s="1" customFormat="1" ht="12.75" customHeight="1" x14ac:dyDescent="0.3"/>
    <row r="437" s="1" customFormat="1" ht="12.75" customHeight="1" x14ac:dyDescent="0.3"/>
    <row r="438" s="1" customFormat="1" ht="12.75" customHeight="1" x14ac:dyDescent="0.3"/>
    <row r="439" s="1" customFormat="1" ht="12.75" customHeight="1" x14ac:dyDescent="0.3"/>
    <row r="440" s="1" customFormat="1" ht="12.75" customHeight="1" x14ac:dyDescent="0.3"/>
    <row r="441" s="1" customFormat="1" ht="12.75" customHeight="1" x14ac:dyDescent="0.3"/>
    <row r="442" s="1" customFormat="1" ht="12.75" customHeight="1" x14ac:dyDescent="0.3"/>
    <row r="443" s="1" customFormat="1" ht="12.75" customHeight="1" x14ac:dyDescent="0.3"/>
    <row r="444" s="1" customFormat="1" ht="12.75" customHeight="1" x14ac:dyDescent="0.3"/>
    <row r="445" s="1" customFormat="1" ht="12.75" customHeight="1" x14ac:dyDescent="0.3"/>
    <row r="446" s="1" customFormat="1" ht="12.75" customHeight="1" x14ac:dyDescent="0.3"/>
    <row r="447" s="1" customFormat="1" ht="12.75" customHeight="1" x14ac:dyDescent="0.3"/>
    <row r="448" s="1" customFormat="1" ht="12.75" customHeight="1" x14ac:dyDescent="0.3"/>
    <row r="449" s="1" customFormat="1" ht="12.75" customHeight="1" x14ac:dyDescent="0.3"/>
    <row r="450" s="1" customFormat="1" ht="12.75" customHeight="1" x14ac:dyDescent="0.3"/>
    <row r="451" s="1" customFormat="1" ht="12.75" customHeight="1" x14ac:dyDescent="0.3"/>
    <row r="452" s="1" customFormat="1" ht="12.75" customHeight="1" x14ac:dyDescent="0.3"/>
    <row r="453" s="1" customFormat="1" ht="12.75" customHeight="1" x14ac:dyDescent="0.3"/>
    <row r="454" s="1" customFormat="1" ht="12.75" customHeight="1" x14ac:dyDescent="0.3"/>
    <row r="455" s="1" customFormat="1" ht="12.75" customHeight="1" x14ac:dyDescent="0.3"/>
    <row r="456" s="1" customFormat="1" ht="12.75" customHeight="1" x14ac:dyDescent="0.3"/>
    <row r="457" s="1" customFormat="1" ht="12.75" customHeight="1" x14ac:dyDescent="0.3"/>
    <row r="458" s="1" customFormat="1" ht="12.75" customHeight="1" x14ac:dyDescent="0.3"/>
    <row r="459" s="1" customFormat="1" ht="12.75" customHeight="1" x14ac:dyDescent="0.3"/>
    <row r="460" s="1" customFormat="1" ht="12.75" customHeight="1" x14ac:dyDescent="0.3"/>
    <row r="461" s="1" customFormat="1" ht="12.75" customHeight="1" x14ac:dyDescent="0.3"/>
    <row r="462" s="1" customFormat="1" ht="12.75" customHeight="1" x14ac:dyDescent="0.3"/>
    <row r="463" s="1" customFormat="1" ht="12.75" customHeight="1" x14ac:dyDescent="0.3"/>
    <row r="464" s="1" customFormat="1" ht="12.75" customHeight="1" x14ac:dyDescent="0.3"/>
    <row r="465" s="1" customFormat="1" ht="12.75" customHeight="1" x14ac:dyDescent="0.3"/>
    <row r="466" s="1" customFormat="1" ht="12.75" customHeight="1" x14ac:dyDescent="0.3"/>
    <row r="467" s="1" customFormat="1" ht="12.75" customHeight="1" x14ac:dyDescent="0.3"/>
    <row r="468" s="1" customFormat="1" ht="12.75" customHeight="1" x14ac:dyDescent="0.3"/>
    <row r="469" s="1" customFormat="1" ht="12.75" customHeight="1" x14ac:dyDescent="0.3"/>
    <row r="470" s="1" customFormat="1" ht="12.75" customHeight="1" x14ac:dyDescent="0.3"/>
    <row r="471" s="1" customFormat="1" ht="12.75" customHeight="1" x14ac:dyDescent="0.3"/>
    <row r="472" s="1" customFormat="1" ht="12.75" customHeight="1" x14ac:dyDescent="0.3"/>
    <row r="473" s="1" customFormat="1" ht="12.75" customHeight="1" x14ac:dyDescent="0.3"/>
    <row r="474" s="1" customFormat="1" ht="12.75" customHeight="1" x14ac:dyDescent="0.3"/>
    <row r="475" s="1" customFormat="1" ht="12.75" customHeight="1" x14ac:dyDescent="0.3"/>
    <row r="476" s="1" customFormat="1" ht="12.75" customHeight="1" x14ac:dyDescent="0.3"/>
    <row r="477" s="1" customFormat="1" ht="12.75" customHeight="1" x14ac:dyDescent="0.3"/>
    <row r="478" s="1" customFormat="1" ht="12.75" customHeight="1" x14ac:dyDescent="0.3"/>
    <row r="479" s="1" customFormat="1" ht="12.75" customHeight="1" x14ac:dyDescent="0.3"/>
    <row r="480" s="1" customFormat="1" ht="12.75" customHeight="1" x14ac:dyDescent="0.3"/>
    <row r="481" s="1" customFormat="1" ht="12.75" customHeight="1" x14ac:dyDescent="0.3"/>
    <row r="482" s="1" customFormat="1" ht="12.75" customHeight="1" x14ac:dyDescent="0.3"/>
    <row r="483" s="1" customFormat="1" ht="12.75" customHeight="1" x14ac:dyDescent="0.3"/>
    <row r="484" s="1" customFormat="1" ht="12.75" customHeight="1" x14ac:dyDescent="0.3"/>
    <row r="485" s="1" customFormat="1" ht="12.75" customHeight="1" x14ac:dyDescent="0.3"/>
    <row r="486" s="1" customFormat="1" ht="12.75" customHeight="1" x14ac:dyDescent="0.3"/>
    <row r="487" s="1" customFormat="1" ht="12.75" customHeight="1" x14ac:dyDescent="0.3"/>
    <row r="488" s="1" customFormat="1" ht="12.75" customHeight="1" x14ac:dyDescent="0.3"/>
    <row r="489" s="1" customFormat="1" ht="12.75" customHeight="1" x14ac:dyDescent="0.3"/>
    <row r="490" s="1" customFormat="1" ht="12.75" customHeight="1" x14ac:dyDescent="0.3"/>
    <row r="491" s="1" customFormat="1" ht="12.75" customHeight="1" x14ac:dyDescent="0.3"/>
    <row r="492" s="1" customFormat="1" ht="12.75" customHeight="1" x14ac:dyDescent="0.3"/>
    <row r="493" s="1" customFormat="1" ht="12.75" customHeight="1" x14ac:dyDescent="0.3"/>
    <row r="494" s="1" customFormat="1" ht="12.75" customHeight="1" x14ac:dyDescent="0.3"/>
    <row r="495" s="1" customFormat="1" ht="12.75" customHeight="1" x14ac:dyDescent="0.3"/>
    <row r="496" s="1" customFormat="1" ht="12.75" customHeight="1" x14ac:dyDescent="0.3"/>
    <row r="497" s="1" customFormat="1" ht="12.75" customHeight="1" x14ac:dyDescent="0.3"/>
    <row r="498" s="1" customFormat="1" ht="12.75" customHeight="1" x14ac:dyDescent="0.3"/>
    <row r="499" s="1" customFormat="1" ht="12.75" customHeight="1" x14ac:dyDescent="0.3"/>
    <row r="500" s="1" customFormat="1" ht="12.75" customHeight="1" x14ac:dyDescent="0.3"/>
    <row r="501" s="1" customFormat="1" ht="12.75" customHeight="1" x14ac:dyDescent="0.3"/>
    <row r="502" s="1" customFormat="1" ht="12.75" customHeight="1" x14ac:dyDescent="0.3"/>
    <row r="503" s="1" customFormat="1" ht="12.75" customHeight="1" x14ac:dyDescent="0.3"/>
    <row r="504" s="1" customFormat="1" ht="12.75" customHeight="1" x14ac:dyDescent="0.3"/>
    <row r="505" s="1" customFormat="1" ht="12.75" customHeight="1" x14ac:dyDescent="0.3"/>
    <row r="506" s="1" customFormat="1" ht="12.75" customHeight="1" x14ac:dyDescent="0.3"/>
    <row r="507" s="1" customFormat="1" ht="12.75" customHeight="1" x14ac:dyDescent="0.3"/>
    <row r="508" s="1" customFormat="1" ht="12.75" customHeight="1" x14ac:dyDescent="0.3"/>
    <row r="509" s="1" customFormat="1" ht="12.75" customHeight="1" x14ac:dyDescent="0.3"/>
    <row r="510" s="1" customFormat="1" ht="12.75" customHeight="1" x14ac:dyDescent="0.3"/>
    <row r="511" s="1" customFormat="1" ht="12.75" customHeight="1" x14ac:dyDescent="0.3"/>
    <row r="512" s="1" customFormat="1" ht="12.75" customHeight="1" x14ac:dyDescent="0.3"/>
    <row r="513" s="1" customFormat="1" ht="12.75" customHeight="1" x14ac:dyDescent="0.3"/>
    <row r="514" s="1" customFormat="1" ht="12.75" customHeight="1" x14ac:dyDescent="0.3"/>
    <row r="515" s="1" customFormat="1" ht="12.75" customHeight="1" x14ac:dyDescent="0.3"/>
    <row r="516" s="1" customFormat="1" ht="12.75" customHeight="1" x14ac:dyDescent="0.3"/>
    <row r="517" s="1" customFormat="1" ht="12.75" customHeight="1" x14ac:dyDescent="0.3"/>
    <row r="518" s="1" customFormat="1" ht="12.75" customHeight="1" x14ac:dyDescent="0.3"/>
    <row r="519" s="1" customFormat="1" ht="12.75" customHeight="1" x14ac:dyDescent="0.3"/>
    <row r="520" s="1" customFormat="1" ht="12.75" customHeight="1" x14ac:dyDescent="0.3"/>
    <row r="521" s="1" customFormat="1" ht="12.75" customHeight="1" x14ac:dyDescent="0.3"/>
    <row r="522" s="1" customFormat="1" ht="12.75" customHeight="1" x14ac:dyDescent="0.3"/>
    <row r="523" s="1" customFormat="1" ht="12.75" customHeight="1" x14ac:dyDescent="0.3"/>
    <row r="524" s="1" customFormat="1" ht="12.75" customHeight="1" x14ac:dyDescent="0.3"/>
    <row r="525" s="1" customFormat="1" ht="12.75" customHeight="1" x14ac:dyDescent="0.3"/>
    <row r="526" s="1" customFormat="1" ht="12.75" customHeight="1" x14ac:dyDescent="0.3"/>
    <row r="527" s="1" customFormat="1" ht="12.75" customHeight="1" x14ac:dyDescent="0.3"/>
    <row r="528" s="1" customFormat="1" ht="12.75" customHeight="1" x14ac:dyDescent="0.3"/>
    <row r="529" s="1" customFormat="1" ht="12.75" customHeight="1" x14ac:dyDescent="0.3"/>
    <row r="530" s="1" customFormat="1" ht="12.75" customHeight="1" x14ac:dyDescent="0.3"/>
    <row r="531" s="1" customFormat="1" ht="12.75" customHeight="1" x14ac:dyDescent="0.3"/>
    <row r="532" s="1" customFormat="1" ht="12.75" customHeight="1" x14ac:dyDescent="0.3"/>
    <row r="533" s="1" customFormat="1" ht="12.75" customHeight="1" x14ac:dyDescent="0.3"/>
    <row r="534" s="1" customFormat="1" ht="12.75" customHeight="1" x14ac:dyDescent="0.3"/>
    <row r="535" s="1" customFormat="1" ht="12.75" customHeight="1" x14ac:dyDescent="0.3"/>
    <row r="536" s="1" customFormat="1" ht="12.75" customHeight="1" x14ac:dyDescent="0.3"/>
    <row r="537" s="1" customFormat="1" ht="12.75" customHeight="1" x14ac:dyDescent="0.3"/>
    <row r="538" s="1" customFormat="1" ht="12.75" customHeight="1" x14ac:dyDescent="0.3"/>
    <row r="539" s="1" customFormat="1" ht="12.75" customHeight="1" x14ac:dyDescent="0.3"/>
    <row r="540" s="1" customFormat="1" ht="12.75" customHeight="1" x14ac:dyDescent="0.3"/>
    <row r="541" s="1" customFormat="1" ht="12.75" customHeight="1" x14ac:dyDescent="0.3"/>
    <row r="542" s="1" customFormat="1" ht="12.75" customHeight="1" x14ac:dyDescent="0.3"/>
    <row r="543" s="1" customFormat="1" ht="12.75" customHeight="1" x14ac:dyDescent="0.3"/>
    <row r="544" s="1" customFormat="1" ht="12.75" customHeight="1" x14ac:dyDescent="0.3"/>
    <row r="545" s="1" customFormat="1" ht="12.75" customHeight="1" x14ac:dyDescent="0.3"/>
    <row r="546" s="1" customFormat="1" ht="12.75" customHeight="1" x14ac:dyDescent="0.3"/>
    <row r="547" s="1" customFormat="1" ht="12.75" customHeight="1" x14ac:dyDescent="0.3"/>
    <row r="548" s="1" customFormat="1" ht="12.75" customHeight="1" x14ac:dyDescent="0.3"/>
    <row r="549" s="1" customFormat="1" ht="12.75" customHeight="1" x14ac:dyDescent="0.3"/>
    <row r="550" s="1" customFormat="1" ht="12.75" customHeight="1" x14ac:dyDescent="0.3"/>
    <row r="551" s="1" customFormat="1" ht="12.75" customHeight="1" x14ac:dyDescent="0.3"/>
    <row r="552" s="1" customFormat="1" ht="12.75" customHeight="1" x14ac:dyDescent="0.3"/>
    <row r="553" s="1" customFormat="1" ht="12.75" customHeight="1" x14ac:dyDescent="0.3"/>
    <row r="554" s="1" customFormat="1" ht="12.75" customHeight="1" x14ac:dyDescent="0.3"/>
    <row r="555" s="1" customFormat="1" ht="12.75" customHeight="1" x14ac:dyDescent="0.3"/>
    <row r="556" s="1" customFormat="1" ht="12.75" customHeight="1" x14ac:dyDescent="0.3"/>
    <row r="557" s="1" customFormat="1" ht="12.75" customHeight="1" x14ac:dyDescent="0.3"/>
    <row r="558" s="1" customFormat="1" ht="12.75" customHeight="1" x14ac:dyDescent="0.3"/>
    <row r="559" s="1" customFormat="1" ht="12.75" customHeight="1" x14ac:dyDescent="0.3"/>
    <row r="560" s="1" customFormat="1" ht="12.75" customHeight="1" x14ac:dyDescent="0.3"/>
    <row r="561" s="1" customFormat="1" ht="12.75" customHeight="1" x14ac:dyDescent="0.3"/>
    <row r="562" s="1" customFormat="1" ht="12.75" customHeight="1" x14ac:dyDescent="0.3"/>
    <row r="563" s="1" customFormat="1" ht="12.75" customHeight="1" x14ac:dyDescent="0.3"/>
    <row r="564" s="1" customFormat="1" ht="12.75" customHeight="1" x14ac:dyDescent="0.3"/>
    <row r="565" s="1" customFormat="1" ht="12.75" customHeight="1" x14ac:dyDescent="0.3"/>
    <row r="566" s="1" customFormat="1" ht="12.75" customHeight="1" x14ac:dyDescent="0.3"/>
    <row r="567" s="1" customFormat="1" ht="12.75" customHeight="1" x14ac:dyDescent="0.3"/>
    <row r="568" s="1" customFormat="1" ht="12.75" customHeight="1" x14ac:dyDescent="0.3"/>
    <row r="569" s="1" customFormat="1" ht="12.75" customHeight="1" x14ac:dyDescent="0.3"/>
    <row r="570" s="1" customFormat="1" ht="12.75" customHeight="1" x14ac:dyDescent="0.3"/>
    <row r="571" s="1" customFormat="1" ht="12.75" customHeight="1" x14ac:dyDescent="0.3"/>
    <row r="572" s="1" customFormat="1" ht="12.75" customHeight="1" x14ac:dyDescent="0.3"/>
    <row r="573" s="1" customFormat="1" ht="12.75" customHeight="1" x14ac:dyDescent="0.3"/>
    <row r="574" s="1" customFormat="1" ht="12.75" customHeight="1" x14ac:dyDescent="0.3"/>
    <row r="575" s="1" customFormat="1" ht="12.75" customHeight="1" x14ac:dyDescent="0.3"/>
    <row r="576" s="1" customFormat="1" ht="12.75" customHeight="1" x14ac:dyDescent="0.3"/>
    <row r="577" s="1" customFormat="1" ht="12.75" customHeight="1" x14ac:dyDescent="0.3"/>
    <row r="578" s="1" customFormat="1" ht="12.75" customHeight="1" x14ac:dyDescent="0.3"/>
    <row r="579" s="1" customFormat="1" ht="12.75" customHeight="1" x14ac:dyDescent="0.3"/>
    <row r="580" s="1" customFormat="1" ht="12.75" customHeight="1" x14ac:dyDescent="0.3"/>
    <row r="581" s="1" customFormat="1" ht="12.75" customHeight="1" x14ac:dyDescent="0.3"/>
    <row r="582" s="1" customFormat="1" ht="12.75" customHeight="1" x14ac:dyDescent="0.3"/>
    <row r="583" s="1" customFormat="1" ht="12.75" customHeight="1" x14ac:dyDescent="0.3"/>
    <row r="584" s="1" customFormat="1" ht="12.75" customHeight="1" x14ac:dyDescent="0.3"/>
    <row r="585" s="1" customFormat="1" ht="12.75" customHeight="1" x14ac:dyDescent="0.3"/>
    <row r="586" s="1" customFormat="1" ht="12.75" customHeight="1" x14ac:dyDescent="0.3"/>
    <row r="587" s="1" customFormat="1" ht="12.75" customHeight="1" x14ac:dyDescent="0.3"/>
    <row r="588" s="1" customFormat="1" ht="12.75" customHeight="1" x14ac:dyDescent="0.3"/>
    <row r="589" s="1" customFormat="1" ht="12.75" customHeight="1" x14ac:dyDescent="0.3"/>
    <row r="590" s="1" customFormat="1" ht="12.75" customHeight="1" x14ac:dyDescent="0.3"/>
    <row r="591" s="1" customFormat="1" ht="12.75" customHeight="1" x14ac:dyDescent="0.3"/>
    <row r="592" s="1" customFormat="1" ht="12.75" customHeight="1" x14ac:dyDescent="0.3"/>
    <row r="593" s="1" customFormat="1" ht="12.75" customHeight="1" x14ac:dyDescent="0.3"/>
    <row r="594" s="1" customFormat="1" ht="12.75" customHeight="1" x14ac:dyDescent="0.3"/>
    <row r="595" s="1" customFormat="1" ht="12.75" customHeight="1" x14ac:dyDescent="0.3"/>
    <row r="596" s="1" customFormat="1" ht="12.75" customHeight="1" x14ac:dyDescent="0.3"/>
    <row r="597" s="1" customFormat="1" ht="12.75" customHeight="1" x14ac:dyDescent="0.3"/>
    <row r="598" s="1" customFormat="1" ht="12.75" customHeight="1" x14ac:dyDescent="0.3"/>
    <row r="599" s="1" customFormat="1" ht="12.75" customHeight="1" x14ac:dyDescent="0.3"/>
    <row r="600" s="1" customFormat="1" ht="12.75" customHeight="1" x14ac:dyDescent="0.3"/>
    <row r="601" s="1" customFormat="1" ht="12.75" customHeight="1" x14ac:dyDescent="0.3"/>
    <row r="602" s="1" customFormat="1" ht="12.75" customHeight="1" x14ac:dyDescent="0.3"/>
    <row r="603" s="1" customFormat="1" ht="12.75" customHeight="1" x14ac:dyDescent="0.3"/>
    <row r="604" s="1" customFormat="1" ht="12.75" customHeight="1" x14ac:dyDescent="0.3"/>
    <row r="605" s="1" customFormat="1" ht="12.75" customHeight="1" x14ac:dyDescent="0.3"/>
    <row r="606" s="1" customFormat="1" ht="12.75" customHeight="1" x14ac:dyDescent="0.3"/>
    <row r="607" s="1" customFormat="1" ht="12.75" customHeight="1" x14ac:dyDescent="0.3"/>
    <row r="608" s="1" customFormat="1" ht="12.75" customHeight="1" x14ac:dyDescent="0.3"/>
    <row r="609" s="1" customFormat="1" ht="12.75" customHeight="1" x14ac:dyDescent="0.3"/>
    <row r="610" s="1" customFormat="1" ht="12.75" customHeight="1" x14ac:dyDescent="0.3"/>
    <row r="611" s="1" customFormat="1" ht="12.75" customHeight="1" x14ac:dyDescent="0.3"/>
    <row r="612" s="1" customFormat="1" ht="12.75" customHeight="1" x14ac:dyDescent="0.3"/>
    <row r="613" s="1" customFormat="1" ht="12.75" customHeight="1" x14ac:dyDescent="0.3"/>
    <row r="614" s="1" customFormat="1" ht="12.75" customHeight="1" x14ac:dyDescent="0.3"/>
    <row r="615" s="1" customFormat="1" ht="12.75" customHeight="1" x14ac:dyDescent="0.3"/>
    <row r="616" s="1" customFormat="1" ht="12.75" customHeight="1" x14ac:dyDescent="0.3"/>
    <row r="617" s="1" customFormat="1" ht="12.75" customHeight="1" x14ac:dyDescent="0.3"/>
    <row r="618" s="1" customFormat="1" ht="12.75" customHeight="1" x14ac:dyDescent="0.3"/>
    <row r="619" s="1" customFormat="1" ht="12.75" customHeight="1" x14ac:dyDescent="0.3"/>
    <row r="620" s="1" customFormat="1" ht="12.75" customHeight="1" x14ac:dyDescent="0.3"/>
    <row r="621" s="1" customFormat="1" ht="12.75" customHeight="1" x14ac:dyDescent="0.3"/>
    <row r="622" s="1" customFormat="1" ht="12.75" customHeight="1" x14ac:dyDescent="0.3"/>
    <row r="623" s="1" customFormat="1" ht="12.75" customHeight="1" x14ac:dyDescent="0.3"/>
    <row r="624" s="1" customFormat="1" ht="12.75" customHeight="1" x14ac:dyDescent="0.3"/>
    <row r="625" s="1" customFormat="1" ht="12.75" customHeight="1" x14ac:dyDescent="0.3"/>
    <row r="626" s="1" customFormat="1" ht="12.75" customHeight="1" x14ac:dyDescent="0.3"/>
    <row r="627" s="1" customFormat="1" ht="12.75" customHeight="1" x14ac:dyDescent="0.3"/>
    <row r="628" s="1" customFormat="1" ht="12.75" customHeight="1" x14ac:dyDescent="0.3"/>
    <row r="629" s="1" customFormat="1" ht="12.75" customHeight="1" x14ac:dyDescent="0.3"/>
    <row r="630" s="1" customFormat="1" ht="12.75" customHeight="1" x14ac:dyDescent="0.3"/>
    <row r="631" s="1" customFormat="1" ht="12.75" customHeight="1" x14ac:dyDescent="0.3"/>
    <row r="632" s="1" customFormat="1" ht="12.75" customHeight="1" x14ac:dyDescent="0.3"/>
    <row r="633" s="1" customFormat="1" ht="12.75" customHeight="1" x14ac:dyDescent="0.3"/>
    <row r="634" s="1" customFormat="1" ht="12.75" customHeight="1" x14ac:dyDescent="0.3"/>
    <row r="635" s="1" customFormat="1" ht="12.75" customHeight="1" x14ac:dyDescent="0.3"/>
    <row r="636" s="1" customFormat="1" ht="12.75" customHeight="1" x14ac:dyDescent="0.3"/>
    <row r="637" s="1" customFormat="1" ht="12.75" customHeight="1" x14ac:dyDescent="0.3"/>
    <row r="638" s="1" customFormat="1" ht="12.75" customHeight="1" x14ac:dyDescent="0.3"/>
    <row r="639" s="1" customFormat="1" ht="12.75" customHeight="1" x14ac:dyDescent="0.3"/>
    <row r="640" s="1" customFormat="1" ht="12.75" customHeight="1" x14ac:dyDescent="0.3"/>
    <row r="641" s="1" customFormat="1" ht="12.75" customHeight="1" x14ac:dyDescent="0.3"/>
    <row r="642" s="1" customFormat="1" ht="12.75" customHeight="1" x14ac:dyDescent="0.3"/>
    <row r="643" s="1" customFormat="1" ht="12.75" customHeight="1" x14ac:dyDescent="0.3"/>
    <row r="644" s="1" customFormat="1" ht="12.75" customHeight="1" x14ac:dyDescent="0.3"/>
    <row r="645" s="1" customFormat="1" ht="12.75" customHeight="1" x14ac:dyDescent="0.3"/>
    <row r="646" s="1" customFormat="1" ht="12.75" customHeight="1" x14ac:dyDescent="0.3"/>
    <row r="647" s="1" customFormat="1" ht="12.75" customHeight="1" x14ac:dyDescent="0.3"/>
    <row r="648" s="1" customFormat="1" ht="12.75" customHeight="1" x14ac:dyDescent="0.3"/>
    <row r="649" s="1" customFormat="1" ht="12.75" customHeight="1" x14ac:dyDescent="0.3"/>
    <row r="650" s="1" customFormat="1" ht="12.75" customHeight="1" x14ac:dyDescent="0.3"/>
    <row r="651" s="1" customFormat="1" ht="12.75" customHeight="1" x14ac:dyDescent="0.3"/>
    <row r="652" s="1" customFormat="1" ht="12.75" customHeight="1" x14ac:dyDescent="0.3"/>
    <row r="653" s="1" customFormat="1" ht="12.75" customHeight="1" x14ac:dyDescent="0.3"/>
    <row r="654" s="1" customFormat="1" ht="12.75" customHeight="1" x14ac:dyDescent="0.3"/>
    <row r="655" s="1" customFormat="1" ht="12.75" customHeight="1" x14ac:dyDescent="0.3"/>
    <row r="656" s="1" customFormat="1" ht="12.75" customHeight="1" x14ac:dyDescent="0.3"/>
    <row r="657" s="1" customFormat="1" ht="12.75" customHeight="1" x14ac:dyDescent="0.3"/>
    <row r="658" s="1" customFormat="1" ht="12.75" customHeight="1" x14ac:dyDescent="0.3"/>
    <row r="659" s="1" customFormat="1" ht="12.75" customHeight="1" x14ac:dyDescent="0.3"/>
    <row r="660" s="1" customFormat="1" ht="12.75" customHeight="1" x14ac:dyDescent="0.3"/>
    <row r="661" s="1" customFormat="1" ht="12.75" customHeight="1" x14ac:dyDescent="0.3"/>
    <row r="662" s="1" customFormat="1" ht="12.75" customHeight="1" x14ac:dyDescent="0.3"/>
    <row r="663" s="1" customFormat="1" ht="12.75" customHeight="1" x14ac:dyDescent="0.3"/>
    <row r="664" s="1" customFormat="1" ht="12.75" customHeight="1" x14ac:dyDescent="0.3"/>
    <row r="665" s="1" customFormat="1" ht="12.75" customHeight="1" x14ac:dyDescent="0.3"/>
    <row r="666" s="1" customFormat="1" ht="12.75" customHeight="1" x14ac:dyDescent="0.3"/>
    <row r="667" s="1" customFormat="1" ht="12.75" customHeight="1" x14ac:dyDescent="0.3"/>
    <row r="668" s="1" customFormat="1" ht="12.75" customHeight="1" x14ac:dyDescent="0.3"/>
    <row r="669" s="1" customFormat="1" ht="12.75" customHeight="1" x14ac:dyDescent="0.3"/>
    <row r="670" s="1" customFormat="1" ht="12.75" customHeight="1" x14ac:dyDescent="0.3"/>
    <row r="671" s="1" customFormat="1" ht="12.75" customHeight="1" x14ac:dyDescent="0.3"/>
    <row r="672" s="1" customFormat="1" ht="12.75" customHeight="1" x14ac:dyDescent="0.3"/>
    <row r="673" s="1" customFormat="1" ht="12.75" customHeight="1" x14ac:dyDescent="0.3"/>
    <row r="674" s="1" customFormat="1" ht="12.75" customHeight="1" x14ac:dyDescent="0.3"/>
    <row r="675" s="1" customFormat="1" ht="12.75" customHeight="1" x14ac:dyDescent="0.3"/>
    <row r="676" s="1" customFormat="1" ht="12.75" customHeight="1" x14ac:dyDescent="0.3"/>
    <row r="677" s="1" customFormat="1" ht="12.75" customHeight="1" x14ac:dyDescent="0.3"/>
    <row r="678" s="1" customFormat="1" ht="12.75" customHeight="1" x14ac:dyDescent="0.3"/>
    <row r="679" s="1" customFormat="1" ht="12.75" customHeight="1" x14ac:dyDescent="0.3"/>
    <row r="680" s="1" customFormat="1" ht="12.75" customHeight="1" x14ac:dyDescent="0.3"/>
    <row r="681" s="1" customFormat="1" ht="12.75" customHeight="1" x14ac:dyDescent="0.3"/>
    <row r="682" s="1" customFormat="1" ht="12.75" customHeight="1" x14ac:dyDescent="0.3"/>
    <row r="683" s="1" customFormat="1" ht="12.75" customHeight="1" x14ac:dyDescent="0.3"/>
    <row r="684" s="1" customFormat="1" ht="12.75" customHeight="1" x14ac:dyDescent="0.3"/>
    <row r="685" s="1" customFormat="1" ht="12.75" customHeight="1" x14ac:dyDescent="0.3"/>
    <row r="686" s="1" customFormat="1" ht="12.75" customHeight="1" x14ac:dyDescent="0.3"/>
    <row r="687" s="1" customFormat="1" ht="12.75" customHeight="1" x14ac:dyDescent="0.3"/>
    <row r="688" s="1" customFormat="1" ht="12.75" customHeight="1" x14ac:dyDescent="0.3"/>
    <row r="689" s="1" customFormat="1" ht="12.75" customHeight="1" x14ac:dyDescent="0.3"/>
    <row r="690" s="1" customFormat="1" ht="12.75" customHeight="1" x14ac:dyDescent="0.3"/>
    <row r="691" s="1" customFormat="1" ht="12.75" customHeight="1" x14ac:dyDescent="0.3"/>
    <row r="692" s="1" customFormat="1" ht="12.75" customHeight="1" x14ac:dyDescent="0.3"/>
    <row r="693" s="1" customFormat="1" ht="12.75" customHeight="1" x14ac:dyDescent="0.3"/>
    <row r="694" s="1" customFormat="1" ht="12.75" customHeight="1" x14ac:dyDescent="0.3"/>
    <row r="695" s="1" customFormat="1" ht="12.75" customHeight="1" x14ac:dyDescent="0.3"/>
    <row r="696" s="1" customFormat="1" ht="12.75" customHeight="1" x14ac:dyDescent="0.3"/>
    <row r="697" s="1" customFormat="1" ht="12.75" customHeight="1" x14ac:dyDescent="0.3"/>
    <row r="698" s="1" customFormat="1" ht="12.75" customHeight="1" x14ac:dyDescent="0.3"/>
    <row r="699" s="1" customFormat="1" ht="12.75" customHeight="1" x14ac:dyDescent="0.3"/>
    <row r="700" s="1" customFormat="1" ht="12.75" customHeight="1" x14ac:dyDescent="0.3"/>
    <row r="701" s="1" customFormat="1" ht="12.75" customHeight="1" x14ac:dyDescent="0.3"/>
    <row r="702" s="1" customFormat="1" ht="12.75" customHeight="1" x14ac:dyDescent="0.3"/>
    <row r="703" s="1" customFormat="1" ht="12.75" customHeight="1" x14ac:dyDescent="0.3"/>
    <row r="704" s="1" customFormat="1" ht="12.75" customHeight="1" x14ac:dyDescent="0.3"/>
    <row r="705" s="1" customFormat="1" ht="12.75" customHeight="1" x14ac:dyDescent="0.3"/>
    <row r="706" s="1" customFormat="1" ht="12.75" customHeight="1" x14ac:dyDescent="0.3"/>
    <row r="707" s="1" customFormat="1" ht="12.75" customHeight="1" x14ac:dyDescent="0.3"/>
    <row r="708" s="1" customFormat="1" ht="12.75" customHeight="1" x14ac:dyDescent="0.3"/>
    <row r="709" s="1" customFormat="1" ht="12.75" customHeight="1" x14ac:dyDescent="0.3"/>
    <row r="710" s="1" customFormat="1" ht="12.75" customHeight="1" x14ac:dyDescent="0.3"/>
    <row r="711" s="1" customFormat="1" ht="12.75" customHeight="1" x14ac:dyDescent="0.3"/>
    <row r="712" s="1" customFormat="1" ht="12.75" customHeight="1" x14ac:dyDescent="0.3"/>
    <row r="713" s="1" customFormat="1" ht="12.75" customHeight="1" x14ac:dyDescent="0.3"/>
    <row r="714" s="1" customFormat="1" ht="12.75" customHeight="1" x14ac:dyDescent="0.3"/>
    <row r="715" s="1" customFormat="1" ht="12.75" customHeight="1" x14ac:dyDescent="0.3"/>
    <row r="716" s="1" customFormat="1" ht="12.75" customHeight="1" x14ac:dyDescent="0.3"/>
    <row r="717" s="1" customFormat="1" ht="12.75" customHeight="1" x14ac:dyDescent="0.3"/>
    <row r="718" s="1" customFormat="1" ht="12.75" customHeight="1" x14ac:dyDescent="0.3"/>
    <row r="719" s="1" customFormat="1" ht="12.75" customHeight="1" x14ac:dyDescent="0.3"/>
    <row r="720" s="1" customFormat="1" ht="12.75" customHeight="1" x14ac:dyDescent="0.3"/>
    <row r="721" s="1" customFormat="1" ht="12.75" customHeight="1" x14ac:dyDescent="0.3"/>
    <row r="722" s="1" customFormat="1" ht="12.75" customHeight="1" x14ac:dyDescent="0.3"/>
    <row r="723" s="1" customFormat="1" ht="12.75" customHeight="1" x14ac:dyDescent="0.3"/>
    <row r="724" s="1" customFormat="1" ht="12.75" customHeight="1" x14ac:dyDescent="0.3"/>
    <row r="725" s="1" customFormat="1" ht="12.75" customHeight="1" x14ac:dyDescent="0.3"/>
    <row r="726" s="1" customFormat="1" ht="12.75" customHeight="1" x14ac:dyDescent="0.3"/>
    <row r="727" s="1" customFormat="1" ht="12.75" customHeight="1" x14ac:dyDescent="0.3"/>
    <row r="728" s="1" customFormat="1" ht="12.75" customHeight="1" x14ac:dyDescent="0.3"/>
    <row r="729" s="1" customFormat="1" ht="12.75" customHeight="1" x14ac:dyDescent="0.3"/>
    <row r="730" s="1" customFormat="1" ht="12.75" customHeight="1" x14ac:dyDescent="0.3"/>
    <row r="731" s="1" customFormat="1" ht="12.75" customHeight="1" x14ac:dyDescent="0.3"/>
    <row r="732" s="1" customFormat="1" ht="12.75" customHeight="1" x14ac:dyDescent="0.3"/>
    <row r="733" s="1" customFormat="1" ht="12.75" customHeight="1" x14ac:dyDescent="0.3"/>
    <row r="734" s="1" customFormat="1" ht="12.75" customHeight="1" x14ac:dyDescent="0.3"/>
    <row r="735" s="1" customFormat="1" ht="12.75" customHeight="1" x14ac:dyDescent="0.3"/>
    <row r="736" s="1" customFormat="1" ht="12.75" customHeight="1" x14ac:dyDescent="0.3"/>
    <row r="737" s="1" customFormat="1" ht="12.75" customHeight="1" x14ac:dyDescent="0.3"/>
    <row r="738" s="1" customFormat="1" ht="12.75" customHeight="1" x14ac:dyDescent="0.3"/>
    <row r="739" s="1" customFormat="1" ht="12.75" customHeight="1" x14ac:dyDescent="0.3"/>
    <row r="740" s="1" customFormat="1" ht="12.75" customHeight="1" x14ac:dyDescent="0.3"/>
    <row r="741" s="1" customFormat="1" ht="12.75" customHeight="1" x14ac:dyDescent="0.3"/>
    <row r="742" s="1" customFormat="1" ht="12.75" customHeight="1" x14ac:dyDescent="0.3"/>
    <row r="743" s="1" customFormat="1" ht="12.75" customHeight="1" x14ac:dyDescent="0.3"/>
    <row r="744" s="1" customFormat="1" ht="12.75" customHeight="1" x14ac:dyDescent="0.3"/>
    <row r="745" s="1" customFormat="1" ht="12.75" customHeight="1" x14ac:dyDescent="0.3"/>
    <row r="746" s="1" customFormat="1" ht="12.75" customHeight="1" x14ac:dyDescent="0.3"/>
    <row r="747" s="1" customFormat="1" ht="12.75" customHeight="1" x14ac:dyDescent="0.3"/>
    <row r="748" s="1" customFormat="1" ht="12.75" customHeight="1" x14ac:dyDescent="0.3"/>
    <row r="749" s="1" customFormat="1" ht="12.75" customHeight="1" x14ac:dyDescent="0.3"/>
    <row r="750" s="1" customFormat="1" ht="12.75" customHeight="1" x14ac:dyDescent="0.3"/>
    <row r="751" s="1" customFormat="1" ht="12.75" customHeight="1" x14ac:dyDescent="0.3"/>
    <row r="752" s="1" customFormat="1" ht="12.75" customHeight="1" x14ac:dyDescent="0.3"/>
    <row r="753" s="1" customFormat="1" ht="12.75" customHeight="1" x14ac:dyDescent="0.3"/>
    <row r="754" s="1" customFormat="1" ht="12.75" customHeight="1" x14ac:dyDescent="0.3"/>
    <row r="755" s="1" customFormat="1" ht="12.75" customHeight="1" x14ac:dyDescent="0.3"/>
    <row r="756" s="1" customFormat="1" ht="12.75" customHeight="1" x14ac:dyDescent="0.3"/>
    <row r="757" s="1" customFormat="1" ht="12.75" customHeight="1" x14ac:dyDescent="0.3"/>
    <row r="758" s="1" customFormat="1" ht="12.75" customHeight="1" x14ac:dyDescent="0.3"/>
    <row r="759" s="1" customFormat="1" ht="12.75" customHeight="1" x14ac:dyDescent="0.3"/>
    <row r="760" s="1" customFormat="1" ht="12.75" customHeight="1" x14ac:dyDescent="0.3"/>
    <row r="761" s="1" customFormat="1" ht="12.75" customHeight="1" x14ac:dyDescent="0.3"/>
    <row r="762" s="1" customFormat="1" ht="12.75" customHeight="1" x14ac:dyDescent="0.3"/>
    <row r="763" s="1" customFormat="1" ht="12.75" customHeight="1" x14ac:dyDescent="0.3"/>
    <row r="764" s="1" customFormat="1" ht="12.75" customHeight="1" x14ac:dyDescent="0.3"/>
    <row r="765" s="1" customFormat="1" ht="12.75" customHeight="1" x14ac:dyDescent="0.3"/>
    <row r="766" s="1" customFormat="1" ht="12.75" customHeight="1" x14ac:dyDescent="0.3"/>
    <row r="767" s="1" customFormat="1" ht="12.75" customHeight="1" x14ac:dyDescent="0.3"/>
    <row r="768" s="1" customFormat="1" ht="12.75" customHeight="1" x14ac:dyDescent="0.3"/>
    <row r="769" s="1" customFormat="1" ht="12.75" customHeight="1" x14ac:dyDescent="0.3"/>
    <row r="770" s="1" customFormat="1" ht="12.75" customHeight="1" x14ac:dyDescent="0.3"/>
    <row r="771" s="1" customFormat="1" ht="12.75" customHeight="1" x14ac:dyDescent="0.3"/>
    <row r="772" s="1" customFormat="1" ht="12.75" customHeight="1" x14ac:dyDescent="0.3"/>
    <row r="773" s="1" customFormat="1" ht="12.75" customHeight="1" x14ac:dyDescent="0.3"/>
    <row r="774" s="1" customFormat="1" ht="12.75" customHeight="1" x14ac:dyDescent="0.3"/>
    <row r="775" s="1" customFormat="1" ht="12.75" customHeight="1" x14ac:dyDescent="0.3"/>
    <row r="776" s="1" customFormat="1" ht="12.75" customHeight="1" x14ac:dyDescent="0.3"/>
    <row r="777" s="1" customFormat="1" ht="12.75" customHeight="1" x14ac:dyDescent="0.3"/>
    <row r="778" s="1" customFormat="1" ht="12.75" customHeight="1" x14ac:dyDescent="0.3"/>
    <row r="779" s="1" customFormat="1" ht="12.75" customHeight="1" x14ac:dyDescent="0.3"/>
    <row r="780" s="1" customFormat="1" ht="12.75" customHeight="1" x14ac:dyDescent="0.3"/>
    <row r="781" s="1" customFormat="1" ht="12.75" customHeight="1" x14ac:dyDescent="0.3"/>
    <row r="782" s="1" customFormat="1" ht="12.75" customHeight="1" x14ac:dyDescent="0.3"/>
    <row r="783" s="1" customFormat="1" ht="12.75" customHeight="1" x14ac:dyDescent="0.3"/>
    <row r="784" s="1" customFormat="1" ht="12.75" customHeight="1" x14ac:dyDescent="0.3"/>
    <row r="785" s="1" customFormat="1" ht="12.75" customHeight="1" x14ac:dyDescent="0.3"/>
    <row r="786" s="1" customFormat="1" ht="12.75" customHeight="1" x14ac:dyDescent="0.3"/>
    <row r="787" s="1" customFormat="1" ht="12.75" customHeight="1" x14ac:dyDescent="0.3"/>
    <row r="788" s="1" customFormat="1" ht="12.75" customHeight="1" x14ac:dyDescent="0.3"/>
    <row r="789" s="1" customFormat="1" ht="12.75" customHeight="1" x14ac:dyDescent="0.3"/>
    <row r="790" s="1" customFormat="1" ht="12.75" customHeight="1" x14ac:dyDescent="0.3"/>
    <row r="791" s="1" customFormat="1" ht="12.75" customHeight="1" x14ac:dyDescent="0.3"/>
    <row r="792" s="1" customFormat="1" ht="12.75" customHeight="1" x14ac:dyDescent="0.3"/>
    <row r="793" s="1" customFormat="1" ht="12.75" customHeight="1" x14ac:dyDescent="0.3"/>
    <row r="794" s="1" customFormat="1" ht="12.75" customHeight="1" x14ac:dyDescent="0.3"/>
    <row r="795" s="1" customFormat="1" ht="12.75" customHeight="1" x14ac:dyDescent="0.3"/>
    <row r="796" s="1" customFormat="1" ht="12.75" customHeight="1" x14ac:dyDescent="0.3"/>
    <row r="797" s="1" customFormat="1" ht="12.75" customHeight="1" x14ac:dyDescent="0.3"/>
    <row r="798" s="1" customFormat="1" ht="12.75" customHeight="1" x14ac:dyDescent="0.3"/>
    <row r="799" s="1" customFormat="1" ht="12.75" customHeight="1" x14ac:dyDescent="0.3"/>
    <row r="800" s="1" customFormat="1" ht="12.75" customHeight="1" x14ac:dyDescent="0.3"/>
    <row r="801" s="1" customFormat="1" ht="12.75" customHeight="1" x14ac:dyDescent="0.3"/>
    <row r="802" s="1" customFormat="1" ht="12.75" customHeight="1" x14ac:dyDescent="0.3"/>
    <row r="803" s="1" customFormat="1" ht="12.75" customHeight="1" x14ac:dyDescent="0.3"/>
    <row r="804" s="1" customFormat="1" ht="12.75" customHeight="1" x14ac:dyDescent="0.3"/>
    <row r="805" s="1" customFormat="1" ht="12.75" customHeight="1" x14ac:dyDescent="0.3"/>
    <row r="806" s="1" customFormat="1" ht="12.75" customHeight="1" x14ac:dyDescent="0.3"/>
    <row r="807" s="1" customFormat="1" ht="12.75" customHeight="1" x14ac:dyDescent="0.3"/>
    <row r="808" s="1" customFormat="1" ht="12.75" customHeight="1" x14ac:dyDescent="0.3"/>
    <row r="809" s="1" customFormat="1" ht="12.75" customHeight="1" x14ac:dyDescent="0.3"/>
    <row r="810" s="1" customFormat="1" ht="12.75" customHeight="1" x14ac:dyDescent="0.3"/>
    <row r="811" s="1" customFormat="1" ht="12.75" customHeight="1" x14ac:dyDescent="0.3"/>
    <row r="812" s="1" customFormat="1" ht="12.75" customHeight="1" x14ac:dyDescent="0.3"/>
    <row r="813" s="1" customFormat="1" ht="12.75" customHeight="1" x14ac:dyDescent="0.3"/>
    <row r="814" s="1" customFormat="1" ht="12.75" customHeight="1" x14ac:dyDescent="0.3"/>
    <row r="815" s="1" customFormat="1" ht="12.75" customHeight="1" x14ac:dyDescent="0.3"/>
    <row r="816" s="1" customFormat="1" ht="12.75" customHeight="1" x14ac:dyDescent="0.3"/>
    <row r="817" s="1" customFormat="1" ht="12.75" customHeight="1" x14ac:dyDescent="0.3"/>
    <row r="818" s="1" customFormat="1" ht="12.75" customHeight="1" x14ac:dyDescent="0.3"/>
    <row r="819" s="1" customFormat="1" ht="12.75" customHeight="1" x14ac:dyDescent="0.3"/>
    <row r="820" s="1" customFormat="1" ht="12.75" customHeight="1" x14ac:dyDescent="0.3"/>
    <row r="821" s="1" customFormat="1" ht="12.75" customHeight="1" x14ac:dyDescent="0.3"/>
    <row r="822" s="1" customFormat="1" ht="12.75" customHeight="1" x14ac:dyDescent="0.3"/>
    <row r="823" s="1" customFormat="1" ht="12.75" customHeight="1" x14ac:dyDescent="0.3"/>
    <row r="824" s="1" customFormat="1" ht="12.75" customHeight="1" x14ac:dyDescent="0.3"/>
    <row r="825" s="1" customFormat="1" ht="12.75" customHeight="1" x14ac:dyDescent="0.3"/>
    <row r="826" s="1" customFormat="1" ht="12.75" customHeight="1" x14ac:dyDescent="0.3"/>
    <row r="827" s="1" customFormat="1" ht="12.75" customHeight="1" x14ac:dyDescent="0.3"/>
    <row r="828" s="1" customFormat="1" ht="12.75" customHeight="1" x14ac:dyDescent="0.3"/>
    <row r="829" s="1" customFormat="1" ht="12.75" customHeight="1" x14ac:dyDescent="0.3"/>
    <row r="830" s="1" customFormat="1" ht="12.75" customHeight="1" x14ac:dyDescent="0.3"/>
    <row r="831" s="1" customFormat="1" ht="12.75" customHeight="1" x14ac:dyDescent="0.3"/>
    <row r="832" s="1" customFormat="1" ht="12.75" customHeight="1" x14ac:dyDescent="0.3"/>
    <row r="833" s="1" customFormat="1" ht="12.75" customHeight="1" x14ac:dyDescent="0.3"/>
    <row r="834" s="1" customFormat="1" ht="12.75" customHeight="1" x14ac:dyDescent="0.3"/>
    <row r="835" s="1" customFormat="1" ht="12.75" customHeight="1" x14ac:dyDescent="0.3"/>
    <row r="836" s="1" customFormat="1" ht="12.75" customHeight="1" x14ac:dyDescent="0.3"/>
    <row r="837" s="1" customFormat="1" ht="12.75" customHeight="1" x14ac:dyDescent="0.3"/>
    <row r="838" s="1" customFormat="1" ht="12.75" customHeight="1" x14ac:dyDescent="0.3"/>
    <row r="839" s="1" customFormat="1" ht="12.75" customHeight="1" x14ac:dyDescent="0.3"/>
    <row r="840" s="1" customFormat="1" ht="12.75" customHeight="1" x14ac:dyDescent="0.3"/>
    <row r="841" s="1" customFormat="1" ht="12.75" customHeight="1" x14ac:dyDescent="0.3"/>
    <row r="842" s="1" customFormat="1" ht="12.75" customHeight="1" x14ac:dyDescent="0.3"/>
    <row r="843" s="1" customFormat="1" ht="12.75" customHeight="1" x14ac:dyDescent="0.3"/>
    <row r="844" s="1" customFormat="1" ht="12.75" customHeight="1" x14ac:dyDescent="0.3"/>
    <row r="845" s="1" customFormat="1" ht="12.75" customHeight="1" x14ac:dyDescent="0.3"/>
    <row r="846" s="1" customFormat="1" ht="12.75" customHeight="1" x14ac:dyDescent="0.3"/>
    <row r="847" s="1" customFormat="1" ht="12.75" customHeight="1" x14ac:dyDescent="0.3"/>
    <row r="848" s="1" customFormat="1" ht="12.75" customHeight="1" x14ac:dyDescent="0.3"/>
    <row r="849" s="1" customFormat="1" ht="12.75" customHeight="1" x14ac:dyDescent="0.3"/>
    <row r="850" s="1" customFormat="1" ht="12.75" customHeight="1" x14ac:dyDescent="0.3"/>
    <row r="851" s="1" customFormat="1" ht="12.75" customHeight="1" x14ac:dyDescent="0.3"/>
    <row r="852" s="1" customFormat="1" ht="12.75" customHeight="1" x14ac:dyDescent="0.3"/>
    <row r="853" s="1" customFormat="1" ht="12.75" customHeight="1" x14ac:dyDescent="0.3"/>
    <row r="854" s="1" customFormat="1" ht="12.75" customHeight="1" x14ac:dyDescent="0.3"/>
    <row r="855" s="1" customFormat="1" ht="12.75" customHeight="1" x14ac:dyDescent="0.3"/>
    <row r="856" s="1" customFormat="1" ht="12.75" customHeight="1" x14ac:dyDescent="0.3"/>
    <row r="857" s="1" customFormat="1" ht="12.75" customHeight="1" x14ac:dyDescent="0.3"/>
    <row r="858" s="1" customFormat="1" ht="12.75" customHeight="1" x14ac:dyDescent="0.3"/>
    <row r="859" s="1" customFormat="1" ht="12.75" customHeight="1" x14ac:dyDescent="0.3"/>
    <row r="860" s="1" customFormat="1" ht="12.75" customHeight="1" x14ac:dyDescent="0.3"/>
    <row r="861" s="1" customFormat="1" ht="12.75" customHeight="1" x14ac:dyDescent="0.3"/>
    <row r="862" s="1" customFormat="1" ht="12.75" customHeight="1" x14ac:dyDescent="0.3"/>
    <row r="863" s="1" customFormat="1" ht="12.75" customHeight="1" x14ac:dyDescent="0.3"/>
    <row r="864" s="1" customFormat="1" ht="12.75" customHeight="1" x14ac:dyDescent="0.3"/>
    <row r="865" s="1" customFormat="1" ht="12.75" customHeight="1" x14ac:dyDescent="0.3"/>
    <row r="866" s="1" customFormat="1" ht="12.75" customHeight="1" x14ac:dyDescent="0.3"/>
    <row r="867" s="1" customFormat="1" ht="12.75" customHeight="1" x14ac:dyDescent="0.3"/>
    <row r="868" s="1" customFormat="1" ht="12.75" customHeight="1" x14ac:dyDescent="0.3"/>
    <row r="869" s="1" customFormat="1" ht="12.75" customHeight="1" x14ac:dyDescent="0.3"/>
    <row r="870" s="1" customFormat="1" ht="12.75" customHeight="1" x14ac:dyDescent="0.3"/>
    <row r="871" s="1" customFormat="1" ht="12.75" customHeight="1" x14ac:dyDescent="0.3"/>
    <row r="872" s="1" customFormat="1" ht="12.75" customHeight="1" x14ac:dyDescent="0.3"/>
    <row r="873" s="1" customFormat="1" ht="12.75" customHeight="1" x14ac:dyDescent="0.3"/>
    <row r="874" s="1" customFormat="1" ht="12.75" customHeight="1" x14ac:dyDescent="0.3"/>
    <row r="875" s="1" customFormat="1" ht="12.75" customHeight="1" x14ac:dyDescent="0.3"/>
    <row r="876" s="1" customFormat="1" ht="12.75" customHeight="1" x14ac:dyDescent="0.3"/>
    <row r="877" s="1" customFormat="1" ht="12.75" customHeight="1" x14ac:dyDescent="0.3"/>
    <row r="878" s="1" customFormat="1" ht="12.75" customHeight="1" x14ac:dyDescent="0.3"/>
    <row r="879" s="1" customFormat="1" ht="12.75" customHeight="1" x14ac:dyDescent="0.3"/>
    <row r="880" s="1" customFormat="1" ht="12.75" customHeight="1" x14ac:dyDescent="0.3"/>
    <row r="881" s="1" customFormat="1" ht="12.75" customHeight="1" x14ac:dyDescent="0.3"/>
    <row r="882" s="1" customFormat="1" ht="12.75" customHeight="1" x14ac:dyDescent="0.3"/>
    <row r="883" s="1" customFormat="1" ht="12.75" customHeight="1" x14ac:dyDescent="0.3"/>
    <row r="884" s="1" customFormat="1" ht="12.75" customHeight="1" x14ac:dyDescent="0.3"/>
    <row r="885" s="1" customFormat="1" ht="12.75" customHeight="1" x14ac:dyDescent="0.3"/>
    <row r="886" s="1" customFormat="1" ht="12.75" customHeight="1" x14ac:dyDescent="0.3"/>
    <row r="887" s="1" customFormat="1" ht="12.75" customHeight="1" x14ac:dyDescent="0.3"/>
    <row r="888" s="1" customFormat="1" ht="12.75" customHeight="1" x14ac:dyDescent="0.3"/>
    <row r="889" s="1" customFormat="1" ht="12.75" customHeight="1" x14ac:dyDescent="0.3"/>
    <row r="890" s="1" customFormat="1" ht="12.75" customHeight="1" x14ac:dyDescent="0.3"/>
    <row r="891" s="1" customFormat="1" ht="12.75" customHeight="1" x14ac:dyDescent="0.3"/>
    <row r="892" s="1" customFormat="1" ht="12.75" customHeight="1" x14ac:dyDescent="0.3"/>
    <row r="893" s="1" customFormat="1" ht="12.75" customHeight="1" x14ac:dyDescent="0.3"/>
    <row r="894" s="1" customFormat="1" ht="12.75" customHeight="1" x14ac:dyDescent="0.3"/>
    <row r="895" s="1" customFormat="1" ht="12.75" customHeight="1" x14ac:dyDescent="0.3"/>
    <row r="896" s="1" customFormat="1" ht="12.75" customHeight="1" x14ac:dyDescent="0.3"/>
    <row r="897" s="1" customFormat="1" ht="12.75" customHeight="1" x14ac:dyDescent="0.3"/>
    <row r="898" s="1" customFormat="1" ht="12.75" customHeight="1" x14ac:dyDescent="0.3"/>
    <row r="899" s="1" customFormat="1" ht="12.75" customHeight="1" x14ac:dyDescent="0.3"/>
    <row r="900" s="1" customFormat="1" ht="12.75" customHeight="1" x14ac:dyDescent="0.3"/>
    <row r="901" s="1" customFormat="1" ht="12.75" customHeight="1" x14ac:dyDescent="0.3"/>
    <row r="902" s="1" customFormat="1" ht="12.75" customHeight="1" x14ac:dyDescent="0.3"/>
    <row r="903" s="1" customFormat="1" ht="12.75" customHeight="1" x14ac:dyDescent="0.3"/>
    <row r="904" s="1" customFormat="1" ht="12.75" customHeight="1" x14ac:dyDescent="0.3"/>
    <row r="905" s="1" customFormat="1" ht="12.75" customHeight="1" x14ac:dyDescent="0.3"/>
    <row r="906" s="1" customFormat="1" ht="12.75" customHeight="1" x14ac:dyDescent="0.3"/>
    <row r="907" s="1" customFormat="1" ht="12.75" customHeight="1" x14ac:dyDescent="0.3"/>
    <row r="908" s="1" customFormat="1" ht="12.75" customHeight="1" x14ac:dyDescent="0.3"/>
    <row r="909" s="1" customFormat="1" ht="12.75" customHeight="1" x14ac:dyDescent="0.3"/>
    <row r="910" s="1" customFormat="1" ht="12.75" customHeight="1" x14ac:dyDescent="0.3"/>
    <row r="911" s="1" customFormat="1" ht="12.75" customHeight="1" x14ac:dyDescent="0.3"/>
    <row r="912" s="1" customFormat="1" ht="12.75" customHeight="1" x14ac:dyDescent="0.3"/>
    <row r="913" s="1" customFormat="1" ht="12.75" customHeight="1" x14ac:dyDescent="0.3"/>
    <row r="914" s="1" customFormat="1" ht="12.75" customHeight="1" x14ac:dyDescent="0.3"/>
    <row r="915" s="1" customFormat="1" ht="12.75" customHeight="1" x14ac:dyDescent="0.3"/>
    <row r="916" s="1" customFormat="1" ht="12.75" customHeight="1" x14ac:dyDescent="0.3"/>
    <row r="917" s="1" customFormat="1" ht="12.75" customHeight="1" x14ac:dyDescent="0.3"/>
    <row r="918" s="1" customFormat="1" ht="12.75" customHeight="1" x14ac:dyDescent="0.3"/>
    <row r="919" s="1" customFormat="1" ht="12.75" customHeight="1" x14ac:dyDescent="0.3"/>
    <row r="920" s="1" customFormat="1" ht="12.75" customHeight="1" x14ac:dyDescent="0.3"/>
    <row r="921" s="1" customFormat="1" ht="12.75" customHeight="1" x14ac:dyDescent="0.3"/>
    <row r="922" s="1" customFormat="1" ht="12.75" customHeight="1" x14ac:dyDescent="0.3"/>
    <row r="923" s="1" customFormat="1" ht="12.75" customHeight="1" x14ac:dyDescent="0.3"/>
    <row r="924" s="1" customFormat="1" ht="12.75" customHeight="1" x14ac:dyDescent="0.3"/>
    <row r="925" s="1" customFormat="1" ht="12.75" customHeight="1" x14ac:dyDescent="0.3"/>
    <row r="926" s="1" customFormat="1" ht="12.75" customHeight="1" x14ac:dyDescent="0.3"/>
    <row r="927" s="1" customFormat="1" ht="12.75" customHeight="1" x14ac:dyDescent="0.3"/>
    <row r="928" s="1" customFormat="1" ht="12.75" customHeight="1" x14ac:dyDescent="0.3"/>
    <row r="929" s="1" customFormat="1" ht="12.75" customHeight="1" x14ac:dyDescent="0.3"/>
    <row r="930" s="1" customFormat="1" ht="12.75" customHeight="1" x14ac:dyDescent="0.3"/>
    <row r="931" s="1" customFormat="1" ht="12.75" customHeight="1" x14ac:dyDescent="0.3"/>
    <row r="932" s="1" customFormat="1" ht="12.75" customHeight="1" x14ac:dyDescent="0.3"/>
    <row r="933" s="1" customFormat="1" ht="12.75" customHeight="1" x14ac:dyDescent="0.3"/>
    <row r="934" s="1" customFormat="1" ht="12.75" customHeight="1" x14ac:dyDescent="0.3"/>
    <row r="935" s="1" customFormat="1" ht="12.75" customHeight="1" x14ac:dyDescent="0.3"/>
    <row r="936" s="1" customFormat="1" ht="12.75" customHeight="1" x14ac:dyDescent="0.3"/>
    <row r="937" s="1" customFormat="1" ht="12.75" customHeight="1" x14ac:dyDescent="0.3"/>
    <row r="938" s="1" customFormat="1" ht="12.75" customHeight="1" x14ac:dyDescent="0.3"/>
    <row r="939" s="1" customFormat="1" ht="12.75" customHeight="1" x14ac:dyDescent="0.3"/>
    <row r="940" s="1" customFormat="1" ht="12.75" customHeight="1" x14ac:dyDescent="0.3"/>
    <row r="941" s="1" customFormat="1" ht="12.75" customHeight="1" x14ac:dyDescent="0.3"/>
    <row r="942" s="1" customFormat="1" ht="12.75" customHeight="1" x14ac:dyDescent="0.3"/>
    <row r="943" s="1" customFormat="1" ht="12.75" customHeight="1" x14ac:dyDescent="0.3"/>
    <row r="944" s="1" customFormat="1" ht="12.75" customHeight="1" x14ac:dyDescent="0.3"/>
    <row r="945" s="1" customFormat="1" ht="12.75" customHeight="1" x14ac:dyDescent="0.3"/>
    <row r="946" s="1" customFormat="1" ht="12.75" customHeight="1" x14ac:dyDescent="0.3"/>
    <row r="947" s="1" customFormat="1" ht="12.75" customHeight="1" x14ac:dyDescent="0.3"/>
    <row r="948" s="1" customFormat="1" ht="12.75" customHeight="1" x14ac:dyDescent="0.3"/>
    <row r="949" s="1" customFormat="1" ht="12.75" customHeight="1" x14ac:dyDescent="0.3"/>
    <row r="950" s="1" customFormat="1" ht="12.75" customHeight="1" x14ac:dyDescent="0.3"/>
    <row r="951" s="1" customFormat="1" ht="12.75" customHeight="1" x14ac:dyDescent="0.3"/>
    <row r="952" s="1" customFormat="1" ht="12.75" customHeight="1" x14ac:dyDescent="0.3"/>
    <row r="953" s="1" customFormat="1" ht="12.75" customHeight="1" x14ac:dyDescent="0.3"/>
    <row r="954" s="1" customFormat="1" ht="12.75" customHeight="1" x14ac:dyDescent="0.3"/>
    <row r="955" s="1" customFormat="1" ht="12.75" customHeight="1" x14ac:dyDescent="0.3"/>
    <row r="956" s="1" customFormat="1" ht="12.75" customHeight="1" x14ac:dyDescent="0.3"/>
    <row r="957" s="1" customFormat="1" ht="12.75" customHeight="1" x14ac:dyDescent="0.3"/>
    <row r="958" s="1" customFormat="1" ht="12.75" customHeight="1" x14ac:dyDescent="0.3"/>
    <row r="959" s="1" customFormat="1" ht="12.75" customHeight="1" x14ac:dyDescent="0.3"/>
    <row r="960" s="1" customFormat="1" ht="12.75" customHeight="1" x14ac:dyDescent="0.3"/>
    <row r="961" s="1" customFormat="1" ht="12.75" customHeight="1" x14ac:dyDescent="0.3"/>
    <row r="962" s="1" customFormat="1" ht="12.75" customHeight="1" x14ac:dyDescent="0.3"/>
    <row r="963" s="1" customFormat="1" ht="12.75" customHeight="1" x14ac:dyDescent="0.3"/>
    <row r="964" s="1" customFormat="1" ht="12.75" customHeight="1" x14ac:dyDescent="0.3"/>
    <row r="965" s="1" customFormat="1" ht="12.75" customHeight="1" x14ac:dyDescent="0.3"/>
    <row r="966" s="1" customFormat="1" ht="12.75" customHeight="1" x14ac:dyDescent="0.3"/>
    <row r="967" s="1" customFormat="1" ht="12.75" customHeight="1" x14ac:dyDescent="0.3"/>
    <row r="968" s="1" customFormat="1" ht="12.75" customHeight="1" x14ac:dyDescent="0.3"/>
    <row r="969" s="1" customFormat="1" ht="12.75" customHeight="1" x14ac:dyDescent="0.3"/>
    <row r="970" s="1" customFormat="1" ht="12.75" customHeight="1" x14ac:dyDescent="0.3"/>
    <row r="971" s="1" customFormat="1" ht="12.75" customHeight="1" x14ac:dyDescent="0.3"/>
    <row r="972" s="1" customFormat="1" ht="12.75" customHeight="1" x14ac:dyDescent="0.3"/>
    <row r="973" s="1" customFormat="1" ht="12.75" customHeight="1" x14ac:dyDescent="0.3"/>
    <row r="974" s="1" customFormat="1" ht="12.75" customHeight="1" x14ac:dyDescent="0.3"/>
    <row r="975" s="1" customFormat="1" ht="12.75" customHeight="1" x14ac:dyDescent="0.3"/>
    <row r="976" s="1" customFormat="1" ht="12.75" customHeight="1" x14ac:dyDescent="0.3"/>
    <row r="977" s="1" customFormat="1" ht="12.75" customHeight="1" x14ac:dyDescent="0.3"/>
    <row r="978" s="1" customFormat="1" ht="12.75" customHeight="1" x14ac:dyDescent="0.3"/>
    <row r="979" s="1" customFormat="1" ht="12.75" customHeight="1" x14ac:dyDescent="0.3"/>
    <row r="980" s="1" customFormat="1" ht="12.75" customHeight="1" x14ac:dyDescent="0.3"/>
    <row r="981" s="1" customFormat="1" ht="12.75" customHeight="1" x14ac:dyDescent="0.3"/>
    <row r="982" s="1" customFormat="1" ht="12.75" customHeight="1" x14ac:dyDescent="0.3"/>
    <row r="983" s="1" customFormat="1" ht="12.75" customHeight="1" x14ac:dyDescent="0.3"/>
    <row r="984" s="1" customFormat="1" ht="12.75" customHeight="1" x14ac:dyDescent="0.3"/>
    <row r="985" s="1" customFormat="1" ht="12.75" customHeight="1" x14ac:dyDescent="0.3"/>
    <row r="986" s="1" customFormat="1" ht="12.75" customHeight="1" x14ac:dyDescent="0.3"/>
    <row r="987" s="1" customFormat="1" ht="12.75" customHeight="1" x14ac:dyDescent="0.3"/>
    <row r="988" s="1" customFormat="1" ht="12.75" customHeight="1" x14ac:dyDescent="0.3"/>
    <row r="989" s="1" customFormat="1" ht="12.75" customHeight="1" x14ac:dyDescent="0.3"/>
    <row r="990" s="1" customFormat="1" ht="12.75" customHeight="1" x14ac:dyDescent="0.3"/>
    <row r="991" s="1" customFormat="1" ht="12.75" customHeight="1" x14ac:dyDescent="0.3"/>
    <row r="992" s="1" customFormat="1" ht="12.75" customHeight="1" x14ac:dyDescent="0.3"/>
    <row r="993" s="1" customFormat="1" ht="12.75" customHeight="1" x14ac:dyDescent="0.3"/>
    <row r="994" s="1" customFormat="1" ht="12.75" customHeight="1" x14ac:dyDescent="0.3"/>
    <row r="995" s="1" customFormat="1" ht="12.75" customHeight="1" x14ac:dyDescent="0.3"/>
    <row r="996" s="1" customFormat="1" ht="12.75" customHeight="1" x14ac:dyDescent="0.3"/>
    <row r="997" s="1" customFormat="1" ht="12.75" customHeight="1" x14ac:dyDescent="0.3"/>
    <row r="998" s="1" customFormat="1" ht="12.75" customHeight="1" x14ac:dyDescent="0.3"/>
    <row r="999" s="1" customFormat="1" ht="12.75" customHeight="1" x14ac:dyDescent="0.3"/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B5063-B606-4516-9687-A5CE3A7420FA}">
  <dimension ref="A1:M999"/>
  <sheetViews>
    <sheetView workbookViewId="0">
      <selection activeCell="D8" sqref="D8"/>
    </sheetView>
  </sheetViews>
  <sheetFormatPr baseColWidth="10" defaultColWidth="12.6328125" defaultRowHeight="15" customHeight="1" x14ac:dyDescent="0.3"/>
  <cols>
    <col min="1" max="1" width="15.7265625" style="1" customWidth="1"/>
    <col min="2" max="7" width="10.6328125" style="1" customWidth="1"/>
    <col min="8" max="8" width="11.36328125" style="1" customWidth="1"/>
    <col min="9" max="25" width="10.6328125" style="1" customWidth="1"/>
    <col min="26" max="16384" width="12.6328125" style="1"/>
  </cols>
  <sheetData>
    <row r="1" spans="1:13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5" customHeight="1" x14ac:dyDescent="0.3">
      <c r="A2" s="1" t="s">
        <v>12</v>
      </c>
      <c r="B2" s="1" t="s">
        <v>13</v>
      </c>
      <c r="C2" s="1">
        <v>1</v>
      </c>
      <c r="H2" s="2" t="s">
        <v>14</v>
      </c>
      <c r="I2" s="3">
        <f t="shared" ref="I2:L2" si="0">SUM(C22+C37+C55+C65+C66+C96+C105+C113+C128+C146+C150)</f>
        <v>10</v>
      </c>
      <c r="J2" s="3">
        <f t="shared" si="0"/>
        <v>0</v>
      </c>
      <c r="K2" s="3">
        <f t="shared" si="0"/>
        <v>1</v>
      </c>
      <c r="L2" s="3">
        <f t="shared" si="0"/>
        <v>0</v>
      </c>
      <c r="M2" s="3">
        <f t="shared" ref="M2:M13" si="1">SUM(I2:L2)</f>
        <v>11</v>
      </c>
    </row>
    <row r="3" spans="1:13" ht="15" customHeight="1" x14ac:dyDescent="0.3">
      <c r="A3" s="1" t="s">
        <v>15</v>
      </c>
      <c r="B3" s="1" t="s">
        <v>16</v>
      </c>
      <c r="C3" s="1">
        <v>1</v>
      </c>
      <c r="H3" s="2" t="s">
        <v>17</v>
      </c>
      <c r="I3" s="3">
        <f t="shared" ref="I3:L3" si="2">SUM(C6+C32+C50+C52+C58+C69+C76+C94+C115+C122+C123+C152)</f>
        <v>2</v>
      </c>
      <c r="J3" s="3">
        <f t="shared" si="2"/>
        <v>9</v>
      </c>
      <c r="K3" s="3">
        <f t="shared" si="2"/>
        <v>1</v>
      </c>
      <c r="L3" s="3">
        <f t="shared" si="2"/>
        <v>0</v>
      </c>
      <c r="M3" s="3">
        <f t="shared" si="1"/>
        <v>12</v>
      </c>
    </row>
    <row r="4" spans="1:13" ht="15" customHeight="1" x14ac:dyDescent="0.3">
      <c r="A4" s="1" t="s">
        <v>18</v>
      </c>
      <c r="B4" s="1" t="s">
        <v>13</v>
      </c>
      <c r="C4" s="1">
        <v>1</v>
      </c>
      <c r="H4" s="2" t="s">
        <v>19</v>
      </c>
      <c r="I4" s="3">
        <f t="shared" ref="I4:L4" si="3">SUM(C26+C14+C27+C62+C68+C124+C138+C142+C153+C155)</f>
        <v>10</v>
      </c>
      <c r="J4" s="3">
        <f t="shared" si="3"/>
        <v>0</v>
      </c>
      <c r="K4" s="3">
        <f t="shared" si="3"/>
        <v>0</v>
      </c>
      <c r="L4" s="3">
        <f t="shared" si="3"/>
        <v>0</v>
      </c>
      <c r="M4" s="3">
        <f t="shared" si="1"/>
        <v>10</v>
      </c>
    </row>
    <row r="5" spans="1:13" ht="15" customHeight="1" x14ac:dyDescent="0.3">
      <c r="A5" s="1" t="s">
        <v>20</v>
      </c>
      <c r="B5" s="1" t="s">
        <v>21</v>
      </c>
      <c r="C5" s="1">
        <v>1</v>
      </c>
      <c r="H5" s="2" t="s">
        <v>22</v>
      </c>
      <c r="I5" s="3">
        <f t="shared" ref="I5:L5" si="4">SUM(C5+C36+C56+C63+C73+C85+C87+C95+C135)</f>
        <v>7</v>
      </c>
      <c r="J5" s="3">
        <f t="shared" si="4"/>
        <v>0</v>
      </c>
      <c r="K5" s="3">
        <f t="shared" si="4"/>
        <v>1</v>
      </c>
      <c r="L5" s="3">
        <f t="shared" si="4"/>
        <v>1</v>
      </c>
      <c r="M5" s="3">
        <f t="shared" si="1"/>
        <v>9</v>
      </c>
    </row>
    <row r="6" spans="1:13" ht="15" customHeight="1" x14ac:dyDescent="0.3">
      <c r="A6" s="1" t="s">
        <v>23</v>
      </c>
      <c r="B6" s="1" t="s">
        <v>24</v>
      </c>
      <c r="D6" s="1">
        <v>1</v>
      </c>
      <c r="H6" s="2" t="s">
        <v>25</v>
      </c>
      <c r="I6" s="3">
        <f t="shared" ref="I6:L6" si="5">SUM(C12+C15+C18+C28+C41+C59+C78+C64+C82+C83+C86+C106+C119+C143+C148+C154)</f>
        <v>16</v>
      </c>
      <c r="J6" s="3">
        <f t="shared" si="5"/>
        <v>0</v>
      </c>
      <c r="K6" s="3">
        <f t="shared" si="5"/>
        <v>0</v>
      </c>
      <c r="L6" s="3">
        <f t="shared" si="5"/>
        <v>0</v>
      </c>
      <c r="M6" s="3">
        <f t="shared" si="1"/>
        <v>16</v>
      </c>
    </row>
    <row r="7" spans="1:13" ht="15" customHeight="1" x14ac:dyDescent="0.3">
      <c r="A7" s="1" t="s">
        <v>26</v>
      </c>
      <c r="B7" s="1" t="s">
        <v>27</v>
      </c>
      <c r="E7" s="1">
        <v>1</v>
      </c>
      <c r="H7" s="2" t="s">
        <v>28</v>
      </c>
      <c r="I7" s="3">
        <f t="shared" ref="I7:L7" si="6">SUM(C3+C20+C46+C49+C54+C89+C90+C102+C112+C114+C129+C141)</f>
        <v>12</v>
      </c>
      <c r="J7" s="3">
        <f t="shared" si="6"/>
        <v>0</v>
      </c>
      <c r="K7" s="3">
        <f t="shared" si="6"/>
        <v>0</v>
      </c>
      <c r="L7" s="3">
        <f t="shared" si="6"/>
        <v>0</v>
      </c>
      <c r="M7" s="3">
        <f t="shared" si="1"/>
        <v>12</v>
      </c>
    </row>
    <row r="8" spans="1:13" ht="15" customHeight="1" x14ac:dyDescent="0.3">
      <c r="A8" s="1" t="s">
        <v>29</v>
      </c>
      <c r="B8" s="1" t="s">
        <v>30</v>
      </c>
      <c r="C8" s="1">
        <v>1</v>
      </c>
      <c r="H8" s="2" t="s">
        <v>27</v>
      </c>
      <c r="I8" s="3">
        <f t="shared" ref="I8:L8" si="7">SUM(C7+C30+C29+C44+C51+C60+C72+C79+C101+C99+C107+C111+C117+C140+C144)</f>
        <v>4</v>
      </c>
      <c r="J8" s="3">
        <f t="shared" si="7"/>
        <v>9</v>
      </c>
      <c r="K8" s="3">
        <f t="shared" si="7"/>
        <v>2</v>
      </c>
      <c r="L8" s="3">
        <f t="shared" si="7"/>
        <v>0</v>
      </c>
      <c r="M8" s="3">
        <f t="shared" si="1"/>
        <v>15</v>
      </c>
    </row>
    <row r="9" spans="1:13" ht="15" customHeight="1" x14ac:dyDescent="0.3">
      <c r="A9" s="1" t="s">
        <v>31</v>
      </c>
      <c r="B9" s="1" t="s">
        <v>13</v>
      </c>
      <c r="C9" s="1">
        <v>1</v>
      </c>
      <c r="H9" s="2" t="s">
        <v>13</v>
      </c>
      <c r="I9" s="3">
        <f t="shared" ref="I9:J9" si="8">SUM(C4+C9+C17+C19+C2+C48+C92+C120+C126+C127+C130+C133+C151)</f>
        <v>7</v>
      </c>
      <c r="J9" s="3">
        <f t="shared" si="8"/>
        <v>5</v>
      </c>
      <c r="K9" s="3">
        <f>SUM(D4+D9+D17+D19+D2+D48+D92+D120+D126+D127+D130+D133+D151)</f>
        <v>5</v>
      </c>
      <c r="L9" s="3">
        <f>SUM(F4+F9+F17+F19+F2+F48+F92+F120+F126+F127+F130+F133+F151)</f>
        <v>0</v>
      </c>
      <c r="M9" s="3">
        <f t="shared" si="1"/>
        <v>17</v>
      </c>
    </row>
    <row r="10" spans="1:13" ht="15" customHeight="1" x14ac:dyDescent="0.3">
      <c r="A10" s="1" t="s">
        <v>32</v>
      </c>
      <c r="B10" s="1" t="s">
        <v>33</v>
      </c>
      <c r="C10" s="1">
        <v>1</v>
      </c>
      <c r="H10" s="2" t="s">
        <v>30</v>
      </c>
      <c r="I10" s="3">
        <f t="shared" ref="I10:L10" si="9">SUM(C8+C13+C16+C25+C31+C35+C43+C45+C70+C71+C75+C81+C88+C93+C98+C100+C104+C118+C136+C137+C156)</f>
        <v>1</v>
      </c>
      <c r="J10" s="3">
        <f t="shared" si="9"/>
        <v>4</v>
      </c>
      <c r="K10" s="3">
        <f t="shared" si="9"/>
        <v>16</v>
      </c>
      <c r="L10" s="3">
        <f t="shared" si="9"/>
        <v>0</v>
      </c>
      <c r="M10" s="3">
        <f t="shared" si="1"/>
        <v>21</v>
      </c>
    </row>
    <row r="11" spans="1:13" ht="15" customHeight="1" x14ac:dyDescent="0.3">
      <c r="A11" s="1" t="s">
        <v>34</v>
      </c>
      <c r="B11" s="1" t="s">
        <v>33</v>
      </c>
      <c r="C11" s="1">
        <v>1</v>
      </c>
      <c r="H11" s="2" t="s">
        <v>35</v>
      </c>
      <c r="I11" s="3">
        <f t="shared" ref="I11:L11" si="10">SUM(C38+C42+C47+C53+C74+C77+C80+C91+C97+C103+C108+C116+C131+C145+C147)</f>
        <v>0</v>
      </c>
      <c r="J11" s="3">
        <f t="shared" si="10"/>
        <v>7</v>
      </c>
      <c r="K11" s="3">
        <f t="shared" si="10"/>
        <v>8</v>
      </c>
      <c r="L11" s="3">
        <f t="shared" si="10"/>
        <v>0</v>
      </c>
      <c r="M11" s="3">
        <f t="shared" si="1"/>
        <v>15</v>
      </c>
    </row>
    <row r="12" spans="1:13" ht="15" customHeight="1" x14ac:dyDescent="0.3">
      <c r="A12" s="1" t="s">
        <v>36</v>
      </c>
      <c r="B12" s="1" t="s">
        <v>37</v>
      </c>
      <c r="C12" s="1">
        <v>1</v>
      </c>
      <c r="H12" s="2" t="s">
        <v>38</v>
      </c>
      <c r="I12" s="3">
        <f t="shared" ref="I12:L12" si="11">SUM(C21+C24+C34+C40+C67+C84+C132)</f>
        <v>4</v>
      </c>
      <c r="J12" s="3">
        <f t="shared" si="11"/>
        <v>2</v>
      </c>
      <c r="K12" s="3">
        <f t="shared" si="11"/>
        <v>1</v>
      </c>
      <c r="L12" s="3">
        <f t="shared" si="11"/>
        <v>0</v>
      </c>
      <c r="M12" s="3">
        <f t="shared" si="1"/>
        <v>7</v>
      </c>
    </row>
    <row r="13" spans="1:13" ht="15" customHeight="1" x14ac:dyDescent="0.3">
      <c r="A13" s="1" t="s">
        <v>39</v>
      </c>
      <c r="B13" s="1" t="s">
        <v>30</v>
      </c>
      <c r="E13" s="1">
        <v>1</v>
      </c>
      <c r="H13" s="2" t="s">
        <v>33</v>
      </c>
      <c r="I13" s="3">
        <f t="shared" ref="I13:L13" si="12">SUM(C10+C11+C57+C125+C149)</f>
        <v>5</v>
      </c>
      <c r="J13" s="3">
        <f t="shared" si="12"/>
        <v>0</v>
      </c>
      <c r="K13" s="3">
        <f t="shared" si="12"/>
        <v>0</v>
      </c>
      <c r="L13" s="3">
        <f t="shared" si="12"/>
        <v>0</v>
      </c>
      <c r="M13" s="3">
        <f t="shared" si="1"/>
        <v>5</v>
      </c>
    </row>
    <row r="14" spans="1:13" ht="15" customHeight="1" x14ac:dyDescent="0.3">
      <c r="A14" s="1" t="s">
        <v>40</v>
      </c>
      <c r="B14" s="1" t="s">
        <v>19</v>
      </c>
      <c r="C14" s="1">
        <v>1</v>
      </c>
      <c r="I14" s="4"/>
      <c r="J14" s="4"/>
      <c r="K14" s="4"/>
      <c r="L14" s="4"/>
    </row>
    <row r="15" spans="1:13" ht="15" customHeight="1" x14ac:dyDescent="0.3">
      <c r="A15" s="1" t="s">
        <v>41</v>
      </c>
      <c r="B15" s="1" t="s">
        <v>42</v>
      </c>
      <c r="C15" s="1">
        <v>1</v>
      </c>
      <c r="I15" s="4"/>
      <c r="J15" s="4"/>
      <c r="K15" s="4"/>
      <c r="L15" s="4"/>
    </row>
    <row r="16" spans="1:13" ht="15" customHeight="1" x14ac:dyDescent="0.3">
      <c r="A16" s="1" t="s">
        <v>43</v>
      </c>
      <c r="B16" s="1" t="s">
        <v>30</v>
      </c>
      <c r="D16" s="1">
        <v>1</v>
      </c>
      <c r="I16" s="4"/>
      <c r="J16" s="4"/>
      <c r="K16" s="4"/>
      <c r="L16" s="4"/>
    </row>
    <row r="17" spans="1:12" ht="15" customHeight="1" x14ac:dyDescent="0.3">
      <c r="A17" s="1" t="s">
        <v>44</v>
      </c>
      <c r="B17" s="1" t="s">
        <v>13</v>
      </c>
      <c r="C17" s="1">
        <v>1</v>
      </c>
      <c r="I17" s="4"/>
      <c r="J17" s="4"/>
      <c r="K17" s="4"/>
      <c r="L17" s="4"/>
    </row>
    <row r="18" spans="1:12" ht="15" customHeight="1" x14ac:dyDescent="0.3">
      <c r="A18" s="1" t="s">
        <v>45</v>
      </c>
      <c r="B18" s="1" t="s">
        <v>37</v>
      </c>
      <c r="C18" s="1">
        <v>1</v>
      </c>
      <c r="I18" s="4"/>
      <c r="J18" s="4"/>
      <c r="K18" s="4"/>
      <c r="L18" s="4"/>
    </row>
    <row r="19" spans="1:12" ht="15" customHeight="1" x14ac:dyDescent="0.3">
      <c r="A19" s="1" t="s">
        <v>46</v>
      </c>
      <c r="B19" s="1" t="s">
        <v>13</v>
      </c>
      <c r="D19" s="1">
        <v>1</v>
      </c>
    </row>
    <row r="20" spans="1:12" ht="15" customHeight="1" x14ac:dyDescent="0.3">
      <c r="A20" s="1" t="s">
        <v>47</v>
      </c>
      <c r="B20" s="1" t="s">
        <v>16</v>
      </c>
      <c r="C20" s="1">
        <v>1</v>
      </c>
    </row>
    <row r="21" spans="1:12" ht="15" customHeight="1" x14ac:dyDescent="0.3">
      <c r="A21" s="1" t="s">
        <v>48</v>
      </c>
      <c r="B21" s="1" t="s">
        <v>38</v>
      </c>
      <c r="C21" s="1">
        <v>1</v>
      </c>
    </row>
    <row r="22" spans="1:12" ht="15" customHeight="1" x14ac:dyDescent="0.3">
      <c r="A22" s="1" t="s">
        <v>49</v>
      </c>
      <c r="B22" s="1" t="s">
        <v>14</v>
      </c>
      <c r="C22" s="1">
        <v>1</v>
      </c>
    </row>
    <row r="23" spans="1:12" ht="15" customHeight="1" x14ac:dyDescent="0.3">
      <c r="A23" s="1" t="s">
        <v>50</v>
      </c>
      <c r="B23" s="1" t="s">
        <v>13</v>
      </c>
      <c r="D23" s="1">
        <v>1</v>
      </c>
    </row>
    <row r="24" spans="1:12" ht="15" customHeight="1" x14ac:dyDescent="0.3">
      <c r="A24" s="1" t="s">
        <v>51</v>
      </c>
      <c r="B24" s="1" t="s">
        <v>38</v>
      </c>
      <c r="C24" s="1">
        <v>1</v>
      </c>
    </row>
    <row r="25" spans="1:12" ht="15" customHeight="1" x14ac:dyDescent="0.3">
      <c r="A25" s="1" t="s">
        <v>52</v>
      </c>
      <c r="B25" s="1" t="s">
        <v>30</v>
      </c>
      <c r="E25" s="1">
        <v>1</v>
      </c>
    </row>
    <row r="26" spans="1:12" ht="15" customHeight="1" x14ac:dyDescent="0.3">
      <c r="A26" s="1" t="s">
        <v>53</v>
      </c>
      <c r="B26" s="1" t="s">
        <v>19</v>
      </c>
      <c r="C26" s="1">
        <v>1</v>
      </c>
    </row>
    <row r="27" spans="1:12" ht="15" customHeight="1" x14ac:dyDescent="0.3">
      <c r="A27" s="1" t="s">
        <v>54</v>
      </c>
      <c r="B27" s="1" t="s">
        <v>19</v>
      </c>
      <c r="C27" s="1">
        <v>1</v>
      </c>
    </row>
    <row r="28" spans="1:12" ht="15" customHeight="1" x14ac:dyDescent="0.3">
      <c r="A28" s="1" t="s">
        <v>55</v>
      </c>
      <c r="B28" s="1" t="s">
        <v>37</v>
      </c>
      <c r="C28" s="1">
        <v>1</v>
      </c>
    </row>
    <row r="29" spans="1:12" ht="15" customHeight="1" x14ac:dyDescent="0.3">
      <c r="A29" s="1" t="s">
        <v>56</v>
      </c>
      <c r="B29" s="1" t="s">
        <v>27</v>
      </c>
      <c r="C29" s="1">
        <v>1</v>
      </c>
    </row>
    <row r="30" spans="1:12" ht="15" customHeight="1" x14ac:dyDescent="0.3">
      <c r="A30" s="1" t="s">
        <v>57</v>
      </c>
      <c r="B30" s="1" t="s">
        <v>27</v>
      </c>
      <c r="D30" s="1">
        <v>1</v>
      </c>
    </row>
    <row r="31" spans="1:12" ht="15" customHeight="1" x14ac:dyDescent="0.3">
      <c r="A31" s="1" t="s">
        <v>58</v>
      </c>
      <c r="B31" s="1" t="s">
        <v>30</v>
      </c>
      <c r="D31" s="1">
        <v>1</v>
      </c>
    </row>
    <row r="32" spans="1:12" ht="15" customHeight="1" x14ac:dyDescent="0.3">
      <c r="A32" s="1" t="s">
        <v>59</v>
      </c>
      <c r="B32" s="1" t="s">
        <v>24</v>
      </c>
      <c r="D32" s="1">
        <v>1</v>
      </c>
    </row>
    <row r="33" spans="1:12" ht="15" customHeight="1" x14ac:dyDescent="0.3">
      <c r="A33" s="1" t="s">
        <v>60</v>
      </c>
      <c r="B33" s="1" t="s">
        <v>27</v>
      </c>
      <c r="D33" s="1">
        <v>1</v>
      </c>
    </row>
    <row r="34" spans="1:12" ht="15" customHeight="1" x14ac:dyDescent="0.3">
      <c r="A34" s="1" t="s">
        <v>61</v>
      </c>
      <c r="B34" s="1" t="s">
        <v>38</v>
      </c>
      <c r="C34" s="1">
        <v>1</v>
      </c>
    </row>
    <row r="35" spans="1:12" ht="15" customHeight="1" x14ac:dyDescent="0.3">
      <c r="A35" s="1" t="s">
        <v>62</v>
      </c>
      <c r="B35" s="1" t="s">
        <v>30</v>
      </c>
      <c r="E35" s="1">
        <v>1</v>
      </c>
    </row>
    <row r="36" spans="1:12" ht="15" customHeight="1" x14ac:dyDescent="0.3">
      <c r="A36" s="1" t="s">
        <v>63</v>
      </c>
      <c r="B36" s="1" t="s">
        <v>21</v>
      </c>
      <c r="C36" s="1">
        <v>1</v>
      </c>
    </row>
    <row r="37" spans="1:12" ht="15" customHeight="1" x14ac:dyDescent="0.3">
      <c r="A37" s="1" t="s">
        <v>64</v>
      </c>
      <c r="B37" s="1" t="s">
        <v>14</v>
      </c>
      <c r="C37" s="1">
        <v>1</v>
      </c>
    </row>
    <row r="38" spans="1:12" ht="15" customHeight="1" x14ac:dyDescent="0.3">
      <c r="A38" s="1" t="s">
        <v>65</v>
      </c>
      <c r="B38" s="1" t="s">
        <v>66</v>
      </c>
      <c r="D38" s="1">
        <v>1</v>
      </c>
    </row>
    <row r="39" spans="1:12" ht="15" customHeight="1" x14ac:dyDescent="0.3">
      <c r="A39" s="1" t="s">
        <v>67</v>
      </c>
      <c r="B39" s="1" t="s">
        <v>16</v>
      </c>
      <c r="C39" s="1">
        <v>1</v>
      </c>
    </row>
    <row r="40" spans="1:12" ht="15" customHeight="1" x14ac:dyDescent="0.3">
      <c r="A40" s="1" t="s">
        <v>68</v>
      </c>
      <c r="B40" s="1" t="s">
        <v>38</v>
      </c>
      <c r="E40" s="1">
        <v>1</v>
      </c>
    </row>
    <row r="41" spans="1:12" ht="15" customHeight="1" x14ac:dyDescent="0.3">
      <c r="A41" s="1" t="s">
        <v>69</v>
      </c>
      <c r="B41" s="1" t="s">
        <v>37</v>
      </c>
      <c r="C41" s="1">
        <v>1</v>
      </c>
    </row>
    <row r="42" spans="1:12" ht="15" customHeight="1" x14ac:dyDescent="0.3">
      <c r="A42" s="1" t="s">
        <v>70</v>
      </c>
      <c r="B42" s="1" t="s">
        <v>66</v>
      </c>
      <c r="E42" s="1">
        <v>1</v>
      </c>
    </row>
    <row r="43" spans="1:12" ht="15" customHeight="1" x14ac:dyDescent="0.3">
      <c r="A43" s="1" t="s">
        <v>71</v>
      </c>
      <c r="B43" s="1" t="s">
        <v>30</v>
      </c>
      <c r="E43" s="1">
        <v>1</v>
      </c>
    </row>
    <row r="44" spans="1:12" ht="15" customHeight="1" x14ac:dyDescent="0.3">
      <c r="A44" s="1" t="s">
        <v>72</v>
      </c>
      <c r="B44" s="1" t="s">
        <v>27</v>
      </c>
      <c r="D44" s="1">
        <v>1</v>
      </c>
    </row>
    <row r="45" spans="1:12" ht="15" customHeight="1" x14ac:dyDescent="0.3">
      <c r="A45" s="1" t="s">
        <v>73</v>
      </c>
      <c r="B45" s="1" t="s">
        <v>30</v>
      </c>
      <c r="E45" s="1">
        <v>1</v>
      </c>
      <c r="H45" s="1" t="s">
        <v>6</v>
      </c>
      <c r="I45" s="1" t="s">
        <v>7</v>
      </c>
      <c r="J45" s="1" t="s">
        <v>8</v>
      </c>
      <c r="K45" s="1" t="s">
        <v>9</v>
      </c>
      <c r="L45" s="1" t="s">
        <v>10</v>
      </c>
    </row>
    <row r="46" spans="1:12" ht="15" customHeight="1" x14ac:dyDescent="0.3">
      <c r="A46" s="1" t="s">
        <v>74</v>
      </c>
      <c r="B46" s="1" t="s">
        <v>16</v>
      </c>
      <c r="C46" s="1">
        <v>1</v>
      </c>
      <c r="H46" s="2" t="s">
        <v>14</v>
      </c>
      <c r="I46" s="4">
        <f t="shared" ref="I46:I57" si="13">I2/M2</f>
        <v>0.90909090909090906</v>
      </c>
      <c r="J46" s="4">
        <f t="shared" ref="J46:J57" si="14">J2/M2</f>
        <v>0</v>
      </c>
      <c r="K46" s="4">
        <f t="shared" ref="K46:K57" si="15">K2/M2</f>
        <v>9.0909090909090912E-2</v>
      </c>
      <c r="L46" s="4">
        <f t="shared" ref="L46:L57" si="16">L2/M2</f>
        <v>0</v>
      </c>
    </row>
    <row r="47" spans="1:12" ht="15" customHeight="1" x14ac:dyDescent="0.3">
      <c r="A47" s="1" t="s">
        <v>75</v>
      </c>
      <c r="B47" s="1" t="s">
        <v>66</v>
      </c>
      <c r="E47" s="1">
        <v>1</v>
      </c>
      <c r="H47" s="2" t="s">
        <v>17</v>
      </c>
      <c r="I47" s="4">
        <f t="shared" si="13"/>
        <v>0.16666666666666666</v>
      </c>
      <c r="J47" s="4">
        <f t="shared" si="14"/>
        <v>0.75</v>
      </c>
      <c r="K47" s="4">
        <f t="shared" si="15"/>
        <v>8.3333333333333329E-2</v>
      </c>
      <c r="L47" s="4">
        <f t="shared" si="16"/>
        <v>0</v>
      </c>
    </row>
    <row r="48" spans="1:12" ht="15" customHeight="1" x14ac:dyDescent="0.3">
      <c r="A48" s="1" t="s">
        <v>76</v>
      </c>
      <c r="B48" s="1" t="s">
        <v>13</v>
      </c>
      <c r="E48" s="1">
        <v>1</v>
      </c>
      <c r="H48" s="2" t="s">
        <v>19</v>
      </c>
      <c r="I48" s="4">
        <f t="shared" si="13"/>
        <v>1</v>
      </c>
      <c r="J48" s="4">
        <f t="shared" si="14"/>
        <v>0</v>
      </c>
      <c r="K48" s="4">
        <f t="shared" si="15"/>
        <v>0</v>
      </c>
      <c r="L48" s="4">
        <f t="shared" si="16"/>
        <v>0</v>
      </c>
    </row>
    <row r="49" spans="1:12" ht="15" customHeight="1" x14ac:dyDescent="0.3">
      <c r="A49" s="1" t="s">
        <v>77</v>
      </c>
      <c r="B49" s="1" t="s">
        <v>16</v>
      </c>
      <c r="C49" s="1">
        <v>1</v>
      </c>
      <c r="H49" s="2" t="s">
        <v>22</v>
      </c>
      <c r="I49" s="4">
        <f t="shared" si="13"/>
        <v>0.77777777777777779</v>
      </c>
      <c r="J49" s="4">
        <f t="shared" si="14"/>
        <v>0</v>
      </c>
      <c r="K49" s="4">
        <f t="shared" si="15"/>
        <v>0.1111111111111111</v>
      </c>
      <c r="L49" s="4">
        <f t="shared" si="16"/>
        <v>0.1111111111111111</v>
      </c>
    </row>
    <row r="50" spans="1:12" ht="15" customHeight="1" x14ac:dyDescent="0.3">
      <c r="A50" s="1" t="s">
        <v>78</v>
      </c>
      <c r="B50" s="1" t="s">
        <v>24</v>
      </c>
      <c r="D50" s="1">
        <v>1</v>
      </c>
      <c r="H50" s="2" t="s">
        <v>25</v>
      </c>
      <c r="I50" s="4">
        <f t="shared" si="13"/>
        <v>1</v>
      </c>
      <c r="J50" s="4">
        <f t="shared" si="14"/>
        <v>0</v>
      </c>
      <c r="K50" s="4">
        <f t="shared" si="15"/>
        <v>0</v>
      </c>
      <c r="L50" s="4">
        <f t="shared" si="16"/>
        <v>0</v>
      </c>
    </row>
    <row r="51" spans="1:12" ht="15" customHeight="1" x14ac:dyDescent="0.3">
      <c r="A51" s="1" t="s">
        <v>79</v>
      </c>
      <c r="B51" s="1" t="s">
        <v>27</v>
      </c>
      <c r="D51" s="1">
        <v>1</v>
      </c>
      <c r="H51" s="2" t="s">
        <v>28</v>
      </c>
      <c r="I51" s="4">
        <f t="shared" si="13"/>
        <v>1</v>
      </c>
      <c r="J51" s="4">
        <f t="shared" si="14"/>
        <v>0</v>
      </c>
      <c r="K51" s="4">
        <f t="shared" si="15"/>
        <v>0</v>
      </c>
      <c r="L51" s="4">
        <f t="shared" si="16"/>
        <v>0</v>
      </c>
    </row>
    <row r="52" spans="1:12" ht="15" customHeight="1" x14ac:dyDescent="0.3">
      <c r="A52" s="1" t="s">
        <v>80</v>
      </c>
      <c r="B52" s="1" t="s">
        <v>24</v>
      </c>
      <c r="C52" s="1">
        <v>1</v>
      </c>
      <c r="H52" s="2" t="s">
        <v>27</v>
      </c>
      <c r="I52" s="4">
        <f t="shared" si="13"/>
        <v>0.26666666666666666</v>
      </c>
      <c r="J52" s="4">
        <f t="shared" si="14"/>
        <v>0.6</v>
      </c>
      <c r="K52" s="4">
        <f t="shared" si="15"/>
        <v>0.13333333333333333</v>
      </c>
      <c r="L52" s="4">
        <f t="shared" si="16"/>
        <v>0</v>
      </c>
    </row>
    <row r="53" spans="1:12" ht="15" customHeight="1" x14ac:dyDescent="0.3">
      <c r="A53" s="1" t="s">
        <v>81</v>
      </c>
      <c r="B53" s="1" t="s">
        <v>66</v>
      </c>
      <c r="D53" s="1">
        <v>1</v>
      </c>
      <c r="H53" s="2" t="s">
        <v>13</v>
      </c>
      <c r="I53" s="4">
        <f t="shared" si="13"/>
        <v>0.41176470588235292</v>
      </c>
      <c r="J53" s="4">
        <f t="shared" si="14"/>
        <v>0.29411764705882354</v>
      </c>
      <c r="K53" s="4">
        <f t="shared" si="15"/>
        <v>0.29411764705882354</v>
      </c>
      <c r="L53" s="4">
        <f t="shared" si="16"/>
        <v>0</v>
      </c>
    </row>
    <row r="54" spans="1:12" ht="15" customHeight="1" x14ac:dyDescent="0.3">
      <c r="A54" s="1" t="s">
        <v>82</v>
      </c>
      <c r="B54" s="1" t="s">
        <v>16</v>
      </c>
      <c r="C54" s="1">
        <v>1</v>
      </c>
      <c r="H54" s="2" t="s">
        <v>30</v>
      </c>
      <c r="I54" s="4">
        <f t="shared" si="13"/>
        <v>4.7619047619047616E-2</v>
      </c>
      <c r="J54" s="4">
        <f t="shared" si="14"/>
        <v>0.19047619047619047</v>
      </c>
      <c r="K54" s="4">
        <f t="shared" si="15"/>
        <v>0.76190476190476186</v>
      </c>
      <c r="L54" s="4">
        <f t="shared" si="16"/>
        <v>0</v>
      </c>
    </row>
    <row r="55" spans="1:12" ht="15" customHeight="1" x14ac:dyDescent="0.3">
      <c r="A55" s="1" t="s">
        <v>83</v>
      </c>
      <c r="B55" s="1" t="s">
        <v>14</v>
      </c>
      <c r="C55" s="1">
        <v>1</v>
      </c>
      <c r="H55" s="2" t="s">
        <v>35</v>
      </c>
      <c r="I55" s="4">
        <f t="shared" si="13"/>
        <v>0</v>
      </c>
      <c r="J55" s="4">
        <f t="shared" si="14"/>
        <v>0.46666666666666667</v>
      </c>
      <c r="K55" s="4">
        <f t="shared" si="15"/>
        <v>0.53333333333333333</v>
      </c>
      <c r="L55" s="4">
        <f t="shared" si="16"/>
        <v>0</v>
      </c>
    </row>
    <row r="56" spans="1:12" ht="15" customHeight="1" x14ac:dyDescent="0.3">
      <c r="A56" s="1" t="s">
        <v>84</v>
      </c>
      <c r="B56" s="1" t="s">
        <v>21</v>
      </c>
      <c r="C56" s="1">
        <v>1</v>
      </c>
      <c r="H56" s="2" t="s">
        <v>38</v>
      </c>
      <c r="I56" s="4">
        <f t="shared" si="13"/>
        <v>0.5714285714285714</v>
      </c>
      <c r="J56" s="4">
        <f t="shared" si="14"/>
        <v>0.2857142857142857</v>
      </c>
      <c r="K56" s="4">
        <f t="shared" si="15"/>
        <v>0.14285714285714285</v>
      </c>
      <c r="L56" s="4">
        <f t="shared" si="16"/>
        <v>0</v>
      </c>
    </row>
    <row r="57" spans="1:12" ht="15" customHeight="1" x14ac:dyDescent="0.3">
      <c r="A57" s="1" t="s">
        <v>85</v>
      </c>
      <c r="B57" s="1" t="s">
        <v>33</v>
      </c>
      <c r="C57" s="1">
        <v>1</v>
      </c>
      <c r="H57" s="2" t="s">
        <v>33</v>
      </c>
      <c r="I57" s="4">
        <f t="shared" si="13"/>
        <v>1</v>
      </c>
      <c r="J57" s="4">
        <f t="shared" si="14"/>
        <v>0</v>
      </c>
      <c r="K57" s="4">
        <f t="shared" si="15"/>
        <v>0</v>
      </c>
      <c r="L57" s="4">
        <f t="shared" si="16"/>
        <v>0</v>
      </c>
    </row>
    <row r="58" spans="1:12" ht="15" customHeight="1" x14ac:dyDescent="0.3">
      <c r="A58" s="1" t="s">
        <v>86</v>
      </c>
      <c r="B58" s="1" t="s">
        <v>24</v>
      </c>
      <c r="D58" s="1">
        <v>1</v>
      </c>
    </row>
    <row r="59" spans="1:12" ht="15" customHeight="1" x14ac:dyDescent="0.3">
      <c r="A59" s="1" t="s">
        <v>87</v>
      </c>
      <c r="B59" s="1" t="s">
        <v>37</v>
      </c>
      <c r="C59" s="1">
        <v>1</v>
      </c>
    </row>
    <row r="60" spans="1:12" ht="15" customHeight="1" x14ac:dyDescent="0.3">
      <c r="A60" s="1" t="s">
        <v>88</v>
      </c>
      <c r="B60" s="1" t="s">
        <v>27</v>
      </c>
      <c r="C60" s="1">
        <v>1</v>
      </c>
    </row>
    <row r="61" spans="1:12" ht="15" customHeight="1" x14ac:dyDescent="0.3">
      <c r="A61" s="1" t="s">
        <v>89</v>
      </c>
      <c r="B61" s="1" t="s">
        <v>13</v>
      </c>
      <c r="C61" s="1">
        <v>1</v>
      </c>
    </row>
    <row r="62" spans="1:12" ht="15" customHeight="1" x14ac:dyDescent="0.3">
      <c r="A62" s="1" t="s">
        <v>90</v>
      </c>
      <c r="B62" s="1" t="s">
        <v>19</v>
      </c>
      <c r="C62" s="1">
        <v>1</v>
      </c>
    </row>
    <row r="63" spans="1:12" ht="15" customHeight="1" x14ac:dyDescent="0.3">
      <c r="A63" s="1" t="s">
        <v>91</v>
      </c>
      <c r="B63" s="1" t="s">
        <v>21</v>
      </c>
      <c r="E63" s="1">
        <v>1</v>
      </c>
    </row>
    <row r="64" spans="1:12" ht="15" customHeight="1" x14ac:dyDescent="0.3">
      <c r="A64" s="1" t="s">
        <v>92</v>
      </c>
      <c r="B64" s="1" t="s">
        <v>42</v>
      </c>
      <c r="C64" s="1">
        <v>1</v>
      </c>
    </row>
    <row r="65" spans="1:6" ht="15" customHeight="1" x14ac:dyDescent="0.3">
      <c r="A65" s="1" t="s">
        <v>93</v>
      </c>
      <c r="B65" s="1" t="s">
        <v>14</v>
      </c>
      <c r="E65" s="1">
        <v>1</v>
      </c>
    </row>
    <row r="66" spans="1:6" ht="15" customHeight="1" x14ac:dyDescent="0.3">
      <c r="A66" s="1" t="s">
        <v>94</v>
      </c>
      <c r="B66" s="1" t="s">
        <v>14</v>
      </c>
      <c r="C66" s="1">
        <v>1</v>
      </c>
    </row>
    <row r="67" spans="1:6" ht="15" customHeight="1" x14ac:dyDescent="0.3">
      <c r="A67" s="1" t="s">
        <v>95</v>
      </c>
      <c r="B67" s="1" t="s">
        <v>38</v>
      </c>
      <c r="D67" s="1">
        <v>1</v>
      </c>
    </row>
    <row r="68" spans="1:6" ht="15" customHeight="1" x14ac:dyDescent="0.3">
      <c r="A68" s="1" t="s">
        <v>96</v>
      </c>
      <c r="B68" s="1" t="s">
        <v>19</v>
      </c>
      <c r="C68" s="1">
        <v>1</v>
      </c>
    </row>
    <row r="69" spans="1:6" ht="15" customHeight="1" x14ac:dyDescent="0.3">
      <c r="A69" s="1" t="s">
        <v>97</v>
      </c>
      <c r="B69" s="1" t="s">
        <v>24</v>
      </c>
      <c r="D69" s="1">
        <v>1</v>
      </c>
    </row>
    <row r="70" spans="1:6" ht="15" customHeight="1" x14ac:dyDescent="0.3">
      <c r="A70" s="1" t="s">
        <v>98</v>
      </c>
      <c r="B70" s="1" t="s">
        <v>30</v>
      </c>
      <c r="E70" s="1">
        <v>1</v>
      </c>
    </row>
    <row r="71" spans="1:6" ht="15" customHeight="1" x14ac:dyDescent="0.3">
      <c r="A71" s="1" t="s">
        <v>99</v>
      </c>
      <c r="B71" s="1" t="s">
        <v>30</v>
      </c>
      <c r="D71" s="1">
        <v>1</v>
      </c>
    </row>
    <row r="72" spans="1:6" ht="15" customHeight="1" x14ac:dyDescent="0.3">
      <c r="A72" s="1" t="s">
        <v>100</v>
      </c>
      <c r="B72" s="1" t="s">
        <v>27</v>
      </c>
      <c r="D72" s="1">
        <v>1</v>
      </c>
    </row>
    <row r="73" spans="1:6" ht="15" customHeight="1" x14ac:dyDescent="0.3">
      <c r="A73" s="1" t="s">
        <v>101</v>
      </c>
      <c r="B73" s="1" t="s">
        <v>21</v>
      </c>
      <c r="F73" s="1">
        <v>1</v>
      </c>
    </row>
    <row r="74" spans="1:6" ht="15" customHeight="1" x14ac:dyDescent="0.3">
      <c r="A74" s="1" t="s">
        <v>102</v>
      </c>
      <c r="B74" s="1" t="s">
        <v>66</v>
      </c>
      <c r="D74" s="1">
        <v>1</v>
      </c>
    </row>
    <row r="75" spans="1:6" ht="15" customHeight="1" x14ac:dyDescent="0.3">
      <c r="A75" s="1" t="s">
        <v>103</v>
      </c>
      <c r="B75" s="1" t="s">
        <v>30</v>
      </c>
      <c r="E75" s="1">
        <v>1</v>
      </c>
    </row>
    <row r="76" spans="1:6" ht="15" customHeight="1" x14ac:dyDescent="0.3">
      <c r="A76" s="1" t="s">
        <v>104</v>
      </c>
      <c r="B76" s="1" t="s">
        <v>24</v>
      </c>
      <c r="D76" s="1">
        <v>1</v>
      </c>
    </row>
    <row r="77" spans="1:6" ht="15" customHeight="1" x14ac:dyDescent="0.3">
      <c r="A77" s="1" t="s">
        <v>105</v>
      </c>
      <c r="B77" s="1" t="s">
        <v>66</v>
      </c>
      <c r="E77" s="1">
        <v>1</v>
      </c>
    </row>
    <row r="78" spans="1:6" ht="15" customHeight="1" x14ac:dyDescent="0.3">
      <c r="A78" s="1" t="s">
        <v>106</v>
      </c>
      <c r="B78" s="1" t="s">
        <v>42</v>
      </c>
      <c r="C78" s="1">
        <v>1</v>
      </c>
    </row>
    <row r="79" spans="1:6" ht="15" customHeight="1" x14ac:dyDescent="0.3">
      <c r="A79" s="1" t="s">
        <v>107</v>
      </c>
      <c r="B79" s="1" t="s">
        <v>27</v>
      </c>
      <c r="D79" s="1">
        <v>1</v>
      </c>
    </row>
    <row r="80" spans="1:6" ht="15" customHeight="1" x14ac:dyDescent="0.3">
      <c r="A80" s="1" t="s">
        <v>108</v>
      </c>
      <c r="B80" s="1" t="s">
        <v>66</v>
      </c>
      <c r="D80" s="1">
        <v>1</v>
      </c>
    </row>
    <row r="81" spans="1:5" ht="15" customHeight="1" x14ac:dyDescent="0.3">
      <c r="A81" s="1" t="s">
        <v>109</v>
      </c>
      <c r="B81" s="1" t="s">
        <v>30</v>
      </c>
      <c r="E81" s="1">
        <v>1</v>
      </c>
    </row>
    <row r="82" spans="1:5" ht="15" customHeight="1" x14ac:dyDescent="0.3">
      <c r="A82" s="1" t="s">
        <v>110</v>
      </c>
      <c r="B82" s="1" t="s">
        <v>37</v>
      </c>
      <c r="C82" s="1">
        <v>1</v>
      </c>
    </row>
    <row r="83" spans="1:5" ht="15" customHeight="1" x14ac:dyDescent="0.3">
      <c r="A83" s="1" t="s">
        <v>111</v>
      </c>
      <c r="B83" s="1" t="s">
        <v>37</v>
      </c>
      <c r="C83" s="1">
        <v>1</v>
      </c>
    </row>
    <row r="84" spans="1:5" ht="15" customHeight="1" x14ac:dyDescent="0.3">
      <c r="A84" s="1" t="s">
        <v>112</v>
      </c>
      <c r="B84" s="1" t="s">
        <v>38</v>
      </c>
      <c r="C84" s="1">
        <v>1</v>
      </c>
    </row>
    <row r="85" spans="1:5" ht="15" customHeight="1" x14ac:dyDescent="0.3">
      <c r="A85" s="1" t="s">
        <v>113</v>
      </c>
      <c r="B85" s="1" t="s">
        <v>21</v>
      </c>
      <c r="C85" s="1">
        <v>1</v>
      </c>
    </row>
    <row r="86" spans="1:5" ht="15" customHeight="1" x14ac:dyDescent="0.3">
      <c r="A86" s="1" t="s">
        <v>114</v>
      </c>
      <c r="B86" s="1" t="s">
        <v>42</v>
      </c>
      <c r="C86" s="1">
        <v>1</v>
      </c>
    </row>
    <row r="87" spans="1:5" ht="15" customHeight="1" x14ac:dyDescent="0.3">
      <c r="A87" s="1" t="s">
        <v>115</v>
      </c>
      <c r="B87" s="1" t="s">
        <v>21</v>
      </c>
      <c r="C87" s="1">
        <v>1</v>
      </c>
    </row>
    <row r="88" spans="1:5" ht="15" customHeight="1" x14ac:dyDescent="0.3">
      <c r="A88" s="1" t="s">
        <v>116</v>
      </c>
      <c r="B88" s="1" t="s">
        <v>30</v>
      </c>
      <c r="D88" s="1">
        <v>1</v>
      </c>
    </row>
    <row r="89" spans="1:5" ht="15" customHeight="1" x14ac:dyDescent="0.3">
      <c r="A89" s="1" t="s">
        <v>117</v>
      </c>
      <c r="B89" s="1" t="s">
        <v>16</v>
      </c>
      <c r="C89" s="1">
        <v>1</v>
      </c>
    </row>
    <row r="90" spans="1:5" ht="15" customHeight="1" x14ac:dyDescent="0.3">
      <c r="A90" s="1" t="s">
        <v>118</v>
      </c>
      <c r="B90" s="1" t="s">
        <v>16</v>
      </c>
      <c r="C90" s="1">
        <v>1</v>
      </c>
    </row>
    <row r="91" spans="1:5" ht="15" customHeight="1" x14ac:dyDescent="0.3">
      <c r="A91" s="1" t="s">
        <v>119</v>
      </c>
      <c r="B91" s="1" t="s">
        <v>66</v>
      </c>
      <c r="D91" s="1">
        <v>1</v>
      </c>
    </row>
    <row r="92" spans="1:5" ht="15" customHeight="1" x14ac:dyDescent="0.3">
      <c r="A92" s="1" t="s">
        <v>120</v>
      </c>
      <c r="B92" s="1" t="s">
        <v>13</v>
      </c>
      <c r="C92" s="1">
        <v>1</v>
      </c>
    </row>
    <row r="93" spans="1:5" ht="15" customHeight="1" x14ac:dyDescent="0.3">
      <c r="A93" s="1" t="s">
        <v>121</v>
      </c>
      <c r="B93" s="1" t="s">
        <v>30</v>
      </c>
      <c r="E93" s="1">
        <v>1</v>
      </c>
    </row>
    <row r="94" spans="1:5" ht="15" customHeight="1" x14ac:dyDescent="0.3">
      <c r="A94" s="1" t="s">
        <v>122</v>
      </c>
      <c r="B94" s="1" t="s">
        <v>24</v>
      </c>
      <c r="D94" s="1">
        <v>1</v>
      </c>
    </row>
    <row r="95" spans="1:5" ht="15" customHeight="1" x14ac:dyDescent="0.3">
      <c r="A95" s="1" t="s">
        <v>123</v>
      </c>
      <c r="B95" s="1" t="s">
        <v>21</v>
      </c>
      <c r="C95" s="1">
        <v>1</v>
      </c>
    </row>
    <row r="96" spans="1:5" ht="15" customHeight="1" x14ac:dyDescent="0.3">
      <c r="A96" s="1" t="s">
        <v>124</v>
      </c>
      <c r="B96" s="1" t="s">
        <v>14</v>
      </c>
      <c r="C96" s="1">
        <v>1</v>
      </c>
    </row>
    <row r="97" spans="1:5" ht="15" customHeight="1" x14ac:dyDescent="0.3">
      <c r="A97" s="1" t="s">
        <v>125</v>
      </c>
      <c r="B97" s="1" t="s">
        <v>66</v>
      </c>
      <c r="E97" s="1">
        <v>1</v>
      </c>
    </row>
    <row r="98" spans="1:5" ht="15" customHeight="1" x14ac:dyDescent="0.3">
      <c r="A98" s="1" t="s">
        <v>126</v>
      </c>
      <c r="B98" s="1" t="s">
        <v>30</v>
      </c>
      <c r="E98" s="1">
        <v>1</v>
      </c>
    </row>
    <row r="99" spans="1:5" ht="15" customHeight="1" x14ac:dyDescent="0.3">
      <c r="A99" s="1" t="s">
        <v>127</v>
      </c>
      <c r="B99" s="1" t="s">
        <v>27</v>
      </c>
      <c r="D99" s="1">
        <v>1</v>
      </c>
    </row>
    <row r="100" spans="1:5" ht="15" customHeight="1" x14ac:dyDescent="0.3">
      <c r="A100" s="1" t="s">
        <v>128</v>
      </c>
      <c r="B100" s="1" t="s">
        <v>30</v>
      </c>
      <c r="E100" s="1">
        <v>1</v>
      </c>
    </row>
    <row r="101" spans="1:5" ht="15" customHeight="1" x14ac:dyDescent="0.3">
      <c r="A101" s="1" t="s">
        <v>129</v>
      </c>
      <c r="B101" s="1" t="s">
        <v>27</v>
      </c>
      <c r="C101" s="1">
        <v>1</v>
      </c>
    </row>
    <row r="102" spans="1:5" ht="15" customHeight="1" x14ac:dyDescent="0.3">
      <c r="A102" s="1" t="s">
        <v>130</v>
      </c>
      <c r="B102" s="1" t="s">
        <v>16</v>
      </c>
      <c r="C102" s="1">
        <v>1</v>
      </c>
    </row>
    <row r="103" spans="1:5" ht="15" customHeight="1" x14ac:dyDescent="0.3">
      <c r="A103" s="1" t="s">
        <v>131</v>
      </c>
      <c r="B103" s="1" t="s">
        <v>66</v>
      </c>
      <c r="E103" s="1">
        <v>1</v>
      </c>
    </row>
    <row r="104" spans="1:5" ht="15" customHeight="1" x14ac:dyDescent="0.3">
      <c r="A104" s="1" t="s">
        <v>132</v>
      </c>
      <c r="B104" s="1" t="s">
        <v>30</v>
      </c>
      <c r="E104" s="1">
        <v>1</v>
      </c>
    </row>
    <row r="105" spans="1:5" ht="15" customHeight="1" x14ac:dyDescent="0.3">
      <c r="A105" s="1" t="s">
        <v>133</v>
      </c>
      <c r="B105" s="1" t="s">
        <v>14</v>
      </c>
      <c r="C105" s="1">
        <v>1</v>
      </c>
    </row>
    <row r="106" spans="1:5" ht="15" customHeight="1" x14ac:dyDescent="0.3">
      <c r="A106" s="1" t="s">
        <v>134</v>
      </c>
      <c r="B106" s="1" t="s">
        <v>42</v>
      </c>
      <c r="C106" s="1">
        <v>1</v>
      </c>
    </row>
    <row r="107" spans="1:5" ht="15" customHeight="1" x14ac:dyDescent="0.3">
      <c r="A107" s="1" t="s">
        <v>135</v>
      </c>
      <c r="B107" s="1" t="s">
        <v>27</v>
      </c>
      <c r="D107" s="1">
        <v>1</v>
      </c>
    </row>
    <row r="108" spans="1:5" ht="15" customHeight="1" x14ac:dyDescent="0.3">
      <c r="A108" s="1" t="s">
        <v>136</v>
      </c>
      <c r="B108" s="1" t="s">
        <v>66</v>
      </c>
      <c r="E108" s="1">
        <v>1</v>
      </c>
    </row>
    <row r="109" spans="1:5" ht="15" customHeight="1" x14ac:dyDescent="0.3">
      <c r="A109" s="1" t="s">
        <v>137</v>
      </c>
      <c r="B109" s="1" t="s">
        <v>13</v>
      </c>
      <c r="D109" s="1">
        <v>1</v>
      </c>
    </row>
    <row r="110" spans="1:5" ht="15" customHeight="1" x14ac:dyDescent="0.3">
      <c r="A110" s="1" t="s">
        <v>138</v>
      </c>
      <c r="B110" s="1" t="s">
        <v>42</v>
      </c>
      <c r="C110" s="1">
        <v>1</v>
      </c>
    </row>
    <row r="111" spans="1:5" ht="15" customHeight="1" x14ac:dyDescent="0.3">
      <c r="A111" s="1" t="s">
        <v>139</v>
      </c>
      <c r="B111" s="1" t="s">
        <v>27</v>
      </c>
      <c r="E111" s="1">
        <v>1</v>
      </c>
    </row>
    <row r="112" spans="1:5" ht="15" customHeight="1" x14ac:dyDescent="0.3">
      <c r="A112" s="1" t="s">
        <v>140</v>
      </c>
      <c r="B112" s="1" t="s">
        <v>16</v>
      </c>
      <c r="C112" s="1">
        <v>1</v>
      </c>
    </row>
    <row r="113" spans="1:6" ht="15" customHeight="1" x14ac:dyDescent="0.3">
      <c r="A113" s="1" t="s">
        <v>141</v>
      </c>
      <c r="B113" s="1" t="s">
        <v>14</v>
      </c>
      <c r="C113" s="1">
        <v>1</v>
      </c>
    </row>
    <row r="114" spans="1:6" ht="15" customHeight="1" x14ac:dyDescent="0.3">
      <c r="A114" s="1" t="s">
        <v>142</v>
      </c>
      <c r="B114" s="1" t="s">
        <v>16</v>
      </c>
      <c r="C114" s="1">
        <v>1</v>
      </c>
    </row>
    <row r="115" spans="1:6" ht="15" customHeight="1" x14ac:dyDescent="0.3">
      <c r="A115" s="1" t="s">
        <v>143</v>
      </c>
      <c r="B115" s="1" t="s">
        <v>24</v>
      </c>
      <c r="D115" s="1">
        <v>1</v>
      </c>
    </row>
    <row r="116" spans="1:6" ht="15" customHeight="1" x14ac:dyDescent="0.3">
      <c r="A116" s="1" t="s">
        <v>144</v>
      </c>
      <c r="B116" s="1" t="s">
        <v>66</v>
      </c>
      <c r="D116" s="1">
        <v>1</v>
      </c>
    </row>
    <row r="117" spans="1:6" ht="15" customHeight="1" x14ac:dyDescent="0.3">
      <c r="A117" s="1" t="s">
        <v>145</v>
      </c>
      <c r="B117" s="1" t="s">
        <v>27</v>
      </c>
      <c r="D117" s="1">
        <v>1</v>
      </c>
    </row>
    <row r="118" spans="1:6" ht="15" customHeight="1" x14ac:dyDescent="0.3">
      <c r="A118" s="1" t="s">
        <v>146</v>
      </c>
      <c r="B118" s="1" t="s">
        <v>30</v>
      </c>
      <c r="E118" s="1">
        <v>1</v>
      </c>
    </row>
    <row r="119" spans="1:6" ht="15" customHeight="1" x14ac:dyDescent="0.3">
      <c r="A119" s="1" t="s">
        <v>147</v>
      </c>
      <c r="B119" s="1" t="s">
        <v>42</v>
      </c>
      <c r="C119" s="1">
        <v>1</v>
      </c>
    </row>
    <row r="120" spans="1:6" ht="15" customHeight="1" x14ac:dyDescent="0.3">
      <c r="A120" s="1" t="s">
        <v>148</v>
      </c>
      <c r="B120" s="1" t="s">
        <v>13</v>
      </c>
      <c r="C120" s="1">
        <v>1</v>
      </c>
    </row>
    <row r="121" spans="1:6" ht="15" customHeight="1" x14ac:dyDescent="0.3">
      <c r="A121" s="1" t="s">
        <v>149</v>
      </c>
      <c r="B121" s="1" t="s">
        <v>150</v>
      </c>
      <c r="F121" s="1">
        <v>1</v>
      </c>
    </row>
    <row r="122" spans="1:6" ht="15" customHeight="1" x14ac:dyDescent="0.3">
      <c r="A122" s="1" t="s">
        <v>151</v>
      </c>
      <c r="B122" s="1" t="s">
        <v>24</v>
      </c>
      <c r="C122" s="1">
        <v>1</v>
      </c>
    </row>
    <row r="123" spans="1:6" ht="15" customHeight="1" x14ac:dyDescent="0.3">
      <c r="A123" s="1" t="s">
        <v>152</v>
      </c>
      <c r="B123" s="1" t="s">
        <v>24</v>
      </c>
      <c r="D123" s="1">
        <v>1</v>
      </c>
    </row>
    <row r="124" spans="1:6" ht="15" customHeight="1" x14ac:dyDescent="0.3">
      <c r="A124" s="1" t="s">
        <v>153</v>
      </c>
      <c r="B124" s="1" t="s">
        <v>19</v>
      </c>
      <c r="C124" s="1">
        <v>1</v>
      </c>
    </row>
    <row r="125" spans="1:6" ht="15" customHeight="1" x14ac:dyDescent="0.3">
      <c r="A125" s="1" t="s">
        <v>154</v>
      </c>
      <c r="B125" s="1" t="s">
        <v>33</v>
      </c>
      <c r="C125" s="1">
        <v>1</v>
      </c>
    </row>
    <row r="126" spans="1:6" ht="15" customHeight="1" x14ac:dyDescent="0.3">
      <c r="A126" s="1" t="s">
        <v>155</v>
      </c>
      <c r="B126" s="1" t="s">
        <v>13</v>
      </c>
      <c r="D126" s="1">
        <v>1</v>
      </c>
    </row>
    <row r="127" spans="1:6" ht="15" customHeight="1" x14ac:dyDescent="0.3">
      <c r="A127" s="1" t="s">
        <v>156</v>
      </c>
      <c r="B127" s="1" t="s">
        <v>13</v>
      </c>
      <c r="C127" s="1">
        <v>1</v>
      </c>
    </row>
    <row r="128" spans="1:6" ht="15" customHeight="1" x14ac:dyDescent="0.3">
      <c r="A128" s="1" t="s">
        <v>157</v>
      </c>
      <c r="B128" s="1" t="s">
        <v>14</v>
      </c>
      <c r="C128" s="1">
        <v>1</v>
      </c>
    </row>
    <row r="129" spans="1:5" ht="15" customHeight="1" x14ac:dyDescent="0.3">
      <c r="A129" s="1" t="s">
        <v>158</v>
      </c>
      <c r="B129" s="1" t="s">
        <v>16</v>
      </c>
      <c r="C129" s="1">
        <v>1</v>
      </c>
    </row>
    <row r="130" spans="1:5" ht="15" customHeight="1" x14ac:dyDescent="0.3">
      <c r="A130" s="1" t="s">
        <v>159</v>
      </c>
      <c r="B130" s="1" t="s">
        <v>13</v>
      </c>
      <c r="D130" s="1">
        <v>1</v>
      </c>
    </row>
    <row r="131" spans="1:5" ht="15" customHeight="1" x14ac:dyDescent="0.3">
      <c r="A131" s="1" t="s">
        <v>160</v>
      </c>
      <c r="B131" s="1" t="s">
        <v>66</v>
      </c>
      <c r="E131" s="1">
        <v>1</v>
      </c>
    </row>
    <row r="132" spans="1:5" ht="15" customHeight="1" x14ac:dyDescent="0.3">
      <c r="A132" s="1" t="s">
        <v>161</v>
      </c>
      <c r="B132" s="1" t="s">
        <v>38</v>
      </c>
      <c r="D132" s="1">
        <v>1</v>
      </c>
    </row>
    <row r="133" spans="1:5" ht="15" customHeight="1" x14ac:dyDescent="0.3">
      <c r="A133" s="1" t="s">
        <v>162</v>
      </c>
      <c r="B133" s="1" t="s">
        <v>13</v>
      </c>
      <c r="D133" s="1">
        <v>1</v>
      </c>
    </row>
    <row r="134" spans="1:5" ht="15" customHeight="1" x14ac:dyDescent="0.3">
      <c r="A134" s="1" t="s">
        <v>163</v>
      </c>
      <c r="B134" s="1" t="s">
        <v>66</v>
      </c>
      <c r="D134" s="1">
        <v>1</v>
      </c>
    </row>
    <row r="135" spans="1:5" ht="15" customHeight="1" x14ac:dyDescent="0.3">
      <c r="A135" s="1" t="s">
        <v>164</v>
      </c>
      <c r="B135" s="1" t="s">
        <v>21</v>
      </c>
      <c r="C135" s="1">
        <v>1</v>
      </c>
    </row>
    <row r="136" spans="1:5" ht="15" customHeight="1" x14ac:dyDescent="0.3">
      <c r="A136" s="1" t="s">
        <v>165</v>
      </c>
      <c r="B136" s="1" t="s">
        <v>30</v>
      </c>
      <c r="E136" s="1">
        <v>1</v>
      </c>
    </row>
    <row r="137" spans="1:5" ht="15" customHeight="1" x14ac:dyDescent="0.3">
      <c r="A137" s="1" t="s">
        <v>166</v>
      </c>
      <c r="B137" s="1" t="s">
        <v>30</v>
      </c>
      <c r="E137" s="1">
        <v>1</v>
      </c>
    </row>
    <row r="138" spans="1:5" ht="15" customHeight="1" x14ac:dyDescent="0.3">
      <c r="A138" s="1" t="s">
        <v>167</v>
      </c>
      <c r="B138" s="1" t="s">
        <v>19</v>
      </c>
      <c r="C138" s="1">
        <v>1</v>
      </c>
    </row>
    <row r="139" spans="1:5" ht="15" customHeight="1" x14ac:dyDescent="0.3">
      <c r="A139" s="1" t="s">
        <v>168</v>
      </c>
      <c r="B139" s="1" t="s">
        <v>13</v>
      </c>
      <c r="D139" s="1">
        <v>1</v>
      </c>
    </row>
    <row r="140" spans="1:5" ht="15" customHeight="1" x14ac:dyDescent="0.3">
      <c r="A140" s="1" t="s">
        <v>169</v>
      </c>
      <c r="B140" s="1" t="s">
        <v>27</v>
      </c>
      <c r="C140" s="1">
        <v>1</v>
      </c>
    </row>
    <row r="141" spans="1:5" ht="15" customHeight="1" x14ac:dyDescent="0.3">
      <c r="A141" s="1" t="s">
        <v>170</v>
      </c>
      <c r="B141" s="1" t="s">
        <v>16</v>
      </c>
      <c r="C141" s="1">
        <v>1</v>
      </c>
    </row>
    <row r="142" spans="1:5" ht="15" customHeight="1" x14ac:dyDescent="0.3">
      <c r="A142" s="1" t="s">
        <v>171</v>
      </c>
      <c r="B142" s="1" t="s">
        <v>19</v>
      </c>
      <c r="C142" s="1">
        <v>1</v>
      </c>
    </row>
    <row r="143" spans="1:5" ht="15" customHeight="1" x14ac:dyDescent="0.3">
      <c r="A143" s="1" t="s">
        <v>172</v>
      </c>
      <c r="B143" s="1" t="s">
        <v>37</v>
      </c>
      <c r="C143" s="1">
        <v>1</v>
      </c>
    </row>
    <row r="144" spans="1:5" ht="15" customHeight="1" x14ac:dyDescent="0.3">
      <c r="A144" s="1" t="s">
        <v>173</v>
      </c>
      <c r="B144" s="1" t="s">
        <v>27</v>
      </c>
      <c r="D144" s="1">
        <v>1</v>
      </c>
    </row>
    <row r="145" spans="1:5" ht="15" customHeight="1" x14ac:dyDescent="0.3">
      <c r="A145" s="1" t="s">
        <v>174</v>
      </c>
      <c r="B145" s="1" t="s">
        <v>66</v>
      </c>
      <c r="D145" s="1">
        <v>1</v>
      </c>
    </row>
    <row r="146" spans="1:5" ht="15" customHeight="1" x14ac:dyDescent="0.3">
      <c r="A146" s="1" t="s">
        <v>175</v>
      </c>
      <c r="B146" s="1" t="s">
        <v>14</v>
      </c>
      <c r="C146" s="1">
        <v>1</v>
      </c>
    </row>
    <row r="147" spans="1:5" ht="15" customHeight="1" x14ac:dyDescent="0.3">
      <c r="A147" s="1" t="s">
        <v>176</v>
      </c>
      <c r="B147" s="1" t="s">
        <v>66</v>
      </c>
      <c r="E147" s="1">
        <v>1</v>
      </c>
    </row>
    <row r="148" spans="1:5" ht="15" customHeight="1" x14ac:dyDescent="0.3">
      <c r="A148" s="1" t="s">
        <v>177</v>
      </c>
      <c r="B148" s="1" t="s">
        <v>42</v>
      </c>
      <c r="C148" s="1">
        <v>1</v>
      </c>
    </row>
    <row r="149" spans="1:5" ht="15" customHeight="1" x14ac:dyDescent="0.3">
      <c r="A149" s="1" t="s">
        <v>178</v>
      </c>
      <c r="B149" s="1" t="s">
        <v>33</v>
      </c>
      <c r="C149" s="1">
        <v>1</v>
      </c>
    </row>
    <row r="150" spans="1:5" ht="15" customHeight="1" x14ac:dyDescent="0.3">
      <c r="A150" s="1" t="s">
        <v>179</v>
      </c>
      <c r="B150" s="1" t="s">
        <v>14</v>
      </c>
      <c r="C150" s="1">
        <v>1</v>
      </c>
    </row>
    <row r="151" spans="1:5" ht="15" customHeight="1" x14ac:dyDescent="0.3">
      <c r="A151" s="1" t="s">
        <v>180</v>
      </c>
      <c r="B151" s="1" t="s">
        <v>13</v>
      </c>
      <c r="D151" s="1">
        <v>1</v>
      </c>
    </row>
    <row r="152" spans="1:5" ht="15" customHeight="1" x14ac:dyDescent="0.3">
      <c r="A152" s="1" t="s">
        <v>181</v>
      </c>
      <c r="B152" s="1" t="s">
        <v>24</v>
      </c>
      <c r="E152" s="1">
        <v>1</v>
      </c>
    </row>
    <row r="153" spans="1:5" ht="15" customHeight="1" x14ac:dyDescent="0.3">
      <c r="A153" s="1" t="s">
        <v>182</v>
      </c>
      <c r="B153" s="1" t="s">
        <v>19</v>
      </c>
      <c r="C153" s="1">
        <v>1</v>
      </c>
    </row>
    <row r="154" spans="1:5" ht="15" customHeight="1" x14ac:dyDescent="0.3">
      <c r="A154" s="1" t="s">
        <v>183</v>
      </c>
      <c r="B154" s="1" t="s">
        <v>42</v>
      </c>
      <c r="C154" s="1">
        <v>1</v>
      </c>
    </row>
    <row r="155" spans="1:5" ht="15" customHeight="1" x14ac:dyDescent="0.3">
      <c r="A155" s="1" t="s">
        <v>184</v>
      </c>
      <c r="B155" s="1" t="s">
        <v>19</v>
      </c>
      <c r="C155" s="1">
        <v>1</v>
      </c>
    </row>
    <row r="156" spans="1:5" ht="15" customHeight="1" x14ac:dyDescent="0.3">
      <c r="A156" s="1" t="s">
        <v>185</v>
      </c>
      <c r="B156" s="1" t="s">
        <v>30</v>
      </c>
      <c r="E156" s="1">
        <v>1</v>
      </c>
    </row>
    <row r="157" spans="1:5" ht="15.75" customHeight="1" x14ac:dyDescent="0.3"/>
    <row r="158" spans="1:5" ht="15.75" customHeight="1" x14ac:dyDescent="0.3"/>
    <row r="159" spans="1:5" ht="15.75" customHeight="1" x14ac:dyDescent="0.3"/>
    <row r="160" spans="1:5" ht="15.75" customHeight="1" x14ac:dyDescent="0.3"/>
    <row r="161" s="1" customFormat="1" ht="15.75" customHeight="1" x14ac:dyDescent="0.3"/>
    <row r="162" s="1" customFormat="1" ht="15.75" customHeight="1" x14ac:dyDescent="0.3"/>
    <row r="163" s="1" customFormat="1" ht="15.75" customHeight="1" x14ac:dyDescent="0.3"/>
    <row r="164" s="1" customFormat="1" ht="15.75" customHeight="1" x14ac:dyDescent="0.3"/>
    <row r="165" s="1" customFormat="1" ht="15.75" customHeight="1" x14ac:dyDescent="0.3"/>
    <row r="166" s="1" customFormat="1" ht="15.75" customHeight="1" x14ac:dyDescent="0.3"/>
    <row r="167" s="1" customFormat="1" ht="15.75" customHeight="1" x14ac:dyDescent="0.3"/>
    <row r="168" s="1" customFormat="1" ht="15.75" customHeight="1" x14ac:dyDescent="0.3"/>
    <row r="169" s="1" customFormat="1" ht="15.75" customHeight="1" x14ac:dyDescent="0.3"/>
    <row r="170" s="1" customFormat="1" ht="15.75" customHeight="1" x14ac:dyDescent="0.3"/>
    <row r="171" s="1" customFormat="1" ht="15.75" customHeight="1" x14ac:dyDescent="0.3"/>
    <row r="172" s="1" customFormat="1" ht="15.75" customHeight="1" x14ac:dyDescent="0.3"/>
    <row r="173" s="1" customFormat="1" ht="15.75" customHeight="1" x14ac:dyDescent="0.3"/>
    <row r="174" s="1" customFormat="1" ht="15.75" customHeight="1" x14ac:dyDescent="0.3"/>
    <row r="175" s="1" customFormat="1" ht="15.75" customHeight="1" x14ac:dyDescent="0.3"/>
    <row r="176" s="1" customFormat="1" ht="15.75" customHeight="1" x14ac:dyDescent="0.3"/>
    <row r="177" s="1" customFormat="1" ht="15.75" customHeight="1" x14ac:dyDescent="0.3"/>
    <row r="178" s="1" customFormat="1" ht="15.75" customHeight="1" x14ac:dyDescent="0.3"/>
    <row r="179" s="1" customFormat="1" ht="15.75" customHeight="1" x14ac:dyDescent="0.3"/>
    <row r="180" s="1" customFormat="1" ht="15.75" customHeight="1" x14ac:dyDescent="0.3"/>
    <row r="181" s="1" customFormat="1" ht="15.75" customHeight="1" x14ac:dyDescent="0.3"/>
    <row r="182" s="1" customFormat="1" ht="15.75" customHeight="1" x14ac:dyDescent="0.3"/>
    <row r="183" s="1" customFormat="1" ht="15.75" customHeight="1" x14ac:dyDescent="0.3"/>
    <row r="184" s="1" customFormat="1" ht="15.75" customHeight="1" x14ac:dyDescent="0.3"/>
    <row r="185" s="1" customFormat="1" ht="15.75" customHeight="1" x14ac:dyDescent="0.3"/>
    <row r="186" s="1" customFormat="1" ht="15.75" customHeight="1" x14ac:dyDescent="0.3"/>
    <row r="187" s="1" customFormat="1" ht="15.75" customHeight="1" x14ac:dyDescent="0.3"/>
    <row r="188" s="1" customFormat="1" ht="15.75" customHeight="1" x14ac:dyDescent="0.3"/>
    <row r="189" s="1" customFormat="1" ht="15.75" customHeight="1" x14ac:dyDescent="0.3"/>
    <row r="190" s="1" customFormat="1" ht="15.75" customHeight="1" x14ac:dyDescent="0.3"/>
    <row r="191" s="1" customFormat="1" ht="15.75" customHeight="1" x14ac:dyDescent="0.3"/>
    <row r="192" s="1" customFormat="1" ht="15.75" customHeight="1" x14ac:dyDescent="0.3"/>
    <row r="193" s="1" customFormat="1" ht="15.75" customHeight="1" x14ac:dyDescent="0.3"/>
    <row r="194" s="1" customFormat="1" ht="15.75" customHeight="1" x14ac:dyDescent="0.3"/>
    <row r="195" s="1" customFormat="1" ht="15.75" customHeight="1" x14ac:dyDescent="0.3"/>
    <row r="196" s="1" customFormat="1" ht="15.75" customHeight="1" x14ac:dyDescent="0.3"/>
    <row r="197" s="1" customFormat="1" ht="15.75" customHeight="1" x14ac:dyDescent="0.3"/>
    <row r="198" s="1" customFormat="1" ht="15.75" customHeight="1" x14ac:dyDescent="0.3"/>
    <row r="199" s="1" customFormat="1" ht="15.75" customHeight="1" x14ac:dyDescent="0.3"/>
    <row r="200" s="1" customFormat="1" ht="15.75" customHeight="1" x14ac:dyDescent="0.3"/>
    <row r="201" s="1" customFormat="1" ht="15.75" customHeight="1" x14ac:dyDescent="0.3"/>
    <row r="202" s="1" customFormat="1" ht="15.75" customHeight="1" x14ac:dyDescent="0.3"/>
    <row r="203" s="1" customFormat="1" ht="15.75" customHeight="1" x14ac:dyDescent="0.3"/>
    <row r="204" s="1" customFormat="1" ht="15.75" customHeight="1" x14ac:dyDescent="0.3"/>
    <row r="205" s="1" customFormat="1" ht="15.75" customHeight="1" x14ac:dyDescent="0.3"/>
    <row r="206" s="1" customFormat="1" ht="15.75" customHeight="1" x14ac:dyDescent="0.3"/>
    <row r="207" s="1" customFormat="1" ht="15.75" customHeight="1" x14ac:dyDescent="0.3"/>
    <row r="208" s="1" customFormat="1" ht="15.75" customHeight="1" x14ac:dyDescent="0.3"/>
    <row r="209" s="1" customFormat="1" ht="15.75" customHeight="1" x14ac:dyDescent="0.3"/>
    <row r="210" s="1" customFormat="1" ht="15.75" customHeight="1" x14ac:dyDescent="0.3"/>
    <row r="211" s="1" customFormat="1" ht="15.75" customHeight="1" x14ac:dyDescent="0.3"/>
    <row r="212" s="1" customFormat="1" ht="15.75" customHeight="1" x14ac:dyDescent="0.3"/>
    <row r="213" s="1" customFormat="1" ht="15.75" customHeight="1" x14ac:dyDescent="0.3"/>
    <row r="214" s="1" customFormat="1" ht="15.75" customHeight="1" x14ac:dyDescent="0.3"/>
    <row r="215" s="1" customFormat="1" ht="15.75" customHeight="1" x14ac:dyDescent="0.3"/>
    <row r="216" s="1" customFormat="1" ht="15.75" customHeight="1" x14ac:dyDescent="0.3"/>
    <row r="217" s="1" customFormat="1" ht="15.75" customHeight="1" x14ac:dyDescent="0.3"/>
    <row r="218" s="1" customFormat="1" ht="15.75" customHeight="1" x14ac:dyDescent="0.3"/>
    <row r="219" s="1" customFormat="1" ht="15.75" customHeight="1" x14ac:dyDescent="0.3"/>
    <row r="220" s="1" customFormat="1" ht="15.75" customHeight="1" x14ac:dyDescent="0.3"/>
    <row r="221" s="1" customFormat="1" ht="15.75" customHeight="1" x14ac:dyDescent="0.3"/>
    <row r="222" s="1" customFormat="1" ht="15.75" customHeight="1" x14ac:dyDescent="0.3"/>
    <row r="223" s="1" customFormat="1" ht="15.75" customHeight="1" x14ac:dyDescent="0.3"/>
    <row r="224" s="1" customFormat="1" ht="15.75" customHeight="1" x14ac:dyDescent="0.3"/>
    <row r="225" s="1" customFormat="1" ht="15.75" customHeight="1" x14ac:dyDescent="0.3"/>
    <row r="226" s="1" customFormat="1" ht="15.75" customHeight="1" x14ac:dyDescent="0.3"/>
    <row r="227" s="1" customFormat="1" ht="15.75" customHeight="1" x14ac:dyDescent="0.3"/>
    <row r="228" s="1" customFormat="1" ht="15.75" customHeight="1" x14ac:dyDescent="0.3"/>
    <row r="229" s="1" customFormat="1" ht="15.75" customHeight="1" x14ac:dyDescent="0.3"/>
    <row r="230" s="1" customFormat="1" ht="15.75" customHeight="1" x14ac:dyDescent="0.3"/>
    <row r="231" s="1" customFormat="1" ht="15.75" customHeight="1" x14ac:dyDescent="0.3"/>
    <row r="232" s="1" customFormat="1" ht="15.75" customHeight="1" x14ac:dyDescent="0.3"/>
    <row r="233" s="1" customFormat="1" ht="15.75" customHeight="1" x14ac:dyDescent="0.3"/>
    <row r="234" s="1" customFormat="1" ht="15.75" customHeight="1" x14ac:dyDescent="0.3"/>
    <row r="235" s="1" customFormat="1" ht="15.75" customHeight="1" x14ac:dyDescent="0.3"/>
    <row r="236" s="1" customFormat="1" ht="15.75" customHeight="1" x14ac:dyDescent="0.3"/>
    <row r="237" s="1" customFormat="1" ht="15.75" customHeight="1" x14ac:dyDescent="0.3"/>
    <row r="238" s="1" customFormat="1" ht="15.75" customHeight="1" x14ac:dyDescent="0.3"/>
    <row r="239" s="1" customFormat="1" ht="15.75" customHeight="1" x14ac:dyDescent="0.3"/>
    <row r="240" s="1" customFormat="1" ht="15.75" customHeight="1" x14ac:dyDescent="0.3"/>
    <row r="241" s="1" customFormat="1" ht="15.75" customHeight="1" x14ac:dyDescent="0.3"/>
    <row r="242" s="1" customFormat="1" ht="15.75" customHeight="1" x14ac:dyDescent="0.3"/>
    <row r="243" s="1" customFormat="1" ht="15.75" customHeight="1" x14ac:dyDescent="0.3"/>
    <row r="244" s="1" customFormat="1" ht="15.75" customHeight="1" x14ac:dyDescent="0.3"/>
    <row r="245" s="1" customFormat="1" ht="15.75" customHeight="1" x14ac:dyDescent="0.3"/>
    <row r="246" s="1" customFormat="1" ht="15.75" customHeight="1" x14ac:dyDescent="0.3"/>
    <row r="247" s="1" customFormat="1" ht="15.75" customHeight="1" x14ac:dyDescent="0.3"/>
    <row r="248" s="1" customFormat="1" ht="15.75" customHeight="1" x14ac:dyDescent="0.3"/>
    <row r="249" s="1" customFormat="1" ht="15.75" customHeight="1" x14ac:dyDescent="0.3"/>
    <row r="250" s="1" customFormat="1" ht="15.75" customHeight="1" x14ac:dyDescent="0.3"/>
    <row r="251" s="1" customFormat="1" ht="15.75" customHeight="1" x14ac:dyDescent="0.3"/>
    <row r="252" s="1" customFormat="1" ht="15.75" customHeight="1" x14ac:dyDescent="0.3"/>
    <row r="253" s="1" customFormat="1" ht="15.75" customHeight="1" x14ac:dyDescent="0.3"/>
    <row r="254" s="1" customFormat="1" ht="15.75" customHeight="1" x14ac:dyDescent="0.3"/>
    <row r="255" s="1" customFormat="1" ht="15.75" customHeight="1" x14ac:dyDescent="0.3"/>
    <row r="256" s="1" customFormat="1" ht="15.75" customHeight="1" x14ac:dyDescent="0.3"/>
    <row r="257" s="1" customFormat="1" ht="15.75" customHeight="1" x14ac:dyDescent="0.3"/>
    <row r="258" s="1" customFormat="1" ht="15.75" customHeight="1" x14ac:dyDescent="0.3"/>
    <row r="259" s="1" customFormat="1" ht="15.75" customHeight="1" x14ac:dyDescent="0.3"/>
    <row r="260" s="1" customFormat="1" ht="15.75" customHeight="1" x14ac:dyDescent="0.3"/>
    <row r="261" s="1" customFormat="1" ht="15.75" customHeight="1" x14ac:dyDescent="0.3"/>
    <row r="262" s="1" customFormat="1" ht="15.75" customHeight="1" x14ac:dyDescent="0.3"/>
    <row r="263" s="1" customFormat="1" ht="15.75" customHeight="1" x14ac:dyDescent="0.3"/>
    <row r="264" s="1" customFormat="1" ht="15.75" customHeight="1" x14ac:dyDescent="0.3"/>
    <row r="265" s="1" customFormat="1" ht="15.75" customHeight="1" x14ac:dyDescent="0.3"/>
    <row r="266" s="1" customFormat="1" ht="15.75" customHeight="1" x14ac:dyDescent="0.3"/>
    <row r="267" s="1" customFormat="1" ht="15.75" customHeight="1" x14ac:dyDescent="0.3"/>
    <row r="268" s="1" customFormat="1" ht="15.75" customHeight="1" x14ac:dyDescent="0.3"/>
    <row r="269" s="1" customFormat="1" ht="15.75" customHeight="1" x14ac:dyDescent="0.3"/>
    <row r="270" s="1" customFormat="1" ht="15.75" customHeight="1" x14ac:dyDescent="0.3"/>
    <row r="271" s="1" customFormat="1" ht="15.75" customHeight="1" x14ac:dyDescent="0.3"/>
    <row r="272" s="1" customFormat="1" ht="15.75" customHeight="1" x14ac:dyDescent="0.3"/>
    <row r="273" s="1" customFormat="1" ht="15.75" customHeight="1" x14ac:dyDescent="0.3"/>
    <row r="274" s="1" customFormat="1" ht="15.75" customHeight="1" x14ac:dyDescent="0.3"/>
    <row r="275" s="1" customFormat="1" ht="15.75" customHeight="1" x14ac:dyDescent="0.3"/>
    <row r="276" s="1" customFormat="1" ht="15.75" customHeight="1" x14ac:dyDescent="0.3"/>
    <row r="277" s="1" customFormat="1" ht="15.75" customHeight="1" x14ac:dyDescent="0.3"/>
    <row r="278" s="1" customFormat="1" ht="15.75" customHeight="1" x14ac:dyDescent="0.3"/>
    <row r="279" s="1" customFormat="1" ht="15.75" customHeight="1" x14ac:dyDescent="0.3"/>
    <row r="280" s="1" customFormat="1" ht="15.75" customHeight="1" x14ac:dyDescent="0.3"/>
    <row r="281" s="1" customFormat="1" ht="15.75" customHeight="1" x14ac:dyDescent="0.3"/>
    <row r="282" s="1" customFormat="1" ht="15.75" customHeight="1" x14ac:dyDescent="0.3"/>
    <row r="283" s="1" customFormat="1" ht="15.75" customHeight="1" x14ac:dyDescent="0.3"/>
    <row r="284" s="1" customFormat="1" ht="15.75" customHeight="1" x14ac:dyDescent="0.3"/>
    <row r="285" s="1" customFormat="1" ht="15.75" customHeight="1" x14ac:dyDescent="0.3"/>
    <row r="286" s="1" customFormat="1" ht="15.75" customHeight="1" x14ac:dyDescent="0.3"/>
    <row r="287" s="1" customFormat="1" ht="15.75" customHeight="1" x14ac:dyDescent="0.3"/>
    <row r="288" s="1" customFormat="1" ht="15.75" customHeight="1" x14ac:dyDescent="0.3"/>
    <row r="289" s="1" customFormat="1" ht="15.75" customHeight="1" x14ac:dyDescent="0.3"/>
    <row r="290" s="1" customFormat="1" ht="15.75" customHeight="1" x14ac:dyDescent="0.3"/>
    <row r="291" s="1" customFormat="1" ht="15.75" customHeight="1" x14ac:dyDescent="0.3"/>
    <row r="292" s="1" customFormat="1" ht="15.75" customHeight="1" x14ac:dyDescent="0.3"/>
    <row r="293" s="1" customFormat="1" ht="15.75" customHeight="1" x14ac:dyDescent="0.3"/>
    <row r="294" s="1" customFormat="1" ht="15.75" customHeight="1" x14ac:dyDescent="0.3"/>
    <row r="295" s="1" customFormat="1" ht="15.75" customHeight="1" x14ac:dyDescent="0.3"/>
    <row r="296" s="1" customFormat="1" ht="15.75" customHeight="1" x14ac:dyDescent="0.3"/>
    <row r="297" s="1" customFormat="1" ht="15.75" customHeight="1" x14ac:dyDescent="0.3"/>
    <row r="298" s="1" customFormat="1" ht="15.75" customHeight="1" x14ac:dyDescent="0.3"/>
    <row r="299" s="1" customFormat="1" ht="15.75" customHeight="1" x14ac:dyDescent="0.3"/>
    <row r="300" s="1" customFormat="1" ht="15.75" customHeight="1" x14ac:dyDescent="0.3"/>
    <row r="301" s="1" customFormat="1" ht="15.75" customHeight="1" x14ac:dyDescent="0.3"/>
    <row r="302" s="1" customFormat="1" ht="15.75" customHeight="1" x14ac:dyDescent="0.3"/>
    <row r="303" s="1" customFormat="1" ht="15.75" customHeight="1" x14ac:dyDescent="0.3"/>
    <row r="304" s="1" customFormat="1" ht="15.75" customHeight="1" x14ac:dyDescent="0.3"/>
    <row r="305" s="1" customFormat="1" ht="15.75" customHeight="1" x14ac:dyDescent="0.3"/>
    <row r="306" s="1" customFormat="1" ht="15.75" customHeight="1" x14ac:dyDescent="0.3"/>
    <row r="307" s="1" customFormat="1" ht="15.75" customHeight="1" x14ac:dyDescent="0.3"/>
    <row r="308" s="1" customFormat="1" ht="15.75" customHeight="1" x14ac:dyDescent="0.3"/>
    <row r="309" s="1" customFormat="1" ht="15.75" customHeight="1" x14ac:dyDescent="0.3"/>
    <row r="310" s="1" customFormat="1" ht="15.75" customHeight="1" x14ac:dyDescent="0.3"/>
    <row r="311" s="1" customFormat="1" ht="15.75" customHeight="1" x14ac:dyDescent="0.3"/>
    <row r="312" s="1" customFormat="1" ht="15.75" customHeight="1" x14ac:dyDescent="0.3"/>
    <row r="313" s="1" customFormat="1" ht="15.75" customHeight="1" x14ac:dyDescent="0.3"/>
    <row r="314" s="1" customFormat="1" ht="15.75" customHeight="1" x14ac:dyDescent="0.3"/>
    <row r="315" s="1" customFormat="1" ht="15.75" customHeight="1" x14ac:dyDescent="0.3"/>
    <row r="316" s="1" customFormat="1" ht="15.75" customHeight="1" x14ac:dyDescent="0.3"/>
    <row r="317" s="1" customFormat="1" ht="15.75" customHeight="1" x14ac:dyDescent="0.3"/>
    <row r="318" s="1" customFormat="1" ht="15.75" customHeight="1" x14ac:dyDescent="0.3"/>
    <row r="319" s="1" customFormat="1" ht="15.75" customHeight="1" x14ac:dyDescent="0.3"/>
    <row r="320" s="1" customFormat="1" ht="15.75" customHeight="1" x14ac:dyDescent="0.3"/>
    <row r="321" s="1" customFormat="1" ht="15.75" customHeight="1" x14ac:dyDescent="0.3"/>
    <row r="322" s="1" customFormat="1" ht="15.75" customHeight="1" x14ac:dyDescent="0.3"/>
    <row r="323" s="1" customFormat="1" ht="15.75" customHeight="1" x14ac:dyDescent="0.3"/>
    <row r="324" s="1" customFormat="1" ht="15.75" customHeight="1" x14ac:dyDescent="0.3"/>
    <row r="325" s="1" customFormat="1" ht="15.75" customHeight="1" x14ac:dyDescent="0.3"/>
    <row r="326" s="1" customFormat="1" ht="15.75" customHeight="1" x14ac:dyDescent="0.3"/>
    <row r="327" s="1" customFormat="1" ht="15.75" customHeight="1" x14ac:dyDescent="0.3"/>
    <row r="328" s="1" customFormat="1" ht="15.75" customHeight="1" x14ac:dyDescent="0.3"/>
    <row r="329" s="1" customFormat="1" ht="15.75" customHeight="1" x14ac:dyDescent="0.3"/>
    <row r="330" s="1" customFormat="1" ht="15.75" customHeight="1" x14ac:dyDescent="0.3"/>
    <row r="331" s="1" customFormat="1" ht="15.75" customHeight="1" x14ac:dyDescent="0.3"/>
    <row r="332" s="1" customFormat="1" ht="15.75" customHeight="1" x14ac:dyDescent="0.3"/>
    <row r="333" s="1" customFormat="1" ht="15.75" customHeight="1" x14ac:dyDescent="0.3"/>
    <row r="334" s="1" customFormat="1" ht="15.75" customHeight="1" x14ac:dyDescent="0.3"/>
    <row r="335" s="1" customFormat="1" ht="15.75" customHeight="1" x14ac:dyDescent="0.3"/>
    <row r="336" s="1" customFormat="1" ht="15.75" customHeight="1" x14ac:dyDescent="0.3"/>
    <row r="337" s="1" customFormat="1" ht="15.75" customHeight="1" x14ac:dyDescent="0.3"/>
    <row r="338" s="1" customFormat="1" ht="15.75" customHeight="1" x14ac:dyDescent="0.3"/>
    <row r="339" s="1" customFormat="1" ht="15.75" customHeight="1" x14ac:dyDescent="0.3"/>
    <row r="340" s="1" customFormat="1" ht="15.75" customHeight="1" x14ac:dyDescent="0.3"/>
    <row r="341" s="1" customFormat="1" ht="15.75" customHeight="1" x14ac:dyDescent="0.3"/>
    <row r="342" s="1" customFormat="1" ht="15.75" customHeight="1" x14ac:dyDescent="0.3"/>
    <row r="343" s="1" customFormat="1" ht="15.75" customHeight="1" x14ac:dyDescent="0.3"/>
    <row r="344" s="1" customFormat="1" ht="15.75" customHeight="1" x14ac:dyDescent="0.3"/>
    <row r="345" s="1" customFormat="1" ht="15.75" customHeight="1" x14ac:dyDescent="0.3"/>
    <row r="346" s="1" customFormat="1" ht="15.75" customHeight="1" x14ac:dyDescent="0.3"/>
    <row r="347" s="1" customFormat="1" ht="15.75" customHeight="1" x14ac:dyDescent="0.3"/>
    <row r="348" s="1" customFormat="1" ht="15.75" customHeight="1" x14ac:dyDescent="0.3"/>
    <row r="349" s="1" customFormat="1" ht="15.75" customHeight="1" x14ac:dyDescent="0.3"/>
    <row r="350" s="1" customFormat="1" ht="15.75" customHeight="1" x14ac:dyDescent="0.3"/>
    <row r="351" s="1" customFormat="1" ht="15.75" customHeight="1" x14ac:dyDescent="0.3"/>
    <row r="352" s="1" customFormat="1" ht="15.75" customHeight="1" x14ac:dyDescent="0.3"/>
    <row r="353" s="1" customFormat="1" ht="15.75" customHeight="1" x14ac:dyDescent="0.3"/>
    <row r="354" s="1" customFormat="1" ht="15.75" customHeight="1" x14ac:dyDescent="0.3"/>
    <row r="355" s="1" customFormat="1" ht="15.75" customHeight="1" x14ac:dyDescent="0.3"/>
    <row r="356" s="1" customFormat="1" ht="15.75" customHeight="1" x14ac:dyDescent="0.3"/>
    <row r="357" s="1" customFormat="1" ht="15.75" customHeight="1" x14ac:dyDescent="0.3"/>
    <row r="358" s="1" customFormat="1" ht="15.75" customHeight="1" x14ac:dyDescent="0.3"/>
    <row r="359" s="1" customFormat="1" ht="15.75" customHeight="1" x14ac:dyDescent="0.3"/>
    <row r="360" s="1" customFormat="1" ht="15.75" customHeight="1" x14ac:dyDescent="0.3"/>
    <row r="361" s="1" customFormat="1" ht="15.75" customHeight="1" x14ac:dyDescent="0.3"/>
    <row r="362" s="1" customFormat="1" ht="15.75" customHeight="1" x14ac:dyDescent="0.3"/>
    <row r="363" s="1" customFormat="1" ht="15.75" customHeight="1" x14ac:dyDescent="0.3"/>
    <row r="364" s="1" customFormat="1" ht="15.75" customHeight="1" x14ac:dyDescent="0.3"/>
    <row r="365" s="1" customFormat="1" ht="15.75" customHeight="1" x14ac:dyDescent="0.3"/>
    <row r="366" s="1" customFormat="1" ht="15.75" customHeight="1" x14ac:dyDescent="0.3"/>
    <row r="367" s="1" customFormat="1" ht="15.75" customHeight="1" x14ac:dyDescent="0.3"/>
    <row r="368" s="1" customFormat="1" ht="15.75" customHeight="1" x14ac:dyDescent="0.3"/>
    <row r="369" s="1" customFormat="1" ht="15.75" customHeight="1" x14ac:dyDescent="0.3"/>
    <row r="370" s="1" customFormat="1" ht="15.75" customHeight="1" x14ac:dyDescent="0.3"/>
    <row r="371" s="1" customFormat="1" ht="15.75" customHeight="1" x14ac:dyDescent="0.3"/>
    <row r="372" s="1" customFormat="1" ht="15.75" customHeight="1" x14ac:dyDescent="0.3"/>
    <row r="373" s="1" customFormat="1" ht="15.75" customHeight="1" x14ac:dyDescent="0.3"/>
    <row r="374" s="1" customFormat="1" ht="15.75" customHeight="1" x14ac:dyDescent="0.3"/>
    <row r="375" s="1" customFormat="1" ht="15.75" customHeight="1" x14ac:dyDescent="0.3"/>
    <row r="376" s="1" customFormat="1" ht="15.75" customHeight="1" x14ac:dyDescent="0.3"/>
    <row r="377" s="1" customFormat="1" ht="15.75" customHeight="1" x14ac:dyDescent="0.3"/>
    <row r="378" s="1" customFormat="1" ht="15.75" customHeight="1" x14ac:dyDescent="0.3"/>
    <row r="379" s="1" customFormat="1" ht="15.75" customHeight="1" x14ac:dyDescent="0.3"/>
    <row r="380" s="1" customFormat="1" ht="15.75" customHeight="1" x14ac:dyDescent="0.3"/>
    <row r="381" s="1" customFormat="1" ht="15.75" customHeight="1" x14ac:dyDescent="0.3"/>
    <row r="382" s="1" customFormat="1" ht="15.75" customHeight="1" x14ac:dyDescent="0.3"/>
    <row r="383" s="1" customFormat="1" ht="15.75" customHeight="1" x14ac:dyDescent="0.3"/>
    <row r="384" s="1" customFormat="1" ht="15.75" customHeight="1" x14ac:dyDescent="0.3"/>
    <row r="385" s="1" customFormat="1" ht="15.75" customHeight="1" x14ac:dyDescent="0.3"/>
    <row r="386" s="1" customFormat="1" ht="15.75" customHeight="1" x14ac:dyDescent="0.3"/>
    <row r="387" s="1" customFormat="1" ht="15.75" customHeight="1" x14ac:dyDescent="0.3"/>
    <row r="388" s="1" customFormat="1" ht="15.75" customHeight="1" x14ac:dyDescent="0.3"/>
    <row r="389" s="1" customFormat="1" ht="15.75" customHeight="1" x14ac:dyDescent="0.3"/>
    <row r="390" s="1" customFormat="1" ht="15.75" customHeight="1" x14ac:dyDescent="0.3"/>
    <row r="391" s="1" customFormat="1" ht="15.75" customHeight="1" x14ac:dyDescent="0.3"/>
    <row r="392" s="1" customFormat="1" ht="15.75" customHeight="1" x14ac:dyDescent="0.3"/>
    <row r="393" s="1" customFormat="1" ht="15.75" customHeight="1" x14ac:dyDescent="0.3"/>
    <row r="394" s="1" customFormat="1" ht="15.75" customHeight="1" x14ac:dyDescent="0.3"/>
    <row r="395" s="1" customFormat="1" ht="15.75" customHeight="1" x14ac:dyDescent="0.3"/>
    <row r="396" s="1" customFormat="1" ht="15.75" customHeight="1" x14ac:dyDescent="0.3"/>
    <row r="397" s="1" customFormat="1" ht="15.75" customHeight="1" x14ac:dyDescent="0.3"/>
    <row r="398" s="1" customFormat="1" ht="15.75" customHeight="1" x14ac:dyDescent="0.3"/>
    <row r="399" s="1" customFormat="1" ht="15.75" customHeight="1" x14ac:dyDescent="0.3"/>
    <row r="400" s="1" customFormat="1" ht="15.75" customHeight="1" x14ac:dyDescent="0.3"/>
    <row r="401" s="1" customFormat="1" ht="15.75" customHeight="1" x14ac:dyDescent="0.3"/>
    <row r="402" s="1" customFormat="1" ht="15.75" customHeight="1" x14ac:dyDescent="0.3"/>
    <row r="403" s="1" customFormat="1" ht="15.75" customHeight="1" x14ac:dyDescent="0.3"/>
    <row r="404" s="1" customFormat="1" ht="15.75" customHeight="1" x14ac:dyDescent="0.3"/>
    <row r="405" s="1" customFormat="1" ht="15.75" customHeight="1" x14ac:dyDescent="0.3"/>
    <row r="406" s="1" customFormat="1" ht="15.75" customHeight="1" x14ac:dyDescent="0.3"/>
    <row r="407" s="1" customFormat="1" ht="15.75" customHeight="1" x14ac:dyDescent="0.3"/>
    <row r="408" s="1" customFormat="1" ht="15.75" customHeight="1" x14ac:dyDescent="0.3"/>
    <row r="409" s="1" customFormat="1" ht="15.75" customHeight="1" x14ac:dyDescent="0.3"/>
    <row r="410" s="1" customFormat="1" ht="15.75" customHeight="1" x14ac:dyDescent="0.3"/>
    <row r="411" s="1" customFormat="1" ht="15.75" customHeight="1" x14ac:dyDescent="0.3"/>
    <row r="412" s="1" customFormat="1" ht="15.75" customHeight="1" x14ac:dyDescent="0.3"/>
    <row r="413" s="1" customFormat="1" ht="15.75" customHeight="1" x14ac:dyDescent="0.3"/>
    <row r="414" s="1" customFormat="1" ht="15.75" customHeight="1" x14ac:dyDescent="0.3"/>
    <row r="415" s="1" customFormat="1" ht="15.75" customHeight="1" x14ac:dyDescent="0.3"/>
    <row r="416" s="1" customFormat="1" ht="15.75" customHeight="1" x14ac:dyDescent="0.3"/>
    <row r="417" s="1" customFormat="1" ht="15.75" customHeight="1" x14ac:dyDescent="0.3"/>
    <row r="418" s="1" customFormat="1" ht="15.75" customHeight="1" x14ac:dyDescent="0.3"/>
    <row r="419" s="1" customFormat="1" ht="15.75" customHeight="1" x14ac:dyDescent="0.3"/>
    <row r="420" s="1" customFormat="1" ht="15.75" customHeight="1" x14ac:dyDescent="0.3"/>
    <row r="421" s="1" customFormat="1" ht="15.75" customHeight="1" x14ac:dyDescent="0.3"/>
    <row r="422" s="1" customFormat="1" ht="15.75" customHeight="1" x14ac:dyDescent="0.3"/>
    <row r="423" s="1" customFormat="1" ht="15.75" customHeight="1" x14ac:dyDescent="0.3"/>
    <row r="424" s="1" customFormat="1" ht="15.75" customHeight="1" x14ac:dyDescent="0.3"/>
    <row r="425" s="1" customFormat="1" ht="15.75" customHeight="1" x14ac:dyDescent="0.3"/>
    <row r="426" s="1" customFormat="1" ht="15.75" customHeight="1" x14ac:dyDescent="0.3"/>
    <row r="427" s="1" customFormat="1" ht="15.75" customHeight="1" x14ac:dyDescent="0.3"/>
    <row r="428" s="1" customFormat="1" ht="15.75" customHeight="1" x14ac:dyDescent="0.3"/>
    <row r="429" s="1" customFormat="1" ht="15.75" customHeight="1" x14ac:dyDescent="0.3"/>
    <row r="430" s="1" customFormat="1" ht="15.75" customHeight="1" x14ac:dyDescent="0.3"/>
    <row r="431" s="1" customFormat="1" ht="15.75" customHeight="1" x14ac:dyDescent="0.3"/>
    <row r="432" s="1" customFormat="1" ht="15.75" customHeight="1" x14ac:dyDescent="0.3"/>
    <row r="433" s="1" customFormat="1" ht="15.75" customHeight="1" x14ac:dyDescent="0.3"/>
    <row r="434" s="1" customFormat="1" ht="15.75" customHeight="1" x14ac:dyDescent="0.3"/>
    <row r="435" s="1" customFormat="1" ht="15.75" customHeight="1" x14ac:dyDescent="0.3"/>
    <row r="436" s="1" customFormat="1" ht="15.75" customHeight="1" x14ac:dyDescent="0.3"/>
    <row r="437" s="1" customFormat="1" ht="15.75" customHeight="1" x14ac:dyDescent="0.3"/>
    <row r="438" s="1" customFormat="1" ht="15.75" customHeight="1" x14ac:dyDescent="0.3"/>
    <row r="439" s="1" customFormat="1" ht="15.75" customHeight="1" x14ac:dyDescent="0.3"/>
    <row r="440" s="1" customFormat="1" ht="15.75" customHeight="1" x14ac:dyDescent="0.3"/>
    <row r="441" s="1" customFormat="1" ht="15.75" customHeight="1" x14ac:dyDescent="0.3"/>
    <row r="442" s="1" customFormat="1" ht="15.75" customHeight="1" x14ac:dyDescent="0.3"/>
    <row r="443" s="1" customFormat="1" ht="15.75" customHeight="1" x14ac:dyDescent="0.3"/>
    <row r="444" s="1" customFormat="1" ht="15.75" customHeight="1" x14ac:dyDescent="0.3"/>
    <row r="445" s="1" customFormat="1" ht="15.75" customHeight="1" x14ac:dyDescent="0.3"/>
    <row r="446" s="1" customFormat="1" ht="15.75" customHeight="1" x14ac:dyDescent="0.3"/>
    <row r="447" s="1" customFormat="1" ht="15.75" customHeight="1" x14ac:dyDescent="0.3"/>
    <row r="448" s="1" customFormat="1" ht="15.75" customHeight="1" x14ac:dyDescent="0.3"/>
    <row r="449" s="1" customFormat="1" ht="15.75" customHeight="1" x14ac:dyDescent="0.3"/>
    <row r="450" s="1" customFormat="1" ht="15.75" customHeight="1" x14ac:dyDescent="0.3"/>
    <row r="451" s="1" customFormat="1" ht="15.75" customHeight="1" x14ac:dyDescent="0.3"/>
    <row r="452" s="1" customFormat="1" ht="15.75" customHeight="1" x14ac:dyDescent="0.3"/>
    <row r="453" s="1" customFormat="1" ht="15.75" customHeight="1" x14ac:dyDescent="0.3"/>
    <row r="454" s="1" customFormat="1" ht="15.75" customHeight="1" x14ac:dyDescent="0.3"/>
    <row r="455" s="1" customFormat="1" ht="15.75" customHeight="1" x14ac:dyDescent="0.3"/>
    <row r="456" s="1" customFormat="1" ht="15.75" customHeight="1" x14ac:dyDescent="0.3"/>
    <row r="457" s="1" customFormat="1" ht="15.75" customHeight="1" x14ac:dyDescent="0.3"/>
    <row r="458" s="1" customFormat="1" ht="15.75" customHeight="1" x14ac:dyDescent="0.3"/>
    <row r="459" s="1" customFormat="1" ht="15.75" customHeight="1" x14ac:dyDescent="0.3"/>
    <row r="460" s="1" customFormat="1" ht="15.75" customHeight="1" x14ac:dyDescent="0.3"/>
    <row r="461" s="1" customFormat="1" ht="15.75" customHeight="1" x14ac:dyDescent="0.3"/>
    <row r="462" s="1" customFormat="1" ht="15.75" customHeight="1" x14ac:dyDescent="0.3"/>
    <row r="463" s="1" customFormat="1" ht="15.75" customHeight="1" x14ac:dyDescent="0.3"/>
    <row r="464" s="1" customFormat="1" ht="15.75" customHeight="1" x14ac:dyDescent="0.3"/>
    <row r="465" s="1" customFormat="1" ht="15.75" customHeight="1" x14ac:dyDescent="0.3"/>
    <row r="466" s="1" customFormat="1" ht="15.75" customHeight="1" x14ac:dyDescent="0.3"/>
    <row r="467" s="1" customFormat="1" ht="15.75" customHeight="1" x14ac:dyDescent="0.3"/>
    <row r="468" s="1" customFormat="1" ht="15.75" customHeight="1" x14ac:dyDescent="0.3"/>
    <row r="469" s="1" customFormat="1" ht="15.75" customHeight="1" x14ac:dyDescent="0.3"/>
    <row r="470" s="1" customFormat="1" ht="15.75" customHeight="1" x14ac:dyDescent="0.3"/>
    <row r="471" s="1" customFormat="1" ht="15.75" customHeight="1" x14ac:dyDescent="0.3"/>
    <row r="472" s="1" customFormat="1" ht="15.75" customHeight="1" x14ac:dyDescent="0.3"/>
    <row r="473" s="1" customFormat="1" ht="15.75" customHeight="1" x14ac:dyDescent="0.3"/>
    <row r="474" s="1" customFormat="1" ht="15.75" customHeight="1" x14ac:dyDescent="0.3"/>
    <row r="475" s="1" customFormat="1" ht="15.75" customHeight="1" x14ac:dyDescent="0.3"/>
    <row r="476" s="1" customFormat="1" ht="15.75" customHeight="1" x14ac:dyDescent="0.3"/>
    <row r="477" s="1" customFormat="1" ht="15.75" customHeight="1" x14ac:dyDescent="0.3"/>
    <row r="478" s="1" customFormat="1" ht="15.75" customHeight="1" x14ac:dyDescent="0.3"/>
    <row r="479" s="1" customFormat="1" ht="15.75" customHeight="1" x14ac:dyDescent="0.3"/>
    <row r="480" s="1" customFormat="1" ht="15.75" customHeight="1" x14ac:dyDescent="0.3"/>
    <row r="481" s="1" customFormat="1" ht="15.75" customHeight="1" x14ac:dyDescent="0.3"/>
    <row r="482" s="1" customFormat="1" ht="15.75" customHeight="1" x14ac:dyDescent="0.3"/>
    <row r="483" s="1" customFormat="1" ht="15.75" customHeight="1" x14ac:dyDescent="0.3"/>
    <row r="484" s="1" customFormat="1" ht="15.75" customHeight="1" x14ac:dyDescent="0.3"/>
    <row r="485" s="1" customFormat="1" ht="15.75" customHeight="1" x14ac:dyDescent="0.3"/>
    <row r="486" s="1" customFormat="1" ht="15.75" customHeight="1" x14ac:dyDescent="0.3"/>
    <row r="487" s="1" customFormat="1" ht="15.75" customHeight="1" x14ac:dyDescent="0.3"/>
    <row r="488" s="1" customFormat="1" ht="15.75" customHeight="1" x14ac:dyDescent="0.3"/>
    <row r="489" s="1" customFormat="1" ht="15.75" customHeight="1" x14ac:dyDescent="0.3"/>
    <row r="490" s="1" customFormat="1" ht="15.75" customHeight="1" x14ac:dyDescent="0.3"/>
    <row r="491" s="1" customFormat="1" ht="15.75" customHeight="1" x14ac:dyDescent="0.3"/>
    <row r="492" s="1" customFormat="1" ht="15.75" customHeight="1" x14ac:dyDescent="0.3"/>
    <row r="493" s="1" customFormat="1" ht="15.75" customHeight="1" x14ac:dyDescent="0.3"/>
    <row r="494" s="1" customFormat="1" ht="15.75" customHeight="1" x14ac:dyDescent="0.3"/>
    <row r="495" s="1" customFormat="1" ht="15.75" customHeight="1" x14ac:dyDescent="0.3"/>
    <row r="496" s="1" customFormat="1" ht="15.75" customHeight="1" x14ac:dyDescent="0.3"/>
    <row r="497" s="1" customFormat="1" ht="15.75" customHeight="1" x14ac:dyDescent="0.3"/>
    <row r="498" s="1" customFormat="1" ht="15.75" customHeight="1" x14ac:dyDescent="0.3"/>
    <row r="499" s="1" customFormat="1" ht="15.75" customHeight="1" x14ac:dyDescent="0.3"/>
    <row r="500" s="1" customFormat="1" ht="15.75" customHeight="1" x14ac:dyDescent="0.3"/>
    <row r="501" s="1" customFormat="1" ht="15.75" customHeight="1" x14ac:dyDescent="0.3"/>
    <row r="502" s="1" customFormat="1" ht="15.75" customHeight="1" x14ac:dyDescent="0.3"/>
    <row r="503" s="1" customFormat="1" ht="15.75" customHeight="1" x14ac:dyDescent="0.3"/>
    <row r="504" s="1" customFormat="1" ht="15.75" customHeight="1" x14ac:dyDescent="0.3"/>
    <row r="505" s="1" customFormat="1" ht="15.75" customHeight="1" x14ac:dyDescent="0.3"/>
    <row r="506" s="1" customFormat="1" ht="15.75" customHeight="1" x14ac:dyDescent="0.3"/>
    <row r="507" s="1" customFormat="1" ht="15.75" customHeight="1" x14ac:dyDescent="0.3"/>
    <row r="508" s="1" customFormat="1" ht="15.75" customHeight="1" x14ac:dyDescent="0.3"/>
    <row r="509" s="1" customFormat="1" ht="15.75" customHeight="1" x14ac:dyDescent="0.3"/>
    <row r="510" s="1" customFormat="1" ht="15.75" customHeight="1" x14ac:dyDescent="0.3"/>
    <row r="511" s="1" customFormat="1" ht="15.75" customHeight="1" x14ac:dyDescent="0.3"/>
    <row r="512" s="1" customFormat="1" ht="15.75" customHeight="1" x14ac:dyDescent="0.3"/>
    <row r="513" s="1" customFormat="1" ht="15.75" customHeight="1" x14ac:dyDescent="0.3"/>
    <row r="514" s="1" customFormat="1" ht="15.75" customHeight="1" x14ac:dyDescent="0.3"/>
    <row r="515" s="1" customFormat="1" ht="15.75" customHeight="1" x14ac:dyDescent="0.3"/>
    <row r="516" s="1" customFormat="1" ht="15.75" customHeight="1" x14ac:dyDescent="0.3"/>
    <row r="517" s="1" customFormat="1" ht="15.75" customHeight="1" x14ac:dyDescent="0.3"/>
    <row r="518" s="1" customFormat="1" ht="15.75" customHeight="1" x14ac:dyDescent="0.3"/>
    <row r="519" s="1" customFormat="1" ht="15.75" customHeight="1" x14ac:dyDescent="0.3"/>
    <row r="520" s="1" customFormat="1" ht="15.75" customHeight="1" x14ac:dyDescent="0.3"/>
    <row r="521" s="1" customFormat="1" ht="15.75" customHeight="1" x14ac:dyDescent="0.3"/>
    <row r="522" s="1" customFormat="1" ht="15.75" customHeight="1" x14ac:dyDescent="0.3"/>
    <row r="523" s="1" customFormat="1" ht="15.75" customHeight="1" x14ac:dyDescent="0.3"/>
    <row r="524" s="1" customFormat="1" ht="15.75" customHeight="1" x14ac:dyDescent="0.3"/>
    <row r="525" s="1" customFormat="1" ht="15.75" customHeight="1" x14ac:dyDescent="0.3"/>
    <row r="526" s="1" customFormat="1" ht="15.75" customHeight="1" x14ac:dyDescent="0.3"/>
    <row r="527" s="1" customFormat="1" ht="15.75" customHeight="1" x14ac:dyDescent="0.3"/>
    <row r="528" s="1" customFormat="1" ht="15.75" customHeight="1" x14ac:dyDescent="0.3"/>
    <row r="529" s="1" customFormat="1" ht="15.75" customHeight="1" x14ac:dyDescent="0.3"/>
    <row r="530" s="1" customFormat="1" ht="15.75" customHeight="1" x14ac:dyDescent="0.3"/>
    <row r="531" s="1" customFormat="1" ht="15.75" customHeight="1" x14ac:dyDescent="0.3"/>
    <row r="532" s="1" customFormat="1" ht="15.75" customHeight="1" x14ac:dyDescent="0.3"/>
    <row r="533" s="1" customFormat="1" ht="15.75" customHeight="1" x14ac:dyDescent="0.3"/>
    <row r="534" s="1" customFormat="1" ht="15.75" customHeight="1" x14ac:dyDescent="0.3"/>
    <row r="535" s="1" customFormat="1" ht="15.75" customHeight="1" x14ac:dyDescent="0.3"/>
    <row r="536" s="1" customFormat="1" ht="15.75" customHeight="1" x14ac:dyDescent="0.3"/>
    <row r="537" s="1" customFormat="1" ht="15.75" customHeight="1" x14ac:dyDescent="0.3"/>
    <row r="538" s="1" customFormat="1" ht="15.75" customHeight="1" x14ac:dyDescent="0.3"/>
    <row r="539" s="1" customFormat="1" ht="15.75" customHeight="1" x14ac:dyDescent="0.3"/>
    <row r="540" s="1" customFormat="1" ht="15.75" customHeight="1" x14ac:dyDescent="0.3"/>
    <row r="541" s="1" customFormat="1" ht="15.75" customHeight="1" x14ac:dyDescent="0.3"/>
    <row r="542" s="1" customFormat="1" ht="15.75" customHeight="1" x14ac:dyDescent="0.3"/>
    <row r="543" s="1" customFormat="1" ht="15.75" customHeight="1" x14ac:dyDescent="0.3"/>
    <row r="544" s="1" customFormat="1" ht="15.75" customHeight="1" x14ac:dyDescent="0.3"/>
    <row r="545" s="1" customFormat="1" ht="15.75" customHeight="1" x14ac:dyDescent="0.3"/>
    <row r="546" s="1" customFormat="1" ht="15.75" customHeight="1" x14ac:dyDescent="0.3"/>
    <row r="547" s="1" customFormat="1" ht="15.75" customHeight="1" x14ac:dyDescent="0.3"/>
    <row r="548" s="1" customFormat="1" ht="15.75" customHeight="1" x14ac:dyDescent="0.3"/>
    <row r="549" s="1" customFormat="1" ht="15.75" customHeight="1" x14ac:dyDescent="0.3"/>
    <row r="550" s="1" customFormat="1" ht="15.75" customHeight="1" x14ac:dyDescent="0.3"/>
    <row r="551" s="1" customFormat="1" ht="15.75" customHeight="1" x14ac:dyDescent="0.3"/>
    <row r="552" s="1" customFormat="1" ht="15.75" customHeight="1" x14ac:dyDescent="0.3"/>
    <row r="553" s="1" customFormat="1" ht="15.75" customHeight="1" x14ac:dyDescent="0.3"/>
    <row r="554" s="1" customFormat="1" ht="15.75" customHeight="1" x14ac:dyDescent="0.3"/>
    <row r="555" s="1" customFormat="1" ht="15.75" customHeight="1" x14ac:dyDescent="0.3"/>
    <row r="556" s="1" customFormat="1" ht="15.75" customHeight="1" x14ac:dyDescent="0.3"/>
    <row r="557" s="1" customFormat="1" ht="15.75" customHeight="1" x14ac:dyDescent="0.3"/>
    <row r="558" s="1" customFormat="1" ht="15.75" customHeight="1" x14ac:dyDescent="0.3"/>
    <row r="559" s="1" customFormat="1" ht="15.75" customHeight="1" x14ac:dyDescent="0.3"/>
    <row r="560" s="1" customFormat="1" ht="15.75" customHeight="1" x14ac:dyDescent="0.3"/>
    <row r="561" s="1" customFormat="1" ht="15.75" customHeight="1" x14ac:dyDescent="0.3"/>
    <row r="562" s="1" customFormat="1" ht="15.75" customHeight="1" x14ac:dyDescent="0.3"/>
    <row r="563" s="1" customFormat="1" ht="15.75" customHeight="1" x14ac:dyDescent="0.3"/>
    <row r="564" s="1" customFormat="1" ht="15.75" customHeight="1" x14ac:dyDescent="0.3"/>
    <row r="565" s="1" customFormat="1" ht="15.75" customHeight="1" x14ac:dyDescent="0.3"/>
    <row r="566" s="1" customFormat="1" ht="15.75" customHeight="1" x14ac:dyDescent="0.3"/>
    <row r="567" s="1" customFormat="1" ht="15.75" customHeight="1" x14ac:dyDescent="0.3"/>
    <row r="568" s="1" customFormat="1" ht="15.75" customHeight="1" x14ac:dyDescent="0.3"/>
    <row r="569" s="1" customFormat="1" ht="15.75" customHeight="1" x14ac:dyDescent="0.3"/>
    <row r="570" s="1" customFormat="1" ht="15.75" customHeight="1" x14ac:dyDescent="0.3"/>
    <row r="571" s="1" customFormat="1" ht="15.75" customHeight="1" x14ac:dyDescent="0.3"/>
    <row r="572" s="1" customFormat="1" ht="15.75" customHeight="1" x14ac:dyDescent="0.3"/>
    <row r="573" s="1" customFormat="1" ht="15.75" customHeight="1" x14ac:dyDescent="0.3"/>
    <row r="574" s="1" customFormat="1" ht="15.75" customHeight="1" x14ac:dyDescent="0.3"/>
    <row r="575" s="1" customFormat="1" ht="15.75" customHeight="1" x14ac:dyDescent="0.3"/>
    <row r="576" s="1" customFormat="1" ht="15.75" customHeight="1" x14ac:dyDescent="0.3"/>
    <row r="577" s="1" customFormat="1" ht="15.75" customHeight="1" x14ac:dyDescent="0.3"/>
    <row r="578" s="1" customFormat="1" ht="15.75" customHeight="1" x14ac:dyDescent="0.3"/>
    <row r="579" s="1" customFormat="1" ht="15.75" customHeight="1" x14ac:dyDescent="0.3"/>
    <row r="580" s="1" customFormat="1" ht="15.75" customHeight="1" x14ac:dyDescent="0.3"/>
    <row r="581" s="1" customFormat="1" ht="15.75" customHeight="1" x14ac:dyDescent="0.3"/>
    <row r="582" s="1" customFormat="1" ht="15.75" customHeight="1" x14ac:dyDescent="0.3"/>
    <row r="583" s="1" customFormat="1" ht="15.75" customHeight="1" x14ac:dyDescent="0.3"/>
    <row r="584" s="1" customFormat="1" ht="15.75" customHeight="1" x14ac:dyDescent="0.3"/>
    <row r="585" s="1" customFormat="1" ht="15.75" customHeight="1" x14ac:dyDescent="0.3"/>
    <row r="586" s="1" customFormat="1" ht="15.75" customHeight="1" x14ac:dyDescent="0.3"/>
    <row r="587" s="1" customFormat="1" ht="15.75" customHeight="1" x14ac:dyDescent="0.3"/>
    <row r="588" s="1" customFormat="1" ht="15.75" customHeight="1" x14ac:dyDescent="0.3"/>
    <row r="589" s="1" customFormat="1" ht="15.75" customHeight="1" x14ac:dyDescent="0.3"/>
    <row r="590" s="1" customFormat="1" ht="15.75" customHeight="1" x14ac:dyDescent="0.3"/>
    <row r="591" s="1" customFormat="1" ht="15.75" customHeight="1" x14ac:dyDescent="0.3"/>
    <row r="592" s="1" customFormat="1" ht="15.75" customHeight="1" x14ac:dyDescent="0.3"/>
    <row r="593" s="1" customFormat="1" ht="15.75" customHeight="1" x14ac:dyDescent="0.3"/>
    <row r="594" s="1" customFormat="1" ht="15.75" customHeight="1" x14ac:dyDescent="0.3"/>
    <row r="595" s="1" customFormat="1" ht="15.75" customHeight="1" x14ac:dyDescent="0.3"/>
    <row r="596" s="1" customFormat="1" ht="15.75" customHeight="1" x14ac:dyDescent="0.3"/>
    <row r="597" s="1" customFormat="1" ht="15.75" customHeight="1" x14ac:dyDescent="0.3"/>
    <row r="598" s="1" customFormat="1" ht="15.75" customHeight="1" x14ac:dyDescent="0.3"/>
    <row r="599" s="1" customFormat="1" ht="15.75" customHeight="1" x14ac:dyDescent="0.3"/>
    <row r="600" s="1" customFormat="1" ht="15.75" customHeight="1" x14ac:dyDescent="0.3"/>
    <row r="601" s="1" customFormat="1" ht="15.75" customHeight="1" x14ac:dyDescent="0.3"/>
    <row r="602" s="1" customFormat="1" ht="15.75" customHeight="1" x14ac:dyDescent="0.3"/>
    <row r="603" s="1" customFormat="1" ht="15.75" customHeight="1" x14ac:dyDescent="0.3"/>
    <row r="604" s="1" customFormat="1" ht="15.75" customHeight="1" x14ac:dyDescent="0.3"/>
    <row r="605" s="1" customFormat="1" ht="15.75" customHeight="1" x14ac:dyDescent="0.3"/>
    <row r="606" s="1" customFormat="1" ht="15.75" customHeight="1" x14ac:dyDescent="0.3"/>
    <row r="607" s="1" customFormat="1" ht="15.75" customHeight="1" x14ac:dyDescent="0.3"/>
    <row r="608" s="1" customFormat="1" ht="15.75" customHeight="1" x14ac:dyDescent="0.3"/>
    <row r="609" s="1" customFormat="1" ht="15.75" customHeight="1" x14ac:dyDescent="0.3"/>
    <row r="610" s="1" customFormat="1" ht="15.75" customHeight="1" x14ac:dyDescent="0.3"/>
    <row r="611" s="1" customFormat="1" ht="15.75" customHeight="1" x14ac:dyDescent="0.3"/>
    <row r="612" s="1" customFormat="1" ht="15.75" customHeight="1" x14ac:dyDescent="0.3"/>
    <row r="613" s="1" customFormat="1" ht="15.75" customHeight="1" x14ac:dyDescent="0.3"/>
    <row r="614" s="1" customFormat="1" ht="15.75" customHeight="1" x14ac:dyDescent="0.3"/>
    <row r="615" s="1" customFormat="1" ht="15.75" customHeight="1" x14ac:dyDescent="0.3"/>
    <row r="616" s="1" customFormat="1" ht="15.75" customHeight="1" x14ac:dyDescent="0.3"/>
    <row r="617" s="1" customFormat="1" ht="15.75" customHeight="1" x14ac:dyDescent="0.3"/>
    <row r="618" s="1" customFormat="1" ht="15.75" customHeight="1" x14ac:dyDescent="0.3"/>
    <row r="619" s="1" customFormat="1" ht="15.75" customHeight="1" x14ac:dyDescent="0.3"/>
    <row r="620" s="1" customFormat="1" ht="15.75" customHeight="1" x14ac:dyDescent="0.3"/>
    <row r="621" s="1" customFormat="1" ht="15.75" customHeight="1" x14ac:dyDescent="0.3"/>
    <row r="622" s="1" customFormat="1" ht="15.75" customHeight="1" x14ac:dyDescent="0.3"/>
    <row r="623" s="1" customFormat="1" ht="15.75" customHeight="1" x14ac:dyDescent="0.3"/>
    <row r="624" s="1" customFormat="1" ht="15.75" customHeight="1" x14ac:dyDescent="0.3"/>
    <row r="625" s="1" customFormat="1" ht="15.75" customHeight="1" x14ac:dyDescent="0.3"/>
    <row r="626" s="1" customFormat="1" ht="15.75" customHeight="1" x14ac:dyDescent="0.3"/>
    <row r="627" s="1" customFormat="1" ht="15.75" customHeight="1" x14ac:dyDescent="0.3"/>
    <row r="628" s="1" customFormat="1" ht="15.75" customHeight="1" x14ac:dyDescent="0.3"/>
    <row r="629" s="1" customFormat="1" ht="15.75" customHeight="1" x14ac:dyDescent="0.3"/>
    <row r="630" s="1" customFormat="1" ht="15.75" customHeight="1" x14ac:dyDescent="0.3"/>
    <row r="631" s="1" customFormat="1" ht="15.75" customHeight="1" x14ac:dyDescent="0.3"/>
    <row r="632" s="1" customFormat="1" ht="15.75" customHeight="1" x14ac:dyDescent="0.3"/>
    <row r="633" s="1" customFormat="1" ht="15.75" customHeight="1" x14ac:dyDescent="0.3"/>
    <row r="634" s="1" customFormat="1" ht="15.75" customHeight="1" x14ac:dyDescent="0.3"/>
    <row r="635" s="1" customFormat="1" ht="15.75" customHeight="1" x14ac:dyDescent="0.3"/>
    <row r="636" s="1" customFormat="1" ht="15.75" customHeight="1" x14ac:dyDescent="0.3"/>
    <row r="637" s="1" customFormat="1" ht="15.75" customHeight="1" x14ac:dyDescent="0.3"/>
    <row r="638" s="1" customFormat="1" ht="15.75" customHeight="1" x14ac:dyDescent="0.3"/>
    <row r="639" s="1" customFormat="1" ht="15.75" customHeight="1" x14ac:dyDescent="0.3"/>
    <row r="640" s="1" customFormat="1" ht="15.75" customHeight="1" x14ac:dyDescent="0.3"/>
    <row r="641" s="1" customFormat="1" ht="15.75" customHeight="1" x14ac:dyDescent="0.3"/>
    <row r="642" s="1" customFormat="1" ht="15.75" customHeight="1" x14ac:dyDescent="0.3"/>
    <row r="643" s="1" customFormat="1" ht="15.75" customHeight="1" x14ac:dyDescent="0.3"/>
    <row r="644" s="1" customFormat="1" ht="15.75" customHeight="1" x14ac:dyDescent="0.3"/>
    <row r="645" s="1" customFormat="1" ht="15.75" customHeight="1" x14ac:dyDescent="0.3"/>
    <row r="646" s="1" customFormat="1" ht="15.75" customHeight="1" x14ac:dyDescent="0.3"/>
    <row r="647" s="1" customFormat="1" ht="15.75" customHeight="1" x14ac:dyDescent="0.3"/>
    <row r="648" s="1" customFormat="1" ht="15.75" customHeight="1" x14ac:dyDescent="0.3"/>
    <row r="649" s="1" customFormat="1" ht="15.75" customHeight="1" x14ac:dyDescent="0.3"/>
    <row r="650" s="1" customFormat="1" ht="15.75" customHeight="1" x14ac:dyDescent="0.3"/>
    <row r="651" s="1" customFormat="1" ht="15.75" customHeight="1" x14ac:dyDescent="0.3"/>
    <row r="652" s="1" customFormat="1" ht="15.75" customHeight="1" x14ac:dyDescent="0.3"/>
    <row r="653" s="1" customFormat="1" ht="15.75" customHeight="1" x14ac:dyDescent="0.3"/>
    <row r="654" s="1" customFormat="1" ht="15.75" customHeight="1" x14ac:dyDescent="0.3"/>
    <row r="655" s="1" customFormat="1" ht="15.75" customHeight="1" x14ac:dyDescent="0.3"/>
    <row r="656" s="1" customFormat="1" ht="15.75" customHeight="1" x14ac:dyDescent="0.3"/>
    <row r="657" s="1" customFormat="1" ht="15.75" customHeight="1" x14ac:dyDescent="0.3"/>
    <row r="658" s="1" customFormat="1" ht="15.75" customHeight="1" x14ac:dyDescent="0.3"/>
    <row r="659" s="1" customFormat="1" ht="15.75" customHeight="1" x14ac:dyDescent="0.3"/>
    <row r="660" s="1" customFormat="1" ht="15.75" customHeight="1" x14ac:dyDescent="0.3"/>
    <row r="661" s="1" customFormat="1" ht="15.75" customHeight="1" x14ac:dyDescent="0.3"/>
    <row r="662" s="1" customFormat="1" ht="15.75" customHeight="1" x14ac:dyDescent="0.3"/>
    <row r="663" s="1" customFormat="1" ht="15.75" customHeight="1" x14ac:dyDescent="0.3"/>
    <row r="664" s="1" customFormat="1" ht="15.75" customHeight="1" x14ac:dyDescent="0.3"/>
    <row r="665" s="1" customFormat="1" ht="15.75" customHeight="1" x14ac:dyDescent="0.3"/>
    <row r="666" s="1" customFormat="1" ht="15.75" customHeight="1" x14ac:dyDescent="0.3"/>
    <row r="667" s="1" customFormat="1" ht="15.75" customHeight="1" x14ac:dyDescent="0.3"/>
    <row r="668" s="1" customFormat="1" ht="15.75" customHeight="1" x14ac:dyDescent="0.3"/>
    <row r="669" s="1" customFormat="1" ht="15.75" customHeight="1" x14ac:dyDescent="0.3"/>
    <row r="670" s="1" customFormat="1" ht="15.75" customHeight="1" x14ac:dyDescent="0.3"/>
    <row r="671" s="1" customFormat="1" ht="15.75" customHeight="1" x14ac:dyDescent="0.3"/>
    <row r="672" s="1" customFormat="1" ht="15.75" customHeight="1" x14ac:dyDescent="0.3"/>
    <row r="673" s="1" customFormat="1" ht="15.75" customHeight="1" x14ac:dyDescent="0.3"/>
    <row r="674" s="1" customFormat="1" ht="15.75" customHeight="1" x14ac:dyDescent="0.3"/>
    <row r="675" s="1" customFormat="1" ht="15.75" customHeight="1" x14ac:dyDescent="0.3"/>
    <row r="676" s="1" customFormat="1" ht="15.75" customHeight="1" x14ac:dyDescent="0.3"/>
    <row r="677" s="1" customFormat="1" ht="15.75" customHeight="1" x14ac:dyDescent="0.3"/>
    <row r="678" s="1" customFormat="1" ht="15.75" customHeight="1" x14ac:dyDescent="0.3"/>
    <row r="679" s="1" customFormat="1" ht="15.75" customHeight="1" x14ac:dyDescent="0.3"/>
    <row r="680" s="1" customFormat="1" ht="15.75" customHeight="1" x14ac:dyDescent="0.3"/>
    <row r="681" s="1" customFormat="1" ht="15.75" customHeight="1" x14ac:dyDescent="0.3"/>
    <row r="682" s="1" customFormat="1" ht="15.75" customHeight="1" x14ac:dyDescent="0.3"/>
    <row r="683" s="1" customFormat="1" ht="15.75" customHeight="1" x14ac:dyDescent="0.3"/>
    <row r="684" s="1" customFormat="1" ht="15.75" customHeight="1" x14ac:dyDescent="0.3"/>
    <row r="685" s="1" customFormat="1" ht="15.75" customHeight="1" x14ac:dyDescent="0.3"/>
    <row r="686" s="1" customFormat="1" ht="15.75" customHeight="1" x14ac:dyDescent="0.3"/>
    <row r="687" s="1" customFormat="1" ht="15.75" customHeight="1" x14ac:dyDescent="0.3"/>
    <row r="688" s="1" customFormat="1" ht="15.75" customHeight="1" x14ac:dyDescent="0.3"/>
    <row r="689" s="1" customFormat="1" ht="15.75" customHeight="1" x14ac:dyDescent="0.3"/>
    <row r="690" s="1" customFormat="1" ht="15.75" customHeight="1" x14ac:dyDescent="0.3"/>
    <row r="691" s="1" customFormat="1" ht="15.75" customHeight="1" x14ac:dyDescent="0.3"/>
    <row r="692" s="1" customFormat="1" ht="15.75" customHeight="1" x14ac:dyDescent="0.3"/>
    <row r="693" s="1" customFormat="1" ht="15.75" customHeight="1" x14ac:dyDescent="0.3"/>
    <row r="694" s="1" customFormat="1" ht="15.75" customHeight="1" x14ac:dyDescent="0.3"/>
    <row r="695" s="1" customFormat="1" ht="15.75" customHeight="1" x14ac:dyDescent="0.3"/>
    <row r="696" s="1" customFormat="1" ht="15.75" customHeight="1" x14ac:dyDescent="0.3"/>
    <row r="697" s="1" customFormat="1" ht="15.75" customHeight="1" x14ac:dyDescent="0.3"/>
    <row r="698" s="1" customFormat="1" ht="15.75" customHeight="1" x14ac:dyDescent="0.3"/>
    <row r="699" s="1" customFormat="1" ht="15.75" customHeight="1" x14ac:dyDescent="0.3"/>
    <row r="700" s="1" customFormat="1" ht="15.75" customHeight="1" x14ac:dyDescent="0.3"/>
    <row r="701" s="1" customFormat="1" ht="15.75" customHeight="1" x14ac:dyDescent="0.3"/>
    <row r="702" s="1" customFormat="1" ht="15.75" customHeight="1" x14ac:dyDescent="0.3"/>
    <row r="703" s="1" customFormat="1" ht="15.75" customHeight="1" x14ac:dyDescent="0.3"/>
    <row r="704" s="1" customFormat="1" ht="15.75" customHeight="1" x14ac:dyDescent="0.3"/>
    <row r="705" s="1" customFormat="1" ht="15.75" customHeight="1" x14ac:dyDescent="0.3"/>
    <row r="706" s="1" customFormat="1" ht="15.75" customHeight="1" x14ac:dyDescent="0.3"/>
    <row r="707" s="1" customFormat="1" ht="15.75" customHeight="1" x14ac:dyDescent="0.3"/>
    <row r="708" s="1" customFormat="1" ht="15.75" customHeight="1" x14ac:dyDescent="0.3"/>
    <row r="709" s="1" customFormat="1" ht="15.75" customHeight="1" x14ac:dyDescent="0.3"/>
    <row r="710" s="1" customFormat="1" ht="15.75" customHeight="1" x14ac:dyDescent="0.3"/>
    <row r="711" s="1" customFormat="1" ht="15.75" customHeight="1" x14ac:dyDescent="0.3"/>
    <row r="712" s="1" customFormat="1" ht="15.75" customHeight="1" x14ac:dyDescent="0.3"/>
    <row r="713" s="1" customFormat="1" ht="15.75" customHeight="1" x14ac:dyDescent="0.3"/>
    <row r="714" s="1" customFormat="1" ht="15.75" customHeight="1" x14ac:dyDescent="0.3"/>
    <row r="715" s="1" customFormat="1" ht="15.75" customHeight="1" x14ac:dyDescent="0.3"/>
    <row r="716" s="1" customFormat="1" ht="15.75" customHeight="1" x14ac:dyDescent="0.3"/>
    <row r="717" s="1" customFormat="1" ht="15.75" customHeight="1" x14ac:dyDescent="0.3"/>
    <row r="718" s="1" customFormat="1" ht="15.75" customHeight="1" x14ac:dyDescent="0.3"/>
    <row r="719" s="1" customFormat="1" ht="15.75" customHeight="1" x14ac:dyDescent="0.3"/>
    <row r="720" s="1" customFormat="1" ht="15.75" customHeight="1" x14ac:dyDescent="0.3"/>
    <row r="721" s="1" customFormat="1" ht="15.75" customHeight="1" x14ac:dyDescent="0.3"/>
    <row r="722" s="1" customFormat="1" ht="15.75" customHeight="1" x14ac:dyDescent="0.3"/>
    <row r="723" s="1" customFormat="1" ht="15.75" customHeight="1" x14ac:dyDescent="0.3"/>
    <row r="724" s="1" customFormat="1" ht="15.75" customHeight="1" x14ac:dyDescent="0.3"/>
    <row r="725" s="1" customFormat="1" ht="15.75" customHeight="1" x14ac:dyDescent="0.3"/>
    <row r="726" s="1" customFormat="1" ht="15.75" customHeight="1" x14ac:dyDescent="0.3"/>
    <row r="727" s="1" customFormat="1" ht="15.75" customHeight="1" x14ac:dyDescent="0.3"/>
    <row r="728" s="1" customFormat="1" ht="15.75" customHeight="1" x14ac:dyDescent="0.3"/>
    <row r="729" s="1" customFormat="1" ht="15.75" customHeight="1" x14ac:dyDescent="0.3"/>
    <row r="730" s="1" customFormat="1" ht="15.75" customHeight="1" x14ac:dyDescent="0.3"/>
    <row r="731" s="1" customFormat="1" ht="15.75" customHeight="1" x14ac:dyDescent="0.3"/>
    <row r="732" s="1" customFormat="1" ht="15.75" customHeight="1" x14ac:dyDescent="0.3"/>
    <row r="733" s="1" customFormat="1" ht="15.75" customHeight="1" x14ac:dyDescent="0.3"/>
    <row r="734" s="1" customFormat="1" ht="15.75" customHeight="1" x14ac:dyDescent="0.3"/>
    <row r="735" s="1" customFormat="1" ht="15.75" customHeight="1" x14ac:dyDescent="0.3"/>
    <row r="736" s="1" customFormat="1" ht="15.75" customHeight="1" x14ac:dyDescent="0.3"/>
    <row r="737" s="1" customFormat="1" ht="15.75" customHeight="1" x14ac:dyDescent="0.3"/>
    <row r="738" s="1" customFormat="1" ht="15.75" customHeight="1" x14ac:dyDescent="0.3"/>
    <row r="739" s="1" customFormat="1" ht="15.75" customHeight="1" x14ac:dyDescent="0.3"/>
    <row r="740" s="1" customFormat="1" ht="15.75" customHeight="1" x14ac:dyDescent="0.3"/>
    <row r="741" s="1" customFormat="1" ht="15.75" customHeight="1" x14ac:dyDescent="0.3"/>
    <row r="742" s="1" customFormat="1" ht="15.75" customHeight="1" x14ac:dyDescent="0.3"/>
    <row r="743" s="1" customFormat="1" ht="15.75" customHeight="1" x14ac:dyDescent="0.3"/>
    <row r="744" s="1" customFormat="1" ht="15.75" customHeight="1" x14ac:dyDescent="0.3"/>
    <row r="745" s="1" customFormat="1" ht="15.75" customHeight="1" x14ac:dyDescent="0.3"/>
    <row r="746" s="1" customFormat="1" ht="15.75" customHeight="1" x14ac:dyDescent="0.3"/>
    <row r="747" s="1" customFormat="1" ht="15.75" customHeight="1" x14ac:dyDescent="0.3"/>
    <row r="748" s="1" customFormat="1" ht="15.75" customHeight="1" x14ac:dyDescent="0.3"/>
    <row r="749" s="1" customFormat="1" ht="15.75" customHeight="1" x14ac:dyDescent="0.3"/>
    <row r="750" s="1" customFormat="1" ht="15.75" customHeight="1" x14ac:dyDescent="0.3"/>
    <row r="751" s="1" customFormat="1" ht="15.75" customHeight="1" x14ac:dyDescent="0.3"/>
    <row r="752" s="1" customFormat="1" ht="15.75" customHeight="1" x14ac:dyDescent="0.3"/>
    <row r="753" s="1" customFormat="1" ht="15.75" customHeight="1" x14ac:dyDescent="0.3"/>
    <row r="754" s="1" customFormat="1" ht="15.75" customHeight="1" x14ac:dyDescent="0.3"/>
    <row r="755" s="1" customFormat="1" ht="15.75" customHeight="1" x14ac:dyDescent="0.3"/>
    <row r="756" s="1" customFormat="1" ht="15.75" customHeight="1" x14ac:dyDescent="0.3"/>
    <row r="757" s="1" customFormat="1" ht="15.75" customHeight="1" x14ac:dyDescent="0.3"/>
    <row r="758" s="1" customFormat="1" ht="15.75" customHeight="1" x14ac:dyDescent="0.3"/>
    <row r="759" s="1" customFormat="1" ht="15.75" customHeight="1" x14ac:dyDescent="0.3"/>
    <row r="760" s="1" customFormat="1" ht="15.75" customHeight="1" x14ac:dyDescent="0.3"/>
    <row r="761" s="1" customFormat="1" ht="15.75" customHeight="1" x14ac:dyDescent="0.3"/>
    <row r="762" s="1" customFormat="1" ht="15.75" customHeight="1" x14ac:dyDescent="0.3"/>
    <row r="763" s="1" customFormat="1" ht="15.75" customHeight="1" x14ac:dyDescent="0.3"/>
    <row r="764" s="1" customFormat="1" ht="15.75" customHeight="1" x14ac:dyDescent="0.3"/>
    <row r="765" s="1" customFormat="1" ht="15.75" customHeight="1" x14ac:dyDescent="0.3"/>
    <row r="766" s="1" customFormat="1" ht="15.75" customHeight="1" x14ac:dyDescent="0.3"/>
    <row r="767" s="1" customFormat="1" ht="15.75" customHeight="1" x14ac:dyDescent="0.3"/>
    <row r="768" s="1" customFormat="1" ht="15.75" customHeight="1" x14ac:dyDescent="0.3"/>
    <row r="769" s="1" customFormat="1" ht="15.75" customHeight="1" x14ac:dyDescent="0.3"/>
    <row r="770" s="1" customFormat="1" ht="15.75" customHeight="1" x14ac:dyDescent="0.3"/>
    <row r="771" s="1" customFormat="1" ht="15.75" customHeight="1" x14ac:dyDescent="0.3"/>
    <row r="772" s="1" customFormat="1" ht="15.75" customHeight="1" x14ac:dyDescent="0.3"/>
    <row r="773" s="1" customFormat="1" ht="15.75" customHeight="1" x14ac:dyDescent="0.3"/>
    <row r="774" s="1" customFormat="1" ht="15.75" customHeight="1" x14ac:dyDescent="0.3"/>
    <row r="775" s="1" customFormat="1" ht="15.75" customHeight="1" x14ac:dyDescent="0.3"/>
    <row r="776" s="1" customFormat="1" ht="15.75" customHeight="1" x14ac:dyDescent="0.3"/>
    <row r="777" s="1" customFormat="1" ht="15.75" customHeight="1" x14ac:dyDescent="0.3"/>
    <row r="778" s="1" customFormat="1" ht="15.75" customHeight="1" x14ac:dyDescent="0.3"/>
    <row r="779" s="1" customFormat="1" ht="15.75" customHeight="1" x14ac:dyDescent="0.3"/>
    <row r="780" s="1" customFormat="1" ht="15.75" customHeight="1" x14ac:dyDescent="0.3"/>
    <row r="781" s="1" customFormat="1" ht="15.75" customHeight="1" x14ac:dyDescent="0.3"/>
    <row r="782" s="1" customFormat="1" ht="15.75" customHeight="1" x14ac:dyDescent="0.3"/>
    <row r="783" s="1" customFormat="1" ht="15.75" customHeight="1" x14ac:dyDescent="0.3"/>
    <row r="784" s="1" customFormat="1" ht="15.75" customHeight="1" x14ac:dyDescent="0.3"/>
    <row r="785" s="1" customFormat="1" ht="15.75" customHeight="1" x14ac:dyDescent="0.3"/>
    <row r="786" s="1" customFormat="1" ht="15.75" customHeight="1" x14ac:dyDescent="0.3"/>
    <row r="787" s="1" customFormat="1" ht="15.75" customHeight="1" x14ac:dyDescent="0.3"/>
    <row r="788" s="1" customFormat="1" ht="15.75" customHeight="1" x14ac:dyDescent="0.3"/>
    <row r="789" s="1" customFormat="1" ht="15.75" customHeight="1" x14ac:dyDescent="0.3"/>
    <row r="790" s="1" customFormat="1" ht="15.75" customHeight="1" x14ac:dyDescent="0.3"/>
    <row r="791" s="1" customFormat="1" ht="15.75" customHeight="1" x14ac:dyDescent="0.3"/>
    <row r="792" s="1" customFormat="1" ht="15.75" customHeight="1" x14ac:dyDescent="0.3"/>
    <row r="793" s="1" customFormat="1" ht="15.75" customHeight="1" x14ac:dyDescent="0.3"/>
    <row r="794" s="1" customFormat="1" ht="15.75" customHeight="1" x14ac:dyDescent="0.3"/>
    <row r="795" s="1" customFormat="1" ht="15.75" customHeight="1" x14ac:dyDescent="0.3"/>
    <row r="796" s="1" customFormat="1" ht="15.75" customHeight="1" x14ac:dyDescent="0.3"/>
    <row r="797" s="1" customFormat="1" ht="15.75" customHeight="1" x14ac:dyDescent="0.3"/>
    <row r="798" s="1" customFormat="1" ht="15.75" customHeight="1" x14ac:dyDescent="0.3"/>
    <row r="799" s="1" customFormat="1" ht="15.75" customHeight="1" x14ac:dyDescent="0.3"/>
    <row r="800" s="1" customFormat="1" ht="15.75" customHeight="1" x14ac:dyDescent="0.3"/>
    <row r="801" s="1" customFormat="1" ht="15.75" customHeight="1" x14ac:dyDescent="0.3"/>
    <row r="802" s="1" customFormat="1" ht="15.75" customHeight="1" x14ac:dyDescent="0.3"/>
    <row r="803" s="1" customFormat="1" ht="15.75" customHeight="1" x14ac:dyDescent="0.3"/>
    <row r="804" s="1" customFormat="1" ht="15.75" customHeight="1" x14ac:dyDescent="0.3"/>
    <row r="805" s="1" customFormat="1" ht="15.75" customHeight="1" x14ac:dyDescent="0.3"/>
    <row r="806" s="1" customFormat="1" ht="15.75" customHeight="1" x14ac:dyDescent="0.3"/>
    <row r="807" s="1" customFormat="1" ht="15.75" customHeight="1" x14ac:dyDescent="0.3"/>
    <row r="808" s="1" customFormat="1" ht="15.75" customHeight="1" x14ac:dyDescent="0.3"/>
    <row r="809" s="1" customFormat="1" ht="15.75" customHeight="1" x14ac:dyDescent="0.3"/>
    <row r="810" s="1" customFormat="1" ht="15.75" customHeight="1" x14ac:dyDescent="0.3"/>
    <row r="811" s="1" customFormat="1" ht="15.75" customHeight="1" x14ac:dyDescent="0.3"/>
    <row r="812" s="1" customFormat="1" ht="15.75" customHeight="1" x14ac:dyDescent="0.3"/>
    <row r="813" s="1" customFormat="1" ht="15.75" customHeight="1" x14ac:dyDescent="0.3"/>
    <row r="814" s="1" customFormat="1" ht="15.75" customHeight="1" x14ac:dyDescent="0.3"/>
    <row r="815" s="1" customFormat="1" ht="15.75" customHeight="1" x14ac:dyDescent="0.3"/>
    <row r="816" s="1" customFormat="1" ht="15.75" customHeight="1" x14ac:dyDescent="0.3"/>
    <row r="817" s="1" customFormat="1" ht="15.75" customHeight="1" x14ac:dyDescent="0.3"/>
    <row r="818" s="1" customFormat="1" ht="15.75" customHeight="1" x14ac:dyDescent="0.3"/>
    <row r="819" s="1" customFormat="1" ht="15.75" customHeight="1" x14ac:dyDescent="0.3"/>
    <row r="820" s="1" customFormat="1" ht="15.75" customHeight="1" x14ac:dyDescent="0.3"/>
    <row r="821" s="1" customFormat="1" ht="15.75" customHeight="1" x14ac:dyDescent="0.3"/>
    <row r="822" s="1" customFormat="1" ht="15.75" customHeight="1" x14ac:dyDescent="0.3"/>
    <row r="823" s="1" customFormat="1" ht="15.75" customHeight="1" x14ac:dyDescent="0.3"/>
    <row r="824" s="1" customFormat="1" ht="15.75" customHeight="1" x14ac:dyDescent="0.3"/>
    <row r="825" s="1" customFormat="1" ht="15.75" customHeight="1" x14ac:dyDescent="0.3"/>
    <row r="826" s="1" customFormat="1" ht="15.75" customHeight="1" x14ac:dyDescent="0.3"/>
    <row r="827" s="1" customFormat="1" ht="15.75" customHeight="1" x14ac:dyDescent="0.3"/>
    <row r="828" s="1" customFormat="1" ht="15.75" customHeight="1" x14ac:dyDescent="0.3"/>
    <row r="829" s="1" customFormat="1" ht="15.75" customHeight="1" x14ac:dyDescent="0.3"/>
    <row r="830" s="1" customFormat="1" ht="15.75" customHeight="1" x14ac:dyDescent="0.3"/>
    <row r="831" s="1" customFormat="1" ht="15.75" customHeight="1" x14ac:dyDescent="0.3"/>
    <row r="832" s="1" customFormat="1" ht="15.75" customHeight="1" x14ac:dyDescent="0.3"/>
    <row r="833" s="1" customFormat="1" ht="15.75" customHeight="1" x14ac:dyDescent="0.3"/>
    <row r="834" s="1" customFormat="1" ht="15.75" customHeight="1" x14ac:dyDescent="0.3"/>
    <row r="835" s="1" customFormat="1" ht="15.75" customHeight="1" x14ac:dyDescent="0.3"/>
    <row r="836" s="1" customFormat="1" ht="15.75" customHeight="1" x14ac:dyDescent="0.3"/>
    <row r="837" s="1" customFormat="1" ht="15.75" customHeight="1" x14ac:dyDescent="0.3"/>
    <row r="838" s="1" customFormat="1" ht="15.75" customHeight="1" x14ac:dyDescent="0.3"/>
    <row r="839" s="1" customFormat="1" ht="15.75" customHeight="1" x14ac:dyDescent="0.3"/>
    <row r="840" s="1" customFormat="1" ht="15.75" customHeight="1" x14ac:dyDescent="0.3"/>
    <row r="841" s="1" customFormat="1" ht="15.75" customHeight="1" x14ac:dyDescent="0.3"/>
    <row r="842" s="1" customFormat="1" ht="15.75" customHeight="1" x14ac:dyDescent="0.3"/>
    <row r="843" s="1" customFormat="1" ht="15.75" customHeight="1" x14ac:dyDescent="0.3"/>
    <row r="844" s="1" customFormat="1" ht="15.75" customHeight="1" x14ac:dyDescent="0.3"/>
    <row r="845" s="1" customFormat="1" ht="15.75" customHeight="1" x14ac:dyDescent="0.3"/>
    <row r="846" s="1" customFormat="1" ht="15.75" customHeight="1" x14ac:dyDescent="0.3"/>
    <row r="847" s="1" customFormat="1" ht="15.75" customHeight="1" x14ac:dyDescent="0.3"/>
    <row r="848" s="1" customFormat="1" ht="15.75" customHeight="1" x14ac:dyDescent="0.3"/>
    <row r="849" s="1" customFormat="1" ht="15.75" customHeight="1" x14ac:dyDescent="0.3"/>
    <row r="850" s="1" customFormat="1" ht="15.75" customHeight="1" x14ac:dyDescent="0.3"/>
    <row r="851" s="1" customFormat="1" ht="15.75" customHeight="1" x14ac:dyDescent="0.3"/>
    <row r="852" s="1" customFormat="1" ht="15.75" customHeight="1" x14ac:dyDescent="0.3"/>
    <row r="853" s="1" customFormat="1" ht="15.75" customHeight="1" x14ac:dyDescent="0.3"/>
    <row r="854" s="1" customFormat="1" ht="15.75" customHeight="1" x14ac:dyDescent="0.3"/>
    <row r="855" s="1" customFormat="1" ht="15.75" customHeight="1" x14ac:dyDescent="0.3"/>
    <row r="856" s="1" customFormat="1" ht="15.75" customHeight="1" x14ac:dyDescent="0.3"/>
    <row r="857" s="1" customFormat="1" ht="15.75" customHeight="1" x14ac:dyDescent="0.3"/>
    <row r="858" s="1" customFormat="1" ht="15.75" customHeight="1" x14ac:dyDescent="0.3"/>
    <row r="859" s="1" customFormat="1" ht="15.75" customHeight="1" x14ac:dyDescent="0.3"/>
    <row r="860" s="1" customFormat="1" ht="15.75" customHeight="1" x14ac:dyDescent="0.3"/>
    <row r="861" s="1" customFormat="1" ht="15.75" customHeight="1" x14ac:dyDescent="0.3"/>
    <row r="862" s="1" customFormat="1" ht="15.75" customHeight="1" x14ac:dyDescent="0.3"/>
    <row r="863" s="1" customFormat="1" ht="15.75" customHeight="1" x14ac:dyDescent="0.3"/>
    <row r="864" s="1" customFormat="1" ht="15.75" customHeight="1" x14ac:dyDescent="0.3"/>
    <row r="865" s="1" customFormat="1" ht="15.75" customHeight="1" x14ac:dyDescent="0.3"/>
    <row r="866" s="1" customFormat="1" ht="15.75" customHeight="1" x14ac:dyDescent="0.3"/>
    <row r="867" s="1" customFormat="1" ht="15.75" customHeight="1" x14ac:dyDescent="0.3"/>
    <row r="868" s="1" customFormat="1" ht="15.75" customHeight="1" x14ac:dyDescent="0.3"/>
    <row r="869" s="1" customFormat="1" ht="15.75" customHeight="1" x14ac:dyDescent="0.3"/>
    <row r="870" s="1" customFormat="1" ht="15.75" customHeight="1" x14ac:dyDescent="0.3"/>
    <row r="871" s="1" customFormat="1" ht="15.75" customHeight="1" x14ac:dyDescent="0.3"/>
    <row r="872" s="1" customFormat="1" ht="15.75" customHeight="1" x14ac:dyDescent="0.3"/>
    <row r="873" s="1" customFormat="1" ht="15.75" customHeight="1" x14ac:dyDescent="0.3"/>
    <row r="874" s="1" customFormat="1" ht="15.75" customHeight="1" x14ac:dyDescent="0.3"/>
    <row r="875" s="1" customFormat="1" ht="15.75" customHeight="1" x14ac:dyDescent="0.3"/>
    <row r="876" s="1" customFormat="1" ht="15.75" customHeight="1" x14ac:dyDescent="0.3"/>
    <row r="877" s="1" customFormat="1" ht="15.75" customHeight="1" x14ac:dyDescent="0.3"/>
    <row r="878" s="1" customFormat="1" ht="15.75" customHeight="1" x14ac:dyDescent="0.3"/>
    <row r="879" s="1" customFormat="1" ht="15.75" customHeight="1" x14ac:dyDescent="0.3"/>
    <row r="880" s="1" customFormat="1" ht="15.75" customHeight="1" x14ac:dyDescent="0.3"/>
    <row r="881" s="1" customFormat="1" ht="15.75" customHeight="1" x14ac:dyDescent="0.3"/>
    <row r="882" s="1" customFormat="1" ht="15.75" customHeight="1" x14ac:dyDescent="0.3"/>
    <row r="883" s="1" customFormat="1" ht="15.75" customHeight="1" x14ac:dyDescent="0.3"/>
    <row r="884" s="1" customFormat="1" ht="15.75" customHeight="1" x14ac:dyDescent="0.3"/>
    <row r="885" s="1" customFormat="1" ht="15.75" customHeight="1" x14ac:dyDescent="0.3"/>
    <row r="886" s="1" customFormat="1" ht="15.75" customHeight="1" x14ac:dyDescent="0.3"/>
    <row r="887" s="1" customFormat="1" ht="15.75" customHeight="1" x14ac:dyDescent="0.3"/>
    <row r="888" s="1" customFormat="1" ht="15.75" customHeight="1" x14ac:dyDescent="0.3"/>
    <row r="889" s="1" customFormat="1" ht="15.75" customHeight="1" x14ac:dyDescent="0.3"/>
    <row r="890" s="1" customFormat="1" ht="15.75" customHeight="1" x14ac:dyDescent="0.3"/>
    <row r="891" s="1" customFormat="1" ht="15.75" customHeight="1" x14ac:dyDescent="0.3"/>
    <row r="892" s="1" customFormat="1" ht="15.75" customHeight="1" x14ac:dyDescent="0.3"/>
    <row r="893" s="1" customFormat="1" ht="15.75" customHeight="1" x14ac:dyDescent="0.3"/>
    <row r="894" s="1" customFormat="1" ht="15.75" customHeight="1" x14ac:dyDescent="0.3"/>
    <row r="895" s="1" customFormat="1" ht="15.75" customHeight="1" x14ac:dyDescent="0.3"/>
    <row r="896" s="1" customFormat="1" ht="15.75" customHeight="1" x14ac:dyDescent="0.3"/>
    <row r="897" s="1" customFormat="1" ht="15.75" customHeight="1" x14ac:dyDescent="0.3"/>
    <row r="898" s="1" customFormat="1" ht="15.75" customHeight="1" x14ac:dyDescent="0.3"/>
    <row r="899" s="1" customFormat="1" ht="15.75" customHeight="1" x14ac:dyDescent="0.3"/>
    <row r="900" s="1" customFormat="1" ht="15.75" customHeight="1" x14ac:dyDescent="0.3"/>
    <row r="901" s="1" customFormat="1" ht="15.75" customHeight="1" x14ac:dyDescent="0.3"/>
    <row r="902" s="1" customFormat="1" ht="15.75" customHeight="1" x14ac:dyDescent="0.3"/>
    <row r="903" s="1" customFormat="1" ht="15.75" customHeight="1" x14ac:dyDescent="0.3"/>
    <row r="904" s="1" customFormat="1" ht="15.75" customHeight="1" x14ac:dyDescent="0.3"/>
    <row r="905" s="1" customFormat="1" ht="15.75" customHeight="1" x14ac:dyDescent="0.3"/>
    <row r="906" s="1" customFormat="1" ht="15.75" customHeight="1" x14ac:dyDescent="0.3"/>
    <row r="907" s="1" customFormat="1" ht="15.75" customHeight="1" x14ac:dyDescent="0.3"/>
    <row r="908" s="1" customFormat="1" ht="15.75" customHeight="1" x14ac:dyDescent="0.3"/>
    <row r="909" s="1" customFormat="1" ht="15.75" customHeight="1" x14ac:dyDescent="0.3"/>
    <row r="910" s="1" customFormat="1" ht="15.75" customHeight="1" x14ac:dyDescent="0.3"/>
    <row r="911" s="1" customFormat="1" ht="15.75" customHeight="1" x14ac:dyDescent="0.3"/>
    <row r="912" s="1" customFormat="1" ht="15.75" customHeight="1" x14ac:dyDescent="0.3"/>
    <row r="913" s="1" customFormat="1" ht="15.75" customHeight="1" x14ac:dyDescent="0.3"/>
    <row r="914" s="1" customFormat="1" ht="15.75" customHeight="1" x14ac:dyDescent="0.3"/>
    <row r="915" s="1" customFormat="1" ht="15.75" customHeight="1" x14ac:dyDescent="0.3"/>
    <row r="916" s="1" customFormat="1" ht="15.75" customHeight="1" x14ac:dyDescent="0.3"/>
    <row r="917" s="1" customFormat="1" ht="15.75" customHeight="1" x14ac:dyDescent="0.3"/>
    <row r="918" s="1" customFormat="1" ht="15.75" customHeight="1" x14ac:dyDescent="0.3"/>
    <row r="919" s="1" customFormat="1" ht="15.75" customHeight="1" x14ac:dyDescent="0.3"/>
    <row r="920" s="1" customFormat="1" ht="15.75" customHeight="1" x14ac:dyDescent="0.3"/>
    <row r="921" s="1" customFormat="1" ht="15.75" customHeight="1" x14ac:dyDescent="0.3"/>
    <row r="922" s="1" customFormat="1" ht="15.75" customHeight="1" x14ac:dyDescent="0.3"/>
    <row r="923" s="1" customFormat="1" ht="15.75" customHeight="1" x14ac:dyDescent="0.3"/>
    <row r="924" s="1" customFormat="1" ht="15.75" customHeight="1" x14ac:dyDescent="0.3"/>
    <row r="925" s="1" customFormat="1" ht="15.75" customHeight="1" x14ac:dyDescent="0.3"/>
    <row r="926" s="1" customFormat="1" ht="15.75" customHeight="1" x14ac:dyDescent="0.3"/>
    <row r="927" s="1" customFormat="1" ht="15.75" customHeight="1" x14ac:dyDescent="0.3"/>
    <row r="928" s="1" customFormat="1" ht="15.75" customHeight="1" x14ac:dyDescent="0.3"/>
    <row r="929" s="1" customFormat="1" ht="15.75" customHeight="1" x14ac:dyDescent="0.3"/>
    <row r="930" s="1" customFormat="1" ht="15.75" customHeight="1" x14ac:dyDescent="0.3"/>
    <row r="931" s="1" customFormat="1" ht="15.75" customHeight="1" x14ac:dyDescent="0.3"/>
    <row r="932" s="1" customFormat="1" ht="15.75" customHeight="1" x14ac:dyDescent="0.3"/>
    <row r="933" s="1" customFormat="1" ht="15.75" customHeight="1" x14ac:dyDescent="0.3"/>
    <row r="934" s="1" customFormat="1" ht="15.75" customHeight="1" x14ac:dyDescent="0.3"/>
    <row r="935" s="1" customFormat="1" ht="15.75" customHeight="1" x14ac:dyDescent="0.3"/>
    <row r="936" s="1" customFormat="1" ht="15.75" customHeight="1" x14ac:dyDescent="0.3"/>
    <row r="937" s="1" customFormat="1" ht="15.75" customHeight="1" x14ac:dyDescent="0.3"/>
    <row r="938" s="1" customFormat="1" ht="15.75" customHeight="1" x14ac:dyDescent="0.3"/>
    <row r="939" s="1" customFormat="1" ht="15.75" customHeight="1" x14ac:dyDescent="0.3"/>
    <row r="940" s="1" customFormat="1" ht="15.75" customHeight="1" x14ac:dyDescent="0.3"/>
    <row r="941" s="1" customFormat="1" ht="15.75" customHeight="1" x14ac:dyDescent="0.3"/>
    <row r="942" s="1" customFormat="1" ht="15.75" customHeight="1" x14ac:dyDescent="0.3"/>
    <row r="943" s="1" customFormat="1" ht="15.75" customHeight="1" x14ac:dyDescent="0.3"/>
    <row r="944" s="1" customFormat="1" ht="15.75" customHeight="1" x14ac:dyDescent="0.3"/>
    <row r="945" s="1" customFormat="1" ht="15.75" customHeight="1" x14ac:dyDescent="0.3"/>
    <row r="946" s="1" customFormat="1" ht="15.75" customHeight="1" x14ac:dyDescent="0.3"/>
    <row r="947" s="1" customFormat="1" ht="15.75" customHeight="1" x14ac:dyDescent="0.3"/>
    <row r="948" s="1" customFormat="1" ht="15.75" customHeight="1" x14ac:dyDescent="0.3"/>
    <row r="949" s="1" customFormat="1" ht="15.75" customHeight="1" x14ac:dyDescent="0.3"/>
    <row r="950" s="1" customFormat="1" ht="15.75" customHeight="1" x14ac:dyDescent="0.3"/>
    <row r="951" s="1" customFormat="1" ht="15.75" customHeight="1" x14ac:dyDescent="0.3"/>
    <row r="952" s="1" customFormat="1" ht="15.75" customHeight="1" x14ac:dyDescent="0.3"/>
    <row r="953" s="1" customFormat="1" ht="15.75" customHeight="1" x14ac:dyDescent="0.3"/>
    <row r="954" s="1" customFormat="1" ht="15.75" customHeight="1" x14ac:dyDescent="0.3"/>
    <row r="955" s="1" customFormat="1" ht="15.75" customHeight="1" x14ac:dyDescent="0.3"/>
    <row r="956" s="1" customFormat="1" ht="15.75" customHeight="1" x14ac:dyDescent="0.3"/>
    <row r="957" s="1" customFormat="1" ht="15.75" customHeight="1" x14ac:dyDescent="0.3"/>
    <row r="958" s="1" customFormat="1" ht="15.75" customHeight="1" x14ac:dyDescent="0.3"/>
    <row r="959" s="1" customFormat="1" ht="15.75" customHeight="1" x14ac:dyDescent="0.3"/>
    <row r="960" s="1" customFormat="1" ht="15.75" customHeight="1" x14ac:dyDescent="0.3"/>
    <row r="961" s="1" customFormat="1" ht="15.75" customHeight="1" x14ac:dyDescent="0.3"/>
    <row r="962" s="1" customFormat="1" ht="15.75" customHeight="1" x14ac:dyDescent="0.3"/>
    <row r="963" s="1" customFormat="1" ht="15.75" customHeight="1" x14ac:dyDescent="0.3"/>
    <row r="964" s="1" customFormat="1" ht="15.75" customHeight="1" x14ac:dyDescent="0.3"/>
    <row r="965" s="1" customFormat="1" ht="15.75" customHeight="1" x14ac:dyDescent="0.3"/>
    <row r="966" s="1" customFormat="1" ht="15.75" customHeight="1" x14ac:dyDescent="0.3"/>
    <row r="967" s="1" customFormat="1" ht="15.75" customHeight="1" x14ac:dyDescent="0.3"/>
    <row r="968" s="1" customFormat="1" ht="15.75" customHeight="1" x14ac:dyDescent="0.3"/>
    <row r="969" s="1" customFormat="1" ht="15.75" customHeight="1" x14ac:dyDescent="0.3"/>
    <row r="970" s="1" customFormat="1" ht="15.75" customHeight="1" x14ac:dyDescent="0.3"/>
    <row r="971" s="1" customFormat="1" ht="15.75" customHeight="1" x14ac:dyDescent="0.3"/>
    <row r="972" s="1" customFormat="1" ht="15.75" customHeight="1" x14ac:dyDescent="0.3"/>
    <row r="973" s="1" customFormat="1" ht="15.75" customHeight="1" x14ac:dyDescent="0.3"/>
    <row r="974" s="1" customFormat="1" ht="15.75" customHeight="1" x14ac:dyDescent="0.3"/>
    <row r="975" s="1" customFormat="1" ht="15.75" customHeight="1" x14ac:dyDescent="0.3"/>
    <row r="976" s="1" customFormat="1" ht="15.75" customHeight="1" x14ac:dyDescent="0.3"/>
    <row r="977" s="1" customFormat="1" ht="15.75" customHeight="1" x14ac:dyDescent="0.3"/>
    <row r="978" s="1" customFormat="1" ht="15.75" customHeight="1" x14ac:dyDescent="0.3"/>
    <row r="979" s="1" customFormat="1" ht="15.75" customHeight="1" x14ac:dyDescent="0.3"/>
    <row r="980" s="1" customFormat="1" ht="15.75" customHeight="1" x14ac:dyDescent="0.3"/>
    <row r="981" s="1" customFormat="1" ht="15.75" customHeight="1" x14ac:dyDescent="0.3"/>
    <row r="982" s="1" customFormat="1" ht="15.75" customHeight="1" x14ac:dyDescent="0.3"/>
    <row r="983" s="1" customFormat="1" ht="15.75" customHeight="1" x14ac:dyDescent="0.3"/>
    <row r="984" s="1" customFormat="1" ht="15.75" customHeight="1" x14ac:dyDescent="0.3"/>
    <row r="985" s="1" customFormat="1" ht="15.75" customHeight="1" x14ac:dyDescent="0.3"/>
    <row r="986" s="1" customFormat="1" ht="15.75" customHeight="1" x14ac:dyDescent="0.3"/>
    <row r="987" s="1" customFormat="1" ht="15.75" customHeight="1" x14ac:dyDescent="0.3"/>
    <row r="988" s="1" customFormat="1" ht="15.75" customHeight="1" x14ac:dyDescent="0.3"/>
    <row r="989" s="1" customFormat="1" ht="15.75" customHeight="1" x14ac:dyDescent="0.3"/>
    <row r="990" s="1" customFormat="1" ht="15.75" customHeight="1" x14ac:dyDescent="0.3"/>
    <row r="991" s="1" customFormat="1" ht="15.75" customHeight="1" x14ac:dyDescent="0.3"/>
    <row r="992" s="1" customFormat="1" ht="15.75" customHeight="1" x14ac:dyDescent="0.3"/>
    <row r="993" s="1" customFormat="1" ht="15.75" customHeight="1" x14ac:dyDescent="0.3"/>
    <row r="994" s="1" customFormat="1" ht="15.75" customHeight="1" x14ac:dyDescent="0.3"/>
    <row r="995" s="1" customFormat="1" ht="15.75" customHeight="1" x14ac:dyDescent="0.3"/>
    <row r="996" s="1" customFormat="1" ht="15.75" customHeight="1" x14ac:dyDescent="0.3"/>
    <row r="997" s="1" customFormat="1" ht="15.75" customHeight="1" x14ac:dyDescent="0.3"/>
    <row r="998" s="1" customFormat="1" ht="15.75" customHeight="1" x14ac:dyDescent="0.3"/>
    <row r="999" s="1" customFormat="1" ht="15.75" customHeight="1" x14ac:dyDescent="0.3"/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3D484-0EED-4CB3-9783-3EE3CC1884A7}">
  <dimension ref="A1:M999"/>
  <sheetViews>
    <sheetView workbookViewId="0">
      <selection activeCell="F20" sqref="F20"/>
    </sheetView>
  </sheetViews>
  <sheetFormatPr baseColWidth="10" defaultColWidth="12.6328125" defaultRowHeight="15" customHeight="1" x14ac:dyDescent="0.3"/>
  <cols>
    <col min="1" max="1" width="15.7265625" style="1" customWidth="1"/>
    <col min="2" max="7" width="10.6328125" style="1" customWidth="1"/>
    <col min="8" max="8" width="11.36328125" style="1" customWidth="1"/>
    <col min="9" max="25" width="10.6328125" style="1" customWidth="1"/>
    <col min="26" max="16384" width="12.6328125" style="1"/>
  </cols>
  <sheetData>
    <row r="1" spans="1:13" ht="12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2.75" customHeight="1" x14ac:dyDescent="0.3">
      <c r="A2" s="1" t="s">
        <v>12</v>
      </c>
      <c r="B2" s="1" t="s">
        <v>13</v>
      </c>
      <c r="D2" s="1">
        <v>1</v>
      </c>
      <c r="H2" s="2" t="s">
        <v>14</v>
      </c>
      <c r="I2" s="3">
        <f t="shared" ref="I2:L2" si="0">SUM(C22+C37+C55+C65+C66+C96+C105+C113+C128+C146+C150)</f>
        <v>7</v>
      </c>
      <c r="J2" s="3">
        <f t="shared" si="0"/>
        <v>1</v>
      </c>
      <c r="K2" s="3">
        <f t="shared" si="0"/>
        <v>3</v>
      </c>
      <c r="L2" s="3">
        <f t="shared" si="0"/>
        <v>0</v>
      </c>
      <c r="M2" s="3">
        <f t="shared" ref="M2:M13" si="1">SUM(I2:L2)</f>
        <v>11</v>
      </c>
    </row>
    <row r="3" spans="1:13" ht="13.5" customHeight="1" x14ac:dyDescent="0.3">
      <c r="A3" s="1" t="s">
        <v>15</v>
      </c>
      <c r="B3" s="1" t="s">
        <v>16</v>
      </c>
      <c r="C3" s="1">
        <v>1</v>
      </c>
      <c r="H3" s="2" t="s">
        <v>17</v>
      </c>
      <c r="I3" s="3">
        <f t="shared" ref="I3:L3" si="2">SUM(C6+C32+C50+C52+C58+C69+C76+C94+C115+C122+C123+C152)</f>
        <v>2</v>
      </c>
      <c r="J3" s="3">
        <f t="shared" si="2"/>
        <v>10</v>
      </c>
      <c r="K3" s="3">
        <f t="shared" si="2"/>
        <v>0</v>
      </c>
      <c r="L3" s="3">
        <f t="shared" si="2"/>
        <v>0</v>
      </c>
      <c r="M3" s="3">
        <f t="shared" si="1"/>
        <v>12</v>
      </c>
    </row>
    <row r="4" spans="1:13" ht="12.75" customHeight="1" x14ac:dyDescent="0.3">
      <c r="A4" s="1" t="s">
        <v>18</v>
      </c>
      <c r="B4" s="1" t="s">
        <v>13</v>
      </c>
      <c r="D4" s="1">
        <v>1</v>
      </c>
      <c r="H4" s="2" t="s">
        <v>19</v>
      </c>
      <c r="I4" s="3">
        <f t="shared" ref="I4:L4" si="3">SUM(C26+C14+C27+C62+C68+C124+C138+C142+C153+C155)</f>
        <v>10</v>
      </c>
      <c r="J4" s="3">
        <f t="shared" si="3"/>
        <v>0</v>
      </c>
      <c r="K4" s="3">
        <f t="shared" si="3"/>
        <v>0</v>
      </c>
      <c r="L4" s="3">
        <f t="shared" si="3"/>
        <v>0</v>
      </c>
      <c r="M4" s="3">
        <f t="shared" si="1"/>
        <v>10</v>
      </c>
    </row>
    <row r="5" spans="1:13" ht="12.75" customHeight="1" x14ac:dyDescent="0.3">
      <c r="A5" s="1" t="s">
        <v>20</v>
      </c>
      <c r="B5" s="1" t="s">
        <v>21</v>
      </c>
      <c r="D5" s="1">
        <v>1</v>
      </c>
      <c r="H5" s="2" t="s">
        <v>22</v>
      </c>
      <c r="I5" s="3">
        <f t="shared" ref="I5:L5" si="4">SUM(C5+C36+C56+C63+C73+C85+C87+C95+C135)</f>
        <v>0</v>
      </c>
      <c r="J5" s="3">
        <f t="shared" si="4"/>
        <v>8</v>
      </c>
      <c r="K5" s="3">
        <f t="shared" si="4"/>
        <v>0</v>
      </c>
      <c r="L5" s="3">
        <f t="shared" si="4"/>
        <v>1</v>
      </c>
      <c r="M5" s="3">
        <f t="shared" si="1"/>
        <v>9</v>
      </c>
    </row>
    <row r="6" spans="1:13" ht="12.75" customHeight="1" x14ac:dyDescent="0.3">
      <c r="A6" s="1" t="s">
        <v>23</v>
      </c>
      <c r="B6" s="1" t="s">
        <v>24</v>
      </c>
      <c r="C6" s="1">
        <v>1</v>
      </c>
      <c r="H6" s="2" t="s">
        <v>25</v>
      </c>
      <c r="I6" s="3">
        <f t="shared" ref="I6:L6" si="5">SUM(C12+C15+C18+C28+C41+C59+C78+C64+C82+C83+C86+C106+C119+C143+C148+C154)</f>
        <v>15</v>
      </c>
      <c r="J6" s="3">
        <f t="shared" si="5"/>
        <v>0</v>
      </c>
      <c r="K6" s="3">
        <f t="shared" si="5"/>
        <v>1</v>
      </c>
      <c r="L6" s="3">
        <f t="shared" si="5"/>
        <v>0</v>
      </c>
      <c r="M6" s="3">
        <f t="shared" si="1"/>
        <v>16</v>
      </c>
    </row>
    <row r="7" spans="1:13" ht="12" customHeight="1" x14ac:dyDescent="0.3">
      <c r="A7" s="1" t="s">
        <v>26</v>
      </c>
      <c r="B7" s="1" t="s">
        <v>27</v>
      </c>
      <c r="D7" s="1">
        <v>1</v>
      </c>
      <c r="H7" s="2" t="s">
        <v>28</v>
      </c>
      <c r="I7" s="3">
        <f t="shared" ref="I7:L7" si="6">SUM(C3+C20+C46+C49+C54+C89+C90+C102+C112+C114+C129+C141)</f>
        <v>5</v>
      </c>
      <c r="J7" s="3">
        <f t="shared" si="6"/>
        <v>4</v>
      </c>
      <c r="K7" s="3">
        <f t="shared" si="6"/>
        <v>2</v>
      </c>
      <c r="L7" s="3">
        <f t="shared" si="6"/>
        <v>1</v>
      </c>
      <c r="M7" s="3">
        <f t="shared" si="1"/>
        <v>12</v>
      </c>
    </row>
    <row r="8" spans="1:13" ht="12" customHeight="1" x14ac:dyDescent="0.3">
      <c r="A8" s="1" t="s">
        <v>29</v>
      </c>
      <c r="B8" s="1" t="s">
        <v>30</v>
      </c>
      <c r="D8" s="1">
        <v>1</v>
      </c>
      <c r="H8" s="2" t="s">
        <v>27</v>
      </c>
      <c r="I8" s="3">
        <f t="shared" ref="I8:L8" si="7">SUM(C7+C30+C29+C44+C51+C60+C72+C79+C101+C99+C107+C111+C117+C140+C144)</f>
        <v>0</v>
      </c>
      <c r="J8" s="3">
        <f t="shared" si="7"/>
        <v>13</v>
      </c>
      <c r="K8" s="3">
        <f t="shared" si="7"/>
        <v>1</v>
      </c>
      <c r="L8" s="3">
        <f t="shared" si="7"/>
        <v>1</v>
      </c>
      <c r="M8" s="3">
        <f t="shared" si="1"/>
        <v>15</v>
      </c>
    </row>
    <row r="9" spans="1:13" ht="12" customHeight="1" x14ac:dyDescent="0.3">
      <c r="A9" s="1" t="s">
        <v>31</v>
      </c>
      <c r="B9" s="1" t="s">
        <v>13</v>
      </c>
      <c r="D9" s="1">
        <v>1</v>
      </c>
      <c r="H9" s="2" t="s">
        <v>13</v>
      </c>
      <c r="I9" s="3">
        <f t="shared" ref="I9:J9" si="8">SUM(C4+C9+C17+C19+C2+C48+C92+C120+C126+C127+C130+C133+C151)</f>
        <v>0</v>
      </c>
      <c r="J9" s="3">
        <f t="shared" si="8"/>
        <v>12</v>
      </c>
      <c r="K9" s="3">
        <f>SUM(D4+D9+D17+D19+D2+D48+D92+D120+D126+D127+D130+D133+D151)</f>
        <v>12</v>
      </c>
      <c r="L9" s="3">
        <f>SUM(F4+F9+F17+F19+F2+F48+F92+F120+F126+F127+F130+F133+F151)</f>
        <v>0</v>
      </c>
      <c r="M9" s="3">
        <f t="shared" si="1"/>
        <v>24</v>
      </c>
    </row>
    <row r="10" spans="1:13" ht="13.5" customHeight="1" x14ac:dyDescent="0.3">
      <c r="A10" s="1" t="s">
        <v>32</v>
      </c>
      <c r="B10" s="1" t="s">
        <v>33</v>
      </c>
      <c r="C10" s="1">
        <v>1</v>
      </c>
      <c r="H10" s="2" t="s">
        <v>30</v>
      </c>
      <c r="I10" s="3">
        <f t="shared" ref="I10:L10" si="9">SUM(C8+C13+C16+C25+C31+C35+C43+C45+C70+C71+C75+C81+C88+C93+C98+C100+C104+C118+C136+C137+C156)</f>
        <v>0</v>
      </c>
      <c r="J10" s="3">
        <f t="shared" si="9"/>
        <v>20</v>
      </c>
      <c r="K10" s="3">
        <f t="shared" si="9"/>
        <v>1</v>
      </c>
      <c r="L10" s="3">
        <f t="shared" si="9"/>
        <v>0</v>
      </c>
      <c r="M10" s="3">
        <f t="shared" si="1"/>
        <v>21</v>
      </c>
    </row>
    <row r="11" spans="1:13" ht="12" customHeight="1" x14ac:dyDescent="0.3">
      <c r="A11" s="1" t="s">
        <v>34</v>
      </c>
      <c r="B11" s="1" t="s">
        <v>33</v>
      </c>
      <c r="C11" s="1">
        <v>1</v>
      </c>
      <c r="H11" s="2" t="s">
        <v>35</v>
      </c>
      <c r="I11" s="3">
        <f t="shared" ref="I11:L11" si="10">SUM(C38+C42+C47+C53+C74+C77+C80+C91+C97+C103+C108+C116+C131+C145+C147)</f>
        <v>0</v>
      </c>
      <c r="J11" s="3">
        <f t="shared" si="10"/>
        <v>11</v>
      </c>
      <c r="K11" s="3">
        <f t="shared" si="10"/>
        <v>3</v>
      </c>
      <c r="L11" s="3">
        <f t="shared" si="10"/>
        <v>1</v>
      </c>
      <c r="M11" s="3">
        <f t="shared" si="1"/>
        <v>15</v>
      </c>
    </row>
    <row r="12" spans="1:13" ht="13.5" customHeight="1" x14ac:dyDescent="0.3">
      <c r="A12" s="1" t="s">
        <v>36</v>
      </c>
      <c r="B12" s="1" t="s">
        <v>37</v>
      </c>
      <c r="C12" s="1">
        <v>1</v>
      </c>
      <c r="H12" s="2" t="s">
        <v>38</v>
      </c>
      <c r="I12" s="3">
        <f t="shared" ref="I12:L12" si="11">SUM(C21+C24+C34+C40+C67+C84+C132)</f>
        <v>0</v>
      </c>
      <c r="J12" s="3">
        <f t="shared" si="11"/>
        <v>6</v>
      </c>
      <c r="K12" s="3">
        <f t="shared" si="11"/>
        <v>1</v>
      </c>
      <c r="L12" s="3">
        <f t="shared" si="11"/>
        <v>0</v>
      </c>
      <c r="M12" s="3">
        <f t="shared" si="1"/>
        <v>7</v>
      </c>
    </row>
    <row r="13" spans="1:13" ht="12.75" customHeight="1" x14ac:dyDescent="0.3">
      <c r="A13" s="1" t="s">
        <v>39</v>
      </c>
      <c r="B13" s="1" t="s">
        <v>30</v>
      </c>
      <c r="D13" s="1">
        <v>1</v>
      </c>
      <c r="H13" s="2" t="s">
        <v>33</v>
      </c>
      <c r="I13" s="3">
        <f t="shared" ref="I13:L13" si="12">SUM(C10+C11+C57+C125+C149)</f>
        <v>3</v>
      </c>
      <c r="J13" s="3">
        <f t="shared" si="12"/>
        <v>2</v>
      </c>
      <c r="K13" s="3">
        <f t="shared" si="12"/>
        <v>0</v>
      </c>
      <c r="L13" s="3">
        <f t="shared" si="12"/>
        <v>0</v>
      </c>
      <c r="M13" s="3">
        <f t="shared" si="1"/>
        <v>5</v>
      </c>
    </row>
    <row r="14" spans="1:13" ht="12.75" customHeight="1" x14ac:dyDescent="0.3">
      <c r="A14" s="1" t="s">
        <v>40</v>
      </c>
      <c r="B14" s="1" t="s">
        <v>19</v>
      </c>
      <c r="C14" s="1">
        <v>1</v>
      </c>
      <c r="I14" s="4"/>
      <c r="J14" s="4"/>
      <c r="K14" s="4"/>
      <c r="L14" s="4"/>
    </row>
    <row r="15" spans="1:13" ht="12.75" customHeight="1" x14ac:dyDescent="0.3">
      <c r="A15" s="1" t="s">
        <v>41</v>
      </c>
      <c r="B15" s="1" t="s">
        <v>42</v>
      </c>
      <c r="C15" s="1">
        <v>1</v>
      </c>
      <c r="I15" s="4"/>
      <c r="J15" s="4"/>
      <c r="K15" s="4"/>
      <c r="L15" s="4"/>
    </row>
    <row r="16" spans="1:13" ht="12.75" customHeight="1" x14ac:dyDescent="0.3">
      <c r="A16" s="1" t="s">
        <v>43</v>
      </c>
      <c r="B16" s="1" t="s">
        <v>30</v>
      </c>
      <c r="D16" s="1">
        <v>1</v>
      </c>
      <c r="I16" s="4"/>
      <c r="J16" s="4"/>
      <c r="K16" s="4"/>
      <c r="L16" s="4"/>
    </row>
    <row r="17" spans="1:12" ht="12.75" customHeight="1" x14ac:dyDescent="0.3">
      <c r="A17" s="1" t="s">
        <v>44</v>
      </c>
      <c r="B17" s="1" t="s">
        <v>13</v>
      </c>
      <c r="D17" s="1">
        <v>1</v>
      </c>
      <c r="I17" s="4"/>
      <c r="J17" s="4"/>
      <c r="K17" s="4"/>
      <c r="L17" s="4"/>
    </row>
    <row r="18" spans="1:12" ht="12.75" customHeight="1" x14ac:dyDescent="0.3">
      <c r="A18" s="1" t="s">
        <v>45</v>
      </c>
      <c r="B18" s="1" t="s">
        <v>37</v>
      </c>
      <c r="E18" s="1">
        <v>1</v>
      </c>
      <c r="I18" s="4"/>
      <c r="J18" s="4"/>
      <c r="K18" s="4"/>
      <c r="L18" s="4"/>
    </row>
    <row r="19" spans="1:12" ht="12.75" customHeight="1" x14ac:dyDescent="0.3">
      <c r="A19" s="1" t="s">
        <v>46</v>
      </c>
      <c r="B19" s="1" t="s">
        <v>13</v>
      </c>
      <c r="D19" s="1">
        <v>1</v>
      </c>
    </row>
    <row r="20" spans="1:12" ht="12.75" customHeight="1" x14ac:dyDescent="0.3">
      <c r="A20" s="1" t="s">
        <v>47</v>
      </c>
      <c r="B20" s="1" t="s">
        <v>16</v>
      </c>
      <c r="F20" s="1">
        <v>1</v>
      </c>
    </row>
    <row r="21" spans="1:12" ht="12.75" customHeight="1" x14ac:dyDescent="0.3">
      <c r="A21" s="1" t="s">
        <v>48</v>
      </c>
      <c r="B21" s="1" t="s">
        <v>38</v>
      </c>
      <c r="D21" s="1">
        <v>1</v>
      </c>
    </row>
    <row r="22" spans="1:12" ht="12.75" customHeight="1" x14ac:dyDescent="0.3">
      <c r="A22" s="1" t="s">
        <v>49</v>
      </c>
      <c r="B22" s="1" t="s">
        <v>14</v>
      </c>
      <c r="C22" s="1">
        <v>1</v>
      </c>
    </row>
    <row r="23" spans="1:12" ht="12.75" customHeight="1" x14ac:dyDescent="0.3">
      <c r="A23" s="1" t="s">
        <v>50</v>
      </c>
      <c r="B23" s="1" t="s">
        <v>13</v>
      </c>
      <c r="D23" s="1">
        <v>1</v>
      </c>
    </row>
    <row r="24" spans="1:12" ht="12.75" customHeight="1" x14ac:dyDescent="0.3">
      <c r="A24" s="1" t="s">
        <v>51</v>
      </c>
      <c r="B24" s="1" t="s">
        <v>38</v>
      </c>
      <c r="D24" s="1">
        <v>1</v>
      </c>
    </row>
    <row r="25" spans="1:12" ht="12.75" customHeight="1" x14ac:dyDescent="0.3">
      <c r="A25" s="1" t="s">
        <v>52</v>
      </c>
      <c r="B25" s="1" t="s">
        <v>30</v>
      </c>
      <c r="D25" s="1">
        <v>1</v>
      </c>
    </row>
    <row r="26" spans="1:12" ht="12.75" customHeight="1" x14ac:dyDescent="0.3">
      <c r="A26" s="1" t="s">
        <v>53</v>
      </c>
      <c r="B26" s="1" t="s">
        <v>19</v>
      </c>
      <c r="C26" s="1">
        <v>1</v>
      </c>
    </row>
    <row r="27" spans="1:12" ht="12.75" customHeight="1" x14ac:dyDescent="0.3">
      <c r="A27" s="1" t="s">
        <v>54</v>
      </c>
      <c r="B27" s="1" t="s">
        <v>19</v>
      </c>
      <c r="C27" s="1">
        <v>1</v>
      </c>
    </row>
    <row r="28" spans="1:12" ht="12.75" customHeight="1" x14ac:dyDescent="0.3">
      <c r="A28" s="1" t="s">
        <v>55</v>
      </c>
      <c r="B28" s="1" t="s">
        <v>37</v>
      </c>
      <c r="C28" s="1">
        <v>1</v>
      </c>
    </row>
    <row r="29" spans="1:12" ht="12.75" customHeight="1" x14ac:dyDescent="0.3">
      <c r="A29" s="1" t="s">
        <v>56</v>
      </c>
      <c r="B29" s="1" t="s">
        <v>27</v>
      </c>
      <c r="D29" s="1">
        <v>1</v>
      </c>
    </row>
    <row r="30" spans="1:12" ht="12.75" customHeight="1" x14ac:dyDescent="0.3">
      <c r="A30" s="1" t="s">
        <v>57</v>
      </c>
      <c r="B30" s="1" t="s">
        <v>27</v>
      </c>
      <c r="D30" s="1">
        <v>1</v>
      </c>
    </row>
    <row r="31" spans="1:12" ht="12.75" customHeight="1" x14ac:dyDescent="0.3">
      <c r="A31" s="1" t="s">
        <v>58</v>
      </c>
      <c r="B31" s="1" t="s">
        <v>30</v>
      </c>
      <c r="D31" s="1">
        <v>1</v>
      </c>
    </row>
    <row r="32" spans="1:12" ht="12.75" customHeight="1" x14ac:dyDescent="0.3">
      <c r="A32" s="1" t="s">
        <v>59</v>
      </c>
      <c r="B32" s="1" t="s">
        <v>24</v>
      </c>
      <c r="D32" s="1">
        <v>1</v>
      </c>
    </row>
    <row r="33" spans="1:12" ht="12.75" customHeight="1" x14ac:dyDescent="0.3">
      <c r="A33" s="1" t="s">
        <v>60</v>
      </c>
      <c r="B33" s="1" t="s">
        <v>27</v>
      </c>
      <c r="D33" s="1">
        <v>1</v>
      </c>
    </row>
    <row r="34" spans="1:12" ht="12.75" customHeight="1" x14ac:dyDescent="0.3">
      <c r="A34" s="1" t="s">
        <v>61</v>
      </c>
      <c r="B34" s="1" t="s">
        <v>38</v>
      </c>
      <c r="D34" s="1">
        <v>1</v>
      </c>
    </row>
    <row r="35" spans="1:12" ht="12.75" customHeight="1" x14ac:dyDescent="0.3">
      <c r="A35" s="1" t="s">
        <v>62</v>
      </c>
      <c r="B35" s="1" t="s">
        <v>30</v>
      </c>
      <c r="D35" s="1">
        <v>1</v>
      </c>
    </row>
    <row r="36" spans="1:12" ht="12.75" customHeight="1" x14ac:dyDescent="0.3">
      <c r="A36" s="1" t="s">
        <v>63</v>
      </c>
      <c r="B36" s="1" t="s">
        <v>21</v>
      </c>
      <c r="D36" s="1">
        <v>1</v>
      </c>
    </row>
    <row r="37" spans="1:12" ht="12.75" customHeight="1" x14ac:dyDescent="0.3">
      <c r="A37" s="1" t="s">
        <v>64</v>
      </c>
      <c r="B37" s="1" t="s">
        <v>14</v>
      </c>
      <c r="C37" s="1">
        <v>1</v>
      </c>
    </row>
    <row r="38" spans="1:12" ht="12.75" customHeight="1" x14ac:dyDescent="0.3">
      <c r="A38" s="1" t="s">
        <v>65</v>
      </c>
      <c r="B38" s="1" t="s">
        <v>66</v>
      </c>
      <c r="D38" s="1">
        <v>1</v>
      </c>
    </row>
    <row r="39" spans="1:12" ht="12.75" customHeight="1" x14ac:dyDescent="0.3">
      <c r="A39" s="1" t="s">
        <v>67</v>
      </c>
      <c r="B39" s="1" t="s">
        <v>16</v>
      </c>
      <c r="C39" s="1">
        <v>1</v>
      </c>
    </row>
    <row r="40" spans="1:12" ht="12.75" customHeight="1" x14ac:dyDescent="0.3">
      <c r="A40" s="1" t="s">
        <v>68</v>
      </c>
      <c r="B40" s="1" t="s">
        <v>38</v>
      </c>
      <c r="D40" s="1">
        <v>1</v>
      </c>
    </row>
    <row r="41" spans="1:12" ht="12.75" customHeight="1" x14ac:dyDescent="0.3">
      <c r="A41" s="1" t="s">
        <v>69</v>
      </c>
      <c r="B41" s="1" t="s">
        <v>37</v>
      </c>
      <c r="C41" s="1">
        <v>1</v>
      </c>
    </row>
    <row r="42" spans="1:12" ht="12.75" customHeight="1" x14ac:dyDescent="0.3">
      <c r="A42" s="1" t="s">
        <v>70</v>
      </c>
      <c r="B42" s="1" t="s">
        <v>66</v>
      </c>
      <c r="D42" s="1">
        <v>1</v>
      </c>
    </row>
    <row r="43" spans="1:12" ht="12.75" customHeight="1" x14ac:dyDescent="0.3">
      <c r="A43" s="1" t="s">
        <v>71</v>
      </c>
      <c r="B43" s="1" t="s">
        <v>30</v>
      </c>
      <c r="D43" s="1">
        <v>1</v>
      </c>
    </row>
    <row r="44" spans="1:12" ht="12.75" customHeight="1" x14ac:dyDescent="0.3">
      <c r="A44" s="1" t="s">
        <v>72</v>
      </c>
      <c r="B44" s="1" t="s">
        <v>27</v>
      </c>
      <c r="D44" s="1">
        <v>1</v>
      </c>
    </row>
    <row r="45" spans="1:12" ht="12.75" customHeight="1" x14ac:dyDescent="0.3">
      <c r="A45" s="1" t="s">
        <v>73</v>
      </c>
      <c r="B45" s="1" t="s">
        <v>30</v>
      </c>
      <c r="D45" s="1">
        <v>1</v>
      </c>
      <c r="H45" s="1" t="s">
        <v>6</v>
      </c>
      <c r="I45" s="1" t="s">
        <v>7</v>
      </c>
      <c r="J45" s="1" t="s">
        <v>8</v>
      </c>
      <c r="K45" s="1" t="s">
        <v>9</v>
      </c>
      <c r="L45" s="1" t="s">
        <v>10</v>
      </c>
    </row>
    <row r="46" spans="1:12" ht="12.75" customHeight="1" x14ac:dyDescent="0.3">
      <c r="A46" s="1" t="s">
        <v>74</v>
      </c>
      <c r="B46" s="1" t="s">
        <v>16</v>
      </c>
      <c r="E46" s="1">
        <v>1</v>
      </c>
      <c r="H46" s="2" t="s">
        <v>14</v>
      </c>
      <c r="I46" s="4">
        <f t="shared" ref="I46:I57" si="13">I2/M2</f>
        <v>0.63636363636363635</v>
      </c>
      <c r="J46" s="4">
        <f t="shared" ref="J46:J57" si="14">J2/M2</f>
        <v>9.0909090909090912E-2</v>
      </c>
      <c r="K46" s="4">
        <f t="shared" ref="K46:K57" si="15">K2/M2</f>
        <v>0.27272727272727271</v>
      </c>
      <c r="L46" s="4">
        <f t="shared" ref="L46:L57" si="16">L2/M2</f>
        <v>0</v>
      </c>
    </row>
    <row r="47" spans="1:12" ht="12.75" customHeight="1" x14ac:dyDescent="0.3">
      <c r="A47" s="1" t="s">
        <v>75</v>
      </c>
      <c r="B47" s="1" t="s">
        <v>66</v>
      </c>
      <c r="F47" s="1">
        <v>1</v>
      </c>
      <c r="H47" s="2" t="s">
        <v>17</v>
      </c>
      <c r="I47" s="4">
        <f t="shared" si="13"/>
        <v>0.16666666666666666</v>
      </c>
      <c r="J47" s="4">
        <f t="shared" si="14"/>
        <v>0.83333333333333337</v>
      </c>
      <c r="K47" s="4">
        <f t="shared" si="15"/>
        <v>0</v>
      </c>
      <c r="L47" s="4">
        <f t="shared" si="16"/>
        <v>0</v>
      </c>
    </row>
    <row r="48" spans="1:12" ht="14.25" customHeight="1" x14ac:dyDescent="0.3">
      <c r="A48" s="1" t="s">
        <v>76</v>
      </c>
      <c r="B48" s="1" t="s">
        <v>13</v>
      </c>
      <c r="D48" s="1">
        <v>1</v>
      </c>
      <c r="H48" s="2" t="s">
        <v>19</v>
      </c>
      <c r="I48" s="4">
        <f t="shared" si="13"/>
        <v>1</v>
      </c>
      <c r="J48" s="4">
        <f t="shared" si="14"/>
        <v>0</v>
      </c>
      <c r="K48" s="4">
        <f t="shared" si="15"/>
        <v>0</v>
      </c>
      <c r="L48" s="4">
        <f t="shared" si="16"/>
        <v>0</v>
      </c>
    </row>
    <row r="49" spans="1:12" ht="13.5" customHeight="1" x14ac:dyDescent="0.3">
      <c r="A49" s="1" t="s">
        <v>77</v>
      </c>
      <c r="B49" s="1" t="s">
        <v>16</v>
      </c>
      <c r="E49" s="1">
        <v>1</v>
      </c>
      <c r="H49" s="2" t="s">
        <v>22</v>
      </c>
      <c r="I49" s="4">
        <f t="shared" si="13"/>
        <v>0</v>
      </c>
      <c r="J49" s="4">
        <f t="shared" si="14"/>
        <v>0.88888888888888884</v>
      </c>
      <c r="K49" s="4">
        <f t="shared" si="15"/>
        <v>0</v>
      </c>
      <c r="L49" s="4">
        <f t="shared" si="16"/>
        <v>0.1111111111111111</v>
      </c>
    </row>
    <row r="50" spans="1:12" ht="14.25" customHeight="1" x14ac:dyDescent="0.3">
      <c r="A50" s="1" t="s">
        <v>78</v>
      </c>
      <c r="B50" s="1" t="s">
        <v>24</v>
      </c>
      <c r="D50" s="1">
        <v>1</v>
      </c>
      <c r="H50" s="2" t="s">
        <v>25</v>
      </c>
      <c r="I50" s="4">
        <f t="shared" si="13"/>
        <v>0.9375</v>
      </c>
      <c r="J50" s="4">
        <f t="shared" si="14"/>
        <v>0</v>
      </c>
      <c r="K50" s="4">
        <f t="shared" si="15"/>
        <v>6.25E-2</v>
      </c>
      <c r="L50" s="4">
        <f t="shared" si="16"/>
        <v>0</v>
      </c>
    </row>
    <row r="51" spans="1:12" ht="15.75" customHeight="1" x14ac:dyDescent="0.3">
      <c r="A51" s="1" t="s">
        <v>79</v>
      </c>
      <c r="B51" s="1" t="s">
        <v>27</v>
      </c>
      <c r="D51" s="1">
        <v>1</v>
      </c>
      <c r="H51" s="2" t="s">
        <v>28</v>
      </c>
      <c r="I51" s="4">
        <f t="shared" si="13"/>
        <v>0.41666666666666669</v>
      </c>
      <c r="J51" s="4">
        <f t="shared" si="14"/>
        <v>0.33333333333333331</v>
      </c>
      <c r="K51" s="4">
        <f t="shared" si="15"/>
        <v>0.16666666666666666</v>
      </c>
      <c r="L51" s="4">
        <f t="shared" si="16"/>
        <v>8.3333333333333329E-2</v>
      </c>
    </row>
    <row r="52" spans="1:12" ht="13.5" customHeight="1" x14ac:dyDescent="0.3">
      <c r="A52" s="1" t="s">
        <v>80</v>
      </c>
      <c r="B52" s="1" t="s">
        <v>24</v>
      </c>
      <c r="D52" s="1">
        <v>1</v>
      </c>
      <c r="H52" s="2" t="s">
        <v>27</v>
      </c>
      <c r="I52" s="4">
        <f t="shared" si="13"/>
        <v>0</v>
      </c>
      <c r="J52" s="4">
        <f t="shared" si="14"/>
        <v>0.8666666666666667</v>
      </c>
      <c r="K52" s="4">
        <f t="shared" si="15"/>
        <v>6.6666666666666666E-2</v>
      </c>
      <c r="L52" s="4">
        <f t="shared" si="16"/>
        <v>6.6666666666666666E-2</v>
      </c>
    </row>
    <row r="53" spans="1:12" ht="13.5" customHeight="1" x14ac:dyDescent="0.3">
      <c r="A53" s="1" t="s">
        <v>81</v>
      </c>
      <c r="B53" s="1" t="s">
        <v>66</v>
      </c>
      <c r="D53" s="1">
        <v>1</v>
      </c>
      <c r="H53" s="2" t="s">
        <v>13</v>
      </c>
      <c r="I53" s="4">
        <f t="shared" si="13"/>
        <v>0</v>
      </c>
      <c r="J53" s="4">
        <f t="shared" si="14"/>
        <v>0.5</v>
      </c>
      <c r="K53" s="4">
        <f t="shared" si="15"/>
        <v>0.5</v>
      </c>
      <c r="L53" s="4">
        <f t="shared" si="16"/>
        <v>0</v>
      </c>
    </row>
    <row r="54" spans="1:12" ht="12.75" customHeight="1" x14ac:dyDescent="0.3">
      <c r="A54" s="1" t="s">
        <v>82</v>
      </c>
      <c r="B54" s="1" t="s">
        <v>16</v>
      </c>
      <c r="D54" s="1">
        <v>1</v>
      </c>
      <c r="H54" s="2" t="s">
        <v>30</v>
      </c>
      <c r="I54" s="4">
        <f t="shared" si="13"/>
        <v>0</v>
      </c>
      <c r="J54" s="4">
        <f t="shared" si="14"/>
        <v>0.95238095238095233</v>
      </c>
      <c r="K54" s="4">
        <f t="shared" si="15"/>
        <v>4.7619047619047616E-2</v>
      </c>
      <c r="L54" s="4">
        <f t="shared" si="16"/>
        <v>0</v>
      </c>
    </row>
    <row r="55" spans="1:12" ht="13.5" customHeight="1" x14ac:dyDescent="0.3">
      <c r="A55" s="1" t="s">
        <v>83</v>
      </c>
      <c r="B55" s="1" t="s">
        <v>14</v>
      </c>
      <c r="C55" s="1">
        <v>1</v>
      </c>
      <c r="H55" s="2" t="s">
        <v>35</v>
      </c>
      <c r="I55" s="4">
        <f t="shared" si="13"/>
        <v>0</v>
      </c>
      <c r="J55" s="4">
        <f t="shared" si="14"/>
        <v>0.73333333333333328</v>
      </c>
      <c r="K55" s="4">
        <f t="shared" si="15"/>
        <v>0.2</v>
      </c>
      <c r="L55" s="4">
        <f t="shared" si="16"/>
        <v>6.6666666666666666E-2</v>
      </c>
    </row>
    <row r="56" spans="1:12" ht="12" customHeight="1" x14ac:dyDescent="0.3">
      <c r="A56" s="1" t="s">
        <v>84</v>
      </c>
      <c r="B56" s="1" t="s">
        <v>21</v>
      </c>
      <c r="D56" s="1">
        <v>1</v>
      </c>
      <c r="H56" s="2" t="s">
        <v>38</v>
      </c>
      <c r="I56" s="4">
        <f t="shared" si="13"/>
        <v>0</v>
      </c>
      <c r="J56" s="4">
        <f t="shared" si="14"/>
        <v>0.8571428571428571</v>
      </c>
      <c r="K56" s="4">
        <f t="shared" si="15"/>
        <v>0.14285714285714285</v>
      </c>
      <c r="L56" s="4">
        <f t="shared" si="16"/>
        <v>0</v>
      </c>
    </row>
    <row r="57" spans="1:12" ht="12.75" customHeight="1" x14ac:dyDescent="0.3">
      <c r="A57" s="1" t="s">
        <v>85</v>
      </c>
      <c r="B57" s="1" t="s">
        <v>33</v>
      </c>
      <c r="D57" s="1">
        <v>1</v>
      </c>
      <c r="H57" s="2" t="s">
        <v>33</v>
      </c>
      <c r="I57" s="4">
        <f t="shared" si="13"/>
        <v>0.6</v>
      </c>
      <c r="J57" s="4">
        <f t="shared" si="14"/>
        <v>0.4</v>
      </c>
      <c r="K57" s="4">
        <f t="shared" si="15"/>
        <v>0</v>
      </c>
      <c r="L57" s="4">
        <f t="shared" si="16"/>
        <v>0</v>
      </c>
    </row>
    <row r="58" spans="1:12" ht="12.75" customHeight="1" x14ac:dyDescent="0.3">
      <c r="A58" s="1" t="s">
        <v>86</v>
      </c>
      <c r="B58" s="1" t="s">
        <v>24</v>
      </c>
      <c r="D58" s="1">
        <v>1</v>
      </c>
    </row>
    <row r="59" spans="1:12" ht="12.75" customHeight="1" x14ac:dyDescent="0.3">
      <c r="A59" s="1" t="s">
        <v>87</v>
      </c>
      <c r="B59" s="1" t="s">
        <v>37</v>
      </c>
      <c r="C59" s="1">
        <v>1</v>
      </c>
    </row>
    <row r="60" spans="1:12" ht="12.75" customHeight="1" x14ac:dyDescent="0.3">
      <c r="A60" s="1" t="s">
        <v>88</v>
      </c>
      <c r="B60" s="1" t="s">
        <v>27</v>
      </c>
      <c r="D60" s="1">
        <v>1</v>
      </c>
    </row>
    <row r="61" spans="1:12" ht="12.75" customHeight="1" x14ac:dyDescent="0.3">
      <c r="A61" s="1" t="s">
        <v>89</v>
      </c>
      <c r="B61" s="1" t="s">
        <v>13</v>
      </c>
      <c r="E61" s="1">
        <v>1</v>
      </c>
    </row>
    <row r="62" spans="1:12" ht="12.75" customHeight="1" x14ac:dyDescent="0.3">
      <c r="A62" s="1" t="s">
        <v>90</v>
      </c>
      <c r="B62" s="1" t="s">
        <v>19</v>
      </c>
      <c r="C62" s="1">
        <v>1</v>
      </c>
    </row>
    <row r="63" spans="1:12" ht="12.75" customHeight="1" x14ac:dyDescent="0.3">
      <c r="A63" s="1" t="s">
        <v>91</v>
      </c>
      <c r="B63" s="1" t="s">
        <v>21</v>
      </c>
      <c r="F63" s="1">
        <v>1</v>
      </c>
    </row>
    <row r="64" spans="1:12" ht="12.75" customHeight="1" x14ac:dyDescent="0.3">
      <c r="A64" s="1" t="s">
        <v>92</v>
      </c>
      <c r="B64" s="1" t="s">
        <v>42</v>
      </c>
      <c r="C64" s="1">
        <v>1</v>
      </c>
    </row>
    <row r="65" spans="1:5" ht="12.75" customHeight="1" x14ac:dyDescent="0.3">
      <c r="A65" s="1" t="s">
        <v>93</v>
      </c>
      <c r="B65" s="1" t="s">
        <v>14</v>
      </c>
      <c r="C65" s="1">
        <v>1</v>
      </c>
    </row>
    <row r="66" spans="1:5" ht="12.75" customHeight="1" x14ac:dyDescent="0.3">
      <c r="A66" s="1" t="s">
        <v>94</v>
      </c>
      <c r="B66" s="1" t="s">
        <v>14</v>
      </c>
      <c r="E66" s="1">
        <v>1</v>
      </c>
    </row>
    <row r="67" spans="1:5" ht="12.75" customHeight="1" x14ac:dyDescent="0.3">
      <c r="A67" s="1" t="s">
        <v>95</v>
      </c>
      <c r="B67" s="1" t="s">
        <v>38</v>
      </c>
      <c r="D67" s="1">
        <v>1</v>
      </c>
    </row>
    <row r="68" spans="1:5" ht="12.75" customHeight="1" x14ac:dyDescent="0.3">
      <c r="A68" s="1" t="s">
        <v>96</v>
      </c>
      <c r="B68" s="1" t="s">
        <v>19</v>
      </c>
      <c r="C68" s="1">
        <v>1</v>
      </c>
    </row>
    <row r="69" spans="1:5" ht="12.75" customHeight="1" x14ac:dyDescent="0.3">
      <c r="A69" s="1" t="s">
        <v>97</v>
      </c>
      <c r="B69" s="1" t="s">
        <v>24</v>
      </c>
      <c r="D69" s="1">
        <v>1</v>
      </c>
    </row>
    <row r="70" spans="1:5" ht="12.75" customHeight="1" x14ac:dyDescent="0.3">
      <c r="A70" s="1" t="s">
        <v>98</v>
      </c>
      <c r="B70" s="1" t="s">
        <v>30</v>
      </c>
      <c r="D70" s="1">
        <v>1</v>
      </c>
    </row>
    <row r="71" spans="1:5" ht="12.75" customHeight="1" x14ac:dyDescent="0.3">
      <c r="A71" s="1" t="s">
        <v>99</v>
      </c>
      <c r="B71" s="1" t="s">
        <v>30</v>
      </c>
      <c r="D71" s="1">
        <v>1</v>
      </c>
    </row>
    <row r="72" spans="1:5" ht="12.75" customHeight="1" x14ac:dyDescent="0.3">
      <c r="A72" s="1" t="s">
        <v>100</v>
      </c>
      <c r="B72" s="1" t="s">
        <v>27</v>
      </c>
      <c r="D72" s="1">
        <v>1</v>
      </c>
    </row>
    <row r="73" spans="1:5" ht="12.75" customHeight="1" x14ac:dyDescent="0.3">
      <c r="A73" s="1" t="s">
        <v>101</v>
      </c>
      <c r="B73" s="1" t="s">
        <v>21</v>
      </c>
      <c r="D73" s="1">
        <v>1</v>
      </c>
    </row>
    <row r="74" spans="1:5" ht="12.75" customHeight="1" x14ac:dyDescent="0.3">
      <c r="A74" s="1" t="s">
        <v>102</v>
      </c>
      <c r="B74" s="1" t="s">
        <v>66</v>
      </c>
      <c r="D74" s="1">
        <v>1</v>
      </c>
    </row>
    <row r="75" spans="1:5" ht="12.75" customHeight="1" x14ac:dyDescent="0.3">
      <c r="A75" s="1" t="s">
        <v>103</v>
      </c>
      <c r="B75" s="1" t="s">
        <v>30</v>
      </c>
      <c r="D75" s="1">
        <v>1</v>
      </c>
    </row>
    <row r="76" spans="1:5" ht="12.75" customHeight="1" x14ac:dyDescent="0.3">
      <c r="A76" s="1" t="s">
        <v>104</v>
      </c>
      <c r="B76" s="1" t="s">
        <v>24</v>
      </c>
      <c r="C76" s="1">
        <v>1</v>
      </c>
    </row>
    <row r="77" spans="1:5" ht="12.75" customHeight="1" x14ac:dyDescent="0.3">
      <c r="A77" s="1" t="s">
        <v>105</v>
      </c>
      <c r="B77" s="1" t="s">
        <v>66</v>
      </c>
      <c r="E77" s="1">
        <v>1</v>
      </c>
    </row>
    <row r="78" spans="1:5" ht="12.75" customHeight="1" x14ac:dyDescent="0.3">
      <c r="A78" s="1" t="s">
        <v>106</v>
      </c>
      <c r="B78" s="1" t="s">
        <v>42</v>
      </c>
      <c r="C78" s="1">
        <v>1</v>
      </c>
    </row>
    <row r="79" spans="1:5" ht="12.75" customHeight="1" x14ac:dyDescent="0.3">
      <c r="A79" s="1" t="s">
        <v>107</v>
      </c>
      <c r="B79" s="1" t="s">
        <v>27</v>
      </c>
      <c r="D79" s="1">
        <v>1</v>
      </c>
    </row>
    <row r="80" spans="1:5" ht="12.75" customHeight="1" x14ac:dyDescent="0.3">
      <c r="A80" s="1" t="s">
        <v>108</v>
      </c>
      <c r="B80" s="1" t="s">
        <v>66</v>
      </c>
      <c r="D80" s="1">
        <v>1</v>
      </c>
    </row>
    <row r="81" spans="1:5" ht="12.75" customHeight="1" x14ac:dyDescent="0.3">
      <c r="A81" s="1" t="s">
        <v>109</v>
      </c>
      <c r="B81" s="1" t="s">
        <v>30</v>
      </c>
      <c r="D81" s="1">
        <v>1</v>
      </c>
    </row>
    <row r="82" spans="1:5" ht="12.75" customHeight="1" x14ac:dyDescent="0.3">
      <c r="A82" s="1" t="s">
        <v>110</v>
      </c>
      <c r="B82" s="1" t="s">
        <v>37</v>
      </c>
      <c r="C82" s="1">
        <v>1</v>
      </c>
    </row>
    <row r="83" spans="1:5" ht="12.75" customHeight="1" x14ac:dyDescent="0.3">
      <c r="A83" s="1" t="s">
        <v>111</v>
      </c>
      <c r="B83" s="1" t="s">
        <v>37</v>
      </c>
      <c r="C83" s="1">
        <v>1</v>
      </c>
    </row>
    <row r="84" spans="1:5" ht="12.75" customHeight="1" x14ac:dyDescent="0.3">
      <c r="A84" s="1" t="s">
        <v>112</v>
      </c>
      <c r="B84" s="1" t="s">
        <v>38</v>
      </c>
      <c r="D84" s="1">
        <v>1</v>
      </c>
    </row>
    <row r="85" spans="1:5" ht="12.75" customHeight="1" x14ac:dyDescent="0.3">
      <c r="A85" s="1" t="s">
        <v>113</v>
      </c>
      <c r="B85" s="1" t="s">
        <v>21</v>
      </c>
      <c r="D85" s="1">
        <v>1</v>
      </c>
    </row>
    <row r="86" spans="1:5" ht="12.75" customHeight="1" x14ac:dyDescent="0.3">
      <c r="A86" s="1" t="s">
        <v>114</v>
      </c>
      <c r="B86" s="1" t="s">
        <v>42</v>
      </c>
      <c r="C86" s="1">
        <v>1</v>
      </c>
    </row>
    <row r="87" spans="1:5" ht="12.75" customHeight="1" x14ac:dyDescent="0.3">
      <c r="A87" s="1" t="s">
        <v>115</v>
      </c>
      <c r="B87" s="1" t="s">
        <v>21</v>
      </c>
      <c r="D87" s="1">
        <v>1</v>
      </c>
    </row>
    <row r="88" spans="1:5" ht="12.75" customHeight="1" x14ac:dyDescent="0.3">
      <c r="A88" s="1" t="s">
        <v>116</v>
      </c>
      <c r="B88" s="1" t="s">
        <v>30</v>
      </c>
      <c r="D88" s="1">
        <v>1</v>
      </c>
    </row>
    <row r="89" spans="1:5" ht="12.75" customHeight="1" x14ac:dyDescent="0.3">
      <c r="A89" s="1" t="s">
        <v>117</v>
      </c>
      <c r="B89" s="1" t="s">
        <v>16</v>
      </c>
      <c r="C89" s="1">
        <v>1</v>
      </c>
    </row>
    <row r="90" spans="1:5" ht="12.75" customHeight="1" x14ac:dyDescent="0.3">
      <c r="A90" s="1" t="s">
        <v>118</v>
      </c>
      <c r="B90" s="1" t="s">
        <v>16</v>
      </c>
      <c r="D90" s="1">
        <v>1</v>
      </c>
    </row>
    <row r="91" spans="1:5" ht="12.75" customHeight="1" x14ac:dyDescent="0.3">
      <c r="A91" s="1" t="s">
        <v>119</v>
      </c>
      <c r="B91" s="1" t="s">
        <v>66</v>
      </c>
      <c r="D91" s="1">
        <v>1</v>
      </c>
    </row>
    <row r="92" spans="1:5" ht="12.75" customHeight="1" x14ac:dyDescent="0.3">
      <c r="A92" s="1" t="s">
        <v>120</v>
      </c>
      <c r="B92" s="1" t="s">
        <v>13</v>
      </c>
      <c r="E92" s="1">
        <v>1</v>
      </c>
    </row>
    <row r="93" spans="1:5" ht="12.75" customHeight="1" x14ac:dyDescent="0.3">
      <c r="A93" s="1" t="s">
        <v>121</v>
      </c>
      <c r="B93" s="1" t="s">
        <v>30</v>
      </c>
      <c r="D93" s="1">
        <v>1</v>
      </c>
    </row>
    <row r="94" spans="1:5" ht="12.75" customHeight="1" x14ac:dyDescent="0.3">
      <c r="A94" s="1" t="s">
        <v>122</v>
      </c>
      <c r="B94" s="1" t="s">
        <v>24</v>
      </c>
      <c r="D94" s="1">
        <v>1</v>
      </c>
    </row>
    <row r="95" spans="1:5" ht="12.75" customHeight="1" x14ac:dyDescent="0.3">
      <c r="A95" s="1" t="s">
        <v>123</v>
      </c>
      <c r="B95" s="1" t="s">
        <v>21</v>
      </c>
      <c r="D95" s="1">
        <v>1</v>
      </c>
    </row>
    <row r="96" spans="1:5" ht="12.75" customHeight="1" x14ac:dyDescent="0.3">
      <c r="A96" s="1" t="s">
        <v>124</v>
      </c>
      <c r="B96" s="1" t="s">
        <v>14</v>
      </c>
      <c r="C96" s="1">
        <v>1</v>
      </c>
    </row>
    <row r="97" spans="1:6" ht="12.75" customHeight="1" x14ac:dyDescent="0.3">
      <c r="A97" s="1" t="s">
        <v>125</v>
      </c>
      <c r="B97" s="1" t="s">
        <v>66</v>
      </c>
      <c r="D97" s="1">
        <v>1</v>
      </c>
    </row>
    <row r="98" spans="1:6" ht="12.75" customHeight="1" x14ac:dyDescent="0.3">
      <c r="A98" s="1" t="s">
        <v>126</v>
      </c>
      <c r="B98" s="1" t="s">
        <v>30</v>
      </c>
      <c r="D98" s="1">
        <v>1</v>
      </c>
    </row>
    <row r="99" spans="1:6" ht="12.75" customHeight="1" x14ac:dyDescent="0.3">
      <c r="A99" s="1" t="s">
        <v>127</v>
      </c>
      <c r="B99" s="1" t="s">
        <v>27</v>
      </c>
      <c r="D99" s="1">
        <v>1</v>
      </c>
    </row>
    <row r="100" spans="1:6" ht="12.75" customHeight="1" x14ac:dyDescent="0.3">
      <c r="A100" s="1" t="s">
        <v>128</v>
      </c>
      <c r="B100" s="1" t="s">
        <v>30</v>
      </c>
      <c r="D100" s="1">
        <v>1</v>
      </c>
    </row>
    <row r="101" spans="1:6" ht="12.75" customHeight="1" x14ac:dyDescent="0.3">
      <c r="A101" s="1" t="s">
        <v>129</v>
      </c>
      <c r="B101" s="1" t="s">
        <v>27</v>
      </c>
      <c r="F101" s="1">
        <v>1</v>
      </c>
    </row>
    <row r="102" spans="1:6" ht="12.75" customHeight="1" x14ac:dyDescent="0.3">
      <c r="A102" s="1" t="s">
        <v>130</v>
      </c>
      <c r="B102" s="1" t="s">
        <v>16</v>
      </c>
      <c r="C102" s="1">
        <v>1</v>
      </c>
    </row>
    <row r="103" spans="1:6" ht="12.75" customHeight="1" x14ac:dyDescent="0.3">
      <c r="A103" s="1" t="s">
        <v>131</v>
      </c>
      <c r="B103" s="1" t="s">
        <v>66</v>
      </c>
      <c r="D103" s="1">
        <v>1</v>
      </c>
    </row>
    <row r="104" spans="1:6" ht="12.75" customHeight="1" x14ac:dyDescent="0.3">
      <c r="A104" s="1" t="s">
        <v>132</v>
      </c>
      <c r="B104" s="1" t="s">
        <v>30</v>
      </c>
      <c r="D104" s="1">
        <v>1</v>
      </c>
    </row>
    <row r="105" spans="1:6" ht="12.75" customHeight="1" x14ac:dyDescent="0.3">
      <c r="A105" s="1" t="s">
        <v>133</v>
      </c>
      <c r="B105" s="1" t="s">
        <v>14</v>
      </c>
      <c r="E105" s="1">
        <v>1</v>
      </c>
    </row>
    <row r="106" spans="1:6" ht="12.75" customHeight="1" x14ac:dyDescent="0.3">
      <c r="A106" s="1" t="s">
        <v>134</v>
      </c>
      <c r="B106" s="1" t="s">
        <v>42</v>
      </c>
      <c r="C106" s="1">
        <v>1</v>
      </c>
    </row>
    <row r="107" spans="1:6" ht="12.75" customHeight="1" x14ac:dyDescent="0.3">
      <c r="A107" s="1" t="s">
        <v>135</v>
      </c>
      <c r="B107" s="1" t="s">
        <v>27</v>
      </c>
      <c r="D107" s="1">
        <v>1</v>
      </c>
    </row>
    <row r="108" spans="1:6" ht="12.75" customHeight="1" x14ac:dyDescent="0.3">
      <c r="A108" s="1" t="s">
        <v>136</v>
      </c>
      <c r="B108" s="1" t="s">
        <v>66</v>
      </c>
      <c r="E108" s="1">
        <v>1</v>
      </c>
    </row>
    <row r="109" spans="1:6" ht="12.75" customHeight="1" x14ac:dyDescent="0.3">
      <c r="A109" s="1" t="s">
        <v>137</v>
      </c>
      <c r="B109" s="1" t="s">
        <v>13</v>
      </c>
      <c r="D109" s="1">
        <v>1</v>
      </c>
    </row>
    <row r="110" spans="1:6" ht="12.75" customHeight="1" x14ac:dyDescent="0.3">
      <c r="A110" s="1" t="s">
        <v>138</v>
      </c>
      <c r="B110" s="1" t="s">
        <v>42</v>
      </c>
      <c r="C110" s="1">
        <v>1</v>
      </c>
    </row>
    <row r="111" spans="1:6" ht="12.75" customHeight="1" x14ac:dyDescent="0.3">
      <c r="A111" s="1" t="s">
        <v>139</v>
      </c>
      <c r="B111" s="1" t="s">
        <v>27</v>
      </c>
      <c r="E111" s="1">
        <v>1</v>
      </c>
    </row>
    <row r="112" spans="1:6" ht="12.75" customHeight="1" x14ac:dyDescent="0.3">
      <c r="A112" s="1" t="s">
        <v>140</v>
      </c>
      <c r="B112" s="1" t="s">
        <v>16</v>
      </c>
      <c r="D112" s="1">
        <v>1</v>
      </c>
    </row>
    <row r="113" spans="1:6" ht="12.75" customHeight="1" x14ac:dyDescent="0.3">
      <c r="A113" s="1" t="s">
        <v>141</v>
      </c>
      <c r="B113" s="1" t="s">
        <v>14</v>
      </c>
      <c r="E113" s="1">
        <v>1</v>
      </c>
    </row>
    <row r="114" spans="1:6" ht="12.75" customHeight="1" x14ac:dyDescent="0.3">
      <c r="A114" s="1" t="s">
        <v>142</v>
      </c>
      <c r="B114" s="1" t="s">
        <v>16</v>
      </c>
      <c r="D114" s="1">
        <v>1</v>
      </c>
    </row>
    <row r="115" spans="1:6" ht="12.75" customHeight="1" x14ac:dyDescent="0.3">
      <c r="A115" s="1" t="s">
        <v>143</v>
      </c>
      <c r="B115" s="1" t="s">
        <v>24</v>
      </c>
      <c r="D115" s="1">
        <v>1</v>
      </c>
    </row>
    <row r="116" spans="1:6" ht="12.75" customHeight="1" x14ac:dyDescent="0.3">
      <c r="A116" s="1" t="s">
        <v>144</v>
      </c>
      <c r="B116" s="1" t="s">
        <v>66</v>
      </c>
      <c r="D116" s="1">
        <v>1</v>
      </c>
    </row>
    <row r="117" spans="1:6" ht="12.75" customHeight="1" x14ac:dyDescent="0.3">
      <c r="A117" s="1" t="s">
        <v>145</v>
      </c>
      <c r="B117" s="1" t="s">
        <v>27</v>
      </c>
      <c r="D117" s="1">
        <v>1</v>
      </c>
    </row>
    <row r="118" spans="1:6" ht="12.75" customHeight="1" x14ac:dyDescent="0.3">
      <c r="A118" s="1" t="s">
        <v>146</v>
      </c>
      <c r="B118" s="1" t="s">
        <v>30</v>
      </c>
      <c r="E118" s="1">
        <v>1</v>
      </c>
    </row>
    <row r="119" spans="1:6" ht="12.75" customHeight="1" x14ac:dyDescent="0.3">
      <c r="A119" s="1" t="s">
        <v>147</v>
      </c>
      <c r="B119" s="1" t="s">
        <v>42</v>
      </c>
      <c r="C119" s="1">
        <v>1</v>
      </c>
    </row>
    <row r="120" spans="1:6" ht="12.75" customHeight="1" x14ac:dyDescent="0.3">
      <c r="A120" s="1" t="s">
        <v>148</v>
      </c>
      <c r="B120" s="1" t="s">
        <v>13</v>
      </c>
      <c r="D120" s="1">
        <v>1</v>
      </c>
    </row>
    <row r="121" spans="1:6" ht="12.75" customHeight="1" x14ac:dyDescent="0.3">
      <c r="A121" s="1" t="s">
        <v>149</v>
      </c>
      <c r="B121" s="1" t="s">
        <v>150</v>
      </c>
      <c r="F121" s="1">
        <v>1</v>
      </c>
    </row>
    <row r="122" spans="1:6" ht="12.75" customHeight="1" x14ac:dyDescent="0.3">
      <c r="A122" s="1" t="s">
        <v>151</v>
      </c>
      <c r="B122" s="1" t="s">
        <v>24</v>
      </c>
      <c r="D122" s="1">
        <v>1</v>
      </c>
    </row>
    <row r="123" spans="1:6" ht="12.75" customHeight="1" x14ac:dyDescent="0.3">
      <c r="A123" s="1" t="s">
        <v>152</v>
      </c>
      <c r="B123" s="1" t="s">
        <v>24</v>
      </c>
      <c r="D123" s="1">
        <v>1</v>
      </c>
    </row>
    <row r="124" spans="1:6" ht="12.75" customHeight="1" x14ac:dyDescent="0.3">
      <c r="A124" s="1" t="s">
        <v>153</v>
      </c>
      <c r="B124" s="1" t="s">
        <v>19</v>
      </c>
      <c r="C124" s="1">
        <v>1</v>
      </c>
    </row>
    <row r="125" spans="1:6" ht="12.75" customHeight="1" x14ac:dyDescent="0.3">
      <c r="A125" s="1" t="s">
        <v>154</v>
      </c>
      <c r="B125" s="1" t="s">
        <v>33</v>
      </c>
      <c r="C125" s="1">
        <v>1</v>
      </c>
    </row>
    <row r="126" spans="1:6" ht="12.75" customHeight="1" x14ac:dyDescent="0.3">
      <c r="A126" s="1" t="s">
        <v>155</v>
      </c>
      <c r="B126" s="1" t="s">
        <v>13</v>
      </c>
      <c r="D126" s="1">
        <v>1</v>
      </c>
    </row>
    <row r="127" spans="1:6" ht="12.75" customHeight="1" x14ac:dyDescent="0.3">
      <c r="A127" s="1" t="s">
        <v>156</v>
      </c>
      <c r="B127" s="1" t="s">
        <v>13</v>
      </c>
      <c r="D127" s="1">
        <v>1</v>
      </c>
    </row>
    <row r="128" spans="1:6" ht="12.75" customHeight="1" x14ac:dyDescent="0.3">
      <c r="A128" s="1" t="s">
        <v>157</v>
      </c>
      <c r="B128" s="1" t="s">
        <v>14</v>
      </c>
      <c r="D128" s="1">
        <v>1</v>
      </c>
    </row>
    <row r="129" spans="1:5" ht="12.75" customHeight="1" x14ac:dyDescent="0.3">
      <c r="A129" s="1" t="s">
        <v>158</v>
      </c>
      <c r="B129" s="1" t="s">
        <v>16</v>
      </c>
      <c r="C129" s="1">
        <v>1</v>
      </c>
    </row>
    <row r="130" spans="1:5" ht="12.75" customHeight="1" x14ac:dyDescent="0.3">
      <c r="A130" s="1" t="s">
        <v>159</v>
      </c>
      <c r="B130" s="1" t="s">
        <v>13</v>
      </c>
      <c r="D130" s="1">
        <v>1</v>
      </c>
    </row>
    <row r="131" spans="1:5" ht="12.75" customHeight="1" x14ac:dyDescent="0.3">
      <c r="A131" s="1" t="s">
        <v>160</v>
      </c>
      <c r="B131" s="1" t="s">
        <v>66</v>
      </c>
      <c r="E131" s="1">
        <v>1</v>
      </c>
    </row>
    <row r="132" spans="1:5" ht="12.75" customHeight="1" x14ac:dyDescent="0.3">
      <c r="A132" s="1" t="s">
        <v>161</v>
      </c>
      <c r="B132" s="1" t="s">
        <v>38</v>
      </c>
      <c r="E132" s="1">
        <v>1</v>
      </c>
    </row>
    <row r="133" spans="1:5" ht="12.75" customHeight="1" x14ac:dyDescent="0.3">
      <c r="A133" s="1" t="s">
        <v>162</v>
      </c>
      <c r="B133" s="1" t="s">
        <v>13</v>
      </c>
      <c r="D133" s="1">
        <v>1</v>
      </c>
    </row>
    <row r="134" spans="1:5" ht="12.75" customHeight="1" x14ac:dyDescent="0.3">
      <c r="A134" s="1" t="s">
        <v>163</v>
      </c>
      <c r="B134" s="1" t="s">
        <v>66</v>
      </c>
      <c r="D134" s="1">
        <v>1</v>
      </c>
    </row>
    <row r="135" spans="1:5" ht="12.75" customHeight="1" x14ac:dyDescent="0.3">
      <c r="A135" s="1" t="s">
        <v>164</v>
      </c>
      <c r="B135" s="1" t="s">
        <v>21</v>
      </c>
      <c r="D135" s="1">
        <v>1</v>
      </c>
    </row>
    <row r="136" spans="1:5" ht="12.75" customHeight="1" x14ac:dyDescent="0.3">
      <c r="A136" s="1" t="s">
        <v>165</v>
      </c>
      <c r="B136" s="1" t="s">
        <v>30</v>
      </c>
      <c r="D136" s="1">
        <v>1</v>
      </c>
    </row>
    <row r="137" spans="1:5" ht="12.75" customHeight="1" x14ac:dyDescent="0.3">
      <c r="A137" s="1" t="s">
        <v>166</v>
      </c>
      <c r="B137" s="1" t="s">
        <v>30</v>
      </c>
      <c r="D137" s="1">
        <v>1</v>
      </c>
    </row>
    <row r="138" spans="1:5" ht="12.75" customHeight="1" x14ac:dyDescent="0.3">
      <c r="A138" s="1" t="s">
        <v>167</v>
      </c>
      <c r="B138" s="1" t="s">
        <v>19</v>
      </c>
      <c r="C138" s="1">
        <v>1</v>
      </c>
    </row>
    <row r="139" spans="1:5" ht="12.75" customHeight="1" x14ac:dyDescent="0.3">
      <c r="A139" s="1" t="s">
        <v>168</v>
      </c>
      <c r="B139" s="1" t="s">
        <v>13</v>
      </c>
      <c r="D139" s="1">
        <v>1</v>
      </c>
    </row>
    <row r="140" spans="1:5" ht="12.75" customHeight="1" x14ac:dyDescent="0.3">
      <c r="A140" s="1" t="s">
        <v>169</v>
      </c>
      <c r="B140" s="1" t="s">
        <v>27</v>
      </c>
      <c r="D140" s="1">
        <v>1</v>
      </c>
    </row>
    <row r="141" spans="1:5" ht="12.75" customHeight="1" x14ac:dyDescent="0.3">
      <c r="A141" s="1" t="s">
        <v>170</v>
      </c>
      <c r="B141" s="1" t="s">
        <v>16</v>
      </c>
      <c r="C141" s="1">
        <v>1</v>
      </c>
    </row>
    <row r="142" spans="1:5" ht="12.75" customHeight="1" x14ac:dyDescent="0.3">
      <c r="A142" s="1" t="s">
        <v>171</v>
      </c>
      <c r="B142" s="1" t="s">
        <v>19</v>
      </c>
      <c r="C142" s="1">
        <v>1</v>
      </c>
    </row>
    <row r="143" spans="1:5" ht="12.75" customHeight="1" x14ac:dyDescent="0.3">
      <c r="A143" s="1" t="s">
        <v>172</v>
      </c>
      <c r="B143" s="1" t="s">
        <v>37</v>
      </c>
      <c r="C143" s="1">
        <v>1</v>
      </c>
    </row>
    <row r="144" spans="1:5" ht="12.75" customHeight="1" x14ac:dyDescent="0.3">
      <c r="A144" s="1" t="s">
        <v>173</v>
      </c>
      <c r="B144" s="1" t="s">
        <v>27</v>
      </c>
      <c r="D144" s="1">
        <v>1</v>
      </c>
    </row>
    <row r="145" spans="1:4" ht="12.75" customHeight="1" x14ac:dyDescent="0.3">
      <c r="A145" s="1" t="s">
        <v>174</v>
      </c>
      <c r="B145" s="1" t="s">
        <v>66</v>
      </c>
      <c r="D145" s="1">
        <v>1</v>
      </c>
    </row>
    <row r="146" spans="1:4" ht="12.75" customHeight="1" x14ac:dyDescent="0.3">
      <c r="A146" s="1" t="s">
        <v>175</v>
      </c>
      <c r="B146" s="1" t="s">
        <v>14</v>
      </c>
      <c r="C146" s="1">
        <v>1</v>
      </c>
    </row>
    <row r="147" spans="1:4" ht="12.75" customHeight="1" x14ac:dyDescent="0.3">
      <c r="A147" s="1" t="s">
        <v>176</v>
      </c>
      <c r="B147" s="1" t="s">
        <v>66</v>
      </c>
      <c r="D147" s="1">
        <v>1</v>
      </c>
    </row>
    <row r="148" spans="1:4" ht="12.75" customHeight="1" x14ac:dyDescent="0.3">
      <c r="A148" s="1" t="s">
        <v>177</v>
      </c>
      <c r="B148" s="1" t="s">
        <v>42</v>
      </c>
      <c r="C148" s="1">
        <v>1</v>
      </c>
    </row>
    <row r="149" spans="1:4" ht="12.75" customHeight="1" x14ac:dyDescent="0.3">
      <c r="A149" s="1" t="s">
        <v>178</v>
      </c>
      <c r="B149" s="1" t="s">
        <v>33</v>
      </c>
      <c r="D149" s="1">
        <v>1</v>
      </c>
    </row>
    <row r="150" spans="1:4" ht="12.75" customHeight="1" x14ac:dyDescent="0.3">
      <c r="A150" s="1" t="s">
        <v>179</v>
      </c>
      <c r="B150" s="1" t="s">
        <v>14</v>
      </c>
      <c r="C150" s="1">
        <v>1</v>
      </c>
    </row>
    <row r="151" spans="1:4" ht="12.75" customHeight="1" x14ac:dyDescent="0.3">
      <c r="A151" s="1" t="s">
        <v>180</v>
      </c>
      <c r="B151" s="1" t="s">
        <v>13</v>
      </c>
      <c r="D151" s="1">
        <v>1</v>
      </c>
    </row>
    <row r="152" spans="1:4" ht="12.75" customHeight="1" x14ac:dyDescent="0.3">
      <c r="A152" s="1" t="s">
        <v>181</v>
      </c>
      <c r="B152" s="1" t="s">
        <v>24</v>
      </c>
      <c r="D152" s="1">
        <v>1</v>
      </c>
    </row>
    <row r="153" spans="1:4" ht="12.75" customHeight="1" x14ac:dyDescent="0.3">
      <c r="A153" s="1" t="s">
        <v>182</v>
      </c>
      <c r="B153" s="1" t="s">
        <v>19</v>
      </c>
      <c r="C153" s="1">
        <v>1</v>
      </c>
    </row>
    <row r="154" spans="1:4" ht="12.75" customHeight="1" x14ac:dyDescent="0.3">
      <c r="A154" s="1" t="s">
        <v>183</v>
      </c>
      <c r="B154" s="1" t="s">
        <v>42</v>
      </c>
      <c r="C154" s="1">
        <v>1</v>
      </c>
    </row>
    <row r="155" spans="1:4" ht="12.75" customHeight="1" x14ac:dyDescent="0.3">
      <c r="A155" s="1" t="s">
        <v>184</v>
      </c>
      <c r="B155" s="1" t="s">
        <v>19</v>
      </c>
      <c r="C155" s="1">
        <v>1</v>
      </c>
    </row>
    <row r="156" spans="1:4" ht="12.75" customHeight="1" x14ac:dyDescent="0.3">
      <c r="A156" s="1" t="s">
        <v>185</v>
      </c>
      <c r="B156" s="1" t="s">
        <v>30</v>
      </c>
      <c r="D156" s="1">
        <v>1</v>
      </c>
    </row>
    <row r="157" spans="1:4" ht="12.75" customHeight="1" x14ac:dyDescent="0.3"/>
    <row r="158" spans="1:4" ht="12.75" customHeight="1" x14ac:dyDescent="0.3"/>
    <row r="159" spans="1:4" ht="12.75" customHeight="1" x14ac:dyDescent="0.3"/>
    <row r="160" spans="1:4" ht="12.75" customHeight="1" x14ac:dyDescent="0.3"/>
    <row r="161" s="1" customFormat="1" ht="12.75" customHeight="1" x14ac:dyDescent="0.3"/>
    <row r="162" s="1" customFormat="1" ht="12.75" customHeight="1" x14ac:dyDescent="0.3"/>
    <row r="163" s="1" customFormat="1" ht="12.75" customHeight="1" x14ac:dyDescent="0.3"/>
    <row r="164" s="1" customFormat="1" ht="12.75" customHeight="1" x14ac:dyDescent="0.3"/>
    <row r="165" s="1" customFormat="1" ht="12.75" customHeight="1" x14ac:dyDescent="0.3"/>
    <row r="166" s="1" customFormat="1" ht="12.75" customHeight="1" x14ac:dyDescent="0.3"/>
    <row r="167" s="1" customFormat="1" ht="12.75" customHeight="1" x14ac:dyDescent="0.3"/>
    <row r="168" s="1" customFormat="1" ht="12.75" customHeight="1" x14ac:dyDescent="0.3"/>
    <row r="169" s="1" customFormat="1" ht="12.75" customHeight="1" x14ac:dyDescent="0.3"/>
    <row r="170" s="1" customFormat="1" ht="12.75" customHeight="1" x14ac:dyDescent="0.3"/>
    <row r="171" s="1" customFormat="1" ht="12.75" customHeight="1" x14ac:dyDescent="0.3"/>
    <row r="172" s="1" customFormat="1" ht="12.75" customHeight="1" x14ac:dyDescent="0.3"/>
    <row r="173" s="1" customFormat="1" ht="12.75" customHeight="1" x14ac:dyDescent="0.3"/>
    <row r="174" s="1" customFormat="1" ht="12.75" customHeight="1" x14ac:dyDescent="0.3"/>
    <row r="175" s="1" customFormat="1" ht="12.75" customHeight="1" x14ac:dyDescent="0.3"/>
    <row r="176" s="1" customFormat="1" ht="12.75" customHeight="1" x14ac:dyDescent="0.3"/>
    <row r="177" s="1" customFormat="1" ht="12.75" customHeight="1" x14ac:dyDescent="0.3"/>
    <row r="178" s="1" customFormat="1" ht="12.75" customHeight="1" x14ac:dyDescent="0.3"/>
    <row r="179" s="1" customFormat="1" ht="12.75" customHeight="1" x14ac:dyDescent="0.3"/>
    <row r="180" s="1" customFormat="1" ht="12.75" customHeight="1" x14ac:dyDescent="0.3"/>
    <row r="181" s="1" customFormat="1" ht="12.75" customHeight="1" x14ac:dyDescent="0.3"/>
    <row r="182" s="1" customFormat="1" ht="12.75" customHeight="1" x14ac:dyDescent="0.3"/>
    <row r="183" s="1" customFormat="1" ht="12.75" customHeight="1" x14ac:dyDescent="0.3"/>
    <row r="184" s="1" customFormat="1" ht="12.75" customHeight="1" x14ac:dyDescent="0.3"/>
    <row r="185" s="1" customFormat="1" ht="12.75" customHeight="1" x14ac:dyDescent="0.3"/>
    <row r="186" s="1" customFormat="1" ht="12.75" customHeight="1" x14ac:dyDescent="0.3"/>
    <row r="187" s="1" customFormat="1" ht="12.75" customHeight="1" x14ac:dyDescent="0.3"/>
    <row r="188" s="1" customFormat="1" ht="12.75" customHeight="1" x14ac:dyDescent="0.3"/>
    <row r="189" s="1" customFormat="1" ht="12.75" customHeight="1" x14ac:dyDescent="0.3"/>
    <row r="190" s="1" customFormat="1" ht="12.75" customHeight="1" x14ac:dyDescent="0.3"/>
    <row r="191" s="1" customFormat="1" ht="12.75" customHeight="1" x14ac:dyDescent="0.3"/>
    <row r="192" s="1" customFormat="1" ht="12.75" customHeight="1" x14ac:dyDescent="0.3"/>
    <row r="193" s="1" customFormat="1" ht="12.75" customHeight="1" x14ac:dyDescent="0.3"/>
    <row r="194" s="1" customFormat="1" ht="12.75" customHeight="1" x14ac:dyDescent="0.3"/>
    <row r="195" s="1" customFormat="1" ht="12.75" customHeight="1" x14ac:dyDescent="0.3"/>
    <row r="196" s="1" customFormat="1" ht="12.75" customHeight="1" x14ac:dyDescent="0.3"/>
    <row r="197" s="1" customFormat="1" ht="12.75" customHeight="1" x14ac:dyDescent="0.3"/>
    <row r="198" s="1" customFormat="1" ht="12.75" customHeight="1" x14ac:dyDescent="0.3"/>
    <row r="199" s="1" customFormat="1" ht="12.75" customHeight="1" x14ac:dyDescent="0.3"/>
    <row r="200" s="1" customFormat="1" ht="12.75" customHeight="1" x14ac:dyDescent="0.3"/>
    <row r="201" s="1" customFormat="1" ht="12.75" customHeight="1" x14ac:dyDescent="0.3"/>
    <row r="202" s="1" customFormat="1" ht="12.75" customHeight="1" x14ac:dyDescent="0.3"/>
    <row r="203" s="1" customFormat="1" ht="12.75" customHeight="1" x14ac:dyDescent="0.3"/>
    <row r="204" s="1" customFormat="1" ht="12.75" customHeight="1" x14ac:dyDescent="0.3"/>
    <row r="205" s="1" customFormat="1" ht="12.75" customHeight="1" x14ac:dyDescent="0.3"/>
    <row r="206" s="1" customFormat="1" ht="12.75" customHeight="1" x14ac:dyDescent="0.3"/>
    <row r="207" s="1" customFormat="1" ht="12.75" customHeight="1" x14ac:dyDescent="0.3"/>
    <row r="208" s="1" customFormat="1" ht="12.75" customHeight="1" x14ac:dyDescent="0.3"/>
    <row r="209" s="1" customFormat="1" ht="12.75" customHeight="1" x14ac:dyDescent="0.3"/>
    <row r="210" s="1" customFormat="1" ht="12.75" customHeight="1" x14ac:dyDescent="0.3"/>
    <row r="211" s="1" customFormat="1" ht="12.75" customHeight="1" x14ac:dyDescent="0.3"/>
    <row r="212" s="1" customFormat="1" ht="12.75" customHeight="1" x14ac:dyDescent="0.3"/>
    <row r="213" s="1" customFormat="1" ht="12.75" customHeight="1" x14ac:dyDescent="0.3"/>
    <row r="214" s="1" customFormat="1" ht="12.75" customHeight="1" x14ac:dyDescent="0.3"/>
    <row r="215" s="1" customFormat="1" ht="12.75" customHeight="1" x14ac:dyDescent="0.3"/>
    <row r="216" s="1" customFormat="1" ht="12.75" customHeight="1" x14ac:dyDescent="0.3"/>
    <row r="217" s="1" customFormat="1" ht="12.75" customHeight="1" x14ac:dyDescent="0.3"/>
    <row r="218" s="1" customFormat="1" ht="12.75" customHeight="1" x14ac:dyDescent="0.3"/>
    <row r="219" s="1" customFormat="1" ht="12.75" customHeight="1" x14ac:dyDescent="0.3"/>
    <row r="220" s="1" customFormat="1" ht="12.75" customHeight="1" x14ac:dyDescent="0.3"/>
    <row r="221" s="1" customFormat="1" ht="12.75" customHeight="1" x14ac:dyDescent="0.3"/>
    <row r="222" s="1" customFormat="1" ht="12.75" customHeight="1" x14ac:dyDescent="0.3"/>
    <row r="223" s="1" customFormat="1" ht="12.75" customHeight="1" x14ac:dyDescent="0.3"/>
    <row r="224" s="1" customFormat="1" ht="12.75" customHeight="1" x14ac:dyDescent="0.3"/>
    <row r="225" s="1" customFormat="1" ht="12.75" customHeight="1" x14ac:dyDescent="0.3"/>
    <row r="226" s="1" customFormat="1" ht="12.75" customHeight="1" x14ac:dyDescent="0.3"/>
    <row r="227" s="1" customFormat="1" ht="12.75" customHeight="1" x14ac:dyDescent="0.3"/>
    <row r="228" s="1" customFormat="1" ht="12.75" customHeight="1" x14ac:dyDescent="0.3"/>
    <row r="229" s="1" customFormat="1" ht="12.75" customHeight="1" x14ac:dyDescent="0.3"/>
    <row r="230" s="1" customFormat="1" ht="12.75" customHeight="1" x14ac:dyDescent="0.3"/>
    <row r="231" s="1" customFormat="1" ht="12.75" customHeight="1" x14ac:dyDescent="0.3"/>
    <row r="232" s="1" customFormat="1" ht="12.75" customHeight="1" x14ac:dyDescent="0.3"/>
    <row r="233" s="1" customFormat="1" ht="12.75" customHeight="1" x14ac:dyDescent="0.3"/>
    <row r="234" s="1" customFormat="1" ht="12.75" customHeight="1" x14ac:dyDescent="0.3"/>
    <row r="235" s="1" customFormat="1" ht="12.75" customHeight="1" x14ac:dyDescent="0.3"/>
    <row r="236" s="1" customFormat="1" ht="12.75" customHeight="1" x14ac:dyDescent="0.3"/>
    <row r="237" s="1" customFormat="1" ht="12.75" customHeight="1" x14ac:dyDescent="0.3"/>
    <row r="238" s="1" customFormat="1" ht="12.75" customHeight="1" x14ac:dyDescent="0.3"/>
    <row r="239" s="1" customFormat="1" ht="12.75" customHeight="1" x14ac:dyDescent="0.3"/>
    <row r="240" s="1" customFormat="1" ht="12.75" customHeight="1" x14ac:dyDescent="0.3"/>
    <row r="241" s="1" customFormat="1" ht="12.75" customHeight="1" x14ac:dyDescent="0.3"/>
    <row r="242" s="1" customFormat="1" ht="12.75" customHeight="1" x14ac:dyDescent="0.3"/>
    <row r="243" s="1" customFormat="1" ht="12.75" customHeight="1" x14ac:dyDescent="0.3"/>
    <row r="244" s="1" customFormat="1" ht="12.75" customHeight="1" x14ac:dyDescent="0.3"/>
    <row r="245" s="1" customFormat="1" ht="12.75" customHeight="1" x14ac:dyDescent="0.3"/>
    <row r="246" s="1" customFormat="1" ht="12.75" customHeight="1" x14ac:dyDescent="0.3"/>
    <row r="247" s="1" customFormat="1" ht="12.75" customHeight="1" x14ac:dyDescent="0.3"/>
    <row r="248" s="1" customFormat="1" ht="12.75" customHeight="1" x14ac:dyDescent="0.3"/>
    <row r="249" s="1" customFormat="1" ht="12.75" customHeight="1" x14ac:dyDescent="0.3"/>
    <row r="250" s="1" customFormat="1" ht="12.75" customHeight="1" x14ac:dyDescent="0.3"/>
    <row r="251" s="1" customFormat="1" ht="12.75" customHeight="1" x14ac:dyDescent="0.3"/>
    <row r="252" s="1" customFormat="1" ht="12.75" customHeight="1" x14ac:dyDescent="0.3"/>
    <row r="253" s="1" customFormat="1" ht="12.75" customHeight="1" x14ac:dyDescent="0.3"/>
    <row r="254" s="1" customFormat="1" ht="12.75" customHeight="1" x14ac:dyDescent="0.3"/>
    <row r="255" s="1" customFormat="1" ht="12.75" customHeight="1" x14ac:dyDescent="0.3"/>
    <row r="256" s="1" customFormat="1" ht="12.75" customHeight="1" x14ac:dyDescent="0.3"/>
    <row r="257" s="1" customFormat="1" ht="12.75" customHeight="1" x14ac:dyDescent="0.3"/>
    <row r="258" s="1" customFormat="1" ht="12.75" customHeight="1" x14ac:dyDescent="0.3"/>
    <row r="259" s="1" customFormat="1" ht="12.75" customHeight="1" x14ac:dyDescent="0.3"/>
    <row r="260" s="1" customFormat="1" ht="12.75" customHeight="1" x14ac:dyDescent="0.3"/>
    <row r="261" s="1" customFormat="1" ht="12.75" customHeight="1" x14ac:dyDescent="0.3"/>
    <row r="262" s="1" customFormat="1" ht="12.75" customHeight="1" x14ac:dyDescent="0.3"/>
    <row r="263" s="1" customFormat="1" ht="12.75" customHeight="1" x14ac:dyDescent="0.3"/>
    <row r="264" s="1" customFormat="1" ht="12.75" customHeight="1" x14ac:dyDescent="0.3"/>
    <row r="265" s="1" customFormat="1" ht="12.75" customHeight="1" x14ac:dyDescent="0.3"/>
    <row r="266" s="1" customFormat="1" ht="12.75" customHeight="1" x14ac:dyDescent="0.3"/>
    <row r="267" s="1" customFormat="1" ht="12.75" customHeight="1" x14ac:dyDescent="0.3"/>
    <row r="268" s="1" customFormat="1" ht="12.75" customHeight="1" x14ac:dyDescent="0.3"/>
    <row r="269" s="1" customFormat="1" ht="12.75" customHeight="1" x14ac:dyDescent="0.3"/>
    <row r="270" s="1" customFormat="1" ht="12.75" customHeight="1" x14ac:dyDescent="0.3"/>
    <row r="271" s="1" customFormat="1" ht="12.75" customHeight="1" x14ac:dyDescent="0.3"/>
    <row r="272" s="1" customFormat="1" ht="12.75" customHeight="1" x14ac:dyDescent="0.3"/>
    <row r="273" s="1" customFormat="1" ht="12.75" customHeight="1" x14ac:dyDescent="0.3"/>
    <row r="274" s="1" customFormat="1" ht="12.75" customHeight="1" x14ac:dyDescent="0.3"/>
    <row r="275" s="1" customFormat="1" ht="12.75" customHeight="1" x14ac:dyDescent="0.3"/>
    <row r="276" s="1" customFormat="1" ht="12.75" customHeight="1" x14ac:dyDescent="0.3"/>
    <row r="277" s="1" customFormat="1" ht="12.75" customHeight="1" x14ac:dyDescent="0.3"/>
    <row r="278" s="1" customFormat="1" ht="12.75" customHeight="1" x14ac:dyDescent="0.3"/>
    <row r="279" s="1" customFormat="1" ht="12.75" customHeight="1" x14ac:dyDescent="0.3"/>
    <row r="280" s="1" customFormat="1" ht="12.75" customHeight="1" x14ac:dyDescent="0.3"/>
    <row r="281" s="1" customFormat="1" ht="12.75" customHeight="1" x14ac:dyDescent="0.3"/>
    <row r="282" s="1" customFormat="1" ht="12.75" customHeight="1" x14ac:dyDescent="0.3"/>
    <row r="283" s="1" customFormat="1" ht="12.75" customHeight="1" x14ac:dyDescent="0.3"/>
    <row r="284" s="1" customFormat="1" ht="12.75" customHeight="1" x14ac:dyDescent="0.3"/>
    <row r="285" s="1" customFormat="1" ht="12.75" customHeight="1" x14ac:dyDescent="0.3"/>
    <row r="286" s="1" customFormat="1" ht="12.75" customHeight="1" x14ac:dyDescent="0.3"/>
    <row r="287" s="1" customFormat="1" ht="12.75" customHeight="1" x14ac:dyDescent="0.3"/>
    <row r="288" s="1" customFormat="1" ht="12.75" customHeight="1" x14ac:dyDescent="0.3"/>
    <row r="289" s="1" customFormat="1" ht="12.75" customHeight="1" x14ac:dyDescent="0.3"/>
    <row r="290" s="1" customFormat="1" ht="12.75" customHeight="1" x14ac:dyDescent="0.3"/>
    <row r="291" s="1" customFormat="1" ht="12.75" customHeight="1" x14ac:dyDescent="0.3"/>
    <row r="292" s="1" customFormat="1" ht="12.75" customHeight="1" x14ac:dyDescent="0.3"/>
    <row r="293" s="1" customFormat="1" ht="12.75" customHeight="1" x14ac:dyDescent="0.3"/>
    <row r="294" s="1" customFormat="1" ht="12.75" customHeight="1" x14ac:dyDescent="0.3"/>
    <row r="295" s="1" customFormat="1" ht="12.75" customHeight="1" x14ac:dyDescent="0.3"/>
    <row r="296" s="1" customFormat="1" ht="12.75" customHeight="1" x14ac:dyDescent="0.3"/>
    <row r="297" s="1" customFormat="1" ht="12.75" customHeight="1" x14ac:dyDescent="0.3"/>
    <row r="298" s="1" customFormat="1" ht="12.75" customHeight="1" x14ac:dyDescent="0.3"/>
    <row r="299" s="1" customFormat="1" ht="12.75" customHeight="1" x14ac:dyDescent="0.3"/>
    <row r="300" s="1" customFormat="1" ht="12.75" customHeight="1" x14ac:dyDescent="0.3"/>
    <row r="301" s="1" customFormat="1" ht="12.75" customHeight="1" x14ac:dyDescent="0.3"/>
    <row r="302" s="1" customFormat="1" ht="12.75" customHeight="1" x14ac:dyDescent="0.3"/>
    <row r="303" s="1" customFormat="1" ht="12.75" customHeight="1" x14ac:dyDescent="0.3"/>
    <row r="304" s="1" customFormat="1" ht="12.75" customHeight="1" x14ac:dyDescent="0.3"/>
    <row r="305" s="1" customFormat="1" ht="12.75" customHeight="1" x14ac:dyDescent="0.3"/>
    <row r="306" s="1" customFormat="1" ht="12.75" customHeight="1" x14ac:dyDescent="0.3"/>
    <row r="307" s="1" customFormat="1" ht="12.75" customHeight="1" x14ac:dyDescent="0.3"/>
    <row r="308" s="1" customFormat="1" ht="12.75" customHeight="1" x14ac:dyDescent="0.3"/>
    <row r="309" s="1" customFormat="1" ht="12.75" customHeight="1" x14ac:dyDescent="0.3"/>
    <row r="310" s="1" customFormat="1" ht="12.75" customHeight="1" x14ac:dyDescent="0.3"/>
    <row r="311" s="1" customFormat="1" ht="12.75" customHeight="1" x14ac:dyDescent="0.3"/>
    <row r="312" s="1" customFormat="1" ht="12.75" customHeight="1" x14ac:dyDescent="0.3"/>
    <row r="313" s="1" customFormat="1" ht="12.75" customHeight="1" x14ac:dyDescent="0.3"/>
    <row r="314" s="1" customFormat="1" ht="12.75" customHeight="1" x14ac:dyDescent="0.3"/>
    <row r="315" s="1" customFormat="1" ht="12.75" customHeight="1" x14ac:dyDescent="0.3"/>
    <row r="316" s="1" customFormat="1" ht="12.75" customHeight="1" x14ac:dyDescent="0.3"/>
    <row r="317" s="1" customFormat="1" ht="12.75" customHeight="1" x14ac:dyDescent="0.3"/>
    <row r="318" s="1" customFormat="1" ht="12.75" customHeight="1" x14ac:dyDescent="0.3"/>
    <row r="319" s="1" customFormat="1" ht="12.75" customHeight="1" x14ac:dyDescent="0.3"/>
    <row r="320" s="1" customFormat="1" ht="12.75" customHeight="1" x14ac:dyDescent="0.3"/>
    <row r="321" s="1" customFormat="1" ht="12.75" customHeight="1" x14ac:dyDescent="0.3"/>
    <row r="322" s="1" customFormat="1" ht="12.75" customHeight="1" x14ac:dyDescent="0.3"/>
    <row r="323" s="1" customFormat="1" ht="12.75" customHeight="1" x14ac:dyDescent="0.3"/>
    <row r="324" s="1" customFormat="1" ht="12.75" customHeight="1" x14ac:dyDescent="0.3"/>
    <row r="325" s="1" customFormat="1" ht="12.75" customHeight="1" x14ac:dyDescent="0.3"/>
    <row r="326" s="1" customFormat="1" ht="12.75" customHeight="1" x14ac:dyDescent="0.3"/>
    <row r="327" s="1" customFormat="1" ht="12.75" customHeight="1" x14ac:dyDescent="0.3"/>
    <row r="328" s="1" customFormat="1" ht="12.75" customHeight="1" x14ac:dyDescent="0.3"/>
    <row r="329" s="1" customFormat="1" ht="12.75" customHeight="1" x14ac:dyDescent="0.3"/>
    <row r="330" s="1" customFormat="1" ht="12.75" customHeight="1" x14ac:dyDescent="0.3"/>
    <row r="331" s="1" customFormat="1" ht="12.75" customHeight="1" x14ac:dyDescent="0.3"/>
    <row r="332" s="1" customFormat="1" ht="12.75" customHeight="1" x14ac:dyDescent="0.3"/>
    <row r="333" s="1" customFormat="1" ht="12.75" customHeight="1" x14ac:dyDescent="0.3"/>
    <row r="334" s="1" customFormat="1" ht="12.75" customHeight="1" x14ac:dyDescent="0.3"/>
    <row r="335" s="1" customFormat="1" ht="12.75" customHeight="1" x14ac:dyDescent="0.3"/>
    <row r="336" s="1" customFormat="1" ht="12.75" customHeight="1" x14ac:dyDescent="0.3"/>
    <row r="337" s="1" customFormat="1" ht="12.75" customHeight="1" x14ac:dyDescent="0.3"/>
    <row r="338" s="1" customFormat="1" ht="12.75" customHeight="1" x14ac:dyDescent="0.3"/>
    <row r="339" s="1" customFormat="1" ht="12.75" customHeight="1" x14ac:dyDescent="0.3"/>
    <row r="340" s="1" customFormat="1" ht="12.75" customHeight="1" x14ac:dyDescent="0.3"/>
    <row r="341" s="1" customFormat="1" ht="12.75" customHeight="1" x14ac:dyDescent="0.3"/>
    <row r="342" s="1" customFormat="1" ht="12.75" customHeight="1" x14ac:dyDescent="0.3"/>
    <row r="343" s="1" customFormat="1" ht="12.75" customHeight="1" x14ac:dyDescent="0.3"/>
    <row r="344" s="1" customFormat="1" ht="12.75" customHeight="1" x14ac:dyDescent="0.3"/>
    <row r="345" s="1" customFormat="1" ht="12.75" customHeight="1" x14ac:dyDescent="0.3"/>
    <row r="346" s="1" customFormat="1" ht="12.75" customHeight="1" x14ac:dyDescent="0.3"/>
    <row r="347" s="1" customFormat="1" ht="12.75" customHeight="1" x14ac:dyDescent="0.3"/>
    <row r="348" s="1" customFormat="1" ht="12.75" customHeight="1" x14ac:dyDescent="0.3"/>
    <row r="349" s="1" customFormat="1" ht="12.75" customHeight="1" x14ac:dyDescent="0.3"/>
    <row r="350" s="1" customFormat="1" ht="12.75" customHeight="1" x14ac:dyDescent="0.3"/>
    <row r="351" s="1" customFormat="1" ht="12.75" customHeight="1" x14ac:dyDescent="0.3"/>
    <row r="352" s="1" customFormat="1" ht="12.75" customHeight="1" x14ac:dyDescent="0.3"/>
    <row r="353" s="1" customFormat="1" ht="12.75" customHeight="1" x14ac:dyDescent="0.3"/>
    <row r="354" s="1" customFormat="1" ht="12.75" customHeight="1" x14ac:dyDescent="0.3"/>
    <row r="355" s="1" customFormat="1" ht="12.75" customHeight="1" x14ac:dyDescent="0.3"/>
    <row r="356" s="1" customFormat="1" ht="12.75" customHeight="1" x14ac:dyDescent="0.3"/>
    <row r="357" s="1" customFormat="1" ht="12.75" customHeight="1" x14ac:dyDescent="0.3"/>
    <row r="358" s="1" customFormat="1" ht="12.75" customHeight="1" x14ac:dyDescent="0.3"/>
    <row r="359" s="1" customFormat="1" ht="12.75" customHeight="1" x14ac:dyDescent="0.3"/>
    <row r="360" s="1" customFormat="1" ht="12.75" customHeight="1" x14ac:dyDescent="0.3"/>
    <row r="361" s="1" customFormat="1" ht="12.75" customHeight="1" x14ac:dyDescent="0.3"/>
    <row r="362" s="1" customFormat="1" ht="12.75" customHeight="1" x14ac:dyDescent="0.3"/>
    <row r="363" s="1" customFormat="1" ht="12.75" customHeight="1" x14ac:dyDescent="0.3"/>
    <row r="364" s="1" customFormat="1" ht="12.75" customHeight="1" x14ac:dyDescent="0.3"/>
    <row r="365" s="1" customFormat="1" ht="12.75" customHeight="1" x14ac:dyDescent="0.3"/>
    <row r="366" s="1" customFormat="1" ht="12.75" customHeight="1" x14ac:dyDescent="0.3"/>
    <row r="367" s="1" customFormat="1" ht="12.75" customHeight="1" x14ac:dyDescent="0.3"/>
    <row r="368" s="1" customFormat="1" ht="12.75" customHeight="1" x14ac:dyDescent="0.3"/>
    <row r="369" s="1" customFormat="1" ht="12.75" customHeight="1" x14ac:dyDescent="0.3"/>
    <row r="370" s="1" customFormat="1" ht="12.75" customHeight="1" x14ac:dyDescent="0.3"/>
    <row r="371" s="1" customFormat="1" ht="12.75" customHeight="1" x14ac:dyDescent="0.3"/>
    <row r="372" s="1" customFormat="1" ht="12.75" customHeight="1" x14ac:dyDescent="0.3"/>
    <row r="373" s="1" customFormat="1" ht="12.75" customHeight="1" x14ac:dyDescent="0.3"/>
    <row r="374" s="1" customFormat="1" ht="12.75" customHeight="1" x14ac:dyDescent="0.3"/>
    <row r="375" s="1" customFormat="1" ht="12.75" customHeight="1" x14ac:dyDescent="0.3"/>
    <row r="376" s="1" customFormat="1" ht="12.75" customHeight="1" x14ac:dyDescent="0.3"/>
    <row r="377" s="1" customFormat="1" ht="12.75" customHeight="1" x14ac:dyDescent="0.3"/>
    <row r="378" s="1" customFormat="1" ht="12.75" customHeight="1" x14ac:dyDescent="0.3"/>
    <row r="379" s="1" customFormat="1" ht="12.75" customHeight="1" x14ac:dyDescent="0.3"/>
    <row r="380" s="1" customFormat="1" ht="12.75" customHeight="1" x14ac:dyDescent="0.3"/>
    <row r="381" s="1" customFormat="1" ht="12.75" customHeight="1" x14ac:dyDescent="0.3"/>
    <row r="382" s="1" customFormat="1" ht="12.75" customHeight="1" x14ac:dyDescent="0.3"/>
    <row r="383" s="1" customFormat="1" ht="12.75" customHeight="1" x14ac:dyDescent="0.3"/>
    <row r="384" s="1" customFormat="1" ht="12.75" customHeight="1" x14ac:dyDescent="0.3"/>
    <row r="385" s="1" customFormat="1" ht="12.75" customHeight="1" x14ac:dyDescent="0.3"/>
    <row r="386" s="1" customFormat="1" ht="12.75" customHeight="1" x14ac:dyDescent="0.3"/>
    <row r="387" s="1" customFormat="1" ht="12.75" customHeight="1" x14ac:dyDescent="0.3"/>
    <row r="388" s="1" customFormat="1" ht="12.75" customHeight="1" x14ac:dyDescent="0.3"/>
    <row r="389" s="1" customFormat="1" ht="12.75" customHeight="1" x14ac:dyDescent="0.3"/>
    <row r="390" s="1" customFormat="1" ht="12.75" customHeight="1" x14ac:dyDescent="0.3"/>
    <row r="391" s="1" customFormat="1" ht="12.75" customHeight="1" x14ac:dyDescent="0.3"/>
    <row r="392" s="1" customFormat="1" ht="12.75" customHeight="1" x14ac:dyDescent="0.3"/>
    <row r="393" s="1" customFormat="1" ht="12.75" customHeight="1" x14ac:dyDescent="0.3"/>
    <row r="394" s="1" customFormat="1" ht="12.75" customHeight="1" x14ac:dyDescent="0.3"/>
    <row r="395" s="1" customFormat="1" ht="12.75" customHeight="1" x14ac:dyDescent="0.3"/>
    <row r="396" s="1" customFormat="1" ht="12.75" customHeight="1" x14ac:dyDescent="0.3"/>
    <row r="397" s="1" customFormat="1" ht="12.75" customHeight="1" x14ac:dyDescent="0.3"/>
    <row r="398" s="1" customFormat="1" ht="12.75" customHeight="1" x14ac:dyDescent="0.3"/>
    <row r="399" s="1" customFormat="1" ht="12.75" customHeight="1" x14ac:dyDescent="0.3"/>
    <row r="400" s="1" customFormat="1" ht="12.75" customHeight="1" x14ac:dyDescent="0.3"/>
    <row r="401" s="1" customFormat="1" ht="12.75" customHeight="1" x14ac:dyDescent="0.3"/>
    <row r="402" s="1" customFormat="1" ht="12.75" customHeight="1" x14ac:dyDescent="0.3"/>
    <row r="403" s="1" customFormat="1" ht="12.75" customHeight="1" x14ac:dyDescent="0.3"/>
    <row r="404" s="1" customFormat="1" ht="12.75" customHeight="1" x14ac:dyDescent="0.3"/>
    <row r="405" s="1" customFormat="1" ht="12.75" customHeight="1" x14ac:dyDescent="0.3"/>
    <row r="406" s="1" customFormat="1" ht="12.75" customHeight="1" x14ac:dyDescent="0.3"/>
    <row r="407" s="1" customFormat="1" ht="12.75" customHeight="1" x14ac:dyDescent="0.3"/>
    <row r="408" s="1" customFormat="1" ht="12.75" customHeight="1" x14ac:dyDescent="0.3"/>
    <row r="409" s="1" customFormat="1" ht="12.75" customHeight="1" x14ac:dyDescent="0.3"/>
    <row r="410" s="1" customFormat="1" ht="12.75" customHeight="1" x14ac:dyDescent="0.3"/>
    <row r="411" s="1" customFormat="1" ht="12.75" customHeight="1" x14ac:dyDescent="0.3"/>
    <row r="412" s="1" customFormat="1" ht="12.75" customHeight="1" x14ac:dyDescent="0.3"/>
    <row r="413" s="1" customFormat="1" ht="12.75" customHeight="1" x14ac:dyDescent="0.3"/>
    <row r="414" s="1" customFormat="1" ht="12.75" customHeight="1" x14ac:dyDescent="0.3"/>
    <row r="415" s="1" customFormat="1" ht="12.75" customHeight="1" x14ac:dyDescent="0.3"/>
    <row r="416" s="1" customFormat="1" ht="12.75" customHeight="1" x14ac:dyDescent="0.3"/>
    <row r="417" s="1" customFormat="1" ht="12.75" customHeight="1" x14ac:dyDescent="0.3"/>
    <row r="418" s="1" customFormat="1" ht="12.75" customHeight="1" x14ac:dyDescent="0.3"/>
    <row r="419" s="1" customFormat="1" ht="12.75" customHeight="1" x14ac:dyDescent="0.3"/>
    <row r="420" s="1" customFormat="1" ht="12.75" customHeight="1" x14ac:dyDescent="0.3"/>
    <row r="421" s="1" customFormat="1" ht="12.75" customHeight="1" x14ac:dyDescent="0.3"/>
    <row r="422" s="1" customFormat="1" ht="12.75" customHeight="1" x14ac:dyDescent="0.3"/>
    <row r="423" s="1" customFormat="1" ht="12.75" customHeight="1" x14ac:dyDescent="0.3"/>
    <row r="424" s="1" customFormat="1" ht="12.75" customHeight="1" x14ac:dyDescent="0.3"/>
    <row r="425" s="1" customFormat="1" ht="12.75" customHeight="1" x14ac:dyDescent="0.3"/>
    <row r="426" s="1" customFormat="1" ht="12.75" customHeight="1" x14ac:dyDescent="0.3"/>
    <row r="427" s="1" customFormat="1" ht="12.75" customHeight="1" x14ac:dyDescent="0.3"/>
    <row r="428" s="1" customFormat="1" ht="12.75" customHeight="1" x14ac:dyDescent="0.3"/>
    <row r="429" s="1" customFormat="1" ht="12.75" customHeight="1" x14ac:dyDescent="0.3"/>
    <row r="430" s="1" customFormat="1" ht="12.75" customHeight="1" x14ac:dyDescent="0.3"/>
    <row r="431" s="1" customFormat="1" ht="12.75" customHeight="1" x14ac:dyDescent="0.3"/>
    <row r="432" s="1" customFormat="1" ht="12.75" customHeight="1" x14ac:dyDescent="0.3"/>
    <row r="433" s="1" customFormat="1" ht="12.75" customHeight="1" x14ac:dyDescent="0.3"/>
    <row r="434" s="1" customFormat="1" ht="12.75" customHeight="1" x14ac:dyDescent="0.3"/>
    <row r="435" s="1" customFormat="1" ht="12.75" customHeight="1" x14ac:dyDescent="0.3"/>
    <row r="436" s="1" customFormat="1" ht="12.75" customHeight="1" x14ac:dyDescent="0.3"/>
    <row r="437" s="1" customFormat="1" ht="12.75" customHeight="1" x14ac:dyDescent="0.3"/>
    <row r="438" s="1" customFormat="1" ht="12.75" customHeight="1" x14ac:dyDescent="0.3"/>
    <row r="439" s="1" customFormat="1" ht="12.75" customHeight="1" x14ac:dyDescent="0.3"/>
    <row r="440" s="1" customFormat="1" ht="12.75" customHeight="1" x14ac:dyDescent="0.3"/>
    <row r="441" s="1" customFormat="1" ht="12.75" customHeight="1" x14ac:dyDescent="0.3"/>
    <row r="442" s="1" customFormat="1" ht="12.75" customHeight="1" x14ac:dyDescent="0.3"/>
    <row r="443" s="1" customFormat="1" ht="12.75" customHeight="1" x14ac:dyDescent="0.3"/>
    <row r="444" s="1" customFormat="1" ht="12.75" customHeight="1" x14ac:dyDescent="0.3"/>
    <row r="445" s="1" customFormat="1" ht="12.75" customHeight="1" x14ac:dyDescent="0.3"/>
    <row r="446" s="1" customFormat="1" ht="12.75" customHeight="1" x14ac:dyDescent="0.3"/>
    <row r="447" s="1" customFormat="1" ht="12.75" customHeight="1" x14ac:dyDescent="0.3"/>
    <row r="448" s="1" customFormat="1" ht="12.75" customHeight="1" x14ac:dyDescent="0.3"/>
    <row r="449" s="1" customFormat="1" ht="12.75" customHeight="1" x14ac:dyDescent="0.3"/>
    <row r="450" s="1" customFormat="1" ht="12.75" customHeight="1" x14ac:dyDescent="0.3"/>
    <row r="451" s="1" customFormat="1" ht="12.75" customHeight="1" x14ac:dyDescent="0.3"/>
    <row r="452" s="1" customFormat="1" ht="12.75" customHeight="1" x14ac:dyDescent="0.3"/>
    <row r="453" s="1" customFormat="1" ht="12.75" customHeight="1" x14ac:dyDescent="0.3"/>
    <row r="454" s="1" customFormat="1" ht="12.75" customHeight="1" x14ac:dyDescent="0.3"/>
    <row r="455" s="1" customFormat="1" ht="12.75" customHeight="1" x14ac:dyDescent="0.3"/>
    <row r="456" s="1" customFormat="1" ht="12.75" customHeight="1" x14ac:dyDescent="0.3"/>
    <row r="457" s="1" customFormat="1" ht="12.75" customHeight="1" x14ac:dyDescent="0.3"/>
    <row r="458" s="1" customFormat="1" ht="12.75" customHeight="1" x14ac:dyDescent="0.3"/>
    <row r="459" s="1" customFormat="1" ht="12.75" customHeight="1" x14ac:dyDescent="0.3"/>
    <row r="460" s="1" customFormat="1" ht="12.75" customHeight="1" x14ac:dyDescent="0.3"/>
    <row r="461" s="1" customFormat="1" ht="12.75" customHeight="1" x14ac:dyDescent="0.3"/>
    <row r="462" s="1" customFormat="1" ht="12.75" customHeight="1" x14ac:dyDescent="0.3"/>
    <row r="463" s="1" customFormat="1" ht="12.75" customHeight="1" x14ac:dyDescent="0.3"/>
    <row r="464" s="1" customFormat="1" ht="12.75" customHeight="1" x14ac:dyDescent="0.3"/>
    <row r="465" s="1" customFormat="1" ht="12.75" customHeight="1" x14ac:dyDescent="0.3"/>
    <row r="466" s="1" customFormat="1" ht="12.75" customHeight="1" x14ac:dyDescent="0.3"/>
    <row r="467" s="1" customFormat="1" ht="12.75" customHeight="1" x14ac:dyDescent="0.3"/>
    <row r="468" s="1" customFormat="1" ht="12.75" customHeight="1" x14ac:dyDescent="0.3"/>
    <row r="469" s="1" customFormat="1" ht="12.75" customHeight="1" x14ac:dyDescent="0.3"/>
    <row r="470" s="1" customFormat="1" ht="12.75" customHeight="1" x14ac:dyDescent="0.3"/>
    <row r="471" s="1" customFormat="1" ht="12.75" customHeight="1" x14ac:dyDescent="0.3"/>
    <row r="472" s="1" customFormat="1" ht="12.75" customHeight="1" x14ac:dyDescent="0.3"/>
    <row r="473" s="1" customFormat="1" ht="12.75" customHeight="1" x14ac:dyDescent="0.3"/>
    <row r="474" s="1" customFormat="1" ht="12.75" customHeight="1" x14ac:dyDescent="0.3"/>
    <row r="475" s="1" customFormat="1" ht="12.75" customHeight="1" x14ac:dyDescent="0.3"/>
    <row r="476" s="1" customFormat="1" ht="12.75" customHeight="1" x14ac:dyDescent="0.3"/>
    <row r="477" s="1" customFormat="1" ht="12.75" customHeight="1" x14ac:dyDescent="0.3"/>
    <row r="478" s="1" customFormat="1" ht="12.75" customHeight="1" x14ac:dyDescent="0.3"/>
    <row r="479" s="1" customFormat="1" ht="12.75" customHeight="1" x14ac:dyDescent="0.3"/>
    <row r="480" s="1" customFormat="1" ht="12.75" customHeight="1" x14ac:dyDescent="0.3"/>
    <row r="481" s="1" customFormat="1" ht="12.75" customHeight="1" x14ac:dyDescent="0.3"/>
    <row r="482" s="1" customFormat="1" ht="12.75" customHeight="1" x14ac:dyDescent="0.3"/>
    <row r="483" s="1" customFormat="1" ht="12.75" customHeight="1" x14ac:dyDescent="0.3"/>
    <row r="484" s="1" customFormat="1" ht="12.75" customHeight="1" x14ac:dyDescent="0.3"/>
    <row r="485" s="1" customFormat="1" ht="12.75" customHeight="1" x14ac:dyDescent="0.3"/>
    <row r="486" s="1" customFormat="1" ht="12.75" customHeight="1" x14ac:dyDescent="0.3"/>
    <row r="487" s="1" customFormat="1" ht="12.75" customHeight="1" x14ac:dyDescent="0.3"/>
    <row r="488" s="1" customFormat="1" ht="12.75" customHeight="1" x14ac:dyDescent="0.3"/>
    <row r="489" s="1" customFormat="1" ht="12.75" customHeight="1" x14ac:dyDescent="0.3"/>
    <row r="490" s="1" customFormat="1" ht="12.75" customHeight="1" x14ac:dyDescent="0.3"/>
    <row r="491" s="1" customFormat="1" ht="12.75" customHeight="1" x14ac:dyDescent="0.3"/>
    <row r="492" s="1" customFormat="1" ht="12.75" customHeight="1" x14ac:dyDescent="0.3"/>
    <row r="493" s="1" customFormat="1" ht="12.75" customHeight="1" x14ac:dyDescent="0.3"/>
    <row r="494" s="1" customFormat="1" ht="12.75" customHeight="1" x14ac:dyDescent="0.3"/>
    <row r="495" s="1" customFormat="1" ht="12.75" customHeight="1" x14ac:dyDescent="0.3"/>
    <row r="496" s="1" customFormat="1" ht="12.75" customHeight="1" x14ac:dyDescent="0.3"/>
    <row r="497" s="1" customFormat="1" ht="12.75" customHeight="1" x14ac:dyDescent="0.3"/>
    <row r="498" s="1" customFormat="1" ht="12.75" customHeight="1" x14ac:dyDescent="0.3"/>
    <row r="499" s="1" customFormat="1" ht="12.75" customHeight="1" x14ac:dyDescent="0.3"/>
    <row r="500" s="1" customFormat="1" ht="12.75" customHeight="1" x14ac:dyDescent="0.3"/>
    <row r="501" s="1" customFormat="1" ht="12.75" customHeight="1" x14ac:dyDescent="0.3"/>
    <row r="502" s="1" customFormat="1" ht="12.75" customHeight="1" x14ac:dyDescent="0.3"/>
    <row r="503" s="1" customFormat="1" ht="12.75" customHeight="1" x14ac:dyDescent="0.3"/>
    <row r="504" s="1" customFormat="1" ht="12.75" customHeight="1" x14ac:dyDescent="0.3"/>
    <row r="505" s="1" customFormat="1" ht="12.75" customHeight="1" x14ac:dyDescent="0.3"/>
    <row r="506" s="1" customFormat="1" ht="12.75" customHeight="1" x14ac:dyDescent="0.3"/>
    <row r="507" s="1" customFormat="1" ht="12.75" customHeight="1" x14ac:dyDescent="0.3"/>
    <row r="508" s="1" customFormat="1" ht="12.75" customHeight="1" x14ac:dyDescent="0.3"/>
    <row r="509" s="1" customFormat="1" ht="12.75" customHeight="1" x14ac:dyDescent="0.3"/>
    <row r="510" s="1" customFormat="1" ht="12.75" customHeight="1" x14ac:dyDescent="0.3"/>
    <row r="511" s="1" customFormat="1" ht="12.75" customHeight="1" x14ac:dyDescent="0.3"/>
    <row r="512" s="1" customFormat="1" ht="12.75" customHeight="1" x14ac:dyDescent="0.3"/>
    <row r="513" s="1" customFormat="1" ht="12.75" customHeight="1" x14ac:dyDescent="0.3"/>
    <row r="514" s="1" customFormat="1" ht="12.75" customHeight="1" x14ac:dyDescent="0.3"/>
    <row r="515" s="1" customFormat="1" ht="12.75" customHeight="1" x14ac:dyDescent="0.3"/>
    <row r="516" s="1" customFormat="1" ht="12.75" customHeight="1" x14ac:dyDescent="0.3"/>
    <row r="517" s="1" customFormat="1" ht="12.75" customHeight="1" x14ac:dyDescent="0.3"/>
    <row r="518" s="1" customFormat="1" ht="12.75" customHeight="1" x14ac:dyDescent="0.3"/>
    <row r="519" s="1" customFormat="1" ht="12.75" customHeight="1" x14ac:dyDescent="0.3"/>
    <row r="520" s="1" customFormat="1" ht="12.75" customHeight="1" x14ac:dyDescent="0.3"/>
    <row r="521" s="1" customFormat="1" ht="12.75" customHeight="1" x14ac:dyDescent="0.3"/>
    <row r="522" s="1" customFormat="1" ht="12.75" customHeight="1" x14ac:dyDescent="0.3"/>
    <row r="523" s="1" customFormat="1" ht="12.75" customHeight="1" x14ac:dyDescent="0.3"/>
    <row r="524" s="1" customFormat="1" ht="12.75" customHeight="1" x14ac:dyDescent="0.3"/>
    <row r="525" s="1" customFormat="1" ht="12.75" customHeight="1" x14ac:dyDescent="0.3"/>
    <row r="526" s="1" customFormat="1" ht="12.75" customHeight="1" x14ac:dyDescent="0.3"/>
    <row r="527" s="1" customFormat="1" ht="12.75" customHeight="1" x14ac:dyDescent="0.3"/>
    <row r="528" s="1" customFormat="1" ht="12.75" customHeight="1" x14ac:dyDescent="0.3"/>
    <row r="529" s="1" customFormat="1" ht="12.75" customHeight="1" x14ac:dyDescent="0.3"/>
    <row r="530" s="1" customFormat="1" ht="12.75" customHeight="1" x14ac:dyDescent="0.3"/>
    <row r="531" s="1" customFormat="1" ht="12.75" customHeight="1" x14ac:dyDescent="0.3"/>
    <row r="532" s="1" customFormat="1" ht="12.75" customHeight="1" x14ac:dyDescent="0.3"/>
    <row r="533" s="1" customFormat="1" ht="12.75" customHeight="1" x14ac:dyDescent="0.3"/>
    <row r="534" s="1" customFormat="1" ht="12.75" customHeight="1" x14ac:dyDescent="0.3"/>
    <row r="535" s="1" customFormat="1" ht="12.75" customHeight="1" x14ac:dyDescent="0.3"/>
    <row r="536" s="1" customFormat="1" ht="12.75" customHeight="1" x14ac:dyDescent="0.3"/>
    <row r="537" s="1" customFormat="1" ht="12.75" customHeight="1" x14ac:dyDescent="0.3"/>
    <row r="538" s="1" customFormat="1" ht="12.75" customHeight="1" x14ac:dyDescent="0.3"/>
    <row r="539" s="1" customFormat="1" ht="12.75" customHeight="1" x14ac:dyDescent="0.3"/>
    <row r="540" s="1" customFormat="1" ht="12.75" customHeight="1" x14ac:dyDescent="0.3"/>
    <row r="541" s="1" customFormat="1" ht="12.75" customHeight="1" x14ac:dyDescent="0.3"/>
    <row r="542" s="1" customFormat="1" ht="12.75" customHeight="1" x14ac:dyDescent="0.3"/>
    <row r="543" s="1" customFormat="1" ht="12.75" customHeight="1" x14ac:dyDescent="0.3"/>
    <row r="544" s="1" customFormat="1" ht="12.75" customHeight="1" x14ac:dyDescent="0.3"/>
    <row r="545" s="1" customFormat="1" ht="12.75" customHeight="1" x14ac:dyDescent="0.3"/>
    <row r="546" s="1" customFormat="1" ht="12.75" customHeight="1" x14ac:dyDescent="0.3"/>
    <row r="547" s="1" customFormat="1" ht="12.75" customHeight="1" x14ac:dyDescent="0.3"/>
    <row r="548" s="1" customFormat="1" ht="12.75" customHeight="1" x14ac:dyDescent="0.3"/>
    <row r="549" s="1" customFormat="1" ht="12.75" customHeight="1" x14ac:dyDescent="0.3"/>
    <row r="550" s="1" customFormat="1" ht="12.75" customHeight="1" x14ac:dyDescent="0.3"/>
    <row r="551" s="1" customFormat="1" ht="12.75" customHeight="1" x14ac:dyDescent="0.3"/>
    <row r="552" s="1" customFormat="1" ht="12.75" customHeight="1" x14ac:dyDescent="0.3"/>
    <row r="553" s="1" customFormat="1" ht="12.75" customHeight="1" x14ac:dyDescent="0.3"/>
    <row r="554" s="1" customFormat="1" ht="12.75" customHeight="1" x14ac:dyDescent="0.3"/>
    <row r="555" s="1" customFormat="1" ht="12.75" customHeight="1" x14ac:dyDescent="0.3"/>
    <row r="556" s="1" customFormat="1" ht="12.75" customHeight="1" x14ac:dyDescent="0.3"/>
    <row r="557" s="1" customFormat="1" ht="12.75" customHeight="1" x14ac:dyDescent="0.3"/>
    <row r="558" s="1" customFormat="1" ht="12.75" customHeight="1" x14ac:dyDescent="0.3"/>
    <row r="559" s="1" customFormat="1" ht="12.75" customHeight="1" x14ac:dyDescent="0.3"/>
    <row r="560" s="1" customFormat="1" ht="12.75" customHeight="1" x14ac:dyDescent="0.3"/>
    <row r="561" s="1" customFormat="1" ht="12.75" customHeight="1" x14ac:dyDescent="0.3"/>
    <row r="562" s="1" customFormat="1" ht="12.75" customHeight="1" x14ac:dyDescent="0.3"/>
    <row r="563" s="1" customFormat="1" ht="12.75" customHeight="1" x14ac:dyDescent="0.3"/>
    <row r="564" s="1" customFormat="1" ht="12.75" customHeight="1" x14ac:dyDescent="0.3"/>
    <row r="565" s="1" customFormat="1" ht="12.75" customHeight="1" x14ac:dyDescent="0.3"/>
    <row r="566" s="1" customFormat="1" ht="12.75" customHeight="1" x14ac:dyDescent="0.3"/>
    <row r="567" s="1" customFormat="1" ht="12.75" customHeight="1" x14ac:dyDescent="0.3"/>
    <row r="568" s="1" customFormat="1" ht="12.75" customHeight="1" x14ac:dyDescent="0.3"/>
    <row r="569" s="1" customFormat="1" ht="12.75" customHeight="1" x14ac:dyDescent="0.3"/>
    <row r="570" s="1" customFormat="1" ht="12.75" customHeight="1" x14ac:dyDescent="0.3"/>
    <row r="571" s="1" customFormat="1" ht="12.75" customHeight="1" x14ac:dyDescent="0.3"/>
    <row r="572" s="1" customFormat="1" ht="12.75" customHeight="1" x14ac:dyDescent="0.3"/>
    <row r="573" s="1" customFormat="1" ht="12.75" customHeight="1" x14ac:dyDescent="0.3"/>
    <row r="574" s="1" customFormat="1" ht="12.75" customHeight="1" x14ac:dyDescent="0.3"/>
    <row r="575" s="1" customFormat="1" ht="12.75" customHeight="1" x14ac:dyDescent="0.3"/>
    <row r="576" s="1" customFormat="1" ht="12.75" customHeight="1" x14ac:dyDescent="0.3"/>
    <row r="577" s="1" customFormat="1" ht="12.75" customHeight="1" x14ac:dyDescent="0.3"/>
    <row r="578" s="1" customFormat="1" ht="12.75" customHeight="1" x14ac:dyDescent="0.3"/>
    <row r="579" s="1" customFormat="1" ht="12.75" customHeight="1" x14ac:dyDescent="0.3"/>
    <row r="580" s="1" customFormat="1" ht="12.75" customHeight="1" x14ac:dyDescent="0.3"/>
    <row r="581" s="1" customFormat="1" ht="12.75" customHeight="1" x14ac:dyDescent="0.3"/>
    <row r="582" s="1" customFormat="1" ht="12.75" customHeight="1" x14ac:dyDescent="0.3"/>
    <row r="583" s="1" customFormat="1" ht="12.75" customHeight="1" x14ac:dyDescent="0.3"/>
    <row r="584" s="1" customFormat="1" ht="12.75" customHeight="1" x14ac:dyDescent="0.3"/>
    <row r="585" s="1" customFormat="1" ht="12.75" customHeight="1" x14ac:dyDescent="0.3"/>
    <row r="586" s="1" customFormat="1" ht="12.75" customHeight="1" x14ac:dyDescent="0.3"/>
    <row r="587" s="1" customFormat="1" ht="12.75" customHeight="1" x14ac:dyDescent="0.3"/>
    <row r="588" s="1" customFormat="1" ht="12.75" customHeight="1" x14ac:dyDescent="0.3"/>
    <row r="589" s="1" customFormat="1" ht="12.75" customHeight="1" x14ac:dyDescent="0.3"/>
    <row r="590" s="1" customFormat="1" ht="12.75" customHeight="1" x14ac:dyDescent="0.3"/>
    <row r="591" s="1" customFormat="1" ht="12.75" customHeight="1" x14ac:dyDescent="0.3"/>
    <row r="592" s="1" customFormat="1" ht="12.75" customHeight="1" x14ac:dyDescent="0.3"/>
    <row r="593" s="1" customFormat="1" ht="12.75" customHeight="1" x14ac:dyDescent="0.3"/>
    <row r="594" s="1" customFormat="1" ht="12.75" customHeight="1" x14ac:dyDescent="0.3"/>
    <row r="595" s="1" customFormat="1" ht="12.75" customHeight="1" x14ac:dyDescent="0.3"/>
    <row r="596" s="1" customFormat="1" ht="12.75" customHeight="1" x14ac:dyDescent="0.3"/>
    <row r="597" s="1" customFormat="1" ht="12.75" customHeight="1" x14ac:dyDescent="0.3"/>
    <row r="598" s="1" customFormat="1" ht="12.75" customHeight="1" x14ac:dyDescent="0.3"/>
    <row r="599" s="1" customFormat="1" ht="12.75" customHeight="1" x14ac:dyDescent="0.3"/>
    <row r="600" s="1" customFormat="1" ht="12.75" customHeight="1" x14ac:dyDescent="0.3"/>
    <row r="601" s="1" customFormat="1" ht="12.75" customHeight="1" x14ac:dyDescent="0.3"/>
    <row r="602" s="1" customFormat="1" ht="12.75" customHeight="1" x14ac:dyDescent="0.3"/>
    <row r="603" s="1" customFormat="1" ht="12.75" customHeight="1" x14ac:dyDescent="0.3"/>
    <row r="604" s="1" customFormat="1" ht="12.75" customHeight="1" x14ac:dyDescent="0.3"/>
    <row r="605" s="1" customFormat="1" ht="12.75" customHeight="1" x14ac:dyDescent="0.3"/>
    <row r="606" s="1" customFormat="1" ht="12.75" customHeight="1" x14ac:dyDescent="0.3"/>
    <row r="607" s="1" customFormat="1" ht="12.75" customHeight="1" x14ac:dyDescent="0.3"/>
    <row r="608" s="1" customFormat="1" ht="12.75" customHeight="1" x14ac:dyDescent="0.3"/>
    <row r="609" s="1" customFormat="1" ht="12.75" customHeight="1" x14ac:dyDescent="0.3"/>
    <row r="610" s="1" customFormat="1" ht="12.75" customHeight="1" x14ac:dyDescent="0.3"/>
    <row r="611" s="1" customFormat="1" ht="12.75" customHeight="1" x14ac:dyDescent="0.3"/>
    <row r="612" s="1" customFormat="1" ht="12.75" customHeight="1" x14ac:dyDescent="0.3"/>
    <row r="613" s="1" customFormat="1" ht="12.75" customHeight="1" x14ac:dyDescent="0.3"/>
    <row r="614" s="1" customFormat="1" ht="12.75" customHeight="1" x14ac:dyDescent="0.3"/>
    <row r="615" s="1" customFormat="1" ht="12.75" customHeight="1" x14ac:dyDescent="0.3"/>
    <row r="616" s="1" customFormat="1" ht="12.75" customHeight="1" x14ac:dyDescent="0.3"/>
    <row r="617" s="1" customFormat="1" ht="12.75" customHeight="1" x14ac:dyDescent="0.3"/>
    <row r="618" s="1" customFormat="1" ht="12.75" customHeight="1" x14ac:dyDescent="0.3"/>
    <row r="619" s="1" customFormat="1" ht="12.75" customHeight="1" x14ac:dyDescent="0.3"/>
    <row r="620" s="1" customFormat="1" ht="12.75" customHeight="1" x14ac:dyDescent="0.3"/>
    <row r="621" s="1" customFormat="1" ht="12.75" customHeight="1" x14ac:dyDescent="0.3"/>
    <row r="622" s="1" customFormat="1" ht="12.75" customHeight="1" x14ac:dyDescent="0.3"/>
    <row r="623" s="1" customFormat="1" ht="12.75" customHeight="1" x14ac:dyDescent="0.3"/>
    <row r="624" s="1" customFormat="1" ht="12.75" customHeight="1" x14ac:dyDescent="0.3"/>
    <row r="625" s="1" customFormat="1" ht="12.75" customHeight="1" x14ac:dyDescent="0.3"/>
    <row r="626" s="1" customFormat="1" ht="12.75" customHeight="1" x14ac:dyDescent="0.3"/>
    <row r="627" s="1" customFormat="1" ht="12.75" customHeight="1" x14ac:dyDescent="0.3"/>
    <row r="628" s="1" customFormat="1" ht="12.75" customHeight="1" x14ac:dyDescent="0.3"/>
    <row r="629" s="1" customFormat="1" ht="12.75" customHeight="1" x14ac:dyDescent="0.3"/>
    <row r="630" s="1" customFormat="1" ht="12.75" customHeight="1" x14ac:dyDescent="0.3"/>
    <row r="631" s="1" customFormat="1" ht="12.75" customHeight="1" x14ac:dyDescent="0.3"/>
    <row r="632" s="1" customFormat="1" ht="12.75" customHeight="1" x14ac:dyDescent="0.3"/>
    <row r="633" s="1" customFormat="1" ht="12.75" customHeight="1" x14ac:dyDescent="0.3"/>
    <row r="634" s="1" customFormat="1" ht="12.75" customHeight="1" x14ac:dyDescent="0.3"/>
    <row r="635" s="1" customFormat="1" ht="12.75" customHeight="1" x14ac:dyDescent="0.3"/>
    <row r="636" s="1" customFormat="1" ht="12.75" customHeight="1" x14ac:dyDescent="0.3"/>
    <row r="637" s="1" customFormat="1" ht="12.75" customHeight="1" x14ac:dyDescent="0.3"/>
    <row r="638" s="1" customFormat="1" ht="12.75" customHeight="1" x14ac:dyDescent="0.3"/>
    <row r="639" s="1" customFormat="1" ht="12.75" customHeight="1" x14ac:dyDescent="0.3"/>
    <row r="640" s="1" customFormat="1" ht="12.75" customHeight="1" x14ac:dyDescent="0.3"/>
    <row r="641" s="1" customFormat="1" ht="12.75" customHeight="1" x14ac:dyDescent="0.3"/>
    <row r="642" s="1" customFormat="1" ht="12.75" customHeight="1" x14ac:dyDescent="0.3"/>
    <row r="643" s="1" customFormat="1" ht="12.75" customHeight="1" x14ac:dyDescent="0.3"/>
    <row r="644" s="1" customFormat="1" ht="12.75" customHeight="1" x14ac:dyDescent="0.3"/>
    <row r="645" s="1" customFormat="1" ht="12.75" customHeight="1" x14ac:dyDescent="0.3"/>
    <row r="646" s="1" customFormat="1" ht="12.75" customHeight="1" x14ac:dyDescent="0.3"/>
    <row r="647" s="1" customFormat="1" ht="12.75" customHeight="1" x14ac:dyDescent="0.3"/>
    <row r="648" s="1" customFormat="1" ht="12.75" customHeight="1" x14ac:dyDescent="0.3"/>
    <row r="649" s="1" customFormat="1" ht="12.75" customHeight="1" x14ac:dyDescent="0.3"/>
    <row r="650" s="1" customFormat="1" ht="12.75" customHeight="1" x14ac:dyDescent="0.3"/>
    <row r="651" s="1" customFormat="1" ht="12.75" customHeight="1" x14ac:dyDescent="0.3"/>
    <row r="652" s="1" customFormat="1" ht="12.75" customHeight="1" x14ac:dyDescent="0.3"/>
    <row r="653" s="1" customFormat="1" ht="12.75" customHeight="1" x14ac:dyDescent="0.3"/>
    <row r="654" s="1" customFormat="1" ht="12.75" customHeight="1" x14ac:dyDescent="0.3"/>
    <row r="655" s="1" customFormat="1" ht="12.75" customHeight="1" x14ac:dyDescent="0.3"/>
    <row r="656" s="1" customFormat="1" ht="12.75" customHeight="1" x14ac:dyDescent="0.3"/>
    <row r="657" s="1" customFormat="1" ht="12.75" customHeight="1" x14ac:dyDescent="0.3"/>
    <row r="658" s="1" customFormat="1" ht="12.75" customHeight="1" x14ac:dyDescent="0.3"/>
    <row r="659" s="1" customFormat="1" ht="12.75" customHeight="1" x14ac:dyDescent="0.3"/>
    <row r="660" s="1" customFormat="1" ht="12.75" customHeight="1" x14ac:dyDescent="0.3"/>
    <row r="661" s="1" customFormat="1" ht="12.75" customHeight="1" x14ac:dyDescent="0.3"/>
    <row r="662" s="1" customFormat="1" ht="12.75" customHeight="1" x14ac:dyDescent="0.3"/>
    <row r="663" s="1" customFormat="1" ht="12.75" customHeight="1" x14ac:dyDescent="0.3"/>
    <row r="664" s="1" customFormat="1" ht="12.75" customHeight="1" x14ac:dyDescent="0.3"/>
    <row r="665" s="1" customFormat="1" ht="12.75" customHeight="1" x14ac:dyDescent="0.3"/>
    <row r="666" s="1" customFormat="1" ht="12.75" customHeight="1" x14ac:dyDescent="0.3"/>
    <row r="667" s="1" customFormat="1" ht="12.75" customHeight="1" x14ac:dyDescent="0.3"/>
    <row r="668" s="1" customFormat="1" ht="12.75" customHeight="1" x14ac:dyDescent="0.3"/>
    <row r="669" s="1" customFormat="1" ht="12.75" customHeight="1" x14ac:dyDescent="0.3"/>
    <row r="670" s="1" customFormat="1" ht="12.75" customHeight="1" x14ac:dyDescent="0.3"/>
    <row r="671" s="1" customFormat="1" ht="12.75" customHeight="1" x14ac:dyDescent="0.3"/>
    <row r="672" s="1" customFormat="1" ht="12.75" customHeight="1" x14ac:dyDescent="0.3"/>
    <row r="673" s="1" customFormat="1" ht="12.75" customHeight="1" x14ac:dyDescent="0.3"/>
    <row r="674" s="1" customFormat="1" ht="12.75" customHeight="1" x14ac:dyDescent="0.3"/>
    <row r="675" s="1" customFormat="1" ht="12.75" customHeight="1" x14ac:dyDescent="0.3"/>
    <row r="676" s="1" customFormat="1" ht="12.75" customHeight="1" x14ac:dyDescent="0.3"/>
    <row r="677" s="1" customFormat="1" ht="12.75" customHeight="1" x14ac:dyDescent="0.3"/>
    <row r="678" s="1" customFormat="1" ht="12.75" customHeight="1" x14ac:dyDescent="0.3"/>
    <row r="679" s="1" customFormat="1" ht="12.75" customHeight="1" x14ac:dyDescent="0.3"/>
    <row r="680" s="1" customFormat="1" ht="12.75" customHeight="1" x14ac:dyDescent="0.3"/>
    <row r="681" s="1" customFormat="1" ht="12.75" customHeight="1" x14ac:dyDescent="0.3"/>
    <row r="682" s="1" customFormat="1" ht="12.75" customHeight="1" x14ac:dyDescent="0.3"/>
    <row r="683" s="1" customFormat="1" ht="12.75" customHeight="1" x14ac:dyDescent="0.3"/>
    <row r="684" s="1" customFormat="1" ht="12.75" customHeight="1" x14ac:dyDescent="0.3"/>
    <row r="685" s="1" customFormat="1" ht="12.75" customHeight="1" x14ac:dyDescent="0.3"/>
    <row r="686" s="1" customFormat="1" ht="12.75" customHeight="1" x14ac:dyDescent="0.3"/>
    <row r="687" s="1" customFormat="1" ht="12.75" customHeight="1" x14ac:dyDescent="0.3"/>
    <row r="688" s="1" customFormat="1" ht="12.75" customHeight="1" x14ac:dyDescent="0.3"/>
    <row r="689" s="1" customFormat="1" ht="12.75" customHeight="1" x14ac:dyDescent="0.3"/>
    <row r="690" s="1" customFormat="1" ht="12.75" customHeight="1" x14ac:dyDescent="0.3"/>
    <row r="691" s="1" customFormat="1" ht="12.75" customHeight="1" x14ac:dyDescent="0.3"/>
    <row r="692" s="1" customFormat="1" ht="12.75" customHeight="1" x14ac:dyDescent="0.3"/>
    <row r="693" s="1" customFormat="1" ht="12.75" customHeight="1" x14ac:dyDescent="0.3"/>
    <row r="694" s="1" customFormat="1" ht="12.75" customHeight="1" x14ac:dyDescent="0.3"/>
    <row r="695" s="1" customFormat="1" ht="12.75" customHeight="1" x14ac:dyDescent="0.3"/>
    <row r="696" s="1" customFormat="1" ht="12.75" customHeight="1" x14ac:dyDescent="0.3"/>
    <row r="697" s="1" customFormat="1" ht="12.75" customHeight="1" x14ac:dyDescent="0.3"/>
    <row r="698" s="1" customFormat="1" ht="12.75" customHeight="1" x14ac:dyDescent="0.3"/>
    <row r="699" s="1" customFormat="1" ht="12.75" customHeight="1" x14ac:dyDescent="0.3"/>
    <row r="700" s="1" customFormat="1" ht="12.75" customHeight="1" x14ac:dyDescent="0.3"/>
    <row r="701" s="1" customFormat="1" ht="12.75" customHeight="1" x14ac:dyDescent="0.3"/>
    <row r="702" s="1" customFormat="1" ht="12.75" customHeight="1" x14ac:dyDescent="0.3"/>
    <row r="703" s="1" customFormat="1" ht="12.75" customHeight="1" x14ac:dyDescent="0.3"/>
    <row r="704" s="1" customFormat="1" ht="12.75" customHeight="1" x14ac:dyDescent="0.3"/>
    <row r="705" s="1" customFormat="1" ht="12.75" customHeight="1" x14ac:dyDescent="0.3"/>
    <row r="706" s="1" customFormat="1" ht="12.75" customHeight="1" x14ac:dyDescent="0.3"/>
    <row r="707" s="1" customFormat="1" ht="12.75" customHeight="1" x14ac:dyDescent="0.3"/>
    <row r="708" s="1" customFormat="1" ht="12.75" customHeight="1" x14ac:dyDescent="0.3"/>
    <row r="709" s="1" customFormat="1" ht="12.75" customHeight="1" x14ac:dyDescent="0.3"/>
    <row r="710" s="1" customFormat="1" ht="12.75" customHeight="1" x14ac:dyDescent="0.3"/>
    <row r="711" s="1" customFormat="1" ht="12.75" customHeight="1" x14ac:dyDescent="0.3"/>
    <row r="712" s="1" customFormat="1" ht="12.75" customHeight="1" x14ac:dyDescent="0.3"/>
    <row r="713" s="1" customFormat="1" ht="12.75" customHeight="1" x14ac:dyDescent="0.3"/>
    <row r="714" s="1" customFormat="1" ht="12.75" customHeight="1" x14ac:dyDescent="0.3"/>
    <row r="715" s="1" customFormat="1" ht="12.75" customHeight="1" x14ac:dyDescent="0.3"/>
    <row r="716" s="1" customFormat="1" ht="12.75" customHeight="1" x14ac:dyDescent="0.3"/>
    <row r="717" s="1" customFormat="1" ht="12.75" customHeight="1" x14ac:dyDescent="0.3"/>
    <row r="718" s="1" customFormat="1" ht="12.75" customHeight="1" x14ac:dyDescent="0.3"/>
    <row r="719" s="1" customFormat="1" ht="12.75" customHeight="1" x14ac:dyDescent="0.3"/>
    <row r="720" s="1" customFormat="1" ht="12.75" customHeight="1" x14ac:dyDescent="0.3"/>
    <row r="721" s="1" customFormat="1" ht="12.75" customHeight="1" x14ac:dyDescent="0.3"/>
    <row r="722" s="1" customFormat="1" ht="12.75" customHeight="1" x14ac:dyDescent="0.3"/>
    <row r="723" s="1" customFormat="1" ht="12.75" customHeight="1" x14ac:dyDescent="0.3"/>
    <row r="724" s="1" customFormat="1" ht="12.75" customHeight="1" x14ac:dyDescent="0.3"/>
    <row r="725" s="1" customFormat="1" ht="12.75" customHeight="1" x14ac:dyDescent="0.3"/>
    <row r="726" s="1" customFormat="1" ht="12.75" customHeight="1" x14ac:dyDescent="0.3"/>
    <row r="727" s="1" customFormat="1" ht="12.75" customHeight="1" x14ac:dyDescent="0.3"/>
    <row r="728" s="1" customFormat="1" ht="12.75" customHeight="1" x14ac:dyDescent="0.3"/>
    <row r="729" s="1" customFormat="1" ht="12.75" customHeight="1" x14ac:dyDescent="0.3"/>
    <row r="730" s="1" customFormat="1" ht="12.75" customHeight="1" x14ac:dyDescent="0.3"/>
    <row r="731" s="1" customFormat="1" ht="12.75" customHeight="1" x14ac:dyDescent="0.3"/>
    <row r="732" s="1" customFormat="1" ht="12.75" customHeight="1" x14ac:dyDescent="0.3"/>
    <row r="733" s="1" customFormat="1" ht="12.75" customHeight="1" x14ac:dyDescent="0.3"/>
    <row r="734" s="1" customFormat="1" ht="12.75" customHeight="1" x14ac:dyDescent="0.3"/>
    <row r="735" s="1" customFormat="1" ht="12.75" customHeight="1" x14ac:dyDescent="0.3"/>
    <row r="736" s="1" customFormat="1" ht="12.75" customHeight="1" x14ac:dyDescent="0.3"/>
    <row r="737" s="1" customFormat="1" ht="12.75" customHeight="1" x14ac:dyDescent="0.3"/>
    <row r="738" s="1" customFormat="1" ht="12.75" customHeight="1" x14ac:dyDescent="0.3"/>
    <row r="739" s="1" customFormat="1" ht="12.75" customHeight="1" x14ac:dyDescent="0.3"/>
    <row r="740" s="1" customFormat="1" ht="12.75" customHeight="1" x14ac:dyDescent="0.3"/>
    <row r="741" s="1" customFormat="1" ht="12.75" customHeight="1" x14ac:dyDescent="0.3"/>
    <row r="742" s="1" customFormat="1" ht="12.75" customHeight="1" x14ac:dyDescent="0.3"/>
    <row r="743" s="1" customFormat="1" ht="12.75" customHeight="1" x14ac:dyDescent="0.3"/>
    <row r="744" s="1" customFormat="1" ht="12.75" customHeight="1" x14ac:dyDescent="0.3"/>
    <row r="745" s="1" customFormat="1" ht="12.75" customHeight="1" x14ac:dyDescent="0.3"/>
    <row r="746" s="1" customFormat="1" ht="12.75" customHeight="1" x14ac:dyDescent="0.3"/>
    <row r="747" s="1" customFormat="1" ht="12.75" customHeight="1" x14ac:dyDescent="0.3"/>
    <row r="748" s="1" customFormat="1" ht="12.75" customHeight="1" x14ac:dyDescent="0.3"/>
    <row r="749" s="1" customFormat="1" ht="12.75" customHeight="1" x14ac:dyDescent="0.3"/>
    <row r="750" s="1" customFormat="1" ht="12.75" customHeight="1" x14ac:dyDescent="0.3"/>
    <row r="751" s="1" customFormat="1" ht="12.75" customHeight="1" x14ac:dyDescent="0.3"/>
    <row r="752" s="1" customFormat="1" ht="12.75" customHeight="1" x14ac:dyDescent="0.3"/>
    <row r="753" s="1" customFormat="1" ht="12.75" customHeight="1" x14ac:dyDescent="0.3"/>
    <row r="754" s="1" customFormat="1" ht="12.75" customHeight="1" x14ac:dyDescent="0.3"/>
    <row r="755" s="1" customFormat="1" ht="12.75" customHeight="1" x14ac:dyDescent="0.3"/>
    <row r="756" s="1" customFormat="1" ht="12.75" customHeight="1" x14ac:dyDescent="0.3"/>
    <row r="757" s="1" customFormat="1" ht="12.75" customHeight="1" x14ac:dyDescent="0.3"/>
    <row r="758" s="1" customFormat="1" ht="12.75" customHeight="1" x14ac:dyDescent="0.3"/>
    <row r="759" s="1" customFormat="1" ht="12.75" customHeight="1" x14ac:dyDescent="0.3"/>
    <row r="760" s="1" customFormat="1" ht="12.75" customHeight="1" x14ac:dyDescent="0.3"/>
    <row r="761" s="1" customFormat="1" ht="12.75" customHeight="1" x14ac:dyDescent="0.3"/>
    <row r="762" s="1" customFormat="1" ht="12.75" customHeight="1" x14ac:dyDescent="0.3"/>
    <row r="763" s="1" customFormat="1" ht="12.75" customHeight="1" x14ac:dyDescent="0.3"/>
    <row r="764" s="1" customFormat="1" ht="12.75" customHeight="1" x14ac:dyDescent="0.3"/>
    <row r="765" s="1" customFormat="1" ht="12.75" customHeight="1" x14ac:dyDescent="0.3"/>
    <row r="766" s="1" customFormat="1" ht="12.75" customHeight="1" x14ac:dyDescent="0.3"/>
    <row r="767" s="1" customFormat="1" ht="12.75" customHeight="1" x14ac:dyDescent="0.3"/>
    <row r="768" s="1" customFormat="1" ht="12.75" customHeight="1" x14ac:dyDescent="0.3"/>
    <row r="769" s="1" customFormat="1" ht="12.75" customHeight="1" x14ac:dyDescent="0.3"/>
    <row r="770" s="1" customFormat="1" ht="12.75" customHeight="1" x14ac:dyDescent="0.3"/>
    <row r="771" s="1" customFormat="1" ht="12.75" customHeight="1" x14ac:dyDescent="0.3"/>
    <row r="772" s="1" customFormat="1" ht="12.75" customHeight="1" x14ac:dyDescent="0.3"/>
    <row r="773" s="1" customFormat="1" ht="12.75" customHeight="1" x14ac:dyDescent="0.3"/>
    <row r="774" s="1" customFormat="1" ht="12.75" customHeight="1" x14ac:dyDescent="0.3"/>
    <row r="775" s="1" customFormat="1" ht="12.75" customHeight="1" x14ac:dyDescent="0.3"/>
    <row r="776" s="1" customFormat="1" ht="12.75" customHeight="1" x14ac:dyDescent="0.3"/>
    <row r="777" s="1" customFormat="1" ht="12.75" customHeight="1" x14ac:dyDescent="0.3"/>
    <row r="778" s="1" customFormat="1" ht="12.75" customHeight="1" x14ac:dyDescent="0.3"/>
    <row r="779" s="1" customFormat="1" ht="12.75" customHeight="1" x14ac:dyDescent="0.3"/>
    <row r="780" s="1" customFormat="1" ht="12.75" customHeight="1" x14ac:dyDescent="0.3"/>
    <row r="781" s="1" customFormat="1" ht="12.75" customHeight="1" x14ac:dyDescent="0.3"/>
    <row r="782" s="1" customFormat="1" ht="12.75" customHeight="1" x14ac:dyDescent="0.3"/>
    <row r="783" s="1" customFormat="1" ht="12.75" customHeight="1" x14ac:dyDescent="0.3"/>
    <row r="784" s="1" customFormat="1" ht="12.75" customHeight="1" x14ac:dyDescent="0.3"/>
    <row r="785" s="1" customFormat="1" ht="12.75" customHeight="1" x14ac:dyDescent="0.3"/>
    <row r="786" s="1" customFormat="1" ht="12.75" customHeight="1" x14ac:dyDescent="0.3"/>
    <row r="787" s="1" customFormat="1" ht="12.75" customHeight="1" x14ac:dyDescent="0.3"/>
    <row r="788" s="1" customFormat="1" ht="12.75" customHeight="1" x14ac:dyDescent="0.3"/>
    <row r="789" s="1" customFormat="1" ht="12.75" customHeight="1" x14ac:dyDescent="0.3"/>
    <row r="790" s="1" customFormat="1" ht="12.75" customHeight="1" x14ac:dyDescent="0.3"/>
    <row r="791" s="1" customFormat="1" ht="12.75" customHeight="1" x14ac:dyDescent="0.3"/>
    <row r="792" s="1" customFormat="1" ht="12.75" customHeight="1" x14ac:dyDescent="0.3"/>
    <row r="793" s="1" customFormat="1" ht="12.75" customHeight="1" x14ac:dyDescent="0.3"/>
    <row r="794" s="1" customFormat="1" ht="12.75" customHeight="1" x14ac:dyDescent="0.3"/>
    <row r="795" s="1" customFormat="1" ht="12.75" customHeight="1" x14ac:dyDescent="0.3"/>
    <row r="796" s="1" customFormat="1" ht="12.75" customHeight="1" x14ac:dyDescent="0.3"/>
    <row r="797" s="1" customFormat="1" ht="12.75" customHeight="1" x14ac:dyDescent="0.3"/>
    <row r="798" s="1" customFormat="1" ht="12.75" customHeight="1" x14ac:dyDescent="0.3"/>
    <row r="799" s="1" customFormat="1" ht="12.75" customHeight="1" x14ac:dyDescent="0.3"/>
    <row r="800" s="1" customFormat="1" ht="12.75" customHeight="1" x14ac:dyDescent="0.3"/>
    <row r="801" s="1" customFormat="1" ht="12.75" customHeight="1" x14ac:dyDescent="0.3"/>
    <row r="802" s="1" customFormat="1" ht="12.75" customHeight="1" x14ac:dyDescent="0.3"/>
    <row r="803" s="1" customFormat="1" ht="12.75" customHeight="1" x14ac:dyDescent="0.3"/>
    <row r="804" s="1" customFormat="1" ht="12.75" customHeight="1" x14ac:dyDescent="0.3"/>
    <row r="805" s="1" customFormat="1" ht="12.75" customHeight="1" x14ac:dyDescent="0.3"/>
    <row r="806" s="1" customFormat="1" ht="12.75" customHeight="1" x14ac:dyDescent="0.3"/>
    <row r="807" s="1" customFormat="1" ht="12.75" customHeight="1" x14ac:dyDescent="0.3"/>
    <row r="808" s="1" customFormat="1" ht="12.75" customHeight="1" x14ac:dyDescent="0.3"/>
    <row r="809" s="1" customFormat="1" ht="12.75" customHeight="1" x14ac:dyDescent="0.3"/>
    <row r="810" s="1" customFormat="1" ht="12.75" customHeight="1" x14ac:dyDescent="0.3"/>
    <row r="811" s="1" customFormat="1" ht="12.75" customHeight="1" x14ac:dyDescent="0.3"/>
    <row r="812" s="1" customFormat="1" ht="12.75" customHeight="1" x14ac:dyDescent="0.3"/>
    <row r="813" s="1" customFormat="1" ht="12.75" customHeight="1" x14ac:dyDescent="0.3"/>
    <row r="814" s="1" customFormat="1" ht="12.75" customHeight="1" x14ac:dyDescent="0.3"/>
    <row r="815" s="1" customFormat="1" ht="12.75" customHeight="1" x14ac:dyDescent="0.3"/>
    <row r="816" s="1" customFormat="1" ht="12.75" customHeight="1" x14ac:dyDescent="0.3"/>
    <row r="817" s="1" customFormat="1" ht="12.75" customHeight="1" x14ac:dyDescent="0.3"/>
    <row r="818" s="1" customFormat="1" ht="12.75" customHeight="1" x14ac:dyDescent="0.3"/>
    <row r="819" s="1" customFormat="1" ht="12.75" customHeight="1" x14ac:dyDescent="0.3"/>
    <row r="820" s="1" customFormat="1" ht="12.75" customHeight="1" x14ac:dyDescent="0.3"/>
    <row r="821" s="1" customFormat="1" ht="12.75" customHeight="1" x14ac:dyDescent="0.3"/>
    <row r="822" s="1" customFormat="1" ht="12.75" customHeight="1" x14ac:dyDescent="0.3"/>
    <row r="823" s="1" customFormat="1" ht="12.75" customHeight="1" x14ac:dyDescent="0.3"/>
    <row r="824" s="1" customFormat="1" ht="12.75" customHeight="1" x14ac:dyDescent="0.3"/>
    <row r="825" s="1" customFormat="1" ht="12.75" customHeight="1" x14ac:dyDescent="0.3"/>
    <row r="826" s="1" customFormat="1" ht="12.75" customHeight="1" x14ac:dyDescent="0.3"/>
    <row r="827" s="1" customFormat="1" ht="12.75" customHeight="1" x14ac:dyDescent="0.3"/>
    <row r="828" s="1" customFormat="1" ht="12.75" customHeight="1" x14ac:dyDescent="0.3"/>
    <row r="829" s="1" customFormat="1" ht="12.75" customHeight="1" x14ac:dyDescent="0.3"/>
    <row r="830" s="1" customFormat="1" ht="12.75" customHeight="1" x14ac:dyDescent="0.3"/>
    <row r="831" s="1" customFormat="1" ht="12.75" customHeight="1" x14ac:dyDescent="0.3"/>
    <row r="832" s="1" customFormat="1" ht="12.75" customHeight="1" x14ac:dyDescent="0.3"/>
    <row r="833" s="1" customFormat="1" ht="12.75" customHeight="1" x14ac:dyDescent="0.3"/>
    <row r="834" s="1" customFormat="1" ht="12.75" customHeight="1" x14ac:dyDescent="0.3"/>
    <row r="835" s="1" customFormat="1" ht="12.75" customHeight="1" x14ac:dyDescent="0.3"/>
    <row r="836" s="1" customFormat="1" ht="12.75" customHeight="1" x14ac:dyDescent="0.3"/>
    <row r="837" s="1" customFormat="1" ht="12.75" customHeight="1" x14ac:dyDescent="0.3"/>
    <row r="838" s="1" customFormat="1" ht="12.75" customHeight="1" x14ac:dyDescent="0.3"/>
    <row r="839" s="1" customFormat="1" ht="12.75" customHeight="1" x14ac:dyDescent="0.3"/>
    <row r="840" s="1" customFormat="1" ht="12.75" customHeight="1" x14ac:dyDescent="0.3"/>
    <row r="841" s="1" customFormat="1" ht="12.75" customHeight="1" x14ac:dyDescent="0.3"/>
    <row r="842" s="1" customFormat="1" ht="12.75" customHeight="1" x14ac:dyDescent="0.3"/>
    <row r="843" s="1" customFormat="1" ht="12.75" customHeight="1" x14ac:dyDescent="0.3"/>
    <row r="844" s="1" customFormat="1" ht="12.75" customHeight="1" x14ac:dyDescent="0.3"/>
    <row r="845" s="1" customFormat="1" ht="12.75" customHeight="1" x14ac:dyDescent="0.3"/>
    <row r="846" s="1" customFormat="1" ht="12.75" customHeight="1" x14ac:dyDescent="0.3"/>
    <row r="847" s="1" customFormat="1" ht="12.75" customHeight="1" x14ac:dyDescent="0.3"/>
    <row r="848" s="1" customFormat="1" ht="12.75" customHeight="1" x14ac:dyDescent="0.3"/>
    <row r="849" s="1" customFormat="1" ht="12.75" customHeight="1" x14ac:dyDescent="0.3"/>
    <row r="850" s="1" customFormat="1" ht="12.75" customHeight="1" x14ac:dyDescent="0.3"/>
    <row r="851" s="1" customFormat="1" ht="12.75" customHeight="1" x14ac:dyDescent="0.3"/>
    <row r="852" s="1" customFormat="1" ht="12.75" customHeight="1" x14ac:dyDescent="0.3"/>
    <row r="853" s="1" customFormat="1" ht="12.75" customHeight="1" x14ac:dyDescent="0.3"/>
    <row r="854" s="1" customFormat="1" ht="12.75" customHeight="1" x14ac:dyDescent="0.3"/>
    <row r="855" s="1" customFormat="1" ht="12.75" customHeight="1" x14ac:dyDescent="0.3"/>
    <row r="856" s="1" customFormat="1" ht="12.75" customHeight="1" x14ac:dyDescent="0.3"/>
    <row r="857" s="1" customFormat="1" ht="12.75" customHeight="1" x14ac:dyDescent="0.3"/>
    <row r="858" s="1" customFormat="1" ht="12.75" customHeight="1" x14ac:dyDescent="0.3"/>
    <row r="859" s="1" customFormat="1" ht="12.75" customHeight="1" x14ac:dyDescent="0.3"/>
    <row r="860" s="1" customFormat="1" ht="12.75" customHeight="1" x14ac:dyDescent="0.3"/>
    <row r="861" s="1" customFormat="1" ht="12.75" customHeight="1" x14ac:dyDescent="0.3"/>
    <row r="862" s="1" customFormat="1" ht="12.75" customHeight="1" x14ac:dyDescent="0.3"/>
    <row r="863" s="1" customFormat="1" ht="12.75" customHeight="1" x14ac:dyDescent="0.3"/>
    <row r="864" s="1" customFormat="1" ht="12.75" customHeight="1" x14ac:dyDescent="0.3"/>
    <row r="865" s="1" customFormat="1" ht="12.75" customHeight="1" x14ac:dyDescent="0.3"/>
    <row r="866" s="1" customFormat="1" ht="12.75" customHeight="1" x14ac:dyDescent="0.3"/>
    <row r="867" s="1" customFormat="1" ht="12.75" customHeight="1" x14ac:dyDescent="0.3"/>
    <row r="868" s="1" customFormat="1" ht="12.75" customHeight="1" x14ac:dyDescent="0.3"/>
    <row r="869" s="1" customFormat="1" ht="12.75" customHeight="1" x14ac:dyDescent="0.3"/>
    <row r="870" s="1" customFormat="1" ht="12.75" customHeight="1" x14ac:dyDescent="0.3"/>
    <row r="871" s="1" customFormat="1" ht="12.75" customHeight="1" x14ac:dyDescent="0.3"/>
    <row r="872" s="1" customFormat="1" ht="12.75" customHeight="1" x14ac:dyDescent="0.3"/>
    <row r="873" s="1" customFormat="1" ht="12.75" customHeight="1" x14ac:dyDescent="0.3"/>
    <row r="874" s="1" customFormat="1" ht="12.75" customHeight="1" x14ac:dyDescent="0.3"/>
    <row r="875" s="1" customFormat="1" ht="12.75" customHeight="1" x14ac:dyDescent="0.3"/>
    <row r="876" s="1" customFormat="1" ht="12.75" customHeight="1" x14ac:dyDescent="0.3"/>
    <row r="877" s="1" customFormat="1" ht="12.75" customHeight="1" x14ac:dyDescent="0.3"/>
    <row r="878" s="1" customFormat="1" ht="12.75" customHeight="1" x14ac:dyDescent="0.3"/>
    <row r="879" s="1" customFormat="1" ht="12.75" customHeight="1" x14ac:dyDescent="0.3"/>
    <row r="880" s="1" customFormat="1" ht="12.75" customHeight="1" x14ac:dyDescent="0.3"/>
    <row r="881" s="1" customFormat="1" ht="12.75" customHeight="1" x14ac:dyDescent="0.3"/>
    <row r="882" s="1" customFormat="1" ht="12.75" customHeight="1" x14ac:dyDescent="0.3"/>
    <row r="883" s="1" customFormat="1" ht="12.75" customHeight="1" x14ac:dyDescent="0.3"/>
    <row r="884" s="1" customFormat="1" ht="12.75" customHeight="1" x14ac:dyDescent="0.3"/>
    <row r="885" s="1" customFormat="1" ht="12.75" customHeight="1" x14ac:dyDescent="0.3"/>
    <row r="886" s="1" customFormat="1" ht="12.75" customHeight="1" x14ac:dyDescent="0.3"/>
    <row r="887" s="1" customFormat="1" ht="12.75" customHeight="1" x14ac:dyDescent="0.3"/>
    <row r="888" s="1" customFormat="1" ht="12.75" customHeight="1" x14ac:dyDescent="0.3"/>
    <row r="889" s="1" customFormat="1" ht="12.75" customHeight="1" x14ac:dyDescent="0.3"/>
    <row r="890" s="1" customFormat="1" ht="12.75" customHeight="1" x14ac:dyDescent="0.3"/>
    <row r="891" s="1" customFormat="1" ht="12.75" customHeight="1" x14ac:dyDescent="0.3"/>
    <row r="892" s="1" customFormat="1" ht="12.75" customHeight="1" x14ac:dyDescent="0.3"/>
    <row r="893" s="1" customFormat="1" ht="12.75" customHeight="1" x14ac:dyDescent="0.3"/>
    <row r="894" s="1" customFormat="1" ht="12.75" customHeight="1" x14ac:dyDescent="0.3"/>
    <row r="895" s="1" customFormat="1" ht="12.75" customHeight="1" x14ac:dyDescent="0.3"/>
    <row r="896" s="1" customFormat="1" ht="12.75" customHeight="1" x14ac:dyDescent="0.3"/>
    <row r="897" s="1" customFormat="1" ht="12.75" customHeight="1" x14ac:dyDescent="0.3"/>
    <row r="898" s="1" customFormat="1" ht="12.75" customHeight="1" x14ac:dyDescent="0.3"/>
    <row r="899" s="1" customFormat="1" ht="12.75" customHeight="1" x14ac:dyDescent="0.3"/>
    <row r="900" s="1" customFormat="1" ht="12.75" customHeight="1" x14ac:dyDescent="0.3"/>
    <row r="901" s="1" customFormat="1" ht="12.75" customHeight="1" x14ac:dyDescent="0.3"/>
    <row r="902" s="1" customFormat="1" ht="12.75" customHeight="1" x14ac:dyDescent="0.3"/>
    <row r="903" s="1" customFormat="1" ht="12.75" customHeight="1" x14ac:dyDescent="0.3"/>
    <row r="904" s="1" customFormat="1" ht="12.75" customHeight="1" x14ac:dyDescent="0.3"/>
    <row r="905" s="1" customFormat="1" ht="12.75" customHeight="1" x14ac:dyDescent="0.3"/>
    <row r="906" s="1" customFormat="1" ht="12.75" customHeight="1" x14ac:dyDescent="0.3"/>
    <row r="907" s="1" customFormat="1" ht="12.75" customHeight="1" x14ac:dyDescent="0.3"/>
    <row r="908" s="1" customFormat="1" ht="12.75" customHeight="1" x14ac:dyDescent="0.3"/>
    <row r="909" s="1" customFormat="1" ht="12.75" customHeight="1" x14ac:dyDescent="0.3"/>
    <row r="910" s="1" customFormat="1" ht="12.75" customHeight="1" x14ac:dyDescent="0.3"/>
    <row r="911" s="1" customFormat="1" ht="12.75" customHeight="1" x14ac:dyDescent="0.3"/>
    <row r="912" s="1" customFormat="1" ht="12.75" customHeight="1" x14ac:dyDescent="0.3"/>
    <row r="913" s="1" customFormat="1" ht="12.75" customHeight="1" x14ac:dyDescent="0.3"/>
    <row r="914" s="1" customFormat="1" ht="12.75" customHeight="1" x14ac:dyDescent="0.3"/>
    <row r="915" s="1" customFormat="1" ht="12.75" customHeight="1" x14ac:dyDescent="0.3"/>
    <row r="916" s="1" customFormat="1" ht="12.75" customHeight="1" x14ac:dyDescent="0.3"/>
    <row r="917" s="1" customFormat="1" ht="12.75" customHeight="1" x14ac:dyDescent="0.3"/>
    <row r="918" s="1" customFormat="1" ht="12.75" customHeight="1" x14ac:dyDescent="0.3"/>
    <row r="919" s="1" customFormat="1" ht="12.75" customHeight="1" x14ac:dyDescent="0.3"/>
    <row r="920" s="1" customFormat="1" ht="12.75" customHeight="1" x14ac:dyDescent="0.3"/>
    <row r="921" s="1" customFormat="1" ht="12.75" customHeight="1" x14ac:dyDescent="0.3"/>
    <row r="922" s="1" customFormat="1" ht="12.75" customHeight="1" x14ac:dyDescent="0.3"/>
    <row r="923" s="1" customFormat="1" ht="12.75" customHeight="1" x14ac:dyDescent="0.3"/>
    <row r="924" s="1" customFormat="1" ht="12.75" customHeight="1" x14ac:dyDescent="0.3"/>
    <row r="925" s="1" customFormat="1" ht="12.75" customHeight="1" x14ac:dyDescent="0.3"/>
    <row r="926" s="1" customFormat="1" ht="12.75" customHeight="1" x14ac:dyDescent="0.3"/>
    <row r="927" s="1" customFormat="1" ht="12.75" customHeight="1" x14ac:dyDescent="0.3"/>
    <row r="928" s="1" customFormat="1" ht="12.75" customHeight="1" x14ac:dyDescent="0.3"/>
    <row r="929" s="1" customFormat="1" ht="12.75" customHeight="1" x14ac:dyDescent="0.3"/>
    <row r="930" s="1" customFormat="1" ht="12.75" customHeight="1" x14ac:dyDescent="0.3"/>
    <row r="931" s="1" customFormat="1" ht="12.75" customHeight="1" x14ac:dyDescent="0.3"/>
    <row r="932" s="1" customFormat="1" ht="12.75" customHeight="1" x14ac:dyDescent="0.3"/>
    <row r="933" s="1" customFormat="1" ht="12.75" customHeight="1" x14ac:dyDescent="0.3"/>
    <row r="934" s="1" customFormat="1" ht="12.75" customHeight="1" x14ac:dyDescent="0.3"/>
    <row r="935" s="1" customFormat="1" ht="12.75" customHeight="1" x14ac:dyDescent="0.3"/>
    <row r="936" s="1" customFormat="1" ht="12.75" customHeight="1" x14ac:dyDescent="0.3"/>
    <row r="937" s="1" customFormat="1" ht="12.75" customHeight="1" x14ac:dyDescent="0.3"/>
    <row r="938" s="1" customFormat="1" ht="12.75" customHeight="1" x14ac:dyDescent="0.3"/>
    <row r="939" s="1" customFormat="1" ht="12.75" customHeight="1" x14ac:dyDescent="0.3"/>
    <row r="940" s="1" customFormat="1" ht="12.75" customHeight="1" x14ac:dyDescent="0.3"/>
    <row r="941" s="1" customFormat="1" ht="12.75" customHeight="1" x14ac:dyDescent="0.3"/>
    <row r="942" s="1" customFormat="1" ht="12.75" customHeight="1" x14ac:dyDescent="0.3"/>
    <row r="943" s="1" customFormat="1" ht="12.75" customHeight="1" x14ac:dyDescent="0.3"/>
    <row r="944" s="1" customFormat="1" ht="12.75" customHeight="1" x14ac:dyDescent="0.3"/>
    <row r="945" s="1" customFormat="1" ht="12.75" customHeight="1" x14ac:dyDescent="0.3"/>
    <row r="946" s="1" customFormat="1" ht="12.75" customHeight="1" x14ac:dyDescent="0.3"/>
    <row r="947" s="1" customFormat="1" ht="12.75" customHeight="1" x14ac:dyDescent="0.3"/>
    <row r="948" s="1" customFormat="1" ht="12.75" customHeight="1" x14ac:dyDescent="0.3"/>
    <row r="949" s="1" customFormat="1" ht="12.75" customHeight="1" x14ac:dyDescent="0.3"/>
    <row r="950" s="1" customFormat="1" ht="12.75" customHeight="1" x14ac:dyDescent="0.3"/>
    <row r="951" s="1" customFormat="1" ht="12.75" customHeight="1" x14ac:dyDescent="0.3"/>
    <row r="952" s="1" customFormat="1" ht="12.75" customHeight="1" x14ac:dyDescent="0.3"/>
    <row r="953" s="1" customFormat="1" ht="12.75" customHeight="1" x14ac:dyDescent="0.3"/>
    <row r="954" s="1" customFormat="1" ht="12.75" customHeight="1" x14ac:dyDescent="0.3"/>
    <row r="955" s="1" customFormat="1" ht="12.75" customHeight="1" x14ac:dyDescent="0.3"/>
    <row r="956" s="1" customFormat="1" ht="12.75" customHeight="1" x14ac:dyDescent="0.3"/>
    <row r="957" s="1" customFormat="1" ht="12.75" customHeight="1" x14ac:dyDescent="0.3"/>
    <row r="958" s="1" customFormat="1" ht="12.75" customHeight="1" x14ac:dyDescent="0.3"/>
    <row r="959" s="1" customFormat="1" ht="12.75" customHeight="1" x14ac:dyDescent="0.3"/>
    <row r="960" s="1" customFormat="1" ht="12.75" customHeight="1" x14ac:dyDescent="0.3"/>
    <row r="961" s="1" customFormat="1" ht="12.75" customHeight="1" x14ac:dyDescent="0.3"/>
    <row r="962" s="1" customFormat="1" ht="12.75" customHeight="1" x14ac:dyDescent="0.3"/>
    <row r="963" s="1" customFormat="1" ht="12.75" customHeight="1" x14ac:dyDescent="0.3"/>
    <row r="964" s="1" customFormat="1" ht="12.75" customHeight="1" x14ac:dyDescent="0.3"/>
    <row r="965" s="1" customFormat="1" ht="12.75" customHeight="1" x14ac:dyDescent="0.3"/>
    <row r="966" s="1" customFormat="1" ht="12.75" customHeight="1" x14ac:dyDescent="0.3"/>
    <row r="967" s="1" customFormat="1" ht="12.75" customHeight="1" x14ac:dyDescent="0.3"/>
    <row r="968" s="1" customFormat="1" ht="12.75" customHeight="1" x14ac:dyDescent="0.3"/>
    <row r="969" s="1" customFormat="1" ht="12.75" customHeight="1" x14ac:dyDescent="0.3"/>
    <row r="970" s="1" customFormat="1" ht="12.75" customHeight="1" x14ac:dyDescent="0.3"/>
    <row r="971" s="1" customFormat="1" ht="12.75" customHeight="1" x14ac:dyDescent="0.3"/>
    <row r="972" s="1" customFormat="1" ht="12.75" customHeight="1" x14ac:dyDescent="0.3"/>
    <row r="973" s="1" customFormat="1" ht="12.75" customHeight="1" x14ac:dyDescent="0.3"/>
    <row r="974" s="1" customFormat="1" ht="12.75" customHeight="1" x14ac:dyDescent="0.3"/>
    <row r="975" s="1" customFormat="1" ht="12.75" customHeight="1" x14ac:dyDescent="0.3"/>
    <row r="976" s="1" customFormat="1" ht="12.75" customHeight="1" x14ac:dyDescent="0.3"/>
    <row r="977" s="1" customFormat="1" ht="12.75" customHeight="1" x14ac:dyDescent="0.3"/>
    <row r="978" s="1" customFormat="1" ht="12.75" customHeight="1" x14ac:dyDescent="0.3"/>
    <row r="979" s="1" customFormat="1" ht="12.75" customHeight="1" x14ac:dyDescent="0.3"/>
    <row r="980" s="1" customFormat="1" ht="12.75" customHeight="1" x14ac:dyDescent="0.3"/>
    <row r="981" s="1" customFormat="1" ht="12.75" customHeight="1" x14ac:dyDescent="0.3"/>
    <row r="982" s="1" customFormat="1" ht="12.75" customHeight="1" x14ac:dyDescent="0.3"/>
    <row r="983" s="1" customFormat="1" ht="12.75" customHeight="1" x14ac:dyDescent="0.3"/>
    <row r="984" s="1" customFormat="1" ht="12.75" customHeight="1" x14ac:dyDescent="0.3"/>
    <row r="985" s="1" customFormat="1" ht="12.75" customHeight="1" x14ac:dyDescent="0.3"/>
    <row r="986" s="1" customFormat="1" ht="12.75" customHeight="1" x14ac:dyDescent="0.3"/>
    <row r="987" s="1" customFormat="1" ht="12.75" customHeight="1" x14ac:dyDescent="0.3"/>
    <row r="988" s="1" customFormat="1" ht="12.75" customHeight="1" x14ac:dyDescent="0.3"/>
    <row r="989" s="1" customFormat="1" ht="12.75" customHeight="1" x14ac:dyDescent="0.3"/>
    <row r="990" s="1" customFormat="1" ht="12.75" customHeight="1" x14ac:dyDescent="0.3"/>
    <row r="991" s="1" customFormat="1" ht="12.75" customHeight="1" x14ac:dyDescent="0.3"/>
    <row r="992" s="1" customFormat="1" ht="12.75" customHeight="1" x14ac:dyDescent="0.3"/>
    <row r="993" s="1" customFormat="1" ht="12.75" customHeight="1" x14ac:dyDescent="0.3"/>
    <row r="994" s="1" customFormat="1" ht="12.75" customHeight="1" x14ac:dyDescent="0.3"/>
    <row r="995" s="1" customFormat="1" ht="12.75" customHeight="1" x14ac:dyDescent="0.3"/>
    <row r="996" s="1" customFormat="1" ht="12.75" customHeight="1" x14ac:dyDescent="0.3"/>
    <row r="997" s="1" customFormat="1" ht="12.75" customHeight="1" x14ac:dyDescent="0.3"/>
    <row r="998" s="1" customFormat="1" ht="12.75" customHeight="1" x14ac:dyDescent="0.3"/>
    <row r="999" s="1" customFormat="1" ht="12.75" customHeight="1" x14ac:dyDescent="0.3"/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733BE-D713-4DC0-8C13-E669252A9B3C}">
  <dimension ref="A1:M999"/>
  <sheetViews>
    <sheetView workbookViewId="0">
      <selection activeCell="G21" sqref="G21"/>
    </sheetView>
  </sheetViews>
  <sheetFormatPr baseColWidth="10" defaultColWidth="12.6328125" defaultRowHeight="15" customHeight="1" x14ac:dyDescent="0.3"/>
  <cols>
    <col min="1" max="1" width="15.7265625" style="1" customWidth="1"/>
    <col min="2" max="7" width="10.6328125" style="1" customWidth="1"/>
    <col min="8" max="8" width="11.36328125" style="1" customWidth="1"/>
    <col min="9" max="25" width="10.6328125" style="1" customWidth="1"/>
    <col min="26" max="16384" width="12.6328125" style="1"/>
  </cols>
  <sheetData>
    <row r="1" spans="1:13" ht="13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3.5" customHeight="1" x14ac:dyDescent="0.3">
      <c r="A2" s="1" t="s">
        <v>12</v>
      </c>
      <c r="B2" s="1" t="s">
        <v>13</v>
      </c>
      <c r="D2" s="1">
        <v>1</v>
      </c>
      <c r="H2" s="2" t="s">
        <v>14</v>
      </c>
      <c r="I2" s="3">
        <f t="shared" ref="I2:L2" si="0">SUM(C22+C37+C55+C65+C66+C96+C105+C113+C128+C146+C150)</f>
        <v>11</v>
      </c>
      <c r="J2" s="3">
        <f t="shared" si="0"/>
        <v>0</v>
      </c>
      <c r="K2" s="3">
        <f t="shared" si="0"/>
        <v>0</v>
      </c>
      <c r="L2" s="3">
        <f t="shared" si="0"/>
        <v>0</v>
      </c>
      <c r="M2" s="3">
        <f t="shared" ref="M2:M13" si="1">SUM(I2:L2)</f>
        <v>11</v>
      </c>
    </row>
    <row r="3" spans="1:13" ht="13.5" customHeight="1" x14ac:dyDescent="0.3">
      <c r="A3" s="1" t="s">
        <v>15</v>
      </c>
      <c r="B3" s="1" t="s">
        <v>16</v>
      </c>
      <c r="C3" s="1">
        <v>1</v>
      </c>
      <c r="H3" s="2" t="s">
        <v>17</v>
      </c>
      <c r="I3" s="3">
        <f t="shared" ref="I3:L3" si="2">SUM(C6+C32+C50+C52+C58+C69+C76+C94+C115+C122+C123+C152)</f>
        <v>2</v>
      </c>
      <c r="J3" s="3">
        <f t="shared" si="2"/>
        <v>9</v>
      </c>
      <c r="K3" s="3">
        <f t="shared" si="2"/>
        <v>1</v>
      </c>
      <c r="L3" s="3">
        <f t="shared" si="2"/>
        <v>0</v>
      </c>
      <c r="M3" s="3">
        <f t="shared" si="1"/>
        <v>12</v>
      </c>
    </row>
    <row r="4" spans="1:13" ht="13.5" customHeight="1" x14ac:dyDescent="0.3">
      <c r="A4" s="1" t="s">
        <v>18</v>
      </c>
      <c r="B4" s="1" t="s">
        <v>13</v>
      </c>
      <c r="D4" s="1">
        <v>1</v>
      </c>
      <c r="H4" s="2" t="s">
        <v>19</v>
      </c>
      <c r="I4" s="3">
        <f t="shared" ref="I4:L4" si="3">SUM(C26+C14+C27+C62+C68+C124+C138+C142+C153+C155)</f>
        <v>8</v>
      </c>
      <c r="J4" s="3">
        <f t="shared" si="3"/>
        <v>2</v>
      </c>
      <c r="K4" s="3">
        <f t="shared" si="3"/>
        <v>0</v>
      </c>
      <c r="L4" s="3">
        <f t="shared" si="3"/>
        <v>0</v>
      </c>
      <c r="M4" s="3">
        <f t="shared" si="1"/>
        <v>10</v>
      </c>
    </row>
    <row r="5" spans="1:13" ht="13.5" customHeight="1" x14ac:dyDescent="0.3">
      <c r="A5" s="1" t="s">
        <v>20</v>
      </c>
      <c r="B5" s="1" t="s">
        <v>21</v>
      </c>
      <c r="D5" s="1">
        <v>1</v>
      </c>
      <c r="H5" s="2" t="s">
        <v>22</v>
      </c>
      <c r="I5" s="3">
        <f t="shared" ref="I5:L5" si="4">SUM(C5+C36+C56+C63+C73+C85+C87+C95+C135)</f>
        <v>0</v>
      </c>
      <c r="J5" s="3">
        <f t="shared" si="4"/>
        <v>7</v>
      </c>
      <c r="K5" s="3">
        <f t="shared" si="4"/>
        <v>1</v>
      </c>
      <c r="L5" s="3">
        <f t="shared" si="4"/>
        <v>1</v>
      </c>
      <c r="M5" s="3">
        <f t="shared" si="1"/>
        <v>9</v>
      </c>
    </row>
    <row r="6" spans="1:13" ht="13.5" customHeight="1" x14ac:dyDescent="0.3">
      <c r="A6" s="1" t="s">
        <v>23</v>
      </c>
      <c r="B6" s="1" t="s">
        <v>24</v>
      </c>
      <c r="C6" s="1">
        <v>1</v>
      </c>
      <c r="H6" s="2" t="s">
        <v>25</v>
      </c>
      <c r="I6" s="3">
        <f t="shared" ref="I6:L6" si="5">SUM(C12+C15+C18+C28+C41+C59+C78+C64+C82+C83+C86+C106+C119+C143+C148+C154)</f>
        <v>15</v>
      </c>
      <c r="J6" s="3">
        <f t="shared" si="5"/>
        <v>0</v>
      </c>
      <c r="K6" s="3">
        <f t="shared" si="5"/>
        <v>1</v>
      </c>
      <c r="L6" s="3">
        <f t="shared" si="5"/>
        <v>0</v>
      </c>
      <c r="M6" s="3">
        <f t="shared" si="1"/>
        <v>16</v>
      </c>
    </row>
    <row r="7" spans="1:13" ht="13.5" customHeight="1" x14ac:dyDescent="0.3">
      <c r="A7" s="1" t="s">
        <v>26</v>
      </c>
      <c r="B7" s="1" t="s">
        <v>27</v>
      </c>
      <c r="C7" s="1">
        <v>1</v>
      </c>
      <c r="H7" s="2" t="s">
        <v>28</v>
      </c>
      <c r="I7" s="3">
        <f t="shared" ref="I7:L7" si="6">SUM(C3+C20+C46+C49+C54+C89+C90+C102+C112+C114+C129+C141)</f>
        <v>3</v>
      </c>
      <c r="J7" s="3">
        <f t="shared" si="6"/>
        <v>5</v>
      </c>
      <c r="K7" s="3">
        <f t="shared" si="6"/>
        <v>4</v>
      </c>
      <c r="L7" s="3">
        <f t="shared" si="6"/>
        <v>0</v>
      </c>
      <c r="M7" s="3">
        <f t="shared" si="1"/>
        <v>12</v>
      </c>
    </row>
    <row r="8" spans="1:13" ht="13.5" customHeight="1" x14ac:dyDescent="0.3">
      <c r="A8" s="1" t="s">
        <v>29</v>
      </c>
      <c r="B8" s="1" t="s">
        <v>30</v>
      </c>
      <c r="D8" s="1">
        <v>1</v>
      </c>
      <c r="H8" s="2" t="s">
        <v>27</v>
      </c>
      <c r="I8" s="3">
        <f t="shared" ref="I8:L8" si="7">SUM(C7+C30+C29+C44+C51+C60+C72+C79+C101+C99+C107+C111+C117+C140+C144)</f>
        <v>2</v>
      </c>
      <c r="J8" s="3">
        <f t="shared" si="7"/>
        <v>11</v>
      </c>
      <c r="K8" s="3">
        <f t="shared" si="7"/>
        <v>2</v>
      </c>
      <c r="L8" s="3">
        <f t="shared" si="7"/>
        <v>0</v>
      </c>
      <c r="M8" s="3">
        <f t="shared" si="1"/>
        <v>15</v>
      </c>
    </row>
    <row r="9" spans="1:13" ht="13.5" customHeight="1" x14ac:dyDescent="0.3">
      <c r="A9" s="1" t="s">
        <v>31</v>
      </c>
      <c r="B9" s="1" t="s">
        <v>13</v>
      </c>
      <c r="D9" s="1">
        <v>1</v>
      </c>
      <c r="H9" s="2" t="s">
        <v>13</v>
      </c>
      <c r="I9" s="3">
        <f t="shared" ref="I9:J9" si="8">SUM(C4+C9+C17+C19+C2+C48+C92+C120+C126+C127+C130+C133+C151)</f>
        <v>0</v>
      </c>
      <c r="J9" s="3">
        <f t="shared" si="8"/>
        <v>11</v>
      </c>
      <c r="K9" s="3">
        <f>SUM(D4+D9+D17+D19+D2+D48+D92+D120+D126+D127+D130+D133+D151)</f>
        <v>11</v>
      </c>
      <c r="L9" s="3">
        <f>SUM(F4+F9+F17+F19+F2+F48+F92+F120+F126+F127+F130+F133+F151)</f>
        <v>0</v>
      </c>
      <c r="M9" s="3">
        <f t="shared" si="1"/>
        <v>22</v>
      </c>
    </row>
    <row r="10" spans="1:13" ht="13.5" customHeight="1" x14ac:dyDescent="0.3">
      <c r="A10" s="1" t="s">
        <v>32</v>
      </c>
      <c r="B10" s="1" t="s">
        <v>33</v>
      </c>
      <c r="C10" s="1">
        <v>1</v>
      </c>
      <c r="H10" s="2" t="s">
        <v>30</v>
      </c>
      <c r="I10" s="3">
        <f t="shared" ref="I10:L10" si="9">SUM(C8+C13+C16+C25+C31+C35+C43+C45+C70+C71+C75+C81+C88+C93+C98+C100+C104+C118+C136+C137+C156)</f>
        <v>0</v>
      </c>
      <c r="J10" s="3">
        <f t="shared" si="9"/>
        <v>18</v>
      </c>
      <c r="K10" s="3">
        <f t="shared" si="9"/>
        <v>3</v>
      </c>
      <c r="L10" s="3">
        <f t="shared" si="9"/>
        <v>0</v>
      </c>
      <c r="M10" s="3">
        <f t="shared" si="1"/>
        <v>21</v>
      </c>
    </row>
    <row r="11" spans="1:13" ht="13.5" customHeight="1" x14ac:dyDescent="0.3">
      <c r="A11" s="1" t="s">
        <v>34</v>
      </c>
      <c r="B11" s="1" t="s">
        <v>33</v>
      </c>
      <c r="C11" s="1">
        <v>1</v>
      </c>
      <c r="H11" s="2" t="s">
        <v>35</v>
      </c>
      <c r="I11" s="3">
        <f t="shared" ref="I11:L11" si="10">SUM(C38+C42+C47+C53+C74+C77+C80+C91+C97+C103+C108+C116+C131+C145+C147)</f>
        <v>0</v>
      </c>
      <c r="J11" s="3">
        <f t="shared" si="10"/>
        <v>13</v>
      </c>
      <c r="K11" s="3">
        <f t="shared" si="10"/>
        <v>2</v>
      </c>
      <c r="L11" s="3">
        <f t="shared" si="10"/>
        <v>0</v>
      </c>
      <c r="M11" s="3">
        <f t="shared" si="1"/>
        <v>15</v>
      </c>
    </row>
    <row r="12" spans="1:13" ht="13.5" customHeight="1" x14ac:dyDescent="0.3">
      <c r="A12" s="1" t="s">
        <v>36</v>
      </c>
      <c r="B12" s="1" t="s">
        <v>37</v>
      </c>
      <c r="C12" s="1">
        <v>1</v>
      </c>
      <c r="H12" s="2" t="s">
        <v>38</v>
      </c>
      <c r="I12" s="3">
        <f t="shared" ref="I12:L12" si="11">SUM(C21+C24+C34+C40+C67+C84+C132)</f>
        <v>0</v>
      </c>
      <c r="J12" s="3">
        <f t="shared" si="11"/>
        <v>6</v>
      </c>
      <c r="K12" s="3">
        <f t="shared" si="11"/>
        <v>1</v>
      </c>
      <c r="L12" s="3">
        <f t="shared" si="11"/>
        <v>0</v>
      </c>
      <c r="M12" s="3">
        <f t="shared" si="1"/>
        <v>7</v>
      </c>
    </row>
    <row r="13" spans="1:13" ht="13.5" customHeight="1" x14ac:dyDescent="0.3">
      <c r="A13" s="1" t="s">
        <v>39</v>
      </c>
      <c r="B13" s="1" t="s">
        <v>30</v>
      </c>
      <c r="D13" s="1">
        <v>1</v>
      </c>
      <c r="H13" s="2" t="s">
        <v>33</v>
      </c>
      <c r="I13" s="3">
        <f t="shared" ref="I13:L13" si="12">SUM(C10+C11+C57+C125+C149)</f>
        <v>4</v>
      </c>
      <c r="J13" s="3">
        <f t="shared" si="12"/>
        <v>1</v>
      </c>
      <c r="K13" s="3">
        <f t="shared" si="12"/>
        <v>0</v>
      </c>
      <c r="L13" s="3">
        <f t="shared" si="12"/>
        <v>0</v>
      </c>
      <c r="M13" s="3">
        <f t="shared" si="1"/>
        <v>5</v>
      </c>
    </row>
    <row r="14" spans="1:13" ht="13.5" customHeight="1" x14ac:dyDescent="0.3">
      <c r="A14" s="1" t="s">
        <v>40</v>
      </c>
      <c r="B14" s="1" t="s">
        <v>19</v>
      </c>
      <c r="C14" s="1">
        <v>1</v>
      </c>
      <c r="I14" s="4"/>
      <c r="J14" s="4"/>
      <c r="K14" s="4"/>
      <c r="L14" s="4"/>
    </row>
    <row r="15" spans="1:13" ht="13.5" customHeight="1" x14ac:dyDescent="0.3">
      <c r="A15" s="1" t="s">
        <v>41</v>
      </c>
      <c r="B15" s="1" t="s">
        <v>42</v>
      </c>
      <c r="C15" s="1">
        <v>1</v>
      </c>
      <c r="I15" s="4"/>
      <c r="J15" s="4"/>
      <c r="K15" s="4"/>
      <c r="L15" s="4"/>
    </row>
    <row r="16" spans="1:13" ht="13.5" customHeight="1" x14ac:dyDescent="0.3">
      <c r="A16" s="1" t="s">
        <v>43</v>
      </c>
      <c r="B16" s="1" t="s">
        <v>30</v>
      </c>
      <c r="D16" s="1">
        <v>1</v>
      </c>
      <c r="I16" s="4"/>
      <c r="J16" s="4"/>
      <c r="K16" s="4"/>
      <c r="L16" s="4"/>
    </row>
    <row r="17" spans="1:12" ht="13.5" customHeight="1" x14ac:dyDescent="0.3">
      <c r="A17" s="1" t="s">
        <v>44</v>
      </c>
      <c r="B17" s="1" t="s">
        <v>13</v>
      </c>
      <c r="D17" s="1">
        <v>1</v>
      </c>
      <c r="I17" s="4"/>
      <c r="J17" s="4"/>
      <c r="K17" s="4"/>
      <c r="L17" s="4"/>
    </row>
    <row r="18" spans="1:12" ht="13.5" customHeight="1" x14ac:dyDescent="0.3">
      <c r="A18" s="1" t="s">
        <v>45</v>
      </c>
      <c r="B18" s="1" t="s">
        <v>37</v>
      </c>
      <c r="E18" s="1">
        <v>1</v>
      </c>
      <c r="I18" s="4"/>
      <c r="J18" s="4"/>
      <c r="K18" s="4"/>
      <c r="L18" s="4"/>
    </row>
    <row r="19" spans="1:12" ht="13.5" customHeight="1" x14ac:dyDescent="0.3">
      <c r="A19" s="1" t="s">
        <v>46</v>
      </c>
      <c r="B19" s="1" t="s">
        <v>13</v>
      </c>
      <c r="D19" s="1">
        <v>1</v>
      </c>
    </row>
    <row r="20" spans="1:12" ht="13.5" customHeight="1" x14ac:dyDescent="0.3">
      <c r="A20" s="1" t="s">
        <v>47</v>
      </c>
      <c r="B20" s="1" t="s">
        <v>16</v>
      </c>
      <c r="D20" s="1">
        <v>1</v>
      </c>
    </row>
    <row r="21" spans="1:12" ht="13.5" customHeight="1" x14ac:dyDescent="0.3">
      <c r="A21" s="1" t="s">
        <v>48</v>
      </c>
      <c r="B21" s="1" t="s">
        <v>38</v>
      </c>
      <c r="D21" s="1">
        <v>1</v>
      </c>
    </row>
    <row r="22" spans="1:12" ht="13.5" customHeight="1" x14ac:dyDescent="0.3">
      <c r="A22" s="1" t="s">
        <v>49</v>
      </c>
      <c r="B22" s="1" t="s">
        <v>14</v>
      </c>
      <c r="C22" s="1">
        <v>1</v>
      </c>
    </row>
    <row r="23" spans="1:12" ht="13.5" customHeight="1" x14ac:dyDescent="0.3">
      <c r="A23" s="1" t="s">
        <v>50</v>
      </c>
      <c r="B23" s="1" t="s">
        <v>13</v>
      </c>
      <c r="D23" s="1">
        <v>1</v>
      </c>
    </row>
    <row r="24" spans="1:12" ht="13.5" customHeight="1" x14ac:dyDescent="0.3">
      <c r="A24" s="1" t="s">
        <v>51</v>
      </c>
      <c r="B24" s="1" t="s">
        <v>38</v>
      </c>
      <c r="E24" s="1">
        <v>1</v>
      </c>
    </row>
    <row r="25" spans="1:12" ht="13.5" customHeight="1" x14ac:dyDescent="0.3">
      <c r="A25" s="1" t="s">
        <v>52</v>
      </c>
      <c r="B25" s="1" t="s">
        <v>30</v>
      </c>
      <c r="D25" s="1">
        <v>1</v>
      </c>
    </row>
    <row r="26" spans="1:12" ht="13.5" customHeight="1" x14ac:dyDescent="0.3">
      <c r="A26" s="1" t="s">
        <v>53</v>
      </c>
      <c r="B26" s="1" t="s">
        <v>19</v>
      </c>
      <c r="D26" s="1">
        <v>1</v>
      </c>
    </row>
    <row r="27" spans="1:12" ht="13.5" customHeight="1" x14ac:dyDescent="0.3">
      <c r="A27" s="1" t="s">
        <v>54</v>
      </c>
      <c r="B27" s="1" t="s">
        <v>19</v>
      </c>
      <c r="C27" s="1">
        <v>1</v>
      </c>
    </row>
    <row r="28" spans="1:12" ht="13.5" customHeight="1" x14ac:dyDescent="0.3">
      <c r="A28" s="1" t="s">
        <v>55</v>
      </c>
      <c r="B28" s="1" t="s">
        <v>37</v>
      </c>
      <c r="C28" s="1">
        <v>1</v>
      </c>
    </row>
    <row r="29" spans="1:12" ht="13.5" customHeight="1" x14ac:dyDescent="0.3">
      <c r="A29" s="1" t="s">
        <v>56</v>
      </c>
      <c r="B29" s="1" t="s">
        <v>27</v>
      </c>
      <c r="D29" s="1">
        <v>1</v>
      </c>
    </row>
    <row r="30" spans="1:12" ht="13.5" customHeight="1" x14ac:dyDescent="0.3">
      <c r="A30" s="1" t="s">
        <v>57</v>
      </c>
      <c r="B30" s="1" t="s">
        <v>27</v>
      </c>
      <c r="D30" s="1">
        <v>1</v>
      </c>
    </row>
    <row r="31" spans="1:12" ht="13.5" customHeight="1" x14ac:dyDescent="0.3">
      <c r="A31" s="1" t="s">
        <v>58</v>
      </c>
      <c r="B31" s="1" t="s">
        <v>30</v>
      </c>
      <c r="D31" s="1">
        <v>1</v>
      </c>
    </row>
    <row r="32" spans="1:12" ht="13.5" customHeight="1" x14ac:dyDescent="0.3">
      <c r="A32" s="1" t="s">
        <v>59</v>
      </c>
      <c r="B32" s="1" t="s">
        <v>24</v>
      </c>
      <c r="D32" s="1">
        <v>1</v>
      </c>
    </row>
    <row r="33" spans="1:12" ht="13.5" customHeight="1" x14ac:dyDescent="0.3">
      <c r="A33" s="1" t="s">
        <v>60</v>
      </c>
      <c r="B33" s="1" t="s">
        <v>27</v>
      </c>
      <c r="D33" s="1">
        <v>1</v>
      </c>
    </row>
    <row r="34" spans="1:12" ht="13.5" customHeight="1" x14ac:dyDescent="0.3">
      <c r="A34" s="1" t="s">
        <v>61</v>
      </c>
      <c r="B34" s="1" t="s">
        <v>38</v>
      </c>
      <c r="D34" s="1">
        <v>1</v>
      </c>
    </row>
    <row r="35" spans="1:12" ht="13.5" customHeight="1" x14ac:dyDescent="0.3">
      <c r="A35" s="1" t="s">
        <v>62</v>
      </c>
      <c r="B35" s="1" t="s">
        <v>30</v>
      </c>
      <c r="D35" s="1">
        <v>1</v>
      </c>
    </row>
    <row r="36" spans="1:12" ht="13.5" customHeight="1" x14ac:dyDescent="0.3">
      <c r="A36" s="1" t="s">
        <v>63</v>
      </c>
      <c r="B36" s="1" t="s">
        <v>21</v>
      </c>
      <c r="D36" s="1">
        <v>1</v>
      </c>
    </row>
    <row r="37" spans="1:12" ht="13.5" customHeight="1" x14ac:dyDescent="0.3">
      <c r="A37" s="1" t="s">
        <v>64</v>
      </c>
      <c r="B37" s="1" t="s">
        <v>14</v>
      </c>
      <c r="C37" s="1">
        <v>1</v>
      </c>
    </row>
    <row r="38" spans="1:12" ht="13.5" customHeight="1" x14ac:dyDescent="0.3">
      <c r="A38" s="1" t="s">
        <v>65</v>
      </c>
      <c r="B38" s="1" t="s">
        <v>66</v>
      </c>
      <c r="D38" s="1">
        <v>1</v>
      </c>
    </row>
    <row r="39" spans="1:12" ht="13.5" customHeight="1" x14ac:dyDescent="0.3">
      <c r="A39" s="1" t="s">
        <v>67</v>
      </c>
      <c r="B39" s="1" t="s">
        <v>16</v>
      </c>
      <c r="E39" s="1">
        <v>1</v>
      </c>
    </row>
    <row r="40" spans="1:12" ht="13.5" customHeight="1" x14ac:dyDescent="0.3">
      <c r="A40" s="1" t="s">
        <v>68</v>
      </c>
      <c r="B40" s="1" t="s">
        <v>38</v>
      </c>
      <c r="D40" s="1">
        <v>1</v>
      </c>
    </row>
    <row r="41" spans="1:12" ht="13.5" customHeight="1" x14ac:dyDescent="0.3">
      <c r="A41" s="1" t="s">
        <v>69</v>
      </c>
      <c r="B41" s="1" t="s">
        <v>37</v>
      </c>
      <c r="C41" s="1">
        <v>1</v>
      </c>
    </row>
    <row r="42" spans="1:12" ht="13.5" customHeight="1" x14ac:dyDescent="0.3">
      <c r="A42" s="1" t="s">
        <v>70</v>
      </c>
      <c r="B42" s="1" t="s">
        <v>66</v>
      </c>
      <c r="D42" s="1">
        <v>1</v>
      </c>
    </row>
    <row r="43" spans="1:12" ht="13.5" customHeight="1" x14ac:dyDescent="0.3">
      <c r="A43" s="1" t="s">
        <v>71</v>
      </c>
      <c r="B43" s="1" t="s">
        <v>30</v>
      </c>
      <c r="D43" s="1">
        <v>1</v>
      </c>
    </row>
    <row r="44" spans="1:12" ht="13.5" customHeight="1" x14ac:dyDescent="0.3">
      <c r="A44" s="1" t="s">
        <v>72</v>
      </c>
      <c r="B44" s="1" t="s">
        <v>27</v>
      </c>
      <c r="D44" s="1">
        <v>1</v>
      </c>
    </row>
    <row r="45" spans="1:12" ht="13.5" customHeight="1" x14ac:dyDescent="0.3">
      <c r="A45" s="1" t="s">
        <v>73</v>
      </c>
      <c r="B45" s="1" t="s">
        <v>30</v>
      </c>
      <c r="D45" s="1">
        <v>1</v>
      </c>
      <c r="H45" s="1" t="s">
        <v>6</v>
      </c>
      <c r="I45" s="1" t="s">
        <v>7</v>
      </c>
      <c r="J45" s="1" t="s">
        <v>8</v>
      </c>
      <c r="K45" s="1" t="s">
        <v>9</v>
      </c>
      <c r="L45" s="1" t="s">
        <v>10</v>
      </c>
    </row>
    <row r="46" spans="1:12" ht="13.5" customHeight="1" x14ac:dyDescent="0.3">
      <c r="A46" s="1" t="s">
        <v>74</v>
      </c>
      <c r="B46" s="1" t="s">
        <v>16</v>
      </c>
      <c r="D46" s="1">
        <v>1</v>
      </c>
      <c r="H46" s="2" t="s">
        <v>14</v>
      </c>
      <c r="I46" s="4">
        <f t="shared" ref="I46:I57" si="13">I2/M2</f>
        <v>1</v>
      </c>
      <c r="J46" s="4">
        <f t="shared" ref="J46:J57" si="14">J2/M2</f>
        <v>0</v>
      </c>
      <c r="K46" s="4">
        <f t="shared" ref="K46:K57" si="15">K2/M2</f>
        <v>0</v>
      </c>
      <c r="L46" s="4">
        <f t="shared" ref="L46:L57" si="16">L2/M2</f>
        <v>0</v>
      </c>
    </row>
    <row r="47" spans="1:12" ht="13.5" customHeight="1" x14ac:dyDescent="0.3">
      <c r="A47" s="1" t="s">
        <v>75</v>
      </c>
      <c r="B47" s="1" t="s">
        <v>66</v>
      </c>
      <c r="D47" s="1">
        <v>1</v>
      </c>
      <c r="H47" s="2" t="s">
        <v>17</v>
      </c>
      <c r="I47" s="4">
        <f t="shared" si="13"/>
        <v>0.16666666666666666</v>
      </c>
      <c r="J47" s="4">
        <f t="shared" si="14"/>
        <v>0.75</v>
      </c>
      <c r="K47" s="4">
        <f t="shared" si="15"/>
        <v>8.3333333333333329E-2</v>
      </c>
      <c r="L47" s="4">
        <f t="shared" si="16"/>
        <v>0</v>
      </c>
    </row>
    <row r="48" spans="1:12" ht="13.5" customHeight="1" x14ac:dyDescent="0.3">
      <c r="A48" s="1" t="s">
        <v>76</v>
      </c>
      <c r="B48" s="1" t="s">
        <v>13</v>
      </c>
      <c r="E48" s="1">
        <v>1</v>
      </c>
      <c r="H48" s="2" t="s">
        <v>19</v>
      </c>
      <c r="I48" s="4">
        <f t="shared" si="13"/>
        <v>0.8</v>
      </c>
      <c r="J48" s="4">
        <f t="shared" si="14"/>
        <v>0.2</v>
      </c>
      <c r="K48" s="4">
        <f t="shared" si="15"/>
        <v>0</v>
      </c>
      <c r="L48" s="4">
        <f t="shared" si="16"/>
        <v>0</v>
      </c>
    </row>
    <row r="49" spans="1:12" ht="13.5" customHeight="1" x14ac:dyDescent="0.3">
      <c r="A49" s="1" t="s">
        <v>77</v>
      </c>
      <c r="B49" s="1" t="s">
        <v>16</v>
      </c>
      <c r="D49" s="1">
        <v>1</v>
      </c>
      <c r="H49" s="2" t="s">
        <v>22</v>
      </c>
      <c r="I49" s="4">
        <f t="shared" si="13"/>
        <v>0</v>
      </c>
      <c r="J49" s="4">
        <f t="shared" si="14"/>
        <v>0.77777777777777779</v>
      </c>
      <c r="K49" s="4">
        <f t="shared" si="15"/>
        <v>0.1111111111111111</v>
      </c>
      <c r="L49" s="4">
        <f t="shared" si="16"/>
        <v>0.1111111111111111</v>
      </c>
    </row>
    <row r="50" spans="1:12" ht="13.5" customHeight="1" x14ac:dyDescent="0.3">
      <c r="A50" s="1" t="s">
        <v>78</v>
      </c>
      <c r="B50" s="1" t="s">
        <v>24</v>
      </c>
      <c r="D50" s="1">
        <v>1</v>
      </c>
      <c r="H50" s="2" t="s">
        <v>25</v>
      </c>
      <c r="I50" s="4">
        <f t="shared" si="13"/>
        <v>0.9375</v>
      </c>
      <c r="J50" s="4">
        <f t="shared" si="14"/>
        <v>0</v>
      </c>
      <c r="K50" s="4">
        <f t="shared" si="15"/>
        <v>6.25E-2</v>
      </c>
      <c r="L50" s="4">
        <f t="shared" si="16"/>
        <v>0</v>
      </c>
    </row>
    <row r="51" spans="1:12" ht="13.5" customHeight="1" x14ac:dyDescent="0.3">
      <c r="A51" s="1" t="s">
        <v>79</v>
      </c>
      <c r="B51" s="1" t="s">
        <v>27</v>
      </c>
      <c r="D51" s="1">
        <v>1</v>
      </c>
      <c r="H51" s="2" t="s">
        <v>28</v>
      </c>
      <c r="I51" s="4">
        <f t="shared" si="13"/>
        <v>0.25</v>
      </c>
      <c r="J51" s="4">
        <f t="shared" si="14"/>
        <v>0.41666666666666669</v>
      </c>
      <c r="K51" s="4">
        <f t="shared" si="15"/>
        <v>0.33333333333333331</v>
      </c>
      <c r="L51" s="4">
        <f t="shared" si="16"/>
        <v>0</v>
      </c>
    </row>
    <row r="52" spans="1:12" ht="13.5" customHeight="1" x14ac:dyDescent="0.3">
      <c r="A52" s="1" t="s">
        <v>80</v>
      </c>
      <c r="B52" s="1" t="s">
        <v>24</v>
      </c>
      <c r="D52" s="1">
        <v>1</v>
      </c>
      <c r="H52" s="2" t="s">
        <v>27</v>
      </c>
      <c r="I52" s="4">
        <f t="shared" si="13"/>
        <v>0.13333333333333333</v>
      </c>
      <c r="J52" s="4">
        <f t="shared" si="14"/>
        <v>0.73333333333333328</v>
      </c>
      <c r="K52" s="4">
        <f t="shared" si="15"/>
        <v>0.13333333333333333</v>
      </c>
      <c r="L52" s="4">
        <f t="shared" si="16"/>
        <v>0</v>
      </c>
    </row>
    <row r="53" spans="1:12" ht="13.5" customHeight="1" x14ac:dyDescent="0.3">
      <c r="A53" s="1" t="s">
        <v>81</v>
      </c>
      <c r="B53" s="1" t="s">
        <v>66</v>
      </c>
      <c r="D53" s="1">
        <v>1</v>
      </c>
      <c r="H53" s="2" t="s">
        <v>13</v>
      </c>
      <c r="I53" s="4">
        <f t="shared" si="13"/>
        <v>0</v>
      </c>
      <c r="J53" s="4">
        <f t="shared" si="14"/>
        <v>0.5</v>
      </c>
      <c r="K53" s="4">
        <f t="shared" si="15"/>
        <v>0.5</v>
      </c>
      <c r="L53" s="4">
        <f t="shared" si="16"/>
        <v>0</v>
      </c>
    </row>
    <row r="54" spans="1:12" ht="13.5" customHeight="1" x14ac:dyDescent="0.3">
      <c r="A54" s="1" t="s">
        <v>82</v>
      </c>
      <c r="B54" s="1" t="s">
        <v>16</v>
      </c>
      <c r="E54" s="1">
        <v>1</v>
      </c>
      <c r="H54" s="2" t="s">
        <v>30</v>
      </c>
      <c r="I54" s="4">
        <f t="shared" si="13"/>
        <v>0</v>
      </c>
      <c r="J54" s="4">
        <f t="shared" si="14"/>
        <v>0.8571428571428571</v>
      </c>
      <c r="K54" s="4">
        <f t="shared" si="15"/>
        <v>0.14285714285714285</v>
      </c>
      <c r="L54" s="4">
        <f t="shared" si="16"/>
        <v>0</v>
      </c>
    </row>
    <row r="55" spans="1:12" ht="13.5" customHeight="1" x14ac:dyDescent="0.3">
      <c r="A55" s="1" t="s">
        <v>83</v>
      </c>
      <c r="B55" s="1" t="s">
        <v>14</v>
      </c>
      <c r="C55" s="1">
        <v>1</v>
      </c>
      <c r="H55" s="2" t="s">
        <v>35</v>
      </c>
      <c r="I55" s="4">
        <f t="shared" si="13"/>
        <v>0</v>
      </c>
      <c r="J55" s="4">
        <f t="shared" si="14"/>
        <v>0.8666666666666667</v>
      </c>
      <c r="K55" s="4">
        <f t="shared" si="15"/>
        <v>0.13333333333333333</v>
      </c>
      <c r="L55" s="4">
        <f t="shared" si="16"/>
        <v>0</v>
      </c>
    </row>
    <row r="56" spans="1:12" ht="13.5" customHeight="1" x14ac:dyDescent="0.3">
      <c r="A56" s="1" t="s">
        <v>84</v>
      </c>
      <c r="B56" s="1" t="s">
        <v>21</v>
      </c>
      <c r="D56" s="1">
        <v>1</v>
      </c>
      <c r="H56" s="2" t="s">
        <v>38</v>
      </c>
      <c r="I56" s="4">
        <f t="shared" si="13"/>
        <v>0</v>
      </c>
      <c r="J56" s="4">
        <f t="shared" si="14"/>
        <v>0.8571428571428571</v>
      </c>
      <c r="K56" s="4">
        <f t="shared" si="15"/>
        <v>0.14285714285714285</v>
      </c>
      <c r="L56" s="4">
        <f t="shared" si="16"/>
        <v>0</v>
      </c>
    </row>
    <row r="57" spans="1:12" ht="13.5" customHeight="1" x14ac:dyDescent="0.3">
      <c r="A57" s="1" t="s">
        <v>85</v>
      </c>
      <c r="B57" s="1" t="s">
        <v>33</v>
      </c>
      <c r="C57" s="1">
        <v>1</v>
      </c>
      <c r="H57" s="2" t="s">
        <v>33</v>
      </c>
      <c r="I57" s="4">
        <f t="shared" si="13"/>
        <v>0.8</v>
      </c>
      <c r="J57" s="4">
        <f t="shared" si="14"/>
        <v>0.2</v>
      </c>
      <c r="K57" s="4">
        <f t="shared" si="15"/>
        <v>0</v>
      </c>
      <c r="L57" s="4">
        <f t="shared" si="16"/>
        <v>0</v>
      </c>
    </row>
    <row r="58" spans="1:12" ht="13.5" customHeight="1" x14ac:dyDescent="0.3">
      <c r="A58" s="1" t="s">
        <v>86</v>
      </c>
      <c r="B58" s="1" t="s">
        <v>24</v>
      </c>
      <c r="D58" s="1">
        <v>1</v>
      </c>
    </row>
    <row r="59" spans="1:12" ht="13.5" customHeight="1" x14ac:dyDescent="0.3">
      <c r="A59" s="1" t="s">
        <v>87</v>
      </c>
      <c r="B59" s="1" t="s">
        <v>37</v>
      </c>
      <c r="C59" s="1">
        <v>1</v>
      </c>
    </row>
    <row r="60" spans="1:12" ht="13.5" customHeight="1" x14ac:dyDescent="0.3">
      <c r="A60" s="1" t="s">
        <v>88</v>
      </c>
      <c r="B60" s="1" t="s">
        <v>27</v>
      </c>
      <c r="C60" s="1">
        <v>1</v>
      </c>
    </row>
    <row r="61" spans="1:12" ht="13.5" customHeight="1" x14ac:dyDescent="0.3">
      <c r="A61" s="1" t="s">
        <v>89</v>
      </c>
      <c r="B61" s="1" t="s">
        <v>13</v>
      </c>
      <c r="E61" s="1">
        <v>1</v>
      </c>
    </row>
    <row r="62" spans="1:12" ht="13.5" customHeight="1" x14ac:dyDescent="0.3">
      <c r="A62" s="1" t="s">
        <v>90</v>
      </c>
      <c r="B62" s="1" t="s">
        <v>19</v>
      </c>
      <c r="C62" s="1">
        <v>1</v>
      </c>
    </row>
    <row r="63" spans="1:12" ht="13.5" customHeight="1" x14ac:dyDescent="0.3">
      <c r="A63" s="1" t="s">
        <v>91</v>
      </c>
      <c r="B63" s="1" t="s">
        <v>21</v>
      </c>
      <c r="F63" s="1">
        <v>1</v>
      </c>
    </row>
    <row r="64" spans="1:12" ht="13.5" customHeight="1" x14ac:dyDescent="0.3">
      <c r="A64" s="1" t="s">
        <v>92</v>
      </c>
      <c r="B64" s="1" t="s">
        <v>42</v>
      </c>
      <c r="C64" s="1">
        <v>1</v>
      </c>
    </row>
    <row r="65" spans="1:5" ht="13.5" customHeight="1" x14ac:dyDescent="0.3">
      <c r="A65" s="1" t="s">
        <v>93</v>
      </c>
      <c r="B65" s="1" t="s">
        <v>14</v>
      </c>
      <c r="C65" s="1">
        <v>1</v>
      </c>
    </row>
    <row r="66" spans="1:5" ht="13.5" customHeight="1" x14ac:dyDescent="0.3">
      <c r="A66" s="1" t="s">
        <v>94</v>
      </c>
      <c r="B66" s="1" t="s">
        <v>14</v>
      </c>
      <c r="C66" s="1">
        <v>1</v>
      </c>
    </row>
    <row r="67" spans="1:5" ht="13.5" customHeight="1" x14ac:dyDescent="0.3">
      <c r="A67" s="1" t="s">
        <v>95</v>
      </c>
      <c r="B67" s="1" t="s">
        <v>38</v>
      </c>
      <c r="D67" s="1">
        <v>1</v>
      </c>
    </row>
    <row r="68" spans="1:5" ht="13.5" customHeight="1" x14ac:dyDescent="0.3">
      <c r="A68" s="1" t="s">
        <v>96</v>
      </c>
      <c r="B68" s="1" t="s">
        <v>19</v>
      </c>
      <c r="C68" s="1">
        <v>1</v>
      </c>
    </row>
    <row r="69" spans="1:5" ht="13.5" customHeight="1" x14ac:dyDescent="0.3">
      <c r="A69" s="1" t="s">
        <v>97</v>
      </c>
      <c r="B69" s="1" t="s">
        <v>24</v>
      </c>
      <c r="E69" s="1">
        <v>1</v>
      </c>
    </row>
    <row r="70" spans="1:5" ht="13.5" customHeight="1" x14ac:dyDescent="0.3">
      <c r="A70" s="1" t="s">
        <v>98</v>
      </c>
      <c r="B70" s="1" t="s">
        <v>30</v>
      </c>
      <c r="E70" s="1">
        <v>1</v>
      </c>
    </row>
    <row r="71" spans="1:5" ht="13.5" customHeight="1" x14ac:dyDescent="0.3">
      <c r="A71" s="1" t="s">
        <v>99</v>
      </c>
      <c r="B71" s="1" t="s">
        <v>30</v>
      </c>
      <c r="E71" s="1">
        <v>1</v>
      </c>
    </row>
    <row r="72" spans="1:5" ht="13.5" customHeight="1" x14ac:dyDescent="0.3">
      <c r="A72" s="1" t="s">
        <v>100</v>
      </c>
      <c r="B72" s="1" t="s">
        <v>27</v>
      </c>
      <c r="E72" s="1">
        <v>1</v>
      </c>
    </row>
    <row r="73" spans="1:5" ht="13.5" customHeight="1" x14ac:dyDescent="0.3">
      <c r="A73" s="1" t="s">
        <v>101</v>
      </c>
      <c r="B73" s="1" t="s">
        <v>21</v>
      </c>
      <c r="E73" s="1">
        <v>1</v>
      </c>
    </row>
    <row r="74" spans="1:5" ht="13.5" customHeight="1" x14ac:dyDescent="0.3">
      <c r="A74" s="1" t="s">
        <v>102</v>
      </c>
      <c r="B74" s="1" t="s">
        <v>66</v>
      </c>
      <c r="E74" s="1">
        <v>1</v>
      </c>
    </row>
    <row r="75" spans="1:5" ht="13.5" customHeight="1" x14ac:dyDescent="0.3">
      <c r="A75" s="1" t="s">
        <v>103</v>
      </c>
      <c r="B75" s="1" t="s">
        <v>30</v>
      </c>
      <c r="E75" s="1">
        <v>1</v>
      </c>
    </row>
    <row r="76" spans="1:5" ht="13.5" customHeight="1" x14ac:dyDescent="0.3">
      <c r="A76" s="1" t="s">
        <v>104</v>
      </c>
      <c r="B76" s="1" t="s">
        <v>24</v>
      </c>
      <c r="C76" s="1">
        <v>1</v>
      </c>
    </row>
    <row r="77" spans="1:5" ht="13.5" customHeight="1" x14ac:dyDescent="0.3">
      <c r="A77" s="1" t="s">
        <v>105</v>
      </c>
      <c r="B77" s="1" t="s">
        <v>66</v>
      </c>
      <c r="D77" s="1">
        <v>1</v>
      </c>
    </row>
    <row r="78" spans="1:5" ht="13.5" customHeight="1" x14ac:dyDescent="0.3">
      <c r="A78" s="1" t="s">
        <v>106</v>
      </c>
      <c r="B78" s="1" t="s">
        <v>42</v>
      </c>
      <c r="C78" s="1">
        <v>1</v>
      </c>
    </row>
    <row r="79" spans="1:5" ht="13.5" customHeight="1" x14ac:dyDescent="0.3">
      <c r="A79" s="1" t="s">
        <v>107</v>
      </c>
      <c r="B79" s="1" t="s">
        <v>27</v>
      </c>
      <c r="D79" s="1">
        <v>1</v>
      </c>
    </row>
    <row r="80" spans="1:5" ht="13.5" customHeight="1" x14ac:dyDescent="0.3">
      <c r="A80" s="1" t="s">
        <v>108</v>
      </c>
      <c r="B80" s="1" t="s">
        <v>66</v>
      </c>
      <c r="D80" s="1">
        <v>1</v>
      </c>
    </row>
    <row r="81" spans="1:5" ht="13.5" customHeight="1" x14ac:dyDescent="0.3">
      <c r="A81" s="1" t="s">
        <v>109</v>
      </c>
      <c r="B81" s="1" t="s">
        <v>30</v>
      </c>
      <c r="D81" s="1">
        <v>1</v>
      </c>
    </row>
    <row r="82" spans="1:5" ht="13.5" customHeight="1" x14ac:dyDescent="0.3">
      <c r="A82" s="1" t="s">
        <v>110</v>
      </c>
      <c r="B82" s="1" t="s">
        <v>37</v>
      </c>
      <c r="C82" s="1">
        <v>1</v>
      </c>
    </row>
    <row r="83" spans="1:5" ht="13.5" customHeight="1" x14ac:dyDescent="0.3">
      <c r="A83" s="1" t="s">
        <v>111</v>
      </c>
      <c r="B83" s="1" t="s">
        <v>37</v>
      </c>
      <c r="C83" s="1">
        <v>1</v>
      </c>
    </row>
    <row r="84" spans="1:5" ht="13.5" customHeight="1" x14ac:dyDescent="0.3">
      <c r="A84" s="1" t="s">
        <v>112</v>
      </c>
      <c r="B84" s="1" t="s">
        <v>38</v>
      </c>
      <c r="D84" s="1">
        <v>1</v>
      </c>
    </row>
    <row r="85" spans="1:5" ht="13.5" customHeight="1" x14ac:dyDescent="0.3">
      <c r="A85" s="1" t="s">
        <v>113</v>
      </c>
      <c r="B85" s="1" t="s">
        <v>21</v>
      </c>
      <c r="D85" s="1">
        <v>1</v>
      </c>
    </row>
    <row r="86" spans="1:5" ht="13.5" customHeight="1" x14ac:dyDescent="0.3">
      <c r="A86" s="1" t="s">
        <v>114</v>
      </c>
      <c r="B86" s="1" t="s">
        <v>42</v>
      </c>
      <c r="C86" s="1">
        <v>1</v>
      </c>
    </row>
    <row r="87" spans="1:5" ht="13.5" customHeight="1" x14ac:dyDescent="0.3">
      <c r="A87" s="1" t="s">
        <v>115</v>
      </c>
      <c r="B87" s="1" t="s">
        <v>21</v>
      </c>
      <c r="D87" s="1">
        <v>1</v>
      </c>
    </row>
    <row r="88" spans="1:5" ht="13.5" customHeight="1" x14ac:dyDescent="0.3">
      <c r="A88" s="1" t="s">
        <v>116</v>
      </c>
      <c r="B88" s="1" t="s">
        <v>30</v>
      </c>
      <c r="D88" s="1">
        <v>1</v>
      </c>
    </row>
    <row r="89" spans="1:5" ht="13.5" customHeight="1" x14ac:dyDescent="0.3">
      <c r="A89" s="1" t="s">
        <v>117</v>
      </c>
      <c r="B89" s="1" t="s">
        <v>16</v>
      </c>
      <c r="C89" s="1">
        <v>1</v>
      </c>
    </row>
    <row r="90" spans="1:5" ht="13.5" customHeight="1" x14ac:dyDescent="0.3">
      <c r="A90" s="1" t="s">
        <v>118</v>
      </c>
      <c r="B90" s="1" t="s">
        <v>16</v>
      </c>
      <c r="E90" s="1">
        <v>1</v>
      </c>
    </row>
    <row r="91" spans="1:5" ht="13.5" customHeight="1" x14ac:dyDescent="0.3">
      <c r="A91" s="1" t="s">
        <v>119</v>
      </c>
      <c r="B91" s="1" t="s">
        <v>66</v>
      </c>
      <c r="D91" s="1">
        <v>1</v>
      </c>
    </row>
    <row r="92" spans="1:5" ht="13.5" customHeight="1" x14ac:dyDescent="0.3">
      <c r="A92" s="1" t="s">
        <v>120</v>
      </c>
      <c r="B92" s="1" t="s">
        <v>13</v>
      </c>
      <c r="E92" s="1">
        <v>1</v>
      </c>
    </row>
    <row r="93" spans="1:5" ht="13.5" customHeight="1" x14ac:dyDescent="0.3">
      <c r="A93" s="1" t="s">
        <v>121</v>
      </c>
      <c r="B93" s="1" t="s">
        <v>30</v>
      </c>
      <c r="D93" s="1">
        <v>1</v>
      </c>
    </row>
    <row r="94" spans="1:5" ht="13.5" customHeight="1" x14ac:dyDescent="0.3">
      <c r="A94" s="1" t="s">
        <v>122</v>
      </c>
      <c r="B94" s="1" t="s">
        <v>24</v>
      </c>
      <c r="D94" s="1">
        <v>1</v>
      </c>
    </row>
    <row r="95" spans="1:5" ht="13.5" customHeight="1" x14ac:dyDescent="0.3">
      <c r="A95" s="1" t="s">
        <v>123</v>
      </c>
      <c r="B95" s="1" t="s">
        <v>21</v>
      </c>
      <c r="D95" s="1">
        <v>1</v>
      </c>
    </row>
    <row r="96" spans="1:5" ht="13.5" customHeight="1" x14ac:dyDescent="0.3">
      <c r="A96" s="1" t="s">
        <v>124</v>
      </c>
      <c r="B96" s="1" t="s">
        <v>14</v>
      </c>
      <c r="C96" s="1">
        <v>1</v>
      </c>
    </row>
    <row r="97" spans="1:5" ht="13.5" customHeight="1" x14ac:dyDescent="0.3">
      <c r="A97" s="1" t="s">
        <v>125</v>
      </c>
      <c r="B97" s="1" t="s">
        <v>66</v>
      </c>
      <c r="E97" s="1">
        <v>1</v>
      </c>
    </row>
    <row r="98" spans="1:5" ht="13.5" customHeight="1" x14ac:dyDescent="0.3">
      <c r="A98" s="1" t="s">
        <v>126</v>
      </c>
      <c r="B98" s="1" t="s">
        <v>30</v>
      </c>
      <c r="D98" s="1">
        <v>1</v>
      </c>
    </row>
    <row r="99" spans="1:5" ht="13.5" customHeight="1" x14ac:dyDescent="0.3">
      <c r="A99" s="1" t="s">
        <v>127</v>
      </c>
      <c r="B99" s="1" t="s">
        <v>27</v>
      </c>
      <c r="D99" s="1">
        <v>1</v>
      </c>
    </row>
    <row r="100" spans="1:5" ht="13.5" customHeight="1" x14ac:dyDescent="0.3">
      <c r="A100" s="1" t="s">
        <v>128</v>
      </c>
      <c r="B100" s="1" t="s">
        <v>30</v>
      </c>
      <c r="D100" s="1">
        <v>1</v>
      </c>
    </row>
    <row r="101" spans="1:5" ht="13.5" customHeight="1" x14ac:dyDescent="0.3">
      <c r="A101" s="1" t="s">
        <v>129</v>
      </c>
      <c r="B101" s="1" t="s">
        <v>27</v>
      </c>
      <c r="D101" s="1">
        <v>1</v>
      </c>
    </row>
    <row r="102" spans="1:5" ht="13.5" customHeight="1" x14ac:dyDescent="0.3">
      <c r="A102" s="1" t="s">
        <v>130</v>
      </c>
      <c r="B102" s="1" t="s">
        <v>16</v>
      </c>
      <c r="E102" s="1">
        <v>1</v>
      </c>
    </row>
    <row r="103" spans="1:5" ht="13.5" customHeight="1" x14ac:dyDescent="0.3">
      <c r="A103" s="1" t="s">
        <v>131</v>
      </c>
      <c r="B103" s="1" t="s">
        <v>66</v>
      </c>
      <c r="D103" s="1">
        <v>1</v>
      </c>
    </row>
    <row r="104" spans="1:5" ht="13.5" customHeight="1" x14ac:dyDescent="0.3">
      <c r="A104" s="1" t="s">
        <v>132</v>
      </c>
      <c r="B104" s="1" t="s">
        <v>30</v>
      </c>
      <c r="D104" s="1">
        <v>1</v>
      </c>
    </row>
    <row r="105" spans="1:5" ht="13.5" customHeight="1" x14ac:dyDescent="0.3">
      <c r="A105" s="1" t="s">
        <v>133</v>
      </c>
      <c r="B105" s="1" t="s">
        <v>14</v>
      </c>
      <c r="C105" s="1">
        <v>1</v>
      </c>
    </row>
    <row r="106" spans="1:5" ht="13.5" customHeight="1" x14ac:dyDescent="0.3">
      <c r="A106" s="1" t="s">
        <v>134</v>
      </c>
      <c r="B106" s="1" t="s">
        <v>42</v>
      </c>
      <c r="C106" s="1">
        <v>1</v>
      </c>
    </row>
    <row r="107" spans="1:5" ht="13.5" customHeight="1" x14ac:dyDescent="0.3">
      <c r="A107" s="1" t="s">
        <v>135</v>
      </c>
      <c r="B107" s="1" t="s">
        <v>27</v>
      </c>
      <c r="D107" s="1">
        <v>1</v>
      </c>
    </row>
    <row r="108" spans="1:5" ht="13.5" customHeight="1" x14ac:dyDescent="0.3">
      <c r="A108" s="1" t="s">
        <v>136</v>
      </c>
      <c r="B108" s="1" t="s">
        <v>66</v>
      </c>
      <c r="D108" s="1">
        <v>1</v>
      </c>
    </row>
    <row r="109" spans="1:5" ht="13.5" customHeight="1" x14ac:dyDescent="0.3">
      <c r="A109" s="1" t="s">
        <v>137</v>
      </c>
      <c r="B109" s="1" t="s">
        <v>13</v>
      </c>
      <c r="D109" s="1">
        <v>1</v>
      </c>
    </row>
    <row r="110" spans="1:5" ht="13.5" customHeight="1" x14ac:dyDescent="0.3">
      <c r="A110" s="1" t="s">
        <v>138</v>
      </c>
      <c r="B110" s="1" t="s">
        <v>42</v>
      </c>
      <c r="C110" s="1">
        <v>1</v>
      </c>
    </row>
    <row r="111" spans="1:5" ht="13.5" customHeight="1" x14ac:dyDescent="0.3">
      <c r="A111" s="1" t="s">
        <v>139</v>
      </c>
      <c r="B111" s="1" t="s">
        <v>27</v>
      </c>
      <c r="E111" s="1">
        <v>1</v>
      </c>
    </row>
    <row r="112" spans="1:5" ht="13.5" customHeight="1" x14ac:dyDescent="0.3">
      <c r="A112" s="1" t="s">
        <v>140</v>
      </c>
      <c r="B112" s="1" t="s">
        <v>16</v>
      </c>
      <c r="D112" s="1">
        <v>1</v>
      </c>
    </row>
    <row r="113" spans="1:6" ht="13.5" customHeight="1" x14ac:dyDescent="0.3">
      <c r="A113" s="1" t="s">
        <v>141</v>
      </c>
      <c r="B113" s="1" t="s">
        <v>14</v>
      </c>
      <c r="C113" s="1">
        <v>1</v>
      </c>
    </row>
    <row r="114" spans="1:6" ht="13.5" customHeight="1" x14ac:dyDescent="0.3">
      <c r="A114" s="1" t="s">
        <v>142</v>
      </c>
      <c r="B114" s="1" t="s">
        <v>16</v>
      </c>
      <c r="D114" s="1">
        <v>1</v>
      </c>
    </row>
    <row r="115" spans="1:6" ht="13.5" customHeight="1" x14ac:dyDescent="0.3">
      <c r="A115" s="1" t="s">
        <v>143</v>
      </c>
      <c r="B115" s="1" t="s">
        <v>24</v>
      </c>
      <c r="D115" s="1">
        <v>1</v>
      </c>
    </row>
    <row r="116" spans="1:6" ht="13.5" customHeight="1" x14ac:dyDescent="0.3">
      <c r="A116" s="1" t="s">
        <v>144</v>
      </c>
      <c r="B116" s="1" t="s">
        <v>66</v>
      </c>
      <c r="D116" s="1">
        <v>1</v>
      </c>
    </row>
    <row r="117" spans="1:6" ht="13.5" customHeight="1" x14ac:dyDescent="0.3">
      <c r="A117" s="1" t="s">
        <v>145</v>
      </c>
      <c r="B117" s="1" t="s">
        <v>27</v>
      </c>
      <c r="D117" s="1">
        <v>1</v>
      </c>
    </row>
    <row r="118" spans="1:6" ht="13.5" customHeight="1" x14ac:dyDescent="0.3">
      <c r="A118" s="1" t="s">
        <v>146</v>
      </c>
      <c r="B118" s="1" t="s">
        <v>30</v>
      </c>
      <c r="D118" s="1">
        <v>1</v>
      </c>
    </row>
    <row r="119" spans="1:6" ht="13.5" customHeight="1" x14ac:dyDescent="0.3">
      <c r="A119" s="1" t="s">
        <v>147</v>
      </c>
      <c r="B119" s="1" t="s">
        <v>42</v>
      </c>
      <c r="C119" s="1">
        <v>1</v>
      </c>
    </row>
    <row r="120" spans="1:6" ht="13.5" customHeight="1" x14ac:dyDescent="0.3">
      <c r="A120" s="1" t="s">
        <v>148</v>
      </c>
      <c r="B120" s="1" t="s">
        <v>13</v>
      </c>
      <c r="D120" s="1">
        <v>1</v>
      </c>
    </row>
    <row r="121" spans="1:6" ht="13.5" customHeight="1" x14ac:dyDescent="0.3">
      <c r="A121" s="1" t="s">
        <v>149</v>
      </c>
      <c r="B121" s="1" t="s">
        <v>150</v>
      </c>
      <c r="F121" s="1">
        <v>1</v>
      </c>
    </row>
    <row r="122" spans="1:6" ht="13.5" customHeight="1" x14ac:dyDescent="0.3">
      <c r="A122" s="1" t="s">
        <v>151</v>
      </c>
      <c r="B122" s="1" t="s">
        <v>24</v>
      </c>
      <c r="D122" s="1">
        <v>1</v>
      </c>
    </row>
    <row r="123" spans="1:6" ht="13.5" customHeight="1" x14ac:dyDescent="0.3">
      <c r="A123" s="1" t="s">
        <v>152</v>
      </c>
      <c r="B123" s="1" t="s">
        <v>24</v>
      </c>
      <c r="D123" s="1">
        <v>1</v>
      </c>
    </row>
    <row r="124" spans="1:6" ht="13.5" customHeight="1" x14ac:dyDescent="0.3">
      <c r="A124" s="1" t="s">
        <v>153</v>
      </c>
      <c r="B124" s="1" t="s">
        <v>19</v>
      </c>
      <c r="C124" s="1">
        <v>1</v>
      </c>
    </row>
    <row r="125" spans="1:6" ht="13.5" customHeight="1" x14ac:dyDescent="0.3">
      <c r="A125" s="1" t="s">
        <v>154</v>
      </c>
      <c r="B125" s="1" t="s">
        <v>33</v>
      </c>
      <c r="C125" s="1">
        <v>1</v>
      </c>
    </row>
    <row r="126" spans="1:6" ht="13.5" customHeight="1" x14ac:dyDescent="0.3">
      <c r="A126" s="1" t="s">
        <v>155</v>
      </c>
      <c r="B126" s="1" t="s">
        <v>13</v>
      </c>
      <c r="D126" s="1">
        <v>1</v>
      </c>
    </row>
    <row r="127" spans="1:6" ht="13.5" customHeight="1" x14ac:dyDescent="0.3">
      <c r="A127" s="1" t="s">
        <v>156</v>
      </c>
      <c r="B127" s="1" t="s">
        <v>13</v>
      </c>
      <c r="D127" s="1">
        <v>1</v>
      </c>
    </row>
    <row r="128" spans="1:6" ht="13.5" customHeight="1" x14ac:dyDescent="0.3">
      <c r="A128" s="1" t="s">
        <v>157</v>
      </c>
      <c r="B128" s="1" t="s">
        <v>14</v>
      </c>
      <c r="C128" s="1">
        <v>1</v>
      </c>
    </row>
    <row r="129" spans="1:5" ht="13.5" customHeight="1" x14ac:dyDescent="0.3">
      <c r="A129" s="1" t="s">
        <v>158</v>
      </c>
      <c r="B129" s="1" t="s">
        <v>16</v>
      </c>
      <c r="C129" s="1">
        <v>1</v>
      </c>
    </row>
    <row r="130" spans="1:5" ht="13.5" customHeight="1" x14ac:dyDescent="0.3">
      <c r="A130" s="1" t="s">
        <v>159</v>
      </c>
      <c r="B130" s="1" t="s">
        <v>13</v>
      </c>
      <c r="D130" s="1">
        <v>1</v>
      </c>
    </row>
    <row r="131" spans="1:5" ht="13.5" customHeight="1" x14ac:dyDescent="0.3">
      <c r="A131" s="1" t="s">
        <v>160</v>
      </c>
      <c r="B131" s="1" t="s">
        <v>66</v>
      </c>
      <c r="D131" s="1">
        <v>1</v>
      </c>
    </row>
    <row r="132" spans="1:5" ht="13.5" customHeight="1" x14ac:dyDescent="0.3">
      <c r="A132" s="1" t="s">
        <v>161</v>
      </c>
      <c r="B132" s="1" t="s">
        <v>38</v>
      </c>
      <c r="D132" s="1">
        <v>1</v>
      </c>
    </row>
    <row r="133" spans="1:5" ht="13.5" customHeight="1" x14ac:dyDescent="0.3">
      <c r="A133" s="1" t="s">
        <v>162</v>
      </c>
      <c r="B133" s="1" t="s">
        <v>13</v>
      </c>
      <c r="D133" s="1">
        <v>1</v>
      </c>
    </row>
    <row r="134" spans="1:5" ht="13.5" customHeight="1" x14ac:dyDescent="0.3">
      <c r="A134" s="1" t="s">
        <v>163</v>
      </c>
      <c r="B134" s="1" t="s">
        <v>66</v>
      </c>
      <c r="D134" s="1">
        <v>1</v>
      </c>
    </row>
    <row r="135" spans="1:5" ht="13.5" customHeight="1" x14ac:dyDescent="0.3">
      <c r="A135" s="1" t="s">
        <v>164</v>
      </c>
      <c r="B135" s="1" t="s">
        <v>21</v>
      </c>
      <c r="D135" s="1">
        <v>1</v>
      </c>
    </row>
    <row r="136" spans="1:5" ht="13.5" customHeight="1" x14ac:dyDescent="0.3">
      <c r="A136" s="1" t="s">
        <v>165</v>
      </c>
      <c r="B136" s="1" t="s">
        <v>30</v>
      </c>
      <c r="D136" s="1">
        <v>1</v>
      </c>
    </row>
    <row r="137" spans="1:5" ht="13.5" customHeight="1" x14ac:dyDescent="0.3">
      <c r="A137" s="1" t="s">
        <v>166</v>
      </c>
      <c r="B137" s="1" t="s">
        <v>30</v>
      </c>
      <c r="D137" s="1">
        <v>1</v>
      </c>
    </row>
    <row r="138" spans="1:5" ht="13.5" customHeight="1" x14ac:dyDescent="0.3">
      <c r="A138" s="1" t="s">
        <v>167</v>
      </c>
      <c r="B138" s="1" t="s">
        <v>19</v>
      </c>
      <c r="C138" s="1">
        <v>1</v>
      </c>
    </row>
    <row r="139" spans="1:5" ht="13.5" customHeight="1" x14ac:dyDescent="0.3">
      <c r="A139" s="1" t="s">
        <v>168</v>
      </c>
      <c r="B139" s="1" t="s">
        <v>13</v>
      </c>
      <c r="D139" s="1">
        <v>1</v>
      </c>
    </row>
    <row r="140" spans="1:5" ht="13.5" customHeight="1" x14ac:dyDescent="0.3">
      <c r="A140" s="1" t="s">
        <v>169</v>
      </c>
      <c r="B140" s="1" t="s">
        <v>27</v>
      </c>
      <c r="D140" s="1">
        <v>1</v>
      </c>
    </row>
    <row r="141" spans="1:5" ht="13.5" customHeight="1" x14ac:dyDescent="0.3">
      <c r="A141" s="1" t="s">
        <v>170</v>
      </c>
      <c r="B141" s="1" t="s">
        <v>16</v>
      </c>
      <c r="E141" s="1">
        <v>1</v>
      </c>
    </row>
    <row r="142" spans="1:5" ht="13.5" customHeight="1" x14ac:dyDescent="0.3">
      <c r="A142" s="1" t="s">
        <v>171</v>
      </c>
      <c r="B142" s="1" t="s">
        <v>19</v>
      </c>
      <c r="C142" s="1">
        <v>1</v>
      </c>
    </row>
    <row r="143" spans="1:5" ht="13.5" customHeight="1" x14ac:dyDescent="0.3">
      <c r="A143" s="1" t="s">
        <v>172</v>
      </c>
      <c r="B143" s="1" t="s">
        <v>37</v>
      </c>
      <c r="C143" s="1">
        <v>1</v>
      </c>
    </row>
    <row r="144" spans="1:5" ht="13.5" customHeight="1" x14ac:dyDescent="0.3">
      <c r="A144" s="1" t="s">
        <v>173</v>
      </c>
      <c r="B144" s="1" t="s">
        <v>27</v>
      </c>
      <c r="D144" s="1">
        <v>1</v>
      </c>
    </row>
    <row r="145" spans="1:4" ht="13.5" customHeight="1" x14ac:dyDescent="0.3">
      <c r="A145" s="1" t="s">
        <v>174</v>
      </c>
      <c r="B145" s="1" t="s">
        <v>66</v>
      </c>
      <c r="D145" s="1">
        <v>1</v>
      </c>
    </row>
    <row r="146" spans="1:4" ht="13.5" customHeight="1" x14ac:dyDescent="0.3">
      <c r="A146" s="1" t="s">
        <v>175</v>
      </c>
      <c r="B146" s="1" t="s">
        <v>14</v>
      </c>
      <c r="C146" s="1">
        <v>1</v>
      </c>
    </row>
    <row r="147" spans="1:4" ht="13.5" customHeight="1" x14ac:dyDescent="0.3">
      <c r="A147" s="1" t="s">
        <v>176</v>
      </c>
      <c r="B147" s="1" t="s">
        <v>66</v>
      </c>
      <c r="D147" s="1">
        <v>1</v>
      </c>
    </row>
    <row r="148" spans="1:4" ht="13.5" customHeight="1" x14ac:dyDescent="0.3">
      <c r="A148" s="1" t="s">
        <v>177</v>
      </c>
      <c r="B148" s="1" t="s">
        <v>42</v>
      </c>
      <c r="C148" s="1">
        <v>1</v>
      </c>
    </row>
    <row r="149" spans="1:4" ht="13.5" customHeight="1" x14ac:dyDescent="0.3">
      <c r="A149" s="1" t="s">
        <v>178</v>
      </c>
      <c r="B149" s="1" t="s">
        <v>33</v>
      </c>
      <c r="D149" s="1">
        <v>1</v>
      </c>
    </row>
    <row r="150" spans="1:4" ht="13.5" customHeight="1" x14ac:dyDescent="0.3">
      <c r="A150" s="1" t="s">
        <v>179</v>
      </c>
      <c r="B150" s="1" t="s">
        <v>14</v>
      </c>
      <c r="C150" s="1">
        <v>1</v>
      </c>
    </row>
    <row r="151" spans="1:4" ht="13.5" customHeight="1" x14ac:dyDescent="0.3">
      <c r="A151" s="1" t="s">
        <v>180</v>
      </c>
      <c r="B151" s="1" t="s">
        <v>13</v>
      </c>
      <c r="D151" s="1">
        <v>1</v>
      </c>
    </row>
    <row r="152" spans="1:4" ht="13.5" customHeight="1" x14ac:dyDescent="0.3">
      <c r="A152" s="1" t="s">
        <v>181</v>
      </c>
      <c r="B152" s="1" t="s">
        <v>24</v>
      </c>
      <c r="D152" s="1">
        <v>1</v>
      </c>
    </row>
    <row r="153" spans="1:4" ht="13.5" customHeight="1" x14ac:dyDescent="0.3">
      <c r="A153" s="1" t="s">
        <v>182</v>
      </c>
      <c r="B153" s="1" t="s">
        <v>19</v>
      </c>
      <c r="D153" s="1">
        <v>1</v>
      </c>
    </row>
    <row r="154" spans="1:4" ht="13.5" customHeight="1" x14ac:dyDescent="0.3">
      <c r="A154" s="1" t="s">
        <v>183</v>
      </c>
      <c r="B154" s="1" t="s">
        <v>42</v>
      </c>
      <c r="C154" s="1">
        <v>1</v>
      </c>
    </row>
    <row r="155" spans="1:4" ht="13.5" customHeight="1" x14ac:dyDescent="0.3">
      <c r="A155" s="1" t="s">
        <v>184</v>
      </c>
      <c r="B155" s="1" t="s">
        <v>19</v>
      </c>
      <c r="C155" s="1">
        <v>1</v>
      </c>
    </row>
    <row r="156" spans="1:4" ht="13.5" customHeight="1" x14ac:dyDescent="0.3">
      <c r="A156" s="1" t="s">
        <v>185</v>
      </c>
      <c r="B156" s="1" t="s">
        <v>30</v>
      </c>
      <c r="D156" s="1">
        <v>1</v>
      </c>
    </row>
    <row r="157" spans="1:4" ht="13.5" customHeight="1" x14ac:dyDescent="0.3"/>
    <row r="158" spans="1:4" ht="13.5" customHeight="1" x14ac:dyDescent="0.3"/>
    <row r="159" spans="1:4" ht="13.5" customHeight="1" x14ac:dyDescent="0.3"/>
    <row r="160" spans="1:4" ht="13.5" customHeight="1" x14ac:dyDescent="0.3"/>
    <row r="161" s="1" customFormat="1" ht="13.5" customHeight="1" x14ac:dyDescent="0.3"/>
    <row r="162" s="1" customFormat="1" ht="13.5" customHeight="1" x14ac:dyDescent="0.3"/>
    <row r="163" s="1" customFormat="1" ht="13.5" customHeight="1" x14ac:dyDescent="0.3"/>
    <row r="164" s="1" customFormat="1" ht="13.5" customHeight="1" x14ac:dyDescent="0.3"/>
    <row r="165" s="1" customFormat="1" ht="13.5" customHeight="1" x14ac:dyDescent="0.3"/>
    <row r="166" s="1" customFormat="1" ht="13.5" customHeight="1" x14ac:dyDescent="0.3"/>
    <row r="167" s="1" customFormat="1" ht="13.5" customHeight="1" x14ac:dyDescent="0.3"/>
    <row r="168" s="1" customFormat="1" ht="13.5" customHeight="1" x14ac:dyDescent="0.3"/>
    <row r="169" s="1" customFormat="1" ht="13.5" customHeight="1" x14ac:dyDescent="0.3"/>
    <row r="170" s="1" customFormat="1" ht="13.5" customHeight="1" x14ac:dyDescent="0.3"/>
    <row r="171" s="1" customFormat="1" ht="13.5" customHeight="1" x14ac:dyDescent="0.3"/>
    <row r="172" s="1" customFormat="1" ht="13.5" customHeight="1" x14ac:dyDescent="0.3"/>
    <row r="173" s="1" customFormat="1" ht="13.5" customHeight="1" x14ac:dyDescent="0.3"/>
    <row r="174" s="1" customFormat="1" ht="13.5" customHeight="1" x14ac:dyDescent="0.3"/>
    <row r="175" s="1" customFormat="1" ht="13.5" customHeight="1" x14ac:dyDescent="0.3"/>
    <row r="176" s="1" customFormat="1" ht="13.5" customHeight="1" x14ac:dyDescent="0.3"/>
    <row r="177" s="1" customFormat="1" ht="13.5" customHeight="1" x14ac:dyDescent="0.3"/>
    <row r="178" s="1" customFormat="1" ht="13.5" customHeight="1" x14ac:dyDescent="0.3"/>
    <row r="179" s="1" customFormat="1" ht="13.5" customHeight="1" x14ac:dyDescent="0.3"/>
    <row r="180" s="1" customFormat="1" ht="13.5" customHeight="1" x14ac:dyDescent="0.3"/>
    <row r="181" s="1" customFormat="1" ht="13.5" customHeight="1" x14ac:dyDescent="0.3"/>
    <row r="182" s="1" customFormat="1" ht="13.5" customHeight="1" x14ac:dyDescent="0.3"/>
    <row r="183" s="1" customFormat="1" ht="13.5" customHeight="1" x14ac:dyDescent="0.3"/>
    <row r="184" s="1" customFormat="1" ht="13.5" customHeight="1" x14ac:dyDescent="0.3"/>
    <row r="185" s="1" customFormat="1" ht="13.5" customHeight="1" x14ac:dyDescent="0.3"/>
    <row r="186" s="1" customFormat="1" ht="13.5" customHeight="1" x14ac:dyDescent="0.3"/>
    <row r="187" s="1" customFormat="1" ht="13.5" customHeight="1" x14ac:dyDescent="0.3"/>
    <row r="188" s="1" customFormat="1" ht="13.5" customHeight="1" x14ac:dyDescent="0.3"/>
    <row r="189" s="1" customFormat="1" ht="13.5" customHeight="1" x14ac:dyDescent="0.3"/>
    <row r="190" s="1" customFormat="1" ht="13.5" customHeight="1" x14ac:dyDescent="0.3"/>
    <row r="191" s="1" customFormat="1" ht="13.5" customHeight="1" x14ac:dyDescent="0.3"/>
    <row r="192" s="1" customFormat="1" ht="13.5" customHeight="1" x14ac:dyDescent="0.3"/>
    <row r="193" s="1" customFormat="1" ht="13.5" customHeight="1" x14ac:dyDescent="0.3"/>
    <row r="194" s="1" customFormat="1" ht="13.5" customHeight="1" x14ac:dyDescent="0.3"/>
    <row r="195" s="1" customFormat="1" ht="13.5" customHeight="1" x14ac:dyDescent="0.3"/>
    <row r="196" s="1" customFormat="1" ht="13.5" customHeight="1" x14ac:dyDescent="0.3"/>
    <row r="197" s="1" customFormat="1" ht="13.5" customHeight="1" x14ac:dyDescent="0.3"/>
    <row r="198" s="1" customFormat="1" ht="13.5" customHeight="1" x14ac:dyDescent="0.3"/>
    <row r="199" s="1" customFormat="1" ht="13.5" customHeight="1" x14ac:dyDescent="0.3"/>
    <row r="200" s="1" customFormat="1" ht="13.5" customHeight="1" x14ac:dyDescent="0.3"/>
    <row r="201" s="1" customFormat="1" ht="13.5" customHeight="1" x14ac:dyDescent="0.3"/>
    <row r="202" s="1" customFormat="1" ht="13.5" customHeight="1" x14ac:dyDescent="0.3"/>
    <row r="203" s="1" customFormat="1" ht="13.5" customHeight="1" x14ac:dyDescent="0.3"/>
    <row r="204" s="1" customFormat="1" ht="13.5" customHeight="1" x14ac:dyDescent="0.3"/>
    <row r="205" s="1" customFormat="1" ht="13.5" customHeight="1" x14ac:dyDescent="0.3"/>
    <row r="206" s="1" customFormat="1" ht="13.5" customHeight="1" x14ac:dyDescent="0.3"/>
    <row r="207" s="1" customFormat="1" ht="13.5" customHeight="1" x14ac:dyDescent="0.3"/>
    <row r="208" s="1" customFormat="1" ht="13.5" customHeight="1" x14ac:dyDescent="0.3"/>
    <row r="209" s="1" customFormat="1" ht="13.5" customHeight="1" x14ac:dyDescent="0.3"/>
    <row r="210" s="1" customFormat="1" ht="13.5" customHeight="1" x14ac:dyDescent="0.3"/>
    <row r="211" s="1" customFormat="1" ht="13.5" customHeight="1" x14ac:dyDescent="0.3"/>
    <row r="212" s="1" customFormat="1" ht="13.5" customHeight="1" x14ac:dyDescent="0.3"/>
    <row r="213" s="1" customFormat="1" ht="13.5" customHeight="1" x14ac:dyDescent="0.3"/>
    <row r="214" s="1" customFormat="1" ht="13.5" customHeight="1" x14ac:dyDescent="0.3"/>
    <row r="215" s="1" customFormat="1" ht="13.5" customHeight="1" x14ac:dyDescent="0.3"/>
    <row r="216" s="1" customFormat="1" ht="13.5" customHeight="1" x14ac:dyDescent="0.3"/>
    <row r="217" s="1" customFormat="1" ht="13.5" customHeight="1" x14ac:dyDescent="0.3"/>
    <row r="218" s="1" customFormat="1" ht="13.5" customHeight="1" x14ac:dyDescent="0.3"/>
    <row r="219" s="1" customFormat="1" ht="13.5" customHeight="1" x14ac:dyDescent="0.3"/>
    <row r="220" s="1" customFormat="1" ht="13.5" customHeight="1" x14ac:dyDescent="0.3"/>
    <row r="221" s="1" customFormat="1" ht="13.5" customHeight="1" x14ac:dyDescent="0.3"/>
    <row r="222" s="1" customFormat="1" ht="13.5" customHeight="1" x14ac:dyDescent="0.3"/>
    <row r="223" s="1" customFormat="1" ht="13.5" customHeight="1" x14ac:dyDescent="0.3"/>
    <row r="224" s="1" customFormat="1" ht="13.5" customHeight="1" x14ac:dyDescent="0.3"/>
    <row r="225" s="1" customFormat="1" ht="13.5" customHeight="1" x14ac:dyDescent="0.3"/>
    <row r="226" s="1" customFormat="1" ht="13.5" customHeight="1" x14ac:dyDescent="0.3"/>
    <row r="227" s="1" customFormat="1" ht="13.5" customHeight="1" x14ac:dyDescent="0.3"/>
    <row r="228" s="1" customFormat="1" ht="13.5" customHeight="1" x14ac:dyDescent="0.3"/>
    <row r="229" s="1" customFormat="1" ht="13.5" customHeight="1" x14ac:dyDescent="0.3"/>
    <row r="230" s="1" customFormat="1" ht="13.5" customHeight="1" x14ac:dyDescent="0.3"/>
    <row r="231" s="1" customFormat="1" ht="13.5" customHeight="1" x14ac:dyDescent="0.3"/>
    <row r="232" s="1" customFormat="1" ht="13.5" customHeight="1" x14ac:dyDescent="0.3"/>
    <row r="233" s="1" customFormat="1" ht="13.5" customHeight="1" x14ac:dyDescent="0.3"/>
    <row r="234" s="1" customFormat="1" ht="13.5" customHeight="1" x14ac:dyDescent="0.3"/>
    <row r="235" s="1" customFormat="1" ht="13.5" customHeight="1" x14ac:dyDescent="0.3"/>
    <row r="236" s="1" customFormat="1" ht="13.5" customHeight="1" x14ac:dyDescent="0.3"/>
    <row r="237" s="1" customFormat="1" ht="13.5" customHeight="1" x14ac:dyDescent="0.3"/>
    <row r="238" s="1" customFormat="1" ht="13.5" customHeight="1" x14ac:dyDescent="0.3"/>
    <row r="239" s="1" customFormat="1" ht="13.5" customHeight="1" x14ac:dyDescent="0.3"/>
    <row r="240" s="1" customFormat="1" ht="13.5" customHeight="1" x14ac:dyDescent="0.3"/>
    <row r="241" s="1" customFormat="1" ht="13.5" customHeight="1" x14ac:dyDescent="0.3"/>
    <row r="242" s="1" customFormat="1" ht="13.5" customHeight="1" x14ac:dyDescent="0.3"/>
    <row r="243" s="1" customFormat="1" ht="13.5" customHeight="1" x14ac:dyDescent="0.3"/>
    <row r="244" s="1" customFormat="1" ht="13.5" customHeight="1" x14ac:dyDescent="0.3"/>
    <row r="245" s="1" customFormat="1" ht="13.5" customHeight="1" x14ac:dyDescent="0.3"/>
    <row r="246" s="1" customFormat="1" ht="13.5" customHeight="1" x14ac:dyDescent="0.3"/>
    <row r="247" s="1" customFormat="1" ht="13.5" customHeight="1" x14ac:dyDescent="0.3"/>
    <row r="248" s="1" customFormat="1" ht="13.5" customHeight="1" x14ac:dyDescent="0.3"/>
    <row r="249" s="1" customFormat="1" ht="13.5" customHeight="1" x14ac:dyDescent="0.3"/>
    <row r="250" s="1" customFormat="1" ht="13.5" customHeight="1" x14ac:dyDescent="0.3"/>
    <row r="251" s="1" customFormat="1" ht="13.5" customHeight="1" x14ac:dyDescent="0.3"/>
    <row r="252" s="1" customFormat="1" ht="13.5" customHeight="1" x14ac:dyDescent="0.3"/>
    <row r="253" s="1" customFormat="1" ht="13.5" customHeight="1" x14ac:dyDescent="0.3"/>
    <row r="254" s="1" customFormat="1" ht="13.5" customHeight="1" x14ac:dyDescent="0.3"/>
    <row r="255" s="1" customFormat="1" ht="13.5" customHeight="1" x14ac:dyDescent="0.3"/>
    <row r="256" s="1" customFormat="1" ht="13.5" customHeight="1" x14ac:dyDescent="0.3"/>
    <row r="257" s="1" customFormat="1" ht="13.5" customHeight="1" x14ac:dyDescent="0.3"/>
    <row r="258" s="1" customFormat="1" ht="13.5" customHeight="1" x14ac:dyDescent="0.3"/>
    <row r="259" s="1" customFormat="1" ht="13.5" customHeight="1" x14ac:dyDescent="0.3"/>
    <row r="260" s="1" customFormat="1" ht="13.5" customHeight="1" x14ac:dyDescent="0.3"/>
    <row r="261" s="1" customFormat="1" ht="13.5" customHeight="1" x14ac:dyDescent="0.3"/>
    <row r="262" s="1" customFormat="1" ht="13.5" customHeight="1" x14ac:dyDescent="0.3"/>
    <row r="263" s="1" customFormat="1" ht="13.5" customHeight="1" x14ac:dyDescent="0.3"/>
    <row r="264" s="1" customFormat="1" ht="13.5" customHeight="1" x14ac:dyDescent="0.3"/>
    <row r="265" s="1" customFormat="1" ht="13.5" customHeight="1" x14ac:dyDescent="0.3"/>
    <row r="266" s="1" customFormat="1" ht="13.5" customHeight="1" x14ac:dyDescent="0.3"/>
    <row r="267" s="1" customFormat="1" ht="13.5" customHeight="1" x14ac:dyDescent="0.3"/>
    <row r="268" s="1" customFormat="1" ht="13.5" customHeight="1" x14ac:dyDescent="0.3"/>
    <row r="269" s="1" customFormat="1" ht="13.5" customHeight="1" x14ac:dyDescent="0.3"/>
    <row r="270" s="1" customFormat="1" ht="13.5" customHeight="1" x14ac:dyDescent="0.3"/>
    <row r="271" s="1" customFormat="1" ht="13.5" customHeight="1" x14ac:dyDescent="0.3"/>
    <row r="272" s="1" customFormat="1" ht="13.5" customHeight="1" x14ac:dyDescent="0.3"/>
    <row r="273" s="1" customFormat="1" ht="13.5" customHeight="1" x14ac:dyDescent="0.3"/>
    <row r="274" s="1" customFormat="1" ht="13.5" customHeight="1" x14ac:dyDescent="0.3"/>
    <row r="275" s="1" customFormat="1" ht="13.5" customHeight="1" x14ac:dyDescent="0.3"/>
    <row r="276" s="1" customFormat="1" ht="13.5" customHeight="1" x14ac:dyDescent="0.3"/>
    <row r="277" s="1" customFormat="1" ht="13.5" customHeight="1" x14ac:dyDescent="0.3"/>
    <row r="278" s="1" customFormat="1" ht="13.5" customHeight="1" x14ac:dyDescent="0.3"/>
    <row r="279" s="1" customFormat="1" ht="13.5" customHeight="1" x14ac:dyDescent="0.3"/>
    <row r="280" s="1" customFormat="1" ht="13.5" customHeight="1" x14ac:dyDescent="0.3"/>
    <row r="281" s="1" customFormat="1" ht="13.5" customHeight="1" x14ac:dyDescent="0.3"/>
    <row r="282" s="1" customFormat="1" ht="13.5" customHeight="1" x14ac:dyDescent="0.3"/>
    <row r="283" s="1" customFormat="1" ht="13.5" customHeight="1" x14ac:dyDescent="0.3"/>
    <row r="284" s="1" customFormat="1" ht="13.5" customHeight="1" x14ac:dyDescent="0.3"/>
    <row r="285" s="1" customFormat="1" ht="13.5" customHeight="1" x14ac:dyDescent="0.3"/>
    <row r="286" s="1" customFormat="1" ht="13.5" customHeight="1" x14ac:dyDescent="0.3"/>
    <row r="287" s="1" customFormat="1" ht="13.5" customHeight="1" x14ac:dyDescent="0.3"/>
    <row r="288" s="1" customFormat="1" ht="13.5" customHeight="1" x14ac:dyDescent="0.3"/>
    <row r="289" s="1" customFormat="1" ht="13.5" customHeight="1" x14ac:dyDescent="0.3"/>
    <row r="290" s="1" customFormat="1" ht="13.5" customHeight="1" x14ac:dyDescent="0.3"/>
    <row r="291" s="1" customFormat="1" ht="13.5" customHeight="1" x14ac:dyDescent="0.3"/>
    <row r="292" s="1" customFormat="1" ht="13.5" customHeight="1" x14ac:dyDescent="0.3"/>
    <row r="293" s="1" customFormat="1" ht="13.5" customHeight="1" x14ac:dyDescent="0.3"/>
    <row r="294" s="1" customFormat="1" ht="13.5" customHeight="1" x14ac:dyDescent="0.3"/>
    <row r="295" s="1" customFormat="1" ht="13.5" customHeight="1" x14ac:dyDescent="0.3"/>
    <row r="296" s="1" customFormat="1" ht="13.5" customHeight="1" x14ac:dyDescent="0.3"/>
    <row r="297" s="1" customFormat="1" ht="13.5" customHeight="1" x14ac:dyDescent="0.3"/>
    <row r="298" s="1" customFormat="1" ht="13.5" customHeight="1" x14ac:dyDescent="0.3"/>
    <row r="299" s="1" customFormat="1" ht="13.5" customHeight="1" x14ac:dyDescent="0.3"/>
    <row r="300" s="1" customFormat="1" ht="13.5" customHeight="1" x14ac:dyDescent="0.3"/>
    <row r="301" s="1" customFormat="1" ht="13.5" customHeight="1" x14ac:dyDescent="0.3"/>
    <row r="302" s="1" customFormat="1" ht="13.5" customHeight="1" x14ac:dyDescent="0.3"/>
    <row r="303" s="1" customFormat="1" ht="13.5" customHeight="1" x14ac:dyDescent="0.3"/>
    <row r="304" s="1" customFormat="1" ht="13.5" customHeight="1" x14ac:dyDescent="0.3"/>
    <row r="305" s="1" customFormat="1" ht="13.5" customHeight="1" x14ac:dyDescent="0.3"/>
    <row r="306" s="1" customFormat="1" ht="13.5" customHeight="1" x14ac:dyDescent="0.3"/>
    <row r="307" s="1" customFormat="1" ht="13.5" customHeight="1" x14ac:dyDescent="0.3"/>
    <row r="308" s="1" customFormat="1" ht="13.5" customHeight="1" x14ac:dyDescent="0.3"/>
    <row r="309" s="1" customFormat="1" ht="13.5" customHeight="1" x14ac:dyDescent="0.3"/>
    <row r="310" s="1" customFormat="1" ht="13.5" customHeight="1" x14ac:dyDescent="0.3"/>
    <row r="311" s="1" customFormat="1" ht="13.5" customHeight="1" x14ac:dyDescent="0.3"/>
    <row r="312" s="1" customFormat="1" ht="13.5" customHeight="1" x14ac:dyDescent="0.3"/>
    <row r="313" s="1" customFormat="1" ht="13.5" customHeight="1" x14ac:dyDescent="0.3"/>
    <row r="314" s="1" customFormat="1" ht="13.5" customHeight="1" x14ac:dyDescent="0.3"/>
    <row r="315" s="1" customFormat="1" ht="13.5" customHeight="1" x14ac:dyDescent="0.3"/>
    <row r="316" s="1" customFormat="1" ht="13.5" customHeight="1" x14ac:dyDescent="0.3"/>
    <row r="317" s="1" customFormat="1" ht="13.5" customHeight="1" x14ac:dyDescent="0.3"/>
    <row r="318" s="1" customFormat="1" ht="13.5" customHeight="1" x14ac:dyDescent="0.3"/>
    <row r="319" s="1" customFormat="1" ht="13.5" customHeight="1" x14ac:dyDescent="0.3"/>
    <row r="320" s="1" customFormat="1" ht="13.5" customHeight="1" x14ac:dyDescent="0.3"/>
    <row r="321" s="1" customFormat="1" ht="13.5" customHeight="1" x14ac:dyDescent="0.3"/>
    <row r="322" s="1" customFormat="1" ht="13.5" customHeight="1" x14ac:dyDescent="0.3"/>
    <row r="323" s="1" customFormat="1" ht="13.5" customHeight="1" x14ac:dyDescent="0.3"/>
    <row r="324" s="1" customFormat="1" ht="13.5" customHeight="1" x14ac:dyDescent="0.3"/>
    <row r="325" s="1" customFormat="1" ht="13.5" customHeight="1" x14ac:dyDescent="0.3"/>
    <row r="326" s="1" customFormat="1" ht="13.5" customHeight="1" x14ac:dyDescent="0.3"/>
    <row r="327" s="1" customFormat="1" ht="13.5" customHeight="1" x14ac:dyDescent="0.3"/>
    <row r="328" s="1" customFormat="1" ht="13.5" customHeight="1" x14ac:dyDescent="0.3"/>
    <row r="329" s="1" customFormat="1" ht="13.5" customHeight="1" x14ac:dyDescent="0.3"/>
    <row r="330" s="1" customFormat="1" ht="13.5" customHeight="1" x14ac:dyDescent="0.3"/>
    <row r="331" s="1" customFormat="1" ht="13.5" customHeight="1" x14ac:dyDescent="0.3"/>
    <row r="332" s="1" customFormat="1" ht="13.5" customHeight="1" x14ac:dyDescent="0.3"/>
    <row r="333" s="1" customFormat="1" ht="13.5" customHeight="1" x14ac:dyDescent="0.3"/>
    <row r="334" s="1" customFormat="1" ht="13.5" customHeight="1" x14ac:dyDescent="0.3"/>
    <row r="335" s="1" customFormat="1" ht="13.5" customHeight="1" x14ac:dyDescent="0.3"/>
    <row r="336" s="1" customFormat="1" ht="13.5" customHeight="1" x14ac:dyDescent="0.3"/>
    <row r="337" s="1" customFormat="1" ht="13.5" customHeight="1" x14ac:dyDescent="0.3"/>
    <row r="338" s="1" customFormat="1" ht="13.5" customHeight="1" x14ac:dyDescent="0.3"/>
    <row r="339" s="1" customFormat="1" ht="13.5" customHeight="1" x14ac:dyDescent="0.3"/>
    <row r="340" s="1" customFormat="1" ht="13.5" customHeight="1" x14ac:dyDescent="0.3"/>
    <row r="341" s="1" customFormat="1" ht="13.5" customHeight="1" x14ac:dyDescent="0.3"/>
    <row r="342" s="1" customFormat="1" ht="13.5" customHeight="1" x14ac:dyDescent="0.3"/>
    <row r="343" s="1" customFormat="1" ht="13.5" customHeight="1" x14ac:dyDescent="0.3"/>
    <row r="344" s="1" customFormat="1" ht="13.5" customHeight="1" x14ac:dyDescent="0.3"/>
    <row r="345" s="1" customFormat="1" ht="13.5" customHeight="1" x14ac:dyDescent="0.3"/>
    <row r="346" s="1" customFormat="1" ht="13.5" customHeight="1" x14ac:dyDescent="0.3"/>
    <row r="347" s="1" customFormat="1" ht="13.5" customHeight="1" x14ac:dyDescent="0.3"/>
    <row r="348" s="1" customFormat="1" ht="13.5" customHeight="1" x14ac:dyDescent="0.3"/>
    <row r="349" s="1" customFormat="1" ht="13.5" customHeight="1" x14ac:dyDescent="0.3"/>
    <row r="350" s="1" customFormat="1" ht="13.5" customHeight="1" x14ac:dyDescent="0.3"/>
    <row r="351" s="1" customFormat="1" ht="13.5" customHeight="1" x14ac:dyDescent="0.3"/>
    <row r="352" s="1" customFormat="1" ht="13.5" customHeight="1" x14ac:dyDescent="0.3"/>
    <row r="353" s="1" customFormat="1" ht="13.5" customHeight="1" x14ac:dyDescent="0.3"/>
    <row r="354" s="1" customFormat="1" ht="13.5" customHeight="1" x14ac:dyDescent="0.3"/>
    <row r="355" s="1" customFormat="1" ht="13.5" customHeight="1" x14ac:dyDescent="0.3"/>
    <row r="356" s="1" customFormat="1" ht="13.5" customHeight="1" x14ac:dyDescent="0.3"/>
    <row r="357" s="1" customFormat="1" ht="13.5" customHeight="1" x14ac:dyDescent="0.3"/>
    <row r="358" s="1" customFormat="1" ht="13.5" customHeight="1" x14ac:dyDescent="0.3"/>
    <row r="359" s="1" customFormat="1" ht="13.5" customHeight="1" x14ac:dyDescent="0.3"/>
    <row r="360" s="1" customFormat="1" ht="13.5" customHeight="1" x14ac:dyDescent="0.3"/>
    <row r="361" s="1" customFormat="1" ht="13.5" customHeight="1" x14ac:dyDescent="0.3"/>
    <row r="362" s="1" customFormat="1" ht="13.5" customHeight="1" x14ac:dyDescent="0.3"/>
    <row r="363" s="1" customFormat="1" ht="13.5" customHeight="1" x14ac:dyDescent="0.3"/>
    <row r="364" s="1" customFormat="1" ht="13.5" customHeight="1" x14ac:dyDescent="0.3"/>
    <row r="365" s="1" customFormat="1" ht="13.5" customHeight="1" x14ac:dyDescent="0.3"/>
    <row r="366" s="1" customFormat="1" ht="13.5" customHeight="1" x14ac:dyDescent="0.3"/>
    <row r="367" s="1" customFormat="1" ht="13.5" customHeight="1" x14ac:dyDescent="0.3"/>
    <row r="368" s="1" customFormat="1" ht="13.5" customHeight="1" x14ac:dyDescent="0.3"/>
    <row r="369" s="1" customFormat="1" ht="13.5" customHeight="1" x14ac:dyDescent="0.3"/>
    <row r="370" s="1" customFormat="1" ht="13.5" customHeight="1" x14ac:dyDescent="0.3"/>
    <row r="371" s="1" customFormat="1" ht="13.5" customHeight="1" x14ac:dyDescent="0.3"/>
    <row r="372" s="1" customFormat="1" ht="13.5" customHeight="1" x14ac:dyDescent="0.3"/>
    <row r="373" s="1" customFormat="1" ht="13.5" customHeight="1" x14ac:dyDescent="0.3"/>
    <row r="374" s="1" customFormat="1" ht="13.5" customHeight="1" x14ac:dyDescent="0.3"/>
    <row r="375" s="1" customFormat="1" ht="13.5" customHeight="1" x14ac:dyDescent="0.3"/>
    <row r="376" s="1" customFormat="1" ht="13.5" customHeight="1" x14ac:dyDescent="0.3"/>
    <row r="377" s="1" customFormat="1" ht="13.5" customHeight="1" x14ac:dyDescent="0.3"/>
    <row r="378" s="1" customFormat="1" ht="13.5" customHeight="1" x14ac:dyDescent="0.3"/>
    <row r="379" s="1" customFormat="1" ht="13.5" customHeight="1" x14ac:dyDescent="0.3"/>
    <row r="380" s="1" customFormat="1" ht="13.5" customHeight="1" x14ac:dyDescent="0.3"/>
    <row r="381" s="1" customFormat="1" ht="13.5" customHeight="1" x14ac:dyDescent="0.3"/>
    <row r="382" s="1" customFormat="1" ht="13.5" customHeight="1" x14ac:dyDescent="0.3"/>
    <row r="383" s="1" customFormat="1" ht="13.5" customHeight="1" x14ac:dyDescent="0.3"/>
    <row r="384" s="1" customFormat="1" ht="13.5" customHeight="1" x14ac:dyDescent="0.3"/>
    <row r="385" s="1" customFormat="1" ht="13.5" customHeight="1" x14ac:dyDescent="0.3"/>
    <row r="386" s="1" customFormat="1" ht="13.5" customHeight="1" x14ac:dyDescent="0.3"/>
    <row r="387" s="1" customFormat="1" ht="13.5" customHeight="1" x14ac:dyDescent="0.3"/>
    <row r="388" s="1" customFormat="1" ht="13.5" customHeight="1" x14ac:dyDescent="0.3"/>
    <row r="389" s="1" customFormat="1" ht="13.5" customHeight="1" x14ac:dyDescent="0.3"/>
    <row r="390" s="1" customFormat="1" ht="13.5" customHeight="1" x14ac:dyDescent="0.3"/>
    <row r="391" s="1" customFormat="1" ht="13.5" customHeight="1" x14ac:dyDescent="0.3"/>
    <row r="392" s="1" customFormat="1" ht="13.5" customHeight="1" x14ac:dyDescent="0.3"/>
    <row r="393" s="1" customFormat="1" ht="13.5" customHeight="1" x14ac:dyDescent="0.3"/>
    <row r="394" s="1" customFormat="1" ht="13.5" customHeight="1" x14ac:dyDescent="0.3"/>
    <row r="395" s="1" customFormat="1" ht="13.5" customHeight="1" x14ac:dyDescent="0.3"/>
    <row r="396" s="1" customFormat="1" ht="13.5" customHeight="1" x14ac:dyDescent="0.3"/>
    <row r="397" s="1" customFormat="1" ht="13.5" customHeight="1" x14ac:dyDescent="0.3"/>
    <row r="398" s="1" customFormat="1" ht="13.5" customHeight="1" x14ac:dyDescent="0.3"/>
    <row r="399" s="1" customFormat="1" ht="13.5" customHeight="1" x14ac:dyDescent="0.3"/>
    <row r="400" s="1" customFormat="1" ht="13.5" customHeight="1" x14ac:dyDescent="0.3"/>
    <row r="401" s="1" customFormat="1" ht="13.5" customHeight="1" x14ac:dyDescent="0.3"/>
    <row r="402" s="1" customFormat="1" ht="13.5" customHeight="1" x14ac:dyDescent="0.3"/>
    <row r="403" s="1" customFormat="1" ht="13.5" customHeight="1" x14ac:dyDescent="0.3"/>
    <row r="404" s="1" customFormat="1" ht="13.5" customHeight="1" x14ac:dyDescent="0.3"/>
    <row r="405" s="1" customFormat="1" ht="13.5" customHeight="1" x14ac:dyDescent="0.3"/>
    <row r="406" s="1" customFormat="1" ht="13.5" customHeight="1" x14ac:dyDescent="0.3"/>
    <row r="407" s="1" customFormat="1" ht="13.5" customHeight="1" x14ac:dyDescent="0.3"/>
    <row r="408" s="1" customFormat="1" ht="13.5" customHeight="1" x14ac:dyDescent="0.3"/>
    <row r="409" s="1" customFormat="1" ht="13.5" customHeight="1" x14ac:dyDescent="0.3"/>
    <row r="410" s="1" customFormat="1" ht="13.5" customHeight="1" x14ac:dyDescent="0.3"/>
    <row r="411" s="1" customFormat="1" ht="13.5" customHeight="1" x14ac:dyDescent="0.3"/>
    <row r="412" s="1" customFormat="1" ht="13.5" customHeight="1" x14ac:dyDescent="0.3"/>
    <row r="413" s="1" customFormat="1" ht="13.5" customHeight="1" x14ac:dyDescent="0.3"/>
    <row r="414" s="1" customFormat="1" ht="13.5" customHeight="1" x14ac:dyDescent="0.3"/>
    <row r="415" s="1" customFormat="1" ht="13.5" customHeight="1" x14ac:dyDescent="0.3"/>
    <row r="416" s="1" customFormat="1" ht="13.5" customHeight="1" x14ac:dyDescent="0.3"/>
    <row r="417" s="1" customFormat="1" ht="13.5" customHeight="1" x14ac:dyDescent="0.3"/>
    <row r="418" s="1" customFormat="1" ht="13.5" customHeight="1" x14ac:dyDescent="0.3"/>
    <row r="419" s="1" customFormat="1" ht="13.5" customHeight="1" x14ac:dyDescent="0.3"/>
    <row r="420" s="1" customFormat="1" ht="13.5" customHeight="1" x14ac:dyDescent="0.3"/>
    <row r="421" s="1" customFormat="1" ht="13.5" customHeight="1" x14ac:dyDescent="0.3"/>
    <row r="422" s="1" customFormat="1" ht="13.5" customHeight="1" x14ac:dyDescent="0.3"/>
    <row r="423" s="1" customFormat="1" ht="13.5" customHeight="1" x14ac:dyDescent="0.3"/>
    <row r="424" s="1" customFormat="1" ht="13.5" customHeight="1" x14ac:dyDescent="0.3"/>
    <row r="425" s="1" customFormat="1" ht="13.5" customHeight="1" x14ac:dyDescent="0.3"/>
    <row r="426" s="1" customFormat="1" ht="13.5" customHeight="1" x14ac:dyDescent="0.3"/>
    <row r="427" s="1" customFormat="1" ht="13.5" customHeight="1" x14ac:dyDescent="0.3"/>
    <row r="428" s="1" customFormat="1" ht="13.5" customHeight="1" x14ac:dyDescent="0.3"/>
    <row r="429" s="1" customFormat="1" ht="13.5" customHeight="1" x14ac:dyDescent="0.3"/>
    <row r="430" s="1" customFormat="1" ht="13.5" customHeight="1" x14ac:dyDescent="0.3"/>
    <row r="431" s="1" customFormat="1" ht="13.5" customHeight="1" x14ac:dyDescent="0.3"/>
    <row r="432" s="1" customFormat="1" ht="13.5" customHeight="1" x14ac:dyDescent="0.3"/>
    <row r="433" s="1" customFormat="1" ht="13.5" customHeight="1" x14ac:dyDescent="0.3"/>
    <row r="434" s="1" customFormat="1" ht="13.5" customHeight="1" x14ac:dyDescent="0.3"/>
    <row r="435" s="1" customFormat="1" ht="13.5" customHeight="1" x14ac:dyDescent="0.3"/>
    <row r="436" s="1" customFormat="1" ht="13.5" customHeight="1" x14ac:dyDescent="0.3"/>
    <row r="437" s="1" customFormat="1" ht="13.5" customHeight="1" x14ac:dyDescent="0.3"/>
    <row r="438" s="1" customFormat="1" ht="13.5" customHeight="1" x14ac:dyDescent="0.3"/>
    <row r="439" s="1" customFormat="1" ht="13.5" customHeight="1" x14ac:dyDescent="0.3"/>
    <row r="440" s="1" customFormat="1" ht="13.5" customHeight="1" x14ac:dyDescent="0.3"/>
    <row r="441" s="1" customFormat="1" ht="13.5" customHeight="1" x14ac:dyDescent="0.3"/>
    <row r="442" s="1" customFormat="1" ht="13.5" customHeight="1" x14ac:dyDescent="0.3"/>
    <row r="443" s="1" customFormat="1" ht="13.5" customHeight="1" x14ac:dyDescent="0.3"/>
    <row r="444" s="1" customFormat="1" ht="13.5" customHeight="1" x14ac:dyDescent="0.3"/>
    <row r="445" s="1" customFormat="1" ht="13.5" customHeight="1" x14ac:dyDescent="0.3"/>
    <row r="446" s="1" customFormat="1" ht="13.5" customHeight="1" x14ac:dyDescent="0.3"/>
    <row r="447" s="1" customFormat="1" ht="13.5" customHeight="1" x14ac:dyDescent="0.3"/>
    <row r="448" s="1" customFormat="1" ht="13.5" customHeight="1" x14ac:dyDescent="0.3"/>
    <row r="449" s="1" customFormat="1" ht="13.5" customHeight="1" x14ac:dyDescent="0.3"/>
    <row r="450" s="1" customFormat="1" ht="13.5" customHeight="1" x14ac:dyDescent="0.3"/>
    <row r="451" s="1" customFormat="1" ht="13.5" customHeight="1" x14ac:dyDescent="0.3"/>
    <row r="452" s="1" customFormat="1" ht="13.5" customHeight="1" x14ac:dyDescent="0.3"/>
    <row r="453" s="1" customFormat="1" ht="13.5" customHeight="1" x14ac:dyDescent="0.3"/>
    <row r="454" s="1" customFormat="1" ht="13.5" customHeight="1" x14ac:dyDescent="0.3"/>
    <row r="455" s="1" customFormat="1" ht="13.5" customHeight="1" x14ac:dyDescent="0.3"/>
    <row r="456" s="1" customFormat="1" ht="13.5" customHeight="1" x14ac:dyDescent="0.3"/>
    <row r="457" s="1" customFormat="1" ht="13.5" customHeight="1" x14ac:dyDescent="0.3"/>
    <row r="458" s="1" customFormat="1" ht="13.5" customHeight="1" x14ac:dyDescent="0.3"/>
    <row r="459" s="1" customFormat="1" ht="13.5" customHeight="1" x14ac:dyDescent="0.3"/>
    <row r="460" s="1" customFormat="1" ht="13.5" customHeight="1" x14ac:dyDescent="0.3"/>
    <row r="461" s="1" customFormat="1" ht="13.5" customHeight="1" x14ac:dyDescent="0.3"/>
    <row r="462" s="1" customFormat="1" ht="13.5" customHeight="1" x14ac:dyDescent="0.3"/>
    <row r="463" s="1" customFormat="1" ht="13.5" customHeight="1" x14ac:dyDescent="0.3"/>
    <row r="464" s="1" customFormat="1" ht="13.5" customHeight="1" x14ac:dyDescent="0.3"/>
    <row r="465" s="1" customFormat="1" ht="13.5" customHeight="1" x14ac:dyDescent="0.3"/>
    <row r="466" s="1" customFormat="1" ht="13.5" customHeight="1" x14ac:dyDescent="0.3"/>
    <row r="467" s="1" customFormat="1" ht="13.5" customHeight="1" x14ac:dyDescent="0.3"/>
    <row r="468" s="1" customFormat="1" ht="13.5" customHeight="1" x14ac:dyDescent="0.3"/>
    <row r="469" s="1" customFormat="1" ht="13.5" customHeight="1" x14ac:dyDescent="0.3"/>
    <row r="470" s="1" customFormat="1" ht="13.5" customHeight="1" x14ac:dyDescent="0.3"/>
    <row r="471" s="1" customFormat="1" ht="13.5" customHeight="1" x14ac:dyDescent="0.3"/>
    <row r="472" s="1" customFormat="1" ht="13.5" customHeight="1" x14ac:dyDescent="0.3"/>
    <row r="473" s="1" customFormat="1" ht="13.5" customHeight="1" x14ac:dyDescent="0.3"/>
    <row r="474" s="1" customFormat="1" ht="13.5" customHeight="1" x14ac:dyDescent="0.3"/>
    <row r="475" s="1" customFormat="1" ht="13.5" customHeight="1" x14ac:dyDescent="0.3"/>
    <row r="476" s="1" customFormat="1" ht="13.5" customHeight="1" x14ac:dyDescent="0.3"/>
    <row r="477" s="1" customFormat="1" ht="13.5" customHeight="1" x14ac:dyDescent="0.3"/>
    <row r="478" s="1" customFormat="1" ht="13.5" customHeight="1" x14ac:dyDescent="0.3"/>
    <row r="479" s="1" customFormat="1" ht="13.5" customHeight="1" x14ac:dyDescent="0.3"/>
    <row r="480" s="1" customFormat="1" ht="13.5" customHeight="1" x14ac:dyDescent="0.3"/>
    <row r="481" s="1" customFormat="1" ht="13.5" customHeight="1" x14ac:dyDescent="0.3"/>
    <row r="482" s="1" customFormat="1" ht="13.5" customHeight="1" x14ac:dyDescent="0.3"/>
    <row r="483" s="1" customFormat="1" ht="13.5" customHeight="1" x14ac:dyDescent="0.3"/>
    <row r="484" s="1" customFormat="1" ht="13.5" customHeight="1" x14ac:dyDescent="0.3"/>
    <row r="485" s="1" customFormat="1" ht="13.5" customHeight="1" x14ac:dyDescent="0.3"/>
    <row r="486" s="1" customFormat="1" ht="13.5" customHeight="1" x14ac:dyDescent="0.3"/>
    <row r="487" s="1" customFormat="1" ht="13.5" customHeight="1" x14ac:dyDescent="0.3"/>
    <row r="488" s="1" customFormat="1" ht="13.5" customHeight="1" x14ac:dyDescent="0.3"/>
    <row r="489" s="1" customFormat="1" ht="13.5" customHeight="1" x14ac:dyDescent="0.3"/>
    <row r="490" s="1" customFormat="1" ht="13.5" customHeight="1" x14ac:dyDescent="0.3"/>
    <row r="491" s="1" customFormat="1" ht="13.5" customHeight="1" x14ac:dyDescent="0.3"/>
    <row r="492" s="1" customFormat="1" ht="13.5" customHeight="1" x14ac:dyDescent="0.3"/>
    <row r="493" s="1" customFormat="1" ht="13.5" customHeight="1" x14ac:dyDescent="0.3"/>
    <row r="494" s="1" customFormat="1" ht="13.5" customHeight="1" x14ac:dyDescent="0.3"/>
    <row r="495" s="1" customFormat="1" ht="13.5" customHeight="1" x14ac:dyDescent="0.3"/>
    <row r="496" s="1" customFormat="1" ht="13.5" customHeight="1" x14ac:dyDescent="0.3"/>
    <row r="497" s="1" customFormat="1" ht="13.5" customHeight="1" x14ac:dyDescent="0.3"/>
    <row r="498" s="1" customFormat="1" ht="13.5" customHeight="1" x14ac:dyDescent="0.3"/>
    <row r="499" s="1" customFormat="1" ht="13.5" customHeight="1" x14ac:dyDescent="0.3"/>
    <row r="500" s="1" customFormat="1" ht="13.5" customHeight="1" x14ac:dyDescent="0.3"/>
    <row r="501" s="1" customFormat="1" ht="13.5" customHeight="1" x14ac:dyDescent="0.3"/>
    <row r="502" s="1" customFormat="1" ht="13.5" customHeight="1" x14ac:dyDescent="0.3"/>
    <row r="503" s="1" customFormat="1" ht="13.5" customHeight="1" x14ac:dyDescent="0.3"/>
    <row r="504" s="1" customFormat="1" ht="13.5" customHeight="1" x14ac:dyDescent="0.3"/>
    <row r="505" s="1" customFormat="1" ht="13.5" customHeight="1" x14ac:dyDescent="0.3"/>
    <row r="506" s="1" customFormat="1" ht="13.5" customHeight="1" x14ac:dyDescent="0.3"/>
    <row r="507" s="1" customFormat="1" ht="13.5" customHeight="1" x14ac:dyDescent="0.3"/>
    <row r="508" s="1" customFormat="1" ht="13.5" customHeight="1" x14ac:dyDescent="0.3"/>
    <row r="509" s="1" customFormat="1" ht="13.5" customHeight="1" x14ac:dyDescent="0.3"/>
    <row r="510" s="1" customFormat="1" ht="13.5" customHeight="1" x14ac:dyDescent="0.3"/>
    <row r="511" s="1" customFormat="1" ht="13.5" customHeight="1" x14ac:dyDescent="0.3"/>
    <row r="512" s="1" customFormat="1" ht="13.5" customHeight="1" x14ac:dyDescent="0.3"/>
    <row r="513" s="1" customFormat="1" ht="13.5" customHeight="1" x14ac:dyDescent="0.3"/>
    <row r="514" s="1" customFormat="1" ht="13.5" customHeight="1" x14ac:dyDescent="0.3"/>
    <row r="515" s="1" customFormat="1" ht="13.5" customHeight="1" x14ac:dyDescent="0.3"/>
    <row r="516" s="1" customFormat="1" ht="13.5" customHeight="1" x14ac:dyDescent="0.3"/>
    <row r="517" s="1" customFormat="1" ht="13.5" customHeight="1" x14ac:dyDescent="0.3"/>
    <row r="518" s="1" customFormat="1" ht="13.5" customHeight="1" x14ac:dyDescent="0.3"/>
    <row r="519" s="1" customFormat="1" ht="13.5" customHeight="1" x14ac:dyDescent="0.3"/>
    <row r="520" s="1" customFormat="1" ht="13.5" customHeight="1" x14ac:dyDescent="0.3"/>
    <row r="521" s="1" customFormat="1" ht="13.5" customHeight="1" x14ac:dyDescent="0.3"/>
    <row r="522" s="1" customFormat="1" ht="13.5" customHeight="1" x14ac:dyDescent="0.3"/>
    <row r="523" s="1" customFormat="1" ht="13.5" customHeight="1" x14ac:dyDescent="0.3"/>
    <row r="524" s="1" customFormat="1" ht="13.5" customHeight="1" x14ac:dyDescent="0.3"/>
    <row r="525" s="1" customFormat="1" ht="13.5" customHeight="1" x14ac:dyDescent="0.3"/>
    <row r="526" s="1" customFormat="1" ht="13.5" customHeight="1" x14ac:dyDescent="0.3"/>
    <row r="527" s="1" customFormat="1" ht="13.5" customHeight="1" x14ac:dyDescent="0.3"/>
    <row r="528" s="1" customFormat="1" ht="13.5" customHeight="1" x14ac:dyDescent="0.3"/>
    <row r="529" s="1" customFormat="1" ht="13.5" customHeight="1" x14ac:dyDescent="0.3"/>
    <row r="530" s="1" customFormat="1" ht="13.5" customHeight="1" x14ac:dyDescent="0.3"/>
    <row r="531" s="1" customFormat="1" ht="13.5" customHeight="1" x14ac:dyDescent="0.3"/>
    <row r="532" s="1" customFormat="1" ht="13.5" customHeight="1" x14ac:dyDescent="0.3"/>
    <row r="533" s="1" customFormat="1" ht="13.5" customHeight="1" x14ac:dyDescent="0.3"/>
    <row r="534" s="1" customFormat="1" ht="13.5" customHeight="1" x14ac:dyDescent="0.3"/>
    <row r="535" s="1" customFormat="1" ht="13.5" customHeight="1" x14ac:dyDescent="0.3"/>
    <row r="536" s="1" customFormat="1" ht="13.5" customHeight="1" x14ac:dyDescent="0.3"/>
    <row r="537" s="1" customFormat="1" ht="13.5" customHeight="1" x14ac:dyDescent="0.3"/>
    <row r="538" s="1" customFormat="1" ht="13.5" customHeight="1" x14ac:dyDescent="0.3"/>
    <row r="539" s="1" customFormat="1" ht="13.5" customHeight="1" x14ac:dyDescent="0.3"/>
    <row r="540" s="1" customFormat="1" ht="13.5" customHeight="1" x14ac:dyDescent="0.3"/>
    <row r="541" s="1" customFormat="1" ht="13.5" customHeight="1" x14ac:dyDescent="0.3"/>
    <row r="542" s="1" customFormat="1" ht="13.5" customHeight="1" x14ac:dyDescent="0.3"/>
    <row r="543" s="1" customFormat="1" ht="13.5" customHeight="1" x14ac:dyDescent="0.3"/>
    <row r="544" s="1" customFormat="1" ht="13.5" customHeight="1" x14ac:dyDescent="0.3"/>
    <row r="545" s="1" customFormat="1" ht="13.5" customHeight="1" x14ac:dyDescent="0.3"/>
    <row r="546" s="1" customFormat="1" ht="13.5" customHeight="1" x14ac:dyDescent="0.3"/>
    <row r="547" s="1" customFormat="1" ht="13.5" customHeight="1" x14ac:dyDescent="0.3"/>
    <row r="548" s="1" customFormat="1" ht="13.5" customHeight="1" x14ac:dyDescent="0.3"/>
    <row r="549" s="1" customFormat="1" ht="13.5" customHeight="1" x14ac:dyDescent="0.3"/>
    <row r="550" s="1" customFormat="1" ht="13.5" customHeight="1" x14ac:dyDescent="0.3"/>
    <row r="551" s="1" customFormat="1" ht="13.5" customHeight="1" x14ac:dyDescent="0.3"/>
    <row r="552" s="1" customFormat="1" ht="13.5" customHeight="1" x14ac:dyDescent="0.3"/>
    <row r="553" s="1" customFormat="1" ht="13.5" customHeight="1" x14ac:dyDescent="0.3"/>
    <row r="554" s="1" customFormat="1" ht="13.5" customHeight="1" x14ac:dyDescent="0.3"/>
    <row r="555" s="1" customFormat="1" ht="13.5" customHeight="1" x14ac:dyDescent="0.3"/>
    <row r="556" s="1" customFormat="1" ht="13.5" customHeight="1" x14ac:dyDescent="0.3"/>
    <row r="557" s="1" customFormat="1" ht="13.5" customHeight="1" x14ac:dyDescent="0.3"/>
    <row r="558" s="1" customFormat="1" ht="13.5" customHeight="1" x14ac:dyDescent="0.3"/>
    <row r="559" s="1" customFormat="1" ht="13.5" customHeight="1" x14ac:dyDescent="0.3"/>
    <row r="560" s="1" customFormat="1" ht="13.5" customHeight="1" x14ac:dyDescent="0.3"/>
    <row r="561" s="1" customFormat="1" ht="13.5" customHeight="1" x14ac:dyDescent="0.3"/>
    <row r="562" s="1" customFormat="1" ht="13.5" customHeight="1" x14ac:dyDescent="0.3"/>
    <row r="563" s="1" customFormat="1" ht="13.5" customHeight="1" x14ac:dyDescent="0.3"/>
    <row r="564" s="1" customFormat="1" ht="13.5" customHeight="1" x14ac:dyDescent="0.3"/>
    <row r="565" s="1" customFormat="1" ht="13.5" customHeight="1" x14ac:dyDescent="0.3"/>
    <row r="566" s="1" customFormat="1" ht="13.5" customHeight="1" x14ac:dyDescent="0.3"/>
    <row r="567" s="1" customFormat="1" ht="13.5" customHeight="1" x14ac:dyDescent="0.3"/>
    <row r="568" s="1" customFormat="1" ht="13.5" customHeight="1" x14ac:dyDescent="0.3"/>
    <row r="569" s="1" customFormat="1" ht="13.5" customHeight="1" x14ac:dyDescent="0.3"/>
    <row r="570" s="1" customFormat="1" ht="13.5" customHeight="1" x14ac:dyDescent="0.3"/>
    <row r="571" s="1" customFormat="1" ht="13.5" customHeight="1" x14ac:dyDescent="0.3"/>
    <row r="572" s="1" customFormat="1" ht="13.5" customHeight="1" x14ac:dyDescent="0.3"/>
    <row r="573" s="1" customFormat="1" ht="13.5" customHeight="1" x14ac:dyDescent="0.3"/>
    <row r="574" s="1" customFormat="1" ht="13.5" customHeight="1" x14ac:dyDescent="0.3"/>
    <row r="575" s="1" customFormat="1" ht="13.5" customHeight="1" x14ac:dyDescent="0.3"/>
    <row r="576" s="1" customFormat="1" ht="13.5" customHeight="1" x14ac:dyDescent="0.3"/>
    <row r="577" s="1" customFormat="1" ht="13.5" customHeight="1" x14ac:dyDescent="0.3"/>
    <row r="578" s="1" customFormat="1" ht="13.5" customHeight="1" x14ac:dyDescent="0.3"/>
    <row r="579" s="1" customFormat="1" ht="13.5" customHeight="1" x14ac:dyDescent="0.3"/>
    <row r="580" s="1" customFormat="1" ht="13.5" customHeight="1" x14ac:dyDescent="0.3"/>
    <row r="581" s="1" customFormat="1" ht="13.5" customHeight="1" x14ac:dyDescent="0.3"/>
    <row r="582" s="1" customFormat="1" ht="13.5" customHeight="1" x14ac:dyDescent="0.3"/>
    <row r="583" s="1" customFormat="1" ht="13.5" customHeight="1" x14ac:dyDescent="0.3"/>
    <row r="584" s="1" customFormat="1" ht="13.5" customHeight="1" x14ac:dyDescent="0.3"/>
    <row r="585" s="1" customFormat="1" ht="13.5" customHeight="1" x14ac:dyDescent="0.3"/>
    <row r="586" s="1" customFormat="1" ht="13.5" customHeight="1" x14ac:dyDescent="0.3"/>
    <row r="587" s="1" customFormat="1" ht="13.5" customHeight="1" x14ac:dyDescent="0.3"/>
    <row r="588" s="1" customFormat="1" ht="13.5" customHeight="1" x14ac:dyDescent="0.3"/>
    <row r="589" s="1" customFormat="1" ht="13.5" customHeight="1" x14ac:dyDescent="0.3"/>
    <row r="590" s="1" customFormat="1" ht="13.5" customHeight="1" x14ac:dyDescent="0.3"/>
    <row r="591" s="1" customFormat="1" ht="13.5" customHeight="1" x14ac:dyDescent="0.3"/>
    <row r="592" s="1" customFormat="1" ht="13.5" customHeight="1" x14ac:dyDescent="0.3"/>
    <row r="593" s="1" customFormat="1" ht="13.5" customHeight="1" x14ac:dyDescent="0.3"/>
    <row r="594" s="1" customFormat="1" ht="13.5" customHeight="1" x14ac:dyDescent="0.3"/>
    <row r="595" s="1" customFormat="1" ht="13.5" customHeight="1" x14ac:dyDescent="0.3"/>
    <row r="596" s="1" customFormat="1" ht="13.5" customHeight="1" x14ac:dyDescent="0.3"/>
    <row r="597" s="1" customFormat="1" ht="13.5" customHeight="1" x14ac:dyDescent="0.3"/>
    <row r="598" s="1" customFormat="1" ht="13.5" customHeight="1" x14ac:dyDescent="0.3"/>
    <row r="599" s="1" customFormat="1" ht="13.5" customHeight="1" x14ac:dyDescent="0.3"/>
    <row r="600" s="1" customFormat="1" ht="13.5" customHeight="1" x14ac:dyDescent="0.3"/>
    <row r="601" s="1" customFormat="1" ht="13.5" customHeight="1" x14ac:dyDescent="0.3"/>
    <row r="602" s="1" customFormat="1" ht="13.5" customHeight="1" x14ac:dyDescent="0.3"/>
    <row r="603" s="1" customFormat="1" ht="13.5" customHeight="1" x14ac:dyDescent="0.3"/>
    <row r="604" s="1" customFormat="1" ht="13.5" customHeight="1" x14ac:dyDescent="0.3"/>
    <row r="605" s="1" customFormat="1" ht="13.5" customHeight="1" x14ac:dyDescent="0.3"/>
    <row r="606" s="1" customFormat="1" ht="13.5" customHeight="1" x14ac:dyDescent="0.3"/>
    <row r="607" s="1" customFormat="1" ht="13.5" customHeight="1" x14ac:dyDescent="0.3"/>
    <row r="608" s="1" customFormat="1" ht="13.5" customHeight="1" x14ac:dyDescent="0.3"/>
    <row r="609" s="1" customFormat="1" ht="13.5" customHeight="1" x14ac:dyDescent="0.3"/>
    <row r="610" s="1" customFormat="1" ht="13.5" customHeight="1" x14ac:dyDescent="0.3"/>
    <row r="611" s="1" customFormat="1" ht="13.5" customHeight="1" x14ac:dyDescent="0.3"/>
    <row r="612" s="1" customFormat="1" ht="13.5" customHeight="1" x14ac:dyDescent="0.3"/>
    <row r="613" s="1" customFormat="1" ht="13.5" customHeight="1" x14ac:dyDescent="0.3"/>
    <row r="614" s="1" customFormat="1" ht="13.5" customHeight="1" x14ac:dyDescent="0.3"/>
    <row r="615" s="1" customFormat="1" ht="13.5" customHeight="1" x14ac:dyDescent="0.3"/>
    <row r="616" s="1" customFormat="1" ht="13.5" customHeight="1" x14ac:dyDescent="0.3"/>
    <row r="617" s="1" customFormat="1" ht="13.5" customHeight="1" x14ac:dyDescent="0.3"/>
    <row r="618" s="1" customFormat="1" ht="13.5" customHeight="1" x14ac:dyDescent="0.3"/>
    <row r="619" s="1" customFormat="1" ht="13.5" customHeight="1" x14ac:dyDescent="0.3"/>
    <row r="620" s="1" customFormat="1" ht="13.5" customHeight="1" x14ac:dyDescent="0.3"/>
    <row r="621" s="1" customFormat="1" ht="13.5" customHeight="1" x14ac:dyDescent="0.3"/>
    <row r="622" s="1" customFormat="1" ht="13.5" customHeight="1" x14ac:dyDescent="0.3"/>
    <row r="623" s="1" customFormat="1" ht="13.5" customHeight="1" x14ac:dyDescent="0.3"/>
    <row r="624" s="1" customFormat="1" ht="13.5" customHeight="1" x14ac:dyDescent="0.3"/>
    <row r="625" s="1" customFormat="1" ht="13.5" customHeight="1" x14ac:dyDescent="0.3"/>
    <row r="626" s="1" customFormat="1" ht="13.5" customHeight="1" x14ac:dyDescent="0.3"/>
    <row r="627" s="1" customFormat="1" ht="13.5" customHeight="1" x14ac:dyDescent="0.3"/>
    <row r="628" s="1" customFormat="1" ht="13.5" customHeight="1" x14ac:dyDescent="0.3"/>
    <row r="629" s="1" customFormat="1" ht="13.5" customHeight="1" x14ac:dyDescent="0.3"/>
    <row r="630" s="1" customFormat="1" ht="13.5" customHeight="1" x14ac:dyDescent="0.3"/>
    <row r="631" s="1" customFormat="1" ht="13.5" customHeight="1" x14ac:dyDescent="0.3"/>
    <row r="632" s="1" customFormat="1" ht="13.5" customHeight="1" x14ac:dyDescent="0.3"/>
    <row r="633" s="1" customFormat="1" ht="13.5" customHeight="1" x14ac:dyDescent="0.3"/>
    <row r="634" s="1" customFormat="1" ht="13.5" customHeight="1" x14ac:dyDescent="0.3"/>
    <row r="635" s="1" customFormat="1" ht="13.5" customHeight="1" x14ac:dyDescent="0.3"/>
    <row r="636" s="1" customFormat="1" ht="13.5" customHeight="1" x14ac:dyDescent="0.3"/>
    <row r="637" s="1" customFormat="1" ht="13.5" customHeight="1" x14ac:dyDescent="0.3"/>
    <row r="638" s="1" customFormat="1" ht="13.5" customHeight="1" x14ac:dyDescent="0.3"/>
    <row r="639" s="1" customFormat="1" ht="13.5" customHeight="1" x14ac:dyDescent="0.3"/>
    <row r="640" s="1" customFormat="1" ht="13.5" customHeight="1" x14ac:dyDescent="0.3"/>
    <row r="641" s="1" customFormat="1" ht="13.5" customHeight="1" x14ac:dyDescent="0.3"/>
    <row r="642" s="1" customFormat="1" ht="13.5" customHeight="1" x14ac:dyDescent="0.3"/>
    <row r="643" s="1" customFormat="1" ht="13.5" customHeight="1" x14ac:dyDescent="0.3"/>
    <row r="644" s="1" customFormat="1" ht="13.5" customHeight="1" x14ac:dyDescent="0.3"/>
    <row r="645" s="1" customFormat="1" ht="13.5" customHeight="1" x14ac:dyDescent="0.3"/>
    <row r="646" s="1" customFormat="1" ht="13.5" customHeight="1" x14ac:dyDescent="0.3"/>
    <row r="647" s="1" customFormat="1" ht="13.5" customHeight="1" x14ac:dyDescent="0.3"/>
    <row r="648" s="1" customFormat="1" ht="13.5" customHeight="1" x14ac:dyDescent="0.3"/>
    <row r="649" s="1" customFormat="1" ht="13.5" customHeight="1" x14ac:dyDescent="0.3"/>
    <row r="650" s="1" customFormat="1" ht="13.5" customHeight="1" x14ac:dyDescent="0.3"/>
    <row r="651" s="1" customFormat="1" ht="13.5" customHeight="1" x14ac:dyDescent="0.3"/>
    <row r="652" s="1" customFormat="1" ht="13.5" customHeight="1" x14ac:dyDescent="0.3"/>
    <row r="653" s="1" customFormat="1" ht="13.5" customHeight="1" x14ac:dyDescent="0.3"/>
    <row r="654" s="1" customFormat="1" ht="13.5" customHeight="1" x14ac:dyDescent="0.3"/>
    <row r="655" s="1" customFormat="1" ht="13.5" customHeight="1" x14ac:dyDescent="0.3"/>
    <row r="656" s="1" customFormat="1" ht="13.5" customHeight="1" x14ac:dyDescent="0.3"/>
    <row r="657" s="1" customFormat="1" ht="13.5" customHeight="1" x14ac:dyDescent="0.3"/>
    <row r="658" s="1" customFormat="1" ht="13.5" customHeight="1" x14ac:dyDescent="0.3"/>
    <row r="659" s="1" customFormat="1" ht="13.5" customHeight="1" x14ac:dyDescent="0.3"/>
    <row r="660" s="1" customFormat="1" ht="13.5" customHeight="1" x14ac:dyDescent="0.3"/>
    <row r="661" s="1" customFormat="1" ht="13.5" customHeight="1" x14ac:dyDescent="0.3"/>
    <row r="662" s="1" customFormat="1" ht="13.5" customHeight="1" x14ac:dyDescent="0.3"/>
    <row r="663" s="1" customFormat="1" ht="13.5" customHeight="1" x14ac:dyDescent="0.3"/>
    <row r="664" s="1" customFormat="1" ht="13.5" customHeight="1" x14ac:dyDescent="0.3"/>
    <row r="665" s="1" customFormat="1" ht="13.5" customHeight="1" x14ac:dyDescent="0.3"/>
    <row r="666" s="1" customFormat="1" ht="13.5" customHeight="1" x14ac:dyDescent="0.3"/>
    <row r="667" s="1" customFormat="1" ht="13.5" customHeight="1" x14ac:dyDescent="0.3"/>
    <row r="668" s="1" customFormat="1" ht="13.5" customHeight="1" x14ac:dyDescent="0.3"/>
    <row r="669" s="1" customFormat="1" ht="13.5" customHeight="1" x14ac:dyDescent="0.3"/>
    <row r="670" s="1" customFormat="1" ht="13.5" customHeight="1" x14ac:dyDescent="0.3"/>
    <row r="671" s="1" customFormat="1" ht="13.5" customHeight="1" x14ac:dyDescent="0.3"/>
    <row r="672" s="1" customFormat="1" ht="13.5" customHeight="1" x14ac:dyDescent="0.3"/>
    <row r="673" s="1" customFormat="1" ht="13.5" customHeight="1" x14ac:dyDescent="0.3"/>
    <row r="674" s="1" customFormat="1" ht="13.5" customHeight="1" x14ac:dyDescent="0.3"/>
    <row r="675" s="1" customFormat="1" ht="13.5" customHeight="1" x14ac:dyDescent="0.3"/>
    <row r="676" s="1" customFormat="1" ht="13.5" customHeight="1" x14ac:dyDescent="0.3"/>
    <row r="677" s="1" customFormat="1" ht="13.5" customHeight="1" x14ac:dyDescent="0.3"/>
    <row r="678" s="1" customFormat="1" ht="13.5" customHeight="1" x14ac:dyDescent="0.3"/>
    <row r="679" s="1" customFormat="1" ht="13.5" customHeight="1" x14ac:dyDescent="0.3"/>
    <row r="680" s="1" customFormat="1" ht="13.5" customHeight="1" x14ac:dyDescent="0.3"/>
    <row r="681" s="1" customFormat="1" ht="13.5" customHeight="1" x14ac:dyDescent="0.3"/>
    <row r="682" s="1" customFormat="1" ht="13.5" customHeight="1" x14ac:dyDescent="0.3"/>
    <row r="683" s="1" customFormat="1" ht="13.5" customHeight="1" x14ac:dyDescent="0.3"/>
    <row r="684" s="1" customFormat="1" ht="13.5" customHeight="1" x14ac:dyDescent="0.3"/>
    <row r="685" s="1" customFormat="1" ht="13.5" customHeight="1" x14ac:dyDescent="0.3"/>
    <row r="686" s="1" customFormat="1" ht="13.5" customHeight="1" x14ac:dyDescent="0.3"/>
    <row r="687" s="1" customFormat="1" ht="13.5" customHeight="1" x14ac:dyDescent="0.3"/>
    <row r="688" s="1" customFormat="1" ht="13.5" customHeight="1" x14ac:dyDescent="0.3"/>
    <row r="689" s="1" customFormat="1" ht="13.5" customHeight="1" x14ac:dyDescent="0.3"/>
    <row r="690" s="1" customFormat="1" ht="13.5" customHeight="1" x14ac:dyDescent="0.3"/>
    <row r="691" s="1" customFormat="1" ht="13.5" customHeight="1" x14ac:dyDescent="0.3"/>
    <row r="692" s="1" customFormat="1" ht="13.5" customHeight="1" x14ac:dyDescent="0.3"/>
    <row r="693" s="1" customFormat="1" ht="13.5" customHeight="1" x14ac:dyDescent="0.3"/>
    <row r="694" s="1" customFormat="1" ht="13.5" customHeight="1" x14ac:dyDescent="0.3"/>
    <row r="695" s="1" customFormat="1" ht="13.5" customHeight="1" x14ac:dyDescent="0.3"/>
    <row r="696" s="1" customFormat="1" ht="13.5" customHeight="1" x14ac:dyDescent="0.3"/>
    <row r="697" s="1" customFormat="1" ht="13.5" customHeight="1" x14ac:dyDescent="0.3"/>
    <row r="698" s="1" customFormat="1" ht="13.5" customHeight="1" x14ac:dyDescent="0.3"/>
    <row r="699" s="1" customFormat="1" ht="13.5" customHeight="1" x14ac:dyDescent="0.3"/>
    <row r="700" s="1" customFormat="1" ht="13.5" customHeight="1" x14ac:dyDescent="0.3"/>
    <row r="701" s="1" customFormat="1" ht="13.5" customHeight="1" x14ac:dyDescent="0.3"/>
    <row r="702" s="1" customFormat="1" ht="13.5" customHeight="1" x14ac:dyDescent="0.3"/>
    <row r="703" s="1" customFormat="1" ht="13.5" customHeight="1" x14ac:dyDescent="0.3"/>
    <row r="704" s="1" customFormat="1" ht="13.5" customHeight="1" x14ac:dyDescent="0.3"/>
    <row r="705" s="1" customFormat="1" ht="13.5" customHeight="1" x14ac:dyDescent="0.3"/>
    <row r="706" s="1" customFormat="1" ht="13.5" customHeight="1" x14ac:dyDescent="0.3"/>
    <row r="707" s="1" customFormat="1" ht="13.5" customHeight="1" x14ac:dyDescent="0.3"/>
    <row r="708" s="1" customFormat="1" ht="13.5" customHeight="1" x14ac:dyDescent="0.3"/>
    <row r="709" s="1" customFormat="1" ht="13.5" customHeight="1" x14ac:dyDescent="0.3"/>
    <row r="710" s="1" customFormat="1" ht="13.5" customHeight="1" x14ac:dyDescent="0.3"/>
    <row r="711" s="1" customFormat="1" ht="13.5" customHeight="1" x14ac:dyDescent="0.3"/>
    <row r="712" s="1" customFormat="1" ht="13.5" customHeight="1" x14ac:dyDescent="0.3"/>
    <row r="713" s="1" customFormat="1" ht="13.5" customHeight="1" x14ac:dyDescent="0.3"/>
    <row r="714" s="1" customFormat="1" ht="13.5" customHeight="1" x14ac:dyDescent="0.3"/>
    <row r="715" s="1" customFormat="1" ht="13.5" customHeight="1" x14ac:dyDescent="0.3"/>
    <row r="716" s="1" customFormat="1" ht="13.5" customHeight="1" x14ac:dyDescent="0.3"/>
    <row r="717" s="1" customFormat="1" ht="13.5" customHeight="1" x14ac:dyDescent="0.3"/>
    <row r="718" s="1" customFormat="1" ht="13.5" customHeight="1" x14ac:dyDescent="0.3"/>
    <row r="719" s="1" customFormat="1" ht="13.5" customHeight="1" x14ac:dyDescent="0.3"/>
    <row r="720" s="1" customFormat="1" ht="13.5" customHeight="1" x14ac:dyDescent="0.3"/>
    <row r="721" s="1" customFormat="1" ht="13.5" customHeight="1" x14ac:dyDescent="0.3"/>
    <row r="722" s="1" customFormat="1" ht="13.5" customHeight="1" x14ac:dyDescent="0.3"/>
    <row r="723" s="1" customFormat="1" ht="13.5" customHeight="1" x14ac:dyDescent="0.3"/>
    <row r="724" s="1" customFormat="1" ht="13.5" customHeight="1" x14ac:dyDescent="0.3"/>
    <row r="725" s="1" customFormat="1" ht="13.5" customHeight="1" x14ac:dyDescent="0.3"/>
    <row r="726" s="1" customFormat="1" ht="13.5" customHeight="1" x14ac:dyDescent="0.3"/>
    <row r="727" s="1" customFormat="1" ht="13.5" customHeight="1" x14ac:dyDescent="0.3"/>
    <row r="728" s="1" customFormat="1" ht="13.5" customHeight="1" x14ac:dyDescent="0.3"/>
    <row r="729" s="1" customFormat="1" ht="13.5" customHeight="1" x14ac:dyDescent="0.3"/>
    <row r="730" s="1" customFormat="1" ht="13.5" customHeight="1" x14ac:dyDescent="0.3"/>
    <row r="731" s="1" customFormat="1" ht="13.5" customHeight="1" x14ac:dyDescent="0.3"/>
    <row r="732" s="1" customFormat="1" ht="13.5" customHeight="1" x14ac:dyDescent="0.3"/>
    <row r="733" s="1" customFormat="1" ht="13.5" customHeight="1" x14ac:dyDescent="0.3"/>
    <row r="734" s="1" customFormat="1" ht="13.5" customHeight="1" x14ac:dyDescent="0.3"/>
    <row r="735" s="1" customFormat="1" ht="13.5" customHeight="1" x14ac:dyDescent="0.3"/>
    <row r="736" s="1" customFormat="1" ht="13.5" customHeight="1" x14ac:dyDescent="0.3"/>
    <row r="737" s="1" customFormat="1" ht="13.5" customHeight="1" x14ac:dyDescent="0.3"/>
    <row r="738" s="1" customFormat="1" ht="13.5" customHeight="1" x14ac:dyDescent="0.3"/>
    <row r="739" s="1" customFormat="1" ht="13.5" customHeight="1" x14ac:dyDescent="0.3"/>
    <row r="740" s="1" customFormat="1" ht="13.5" customHeight="1" x14ac:dyDescent="0.3"/>
    <row r="741" s="1" customFormat="1" ht="13.5" customHeight="1" x14ac:dyDescent="0.3"/>
    <row r="742" s="1" customFormat="1" ht="13.5" customHeight="1" x14ac:dyDescent="0.3"/>
    <row r="743" s="1" customFormat="1" ht="13.5" customHeight="1" x14ac:dyDescent="0.3"/>
    <row r="744" s="1" customFormat="1" ht="13.5" customHeight="1" x14ac:dyDescent="0.3"/>
    <row r="745" s="1" customFormat="1" ht="13.5" customHeight="1" x14ac:dyDescent="0.3"/>
    <row r="746" s="1" customFormat="1" ht="13.5" customHeight="1" x14ac:dyDescent="0.3"/>
    <row r="747" s="1" customFormat="1" ht="13.5" customHeight="1" x14ac:dyDescent="0.3"/>
    <row r="748" s="1" customFormat="1" ht="13.5" customHeight="1" x14ac:dyDescent="0.3"/>
    <row r="749" s="1" customFormat="1" ht="13.5" customHeight="1" x14ac:dyDescent="0.3"/>
    <row r="750" s="1" customFormat="1" ht="13.5" customHeight="1" x14ac:dyDescent="0.3"/>
    <row r="751" s="1" customFormat="1" ht="13.5" customHeight="1" x14ac:dyDescent="0.3"/>
    <row r="752" s="1" customFormat="1" ht="13.5" customHeight="1" x14ac:dyDescent="0.3"/>
    <row r="753" s="1" customFormat="1" ht="13.5" customHeight="1" x14ac:dyDescent="0.3"/>
    <row r="754" s="1" customFormat="1" ht="13.5" customHeight="1" x14ac:dyDescent="0.3"/>
    <row r="755" s="1" customFormat="1" ht="13.5" customHeight="1" x14ac:dyDescent="0.3"/>
    <row r="756" s="1" customFormat="1" ht="13.5" customHeight="1" x14ac:dyDescent="0.3"/>
    <row r="757" s="1" customFormat="1" ht="13.5" customHeight="1" x14ac:dyDescent="0.3"/>
    <row r="758" s="1" customFormat="1" ht="13.5" customHeight="1" x14ac:dyDescent="0.3"/>
    <row r="759" s="1" customFormat="1" ht="13.5" customHeight="1" x14ac:dyDescent="0.3"/>
    <row r="760" s="1" customFormat="1" ht="13.5" customHeight="1" x14ac:dyDescent="0.3"/>
    <row r="761" s="1" customFormat="1" ht="13.5" customHeight="1" x14ac:dyDescent="0.3"/>
    <row r="762" s="1" customFormat="1" ht="13.5" customHeight="1" x14ac:dyDescent="0.3"/>
    <row r="763" s="1" customFormat="1" ht="13.5" customHeight="1" x14ac:dyDescent="0.3"/>
    <row r="764" s="1" customFormat="1" ht="13.5" customHeight="1" x14ac:dyDescent="0.3"/>
    <row r="765" s="1" customFormat="1" ht="13.5" customHeight="1" x14ac:dyDescent="0.3"/>
    <row r="766" s="1" customFormat="1" ht="13.5" customHeight="1" x14ac:dyDescent="0.3"/>
    <row r="767" s="1" customFormat="1" ht="13.5" customHeight="1" x14ac:dyDescent="0.3"/>
    <row r="768" s="1" customFormat="1" ht="13.5" customHeight="1" x14ac:dyDescent="0.3"/>
    <row r="769" s="1" customFormat="1" ht="13.5" customHeight="1" x14ac:dyDescent="0.3"/>
    <row r="770" s="1" customFormat="1" ht="13.5" customHeight="1" x14ac:dyDescent="0.3"/>
    <row r="771" s="1" customFormat="1" ht="13.5" customHeight="1" x14ac:dyDescent="0.3"/>
    <row r="772" s="1" customFormat="1" ht="13.5" customHeight="1" x14ac:dyDescent="0.3"/>
    <row r="773" s="1" customFormat="1" ht="13.5" customHeight="1" x14ac:dyDescent="0.3"/>
    <row r="774" s="1" customFormat="1" ht="13.5" customHeight="1" x14ac:dyDescent="0.3"/>
    <row r="775" s="1" customFormat="1" ht="13.5" customHeight="1" x14ac:dyDescent="0.3"/>
    <row r="776" s="1" customFormat="1" ht="13.5" customHeight="1" x14ac:dyDescent="0.3"/>
    <row r="777" s="1" customFormat="1" ht="13.5" customHeight="1" x14ac:dyDescent="0.3"/>
    <row r="778" s="1" customFormat="1" ht="13.5" customHeight="1" x14ac:dyDescent="0.3"/>
    <row r="779" s="1" customFormat="1" ht="13.5" customHeight="1" x14ac:dyDescent="0.3"/>
    <row r="780" s="1" customFormat="1" ht="13.5" customHeight="1" x14ac:dyDescent="0.3"/>
    <row r="781" s="1" customFormat="1" ht="13.5" customHeight="1" x14ac:dyDescent="0.3"/>
    <row r="782" s="1" customFormat="1" ht="13.5" customHeight="1" x14ac:dyDescent="0.3"/>
    <row r="783" s="1" customFormat="1" ht="13.5" customHeight="1" x14ac:dyDescent="0.3"/>
    <row r="784" s="1" customFormat="1" ht="13.5" customHeight="1" x14ac:dyDescent="0.3"/>
    <row r="785" s="1" customFormat="1" ht="13.5" customHeight="1" x14ac:dyDescent="0.3"/>
    <row r="786" s="1" customFormat="1" ht="13.5" customHeight="1" x14ac:dyDescent="0.3"/>
    <row r="787" s="1" customFormat="1" ht="13.5" customHeight="1" x14ac:dyDescent="0.3"/>
    <row r="788" s="1" customFormat="1" ht="13.5" customHeight="1" x14ac:dyDescent="0.3"/>
    <row r="789" s="1" customFormat="1" ht="13.5" customHeight="1" x14ac:dyDescent="0.3"/>
    <row r="790" s="1" customFormat="1" ht="13.5" customHeight="1" x14ac:dyDescent="0.3"/>
    <row r="791" s="1" customFormat="1" ht="13.5" customHeight="1" x14ac:dyDescent="0.3"/>
    <row r="792" s="1" customFormat="1" ht="13.5" customHeight="1" x14ac:dyDescent="0.3"/>
    <row r="793" s="1" customFormat="1" ht="13.5" customHeight="1" x14ac:dyDescent="0.3"/>
    <row r="794" s="1" customFormat="1" ht="13.5" customHeight="1" x14ac:dyDescent="0.3"/>
    <row r="795" s="1" customFormat="1" ht="13.5" customHeight="1" x14ac:dyDescent="0.3"/>
    <row r="796" s="1" customFormat="1" ht="13.5" customHeight="1" x14ac:dyDescent="0.3"/>
    <row r="797" s="1" customFormat="1" ht="13.5" customHeight="1" x14ac:dyDescent="0.3"/>
    <row r="798" s="1" customFormat="1" ht="13.5" customHeight="1" x14ac:dyDescent="0.3"/>
    <row r="799" s="1" customFormat="1" ht="13.5" customHeight="1" x14ac:dyDescent="0.3"/>
    <row r="800" s="1" customFormat="1" ht="13.5" customHeight="1" x14ac:dyDescent="0.3"/>
    <row r="801" s="1" customFormat="1" ht="13.5" customHeight="1" x14ac:dyDescent="0.3"/>
    <row r="802" s="1" customFormat="1" ht="13.5" customHeight="1" x14ac:dyDescent="0.3"/>
    <row r="803" s="1" customFormat="1" ht="13.5" customHeight="1" x14ac:dyDescent="0.3"/>
    <row r="804" s="1" customFormat="1" ht="13.5" customHeight="1" x14ac:dyDescent="0.3"/>
    <row r="805" s="1" customFormat="1" ht="13.5" customHeight="1" x14ac:dyDescent="0.3"/>
    <row r="806" s="1" customFormat="1" ht="13.5" customHeight="1" x14ac:dyDescent="0.3"/>
    <row r="807" s="1" customFormat="1" ht="13.5" customHeight="1" x14ac:dyDescent="0.3"/>
    <row r="808" s="1" customFormat="1" ht="13.5" customHeight="1" x14ac:dyDescent="0.3"/>
    <row r="809" s="1" customFormat="1" ht="13.5" customHeight="1" x14ac:dyDescent="0.3"/>
    <row r="810" s="1" customFormat="1" ht="13.5" customHeight="1" x14ac:dyDescent="0.3"/>
    <row r="811" s="1" customFormat="1" ht="13.5" customHeight="1" x14ac:dyDescent="0.3"/>
    <row r="812" s="1" customFormat="1" ht="13.5" customHeight="1" x14ac:dyDescent="0.3"/>
    <row r="813" s="1" customFormat="1" ht="13.5" customHeight="1" x14ac:dyDescent="0.3"/>
    <row r="814" s="1" customFormat="1" ht="13.5" customHeight="1" x14ac:dyDescent="0.3"/>
    <row r="815" s="1" customFormat="1" ht="13.5" customHeight="1" x14ac:dyDescent="0.3"/>
    <row r="816" s="1" customFormat="1" ht="13.5" customHeight="1" x14ac:dyDescent="0.3"/>
    <row r="817" s="1" customFormat="1" ht="13.5" customHeight="1" x14ac:dyDescent="0.3"/>
    <row r="818" s="1" customFormat="1" ht="13.5" customHeight="1" x14ac:dyDescent="0.3"/>
    <row r="819" s="1" customFormat="1" ht="13.5" customHeight="1" x14ac:dyDescent="0.3"/>
    <row r="820" s="1" customFormat="1" ht="13.5" customHeight="1" x14ac:dyDescent="0.3"/>
    <row r="821" s="1" customFormat="1" ht="13.5" customHeight="1" x14ac:dyDescent="0.3"/>
    <row r="822" s="1" customFormat="1" ht="13.5" customHeight="1" x14ac:dyDescent="0.3"/>
    <row r="823" s="1" customFormat="1" ht="13.5" customHeight="1" x14ac:dyDescent="0.3"/>
    <row r="824" s="1" customFormat="1" ht="13.5" customHeight="1" x14ac:dyDescent="0.3"/>
    <row r="825" s="1" customFormat="1" ht="13.5" customHeight="1" x14ac:dyDescent="0.3"/>
    <row r="826" s="1" customFormat="1" ht="13.5" customHeight="1" x14ac:dyDescent="0.3"/>
    <row r="827" s="1" customFormat="1" ht="13.5" customHeight="1" x14ac:dyDescent="0.3"/>
    <row r="828" s="1" customFormat="1" ht="13.5" customHeight="1" x14ac:dyDescent="0.3"/>
    <row r="829" s="1" customFormat="1" ht="13.5" customHeight="1" x14ac:dyDescent="0.3"/>
    <row r="830" s="1" customFormat="1" ht="13.5" customHeight="1" x14ac:dyDescent="0.3"/>
    <row r="831" s="1" customFormat="1" ht="13.5" customHeight="1" x14ac:dyDescent="0.3"/>
    <row r="832" s="1" customFormat="1" ht="13.5" customHeight="1" x14ac:dyDescent="0.3"/>
    <row r="833" s="1" customFormat="1" ht="13.5" customHeight="1" x14ac:dyDescent="0.3"/>
    <row r="834" s="1" customFormat="1" ht="13.5" customHeight="1" x14ac:dyDescent="0.3"/>
    <row r="835" s="1" customFormat="1" ht="13.5" customHeight="1" x14ac:dyDescent="0.3"/>
    <row r="836" s="1" customFormat="1" ht="13.5" customHeight="1" x14ac:dyDescent="0.3"/>
    <row r="837" s="1" customFormat="1" ht="13.5" customHeight="1" x14ac:dyDescent="0.3"/>
    <row r="838" s="1" customFormat="1" ht="13.5" customHeight="1" x14ac:dyDescent="0.3"/>
    <row r="839" s="1" customFormat="1" ht="13.5" customHeight="1" x14ac:dyDescent="0.3"/>
    <row r="840" s="1" customFormat="1" ht="13.5" customHeight="1" x14ac:dyDescent="0.3"/>
    <row r="841" s="1" customFormat="1" ht="13.5" customHeight="1" x14ac:dyDescent="0.3"/>
    <row r="842" s="1" customFormat="1" ht="13.5" customHeight="1" x14ac:dyDescent="0.3"/>
    <row r="843" s="1" customFormat="1" ht="13.5" customHeight="1" x14ac:dyDescent="0.3"/>
    <row r="844" s="1" customFormat="1" ht="13.5" customHeight="1" x14ac:dyDescent="0.3"/>
    <row r="845" s="1" customFormat="1" ht="13.5" customHeight="1" x14ac:dyDescent="0.3"/>
    <row r="846" s="1" customFormat="1" ht="13.5" customHeight="1" x14ac:dyDescent="0.3"/>
    <row r="847" s="1" customFormat="1" ht="13.5" customHeight="1" x14ac:dyDescent="0.3"/>
    <row r="848" s="1" customFormat="1" ht="13.5" customHeight="1" x14ac:dyDescent="0.3"/>
    <row r="849" s="1" customFormat="1" ht="13.5" customHeight="1" x14ac:dyDescent="0.3"/>
    <row r="850" s="1" customFormat="1" ht="13.5" customHeight="1" x14ac:dyDescent="0.3"/>
    <row r="851" s="1" customFormat="1" ht="13.5" customHeight="1" x14ac:dyDescent="0.3"/>
    <row r="852" s="1" customFormat="1" ht="13.5" customHeight="1" x14ac:dyDescent="0.3"/>
    <row r="853" s="1" customFormat="1" ht="13.5" customHeight="1" x14ac:dyDescent="0.3"/>
    <row r="854" s="1" customFormat="1" ht="13.5" customHeight="1" x14ac:dyDescent="0.3"/>
    <row r="855" s="1" customFormat="1" ht="13.5" customHeight="1" x14ac:dyDescent="0.3"/>
    <row r="856" s="1" customFormat="1" ht="13.5" customHeight="1" x14ac:dyDescent="0.3"/>
    <row r="857" s="1" customFormat="1" ht="13.5" customHeight="1" x14ac:dyDescent="0.3"/>
    <row r="858" s="1" customFormat="1" ht="13.5" customHeight="1" x14ac:dyDescent="0.3"/>
    <row r="859" s="1" customFormat="1" ht="13.5" customHeight="1" x14ac:dyDescent="0.3"/>
    <row r="860" s="1" customFormat="1" ht="13.5" customHeight="1" x14ac:dyDescent="0.3"/>
    <row r="861" s="1" customFormat="1" ht="13.5" customHeight="1" x14ac:dyDescent="0.3"/>
    <row r="862" s="1" customFormat="1" ht="13.5" customHeight="1" x14ac:dyDescent="0.3"/>
    <row r="863" s="1" customFormat="1" ht="13.5" customHeight="1" x14ac:dyDescent="0.3"/>
    <row r="864" s="1" customFormat="1" ht="13.5" customHeight="1" x14ac:dyDescent="0.3"/>
    <row r="865" s="1" customFormat="1" ht="13.5" customHeight="1" x14ac:dyDescent="0.3"/>
    <row r="866" s="1" customFormat="1" ht="13.5" customHeight="1" x14ac:dyDescent="0.3"/>
    <row r="867" s="1" customFormat="1" ht="13.5" customHeight="1" x14ac:dyDescent="0.3"/>
    <row r="868" s="1" customFormat="1" ht="13.5" customHeight="1" x14ac:dyDescent="0.3"/>
    <row r="869" s="1" customFormat="1" ht="13.5" customHeight="1" x14ac:dyDescent="0.3"/>
    <row r="870" s="1" customFormat="1" ht="13.5" customHeight="1" x14ac:dyDescent="0.3"/>
    <row r="871" s="1" customFormat="1" ht="13.5" customHeight="1" x14ac:dyDescent="0.3"/>
    <row r="872" s="1" customFormat="1" ht="13.5" customHeight="1" x14ac:dyDescent="0.3"/>
    <row r="873" s="1" customFormat="1" ht="13.5" customHeight="1" x14ac:dyDescent="0.3"/>
    <row r="874" s="1" customFormat="1" ht="13.5" customHeight="1" x14ac:dyDescent="0.3"/>
    <row r="875" s="1" customFormat="1" ht="13.5" customHeight="1" x14ac:dyDescent="0.3"/>
    <row r="876" s="1" customFormat="1" ht="13.5" customHeight="1" x14ac:dyDescent="0.3"/>
    <row r="877" s="1" customFormat="1" ht="13.5" customHeight="1" x14ac:dyDescent="0.3"/>
    <row r="878" s="1" customFormat="1" ht="13.5" customHeight="1" x14ac:dyDescent="0.3"/>
    <row r="879" s="1" customFormat="1" ht="13.5" customHeight="1" x14ac:dyDescent="0.3"/>
    <row r="880" s="1" customFormat="1" ht="13.5" customHeight="1" x14ac:dyDescent="0.3"/>
    <row r="881" s="1" customFormat="1" ht="13.5" customHeight="1" x14ac:dyDescent="0.3"/>
    <row r="882" s="1" customFormat="1" ht="13.5" customHeight="1" x14ac:dyDescent="0.3"/>
    <row r="883" s="1" customFormat="1" ht="13.5" customHeight="1" x14ac:dyDescent="0.3"/>
    <row r="884" s="1" customFormat="1" ht="13.5" customHeight="1" x14ac:dyDescent="0.3"/>
    <row r="885" s="1" customFormat="1" ht="13.5" customHeight="1" x14ac:dyDescent="0.3"/>
    <row r="886" s="1" customFormat="1" ht="13.5" customHeight="1" x14ac:dyDescent="0.3"/>
    <row r="887" s="1" customFormat="1" ht="13.5" customHeight="1" x14ac:dyDescent="0.3"/>
    <row r="888" s="1" customFormat="1" ht="13.5" customHeight="1" x14ac:dyDescent="0.3"/>
    <row r="889" s="1" customFormat="1" ht="13.5" customHeight="1" x14ac:dyDescent="0.3"/>
    <row r="890" s="1" customFormat="1" ht="13.5" customHeight="1" x14ac:dyDescent="0.3"/>
    <row r="891" s="1" customFormat="1" ht="13.5" customHeight="1" x14ac:dyDescent="0.3"/>
    <row r="892" s="1" customFormat="1" ht="13.5" customHeight="1" x14ac:dyDescent="0.3"/>
    <row r="893" s="1" customFormat="1" ht="13.5" customHeight="1" x14ac:dyDescent="0.3"/>
    <row r="894" s="1" customFormat="1" ht="13.5" customHeight="1" x14ac:dyDescent="0.3"/>
    <row r="895" s="1" customFormat="1" ht="13.5" customHeight="1" x14ac:dyDescent="0.3"/>
    <row r="896" s="1" customFormat="1" ht="13.5" customHeight="1" x14ac:dyDescent="0.3"/>
    <row r="897" s="1" customFormat="1" ht="13.5" customHeight="1" x14ac:dyDescent="0.3"/>
    <row r="898" s="1" customFormat="1" ht="13.5" customHeight="1" x14ac:dyDescent="0.3"/>
    <row r="899" s="1" customFormat="1" ht="13.5" customHeight="1" x14ac:dyDescent="0.3"/>
    <row r="900" s="1" customFormat="1" ht="13.5" customHeight="1" x14ac:dyDescent="0.3"/>
    <row r="901" s="1" customFormat="1" ht="13.5" customHeight="1" x14ac:dyDescent="0.3"/>
    <row r="902" s="1" customFormat="1" ht="13.5" customHeight="1" x14ac:dyDescent="0.3"/>
    <row r="903" s="1" customFormat="1" ht="13.5" customHeight="1" x14ac:dyDescent="0.3"/>
    <row r="904" s="1" customFormat="1" ht="13.5" customHeight="1" x14ac:dyDescent="0.3"/>
    <row r="905" s="1" customFormat="1" ht="13.5" customHeight="1" x14ac:dyDescent="0.3"/>
    <row r="906" s="1" customFormat="1" ht="13.5" customHeight="1" x14ac:dyDescent="0.3"/>
    <row r="907" s="1" customFormat="1" ht="13.5" customHeight="1" x14ac:dyDescent="0.3"/>
    <row r="908" s="1" customFormat="1" ht="13.5" customHeight="1" x14ac:dyDescent="0.3"/>
    <row r="909" s="1" customFormat="1" ht="13.5" customHeight="1" x14ac:dyDescent="0.3"/>
    <row r="910" s="1" customFormat="1" ht="13.5" customHeight="1" x14ac:dyDescent="0.3"/>
    <row r="911" s="1" customFormat="1" ht="13.5" customHeight="1" x14ac:dyDescent="0.3"/>
    <row r="912" s="1" customFormat="1" ht="13.5" customHeight="1" x14ac:dyDescent="0.3"/>
    <row r="913" s="1" customFormat="1" ht="13.5" customHeight="1" x14ac:dyDescent="0.3"/>
    <row r="914" s="1" customFormat="1" ht="13.5" customHeight="1" x14ac:dyDescent="0.3"/>
    <row r="915" s="1" customFormat="1" ht="13.5" customHeight="1" x14ac:dyDescent="0.3"/>
    <row r="916" s="1" customFormat="1" ht="13.5" customHeight="1" x14ac:dyDescent="0.3"/>
    <row r="917" s="1" customFormat="1" ht="13.5" customHeight="1" x14ac:dyDescent="0.3"/>
    <row r="918" s="1" customFormat="1" ht="13.5" customHeight="1" x14ac:dyDescent="0.3"/>
    <row r="919" s="1" customFormat="1" ht="13.5" customHeight="1" x14ac:dyDescent="0.3"/>
    <row r="920" s="1" customFormat="1" ht="13.5" customHeight="1" x14ac:dyDescent="0.3"/>
    <row r="921" s="1" customFormat="1" ht="13.5" customHeight="1" x14ac:dyDescent="0.3"/>
    <row r="922" s="1" customFormat="1" ht="13.5" customHeight="1" x14ac:dyDescent="0.3"/>
    <row r="923" s="1" customFormat="1" ht="13.5" customHeight="1" x14ac:dyDescent="0.3"/>
    <row r="924" s="1" customFormat="1" ht="13.5" customHeight="1" x14ac:dyDescent="0.3"/>
    <row r="925" s="1" customFormat="1" ht="13.5" customHeight="1" x14ac:dyDescent="0.3"/>
    <row r="926" s="1" customFormat="1" ht="13.5" customHeight="1" x14ac:dyDescent="0.3"/>
    <row r="927" s="1" customFormat="1" ht="13.5" customHeight="1" x14ac:dyDescent="0.3"/>
    <row r="928" s="1" customFormat="1" ht="13.5" customHeight="1" x14ac:dyDescent="0.3"/>
    <row r="929" s="1" customFormat="1" ht="13.5" customHeight="1" x14ac:dyDescent="0.3"/>
    <row r="930" s="1" customFormat="1" ht="13.5" customHeight="1" x14ac:dyDescent="0.3"/>
    <row r="931" s="1" customFormat="1" ht="13.5" customHeight="1" x14ac:dyDescent="0.3"/>
    <row r="932" s="1" customFormat="1" ht="13.5" customHeight="1" x14ac:dyDescent="0.3"/>
    <row r="933" s="1" customFormat="1" ht="13.5" customHeight="1" x14ac:dyDescent="0.3"/>
    <row r="934" s="1" customFormat="1" ht="13.5" customHeight="1" x14ac:dyDescent="0.3"/>
    <row r="935" s="1" customFormat="1" ht="13.5" customHeight="1" x14ac:dyDescent="0.3"/>
    <row r="936" s="1" customFormat="1" ht="13.5" customHeight="1" x14ac:dyDescent="0.3"/>
    <row r="937" s="1" customFormat="1" ht="13.5" customHeight="1" x14ac:dyDescent="0.3"/>
    <row r="938" s="1" customFormat="1" ht="13.5" customHeight="1" x14ac:dyDescent="0.3"/>
    <row r="939" s="1" customFormat="1" ht="13.5" customHeight="1" x14ac:dyDescent="0.3"/>
    <row r="940" s="1" customFormat="1" ht="13.5" customHeight="1" x14ac:dyDescent="0.3"/>
    <row r="941" s="1" customFormat="1" ht="13.5" customHeight="1" x14ac:dyDescent="0.3"/>
    <row r="942" s="1" customFormat="1" ht="13.5" customHeight="1" x14ac:dyDescent="0.3"/>
    <row r="943" s="1" customFormat="1" ht="13.5" customHeight="1" x14ac:dyDescent="0.3"/>
    <row r="944" s="1" customFormat="1" ht="13.5" customHeight="1" x14ac:dyDescent="0.3"/>
    <row r="945" s="1" customFormat="1" ht="13.5" customHeight="1" x14ac:dyDescent="0.3"/>
    <row r="946" s="1" customFormat="1" ht="13.5" customHeight="1" x14ac:dyDescent="0.3"/>
    <row r="947" s="1" customFormat="1" ht="13.5" customHeight="1" x14ac:dyDescent="0.3"/>
    <row r="948" s="1" customFormat="1" ht="13.5" customHeight="1" x14ac:dyDescent="0.3"/>
    <row r="949" s="1" customFormat="1" ht="13.5" customHeight="1" x14ac:dyDescent="0.3"/>
    <row r="950" s="1" customFormat="1" ht="13.5" customHeight="1" x14ac:dyDescent="0.3"/>
    <row r="951" s="1" customFormat="1" ht="13.5" customHeight="1" x14ac:dyDescent="0.3"/>
    <row r="952" s="1" customFormat="1" ht="13.5" customHeight="1" x14ac:dyDescent="0.3"/>
    <row r="953" s="1" customFormat="1" ht="13.5" customHeight="1" x14ac:dyDescent="0.3"/>
    <row r="954" s="1" customFormat="1" ht="13.5" customHeight="1" x14ac:dyDescent="0.3"/>
    <row r="955" s="1" customFormat="1" ht="13.5" customHeight="1" x14ac:dyDescent="0.3"/>
    <row r="956" s="1" customFormat="1" ht="13.5" customHeight="1" x14ac:dyDescent="0.3"/>
    <row r="957" s="1" customFormat="1" ht="13.5" customHeight="1" x14ac:dyDescent="0.3"/>
    <row r="958" s="1" customFormat="1" ht="13.5" customHeight="1" x14ac:dyDescent="0.3"/>
    <row r="959" s="1" customFormat="1" ht="13.5" customHeight="1" x14ac:dyDescent="0.3"/>
    <row r="960" s="1" customFormat="1" ht="13.5" customHeight="1" x14ac:dyDescent="0.3"/>
    <row r="961" s="1" customFormat="1" ht="13.5" customHeight="1" x14ac:dyDescent="0.3"/>
    <row r="962" s="1" customFormat="1" ht="13.5" customHeight="1" x14ac:dyDescent="0.3"/>
    <row r="963" s="1" customFormat="1" ht="13.5" customHeight="1" x14ac:dyDescent="0.3"/>
    <row r="964" s="1" customFormat="1" ht="13.5" customHeight="1" x14ac:dyDescent="0.3"/>
    <row r="965" s="1" customFormat="1" ht="13.5" customHeight="1" x14ac:dyDescent="0.3"/>
    <row r="966" s="1" customFormat="1" ht="13.5" customHeight="1" x14ac:dyDescent="0.3"/>
    <row r="967" s="1" customFormat="1" ht="13.5" customHeight="1" x14ac:dyDescent="0.3"/>
    <row r="968" s="1" customFormat="1" ht="13.5" customHeight="1" x14ac:dyDescent="0.3"/>
    <row r="969" s="1" customFormat="1" ht="13.5" customHeight="1" x14ac:dyDescent="0.3"/>
    <row r="970" s="1" customFormat="1" ht="13.5" customHeight="1" x14ac:dyDescent="0.3"/>
    <row r="971" s="1" customFormat="1" ht="13.5" customHeight="1" x14ac:dyDescent="0.3"/>
    <row r="972" s="1" customFormat="1" ht="13.5" customHeight="1" x14ac:dyDescent="0.3"/>
    <row r="973" s="1" customFormat="1" ht="13.5" customHeight="1" x14ac:dyDescent="0.3"/>
    <row r="974" s="1" customFormat="1" ht="13.5" customHeight="1" x14ac:dyDescent="0.3"/>
    <row r="975" s="1" customFormat="1" ht="13.5" customHeight="1" x14ac:dyDescent="0.3"/>
    <row r="976" s="1" customFormat="1" ht="13.5" customHeight="1" x14ac:dyDescent="0.3"/>
    <row r="977" s="1" customFormat="1" ht="13.5" customHeight="1" x14ac:dyDescent="0.3"/>
    <row r="978" s="1" customFormat="1" ht="13.5" customHeight="1" x14ac:dyDescent="0.3"/>
    <row r="979" s="1" customFormat="1" ht="13.5" customHeight="1" x14ac:dyDescent="0.3"/>
    <row r="980" s="1" customFormat="1" ht="13.5" customHeight="1" x14ac:dyDescent="0.3"/>
    <row r="981" s="1" customFormat="1" ht="13.5" customHeight="1" x14ac:dyDescent="0.3"/>
    <row r="982" s="1" customFormat="1" ht="13.5" customHeight="1" x14ac:dyDescent="0.3"/>
    <row r="983" s="1" customFormat="1" ht="13.5" customHeight="1" x14ac:dyDescent="0.3"/>
    <row r="984" s="1" customFormat="1" ht="13.5" customHeight="1" x14ac:dyDescent="0.3"/>
    <row r="985" s="1" customFormat="1" ht="13.5" customHeight="1" x14ac:dyDescent="0.3"/>
    <row r="986" s="1" customFormat="1" ht="13.5" customHeight="1" x14ac:dyDescent="0.3"/>
    <row r="987" s="1" customFormat="1" ht="13.5" customHeight="1" x14ac:dyDescent="0.3"/>
    <row r="988" s="1" customFormat="1" ht="13.5" customHeight="1" x14ac:dyDescent="0.3"/>
    <row r="989" s="1" customFormat="1" ht="13.5" customHeight="1" x14ac:dyDescent="0.3"/>
    <row r="990" s="1" customFormat="1" ht="13.5" customHeight="1" x14ac:dyDescent="0.3"/>
    <row r="991" s="1" customFormat="1" ht="13.5" customHeight="1" x14ac:dyDescent="0.3"/>
    <row r="992" s="1" customFormat="1" ht="13.5" customHeight="1" x14ac:dyDescent="0.3"/>
    <row r="993" s="1" customFormat="1" ht="13.5" customHeight="1" x14ac:dyDescent="0.3"/>
    <row r="994" s="1" customFormat="1" ht="13.5" customHeight="1" x14ac:dyDescent="0.3"/>
    <row r="995" s="1" customFormat="1" ht="13.5" customHeight="1" x14ac:dyDescent="0.3"/>
    <row r="996" s="1" customFormat="1" ht="13.5" customHeight="1" x14ac:dyDescent="0.3"/>
    <row r="997" s="1" customFormat="1" ht="13.5" customHeight="1" x14ac:dyDescent="0.3"/>
    <row r="998" s="1" customFormat="1" ht="13.5" customHeight="1" x14ac:dyDescent="0.3"/>
    <row r="999" s="1" customFormat="1" ht="13.5" customHeight="1" x14ac:dyDescent="0.3"/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4D1EC-664A-46FB-B1D5-429E6D534C98}">
  <dimension ref="A1:M999"/>
  <sheetViews>
    <sheetView workbookViewId="0">
      <selection sqref="A1:XFD1048576"/>
    </sheetView>
  </sheetViews>
  <sheetFormatPr baseColWidth="10" defaultColWidth="12.6328125" defaultRowHeight="15" customHeight="1" x14ac:dyDescent="0.3"/>
  <cols>
    <col min="1" max="1" width="15.7265625" style="1" customWidth="1"/>
    <col min="2" max="7" width="10.6328125" style="1" customWidth="1"/>
    <col min="8" max="8" width="11.36328125" style="1" customWidth="1"/>
    <col min="9" max="25" width="10.6328125" style="1" customWidth="1"/>
    <col min="26" max="16384" width="12.6328125" style="1"/>
  </cols>
  <sheetData>
    <row r="1" spans="1:13" ht="12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2.75" customHeight="1" x14ac:dyDescent="0.3">
      <c r="A2" s="1" t="s">
        <v>12</v>
      </c>
      <c r="B2" s="1" t="s">
        <v>13</v>
      </c>
      <c r="C2" s="1">
        <v>1</v>
      </c>
      <c r="H2" s="2" t="s">
        <v>14</v>
      </c>
      <c r="I2" s="3">
        <f t="shared" ref="I2:L2" si="0">SUM(C22+C37+C55+C65+C66+C96+C105+C113+C128+C146+C150)</f>
        <v>10</v>
      </c>
      <c r="J2" s="3">
        <f t="shared" si="0"/>
        <v>1</v>
      </c>
      <c r="K2" s="3">
        <f t="shared" si="0"/>
        <v>0</v>
      </c>
      <c r="L2" s="3">
        <f t="shared" si="0"/>
        <v>0</v>
      </c>
      <c r="M2" s="3">
        <f t="shared" ref="M2:M13" si="1">SUM(I2:L2)</f>
        <v>11</v>
      </c>
    </row>
    <row r="3" spans="1:13" ht="12.75" customHeight="1" x14ac:dyDescent="0.3">
      <c r="A3" s="1" t="s">
        <v>15</v>
      </c>
      <c r="B3" s="1" t="s">
        <v>16</v>
      </c>
      <c r="C3" s="1">
        <v>1</v>
      </c>
      <c r="H3" s="2" t="s">
        <v>17</v>
      </c>
      <c r="I3" s="3">
        <f t="shared" ref="I3:L3" si="2">SUM(C6+C32+C50+C52+C58+C69+C76+C94+C115+C122+C123+C152)</f>
        <v>12</v>
      </c>
      <c r="J3" s="3">
        <f t="shared" si="2"/>
        <v>0</v>
      </c>
      <c r="K3" s="3">
        <f t="shared" si="2"/>
        <v>0</v>
      </c>
      <c r="L3" s="3">
        <f t="shared" si="2"/>
        <v>0</v>
      </c>
      <c r="M3" s="3">
        <f t="shared" si="1"/>
        <v>12</v>
      </c>
    </row>
    <row r="4" spans="1:13" ht="12.75" customHeight="1" x14ac:dyDescent="0.3">
      <c r="A4" s="1" t="s">
        <v>18</v>
      </c>
      <c r="B4" s="1" t="s">
        <v>13</v>
      </c>
      <c r="E4" s="1">
        <v>1</v>
      </c>
      <c r="H4" s="2" t="s">
        <v>19</v>
      </c>
      <c r="I4" s="3">
        <f t="shared" ref="I4:L4" si="3">SUM(C26+C14+C27+C62+C68+C124+C138+C142+C153+C155)</f>
        <v>10</v>
      </c>
      <c r="J4" s="3">
        <f t="shared" si="3"/>
        <v>0</v>
      </c>
      <c r="K4" s="3">
        <f t="shared" si="3"/>
        <v>0</v>
      </c>
      <c r="L4" s="3">
        <f t="shared" si="3"/>
        <v>0</v>
      </c>
      <c r="M4" s="3">
        <f t="shared" si="1"/>
        <v>10</v>
      </c>
    </row>
    <row r="5" spans="1:13" ht="12.75" customHeight="1" x14ac:dyDescent="0.3">
      <c r="A5" s="1" t="s">
        <v>20</v>
      </c>
      <c r="B5" s="1" t="s">
        <v>21</v>
      </c>
      <c r="E5" s="1">
        <v>1</v>
      </c>
      <c r="H5" s="2" t="s">
        <v>22</v>
      </c>
      <c r="I5" s="3">
        <f t="shared" ref="I5:L5" si="4">SUM(C5+C36+C56+C63+C73+C85+C87+C95+C135)</f>
        <v>0</v>
      </c>
      <c r="J5" s="3">
        <f t="shared" si="4"/>
        <v>0</v>
      </c>
      <c r="K5" s="3">
        <f t="shared" si="4"/>
        <v>8</v>
      </c>
      <c r="L5" s="3">
        <f t="shared" si="4"/>
        <v>1</v>
      </c>
      <c r="M5" s="3">
        <f t="shared" si="1"/>
        <v>9</v>
      </c>
    </row>
    <row r="6" spans="1:13" ht="12.75" customHeight="1" x14ac:dyDescent="0.3">
      <c r="A6" s="1" t="s">
        <v>23</v>
      </c>
      <c r="B6" s="1" t="s">
        <v>24</v>
      </c>
      <c r="C6" s="1">
        <v>1</v>
      </c>
      <c r="H6" s="2" t="s">
        <v>25</v>
      </c>
      <c r="I6" s="3">
        <f t="shared" ref="I6:L6" si="5">SUM(C12+C15+C18+C28+C41+C59+C78+C64+C82+C83+C86+C106+C119+C143+C148+C154)</f>
        <v>16</v>
      </c>
      <c r="J6" s="3">
        <f t="shared" si="5"/>
        <v>0</v>
      </c>
      <c r="K6" s="3">
        <f t="shared" si="5"/>
        <v>0</v>
      </c>
      <c r="L6" s="3">
        <f t="shared" si="5"/>
        <v>0</v>
      </c>
      <c r="M6" s="3">
        <f t="shared" si="1"/>
        <v>16</v>
      </c>
    </row>
    <row r="7" spans="1:13" ht="12.75" customHeight="1" x14ac:dyDescent="0.3">
      <c r="A7" s="1" t="s">
        <v>26</v>
      </c>
      <c r="B7" s="1" t="s">
        <v>27</v>
      </c>
      <c r="D7" s="1">
        <v>1</v>
      </c>
      <c r="H7" s="2" t="s">
        <v>28</v>
      </c>
      <c r="I7" s="3">
        <f t="shared" ref="I7:L7" si="6">SUM(C3+C20+C46+C49+C54+C89+C90+C102+C112+C114+C129+C141)</f>
        <v>8</v>
      </c>
      <c r="J7" s="3">
        <f t="shared" si="6"/>
        <v>2</v>
      </c>
      <c r="K7" s="3">
        <f t="shared" si="6"/>
        <v>2</v>
      </c>
      <c r="L7" s="3">
        <f t="shared" si="6"/>
        <v>0</v>
      </c>
      <c r="M7" s="3">
        <f t="shared" si="1"/>
        <v>12</v>
      </c>
    </row>
    <row r="8" spans="1:13" ht="12.75" customHeight="1" x14ac:dyDescent="0.3">
      <c r="A8" s="1" t="s">
        <v>29</v>
      </c>
      <c r="B8" s="1" t="s">
        <v>30</v>
      </c>
      <c r="D8" s="1">
        <v>1</v>
      </c>
      <c r="H8" s="2" t="s">
        <v>27</v>
      </c>
      <c r="I8" s="3">
        <f t="shared" ref="I8:L8" si="7">SUM(C7+C30+C29+C44+C51+C60+C72+C79+C101+C99+C107+C111+C117+C140+C144)</f>
        <v>3</v>
      </c>
      <c r="J8" s="3">
        <f t="shared" si="7"/>
        <v>12</v>
      </c>
      <c r="K8" s="3">
        <f t="shared" si="7"/>
        <v>0</v>
      </c>
      <c r="L8" s="3">
        <f t="shared" si="7"/>
        <v>0</v>
      </c>
      <c r="M8" s="3">
        <f t="shared" si="1"/>
        <v>15</v>
      </c>
    </row>
    <row r="9" spans="1:13" ht="12.75" customHeight="1" x14ac:dyDescent="0.3">
      <c r="A9" s="1" t="s">
        <v>31</v>
      </c>
      <c r="B9" s="1" t="s">
        <v>13</v>
      </c>
      <c r="C9" s="1">
        <v>1</v>
      </c>
      <c r="H9" s="2" t="s">
        <v>13</v>
      </c>
      <c r="I9" s="3">
        <f t="shared" ref="I9:J9" si="8">SUM(C4+C9+C17+C19+C2+C48+C92+C120+C126+C127+C130+C133+C151)</f>
        <v>8</v>
      </c>
      <c r="J9" s="3">
        <f t="shared" si="8"/>
        <v>3</v>
      </c>
      <c r="K9" s="3">
        <f>SUM(D4+D9+D17+D19+D2+D48+D92+D120+D126+D127+D130+D133+D151)</f>
        <v>3</v>
      </c>
      <c r="L9" s="3">
        <f>SUM(F4+F9+F17+F19+F2+F48+F92+F120+F126+F127+F130+F133+F151)</f>
        <v>0</v>
      </c>
      <c r="M9" s="3">
        <f t="shared" si="1"/>
        <v>14</v>
      </c>
    </row>
    <row r="10" spans="1:13" ht="12.75" customHeight="1" x14ac:dyDescent="0.3">
      <c r="A10" s="1" t="s">
        <v>32</v>
      </c>
      <c r="B10" s="1" t="s">
        <v>33</v>
      </c>
      <c r="C10" s="1">
        <v>1</v>
      </c>
      <c r="H10" s="2" t="s">
        <v>30</v>
      </c>
      <c r="I10" s="3">
        <f t="shared" ref="I10:L10" si="9">SUM(C8+C13+C16+C25+C31+C35+C43+C45+C70+C71+C75+C81+C88+C93+C98+C100+C104+C118+C136+C137+C156)</f>
        <v>0</v>
      </c>
      <c r="J10" s="3">
        <f t="shared" si="9"/>
        <v>21</v>
      </c>
      <c r="K10" s="3">
        <f t="shared" si="9"/>
        <v>0</v>
      </c>
      <c r="L10" s="3">
        <f t="shared" si="9"/>
        <v>0</v>
      </c>
      <c r="M10" s="3">
        <f t="shared" si="1"/>
        <v>21</v>
      </c>
    </row>
    <row r="11" spans="1:13" ht="12.75" customHeight="1" x14ac:dyDescent="0.3">
      <c r="A11" s="1" t="s">
        <v>34</v>
      </c>
      <c r="B11" s="1" t="s">
        <v>33</v>
      </c>
      <c r="C11" s="1">
        <v>1</v>
      </c>
      <c r="H11" s="2" t="s">
        <v>35</v>
      </c>
      <c r="I11" s="3">
        <f t="shared" ref="I11:L11" si="10">SUM(C38+C42+C47+C53+C74+C77+C80+C91+C97+C103+C108+C116+C131+C145+C147)</f>
        <v>0</v>
      </c>
      <c r="J11" s="3">
        <f t="shared" si="10"/>
        <v>13</v>
      </c>
      <c r="K11" s="3">
        <f t="shared" si="10"/>
        <v>1</v>
      </c>
      <c r="L11" s="3">
        <f t="shared" si="10"/>
        <v>1</v>
      </c>
      <c r="M11" s="3">
        <f t="shared" si="1"/>
        <v>15</v>
      </c>
    </row>
    <row r="12" spans="1:13" ht="12.75" customHeight="1" x14ac:dyDescent="0.3">
      <c r="A12" s="1" t="s">
        <v>36</v>
      </c>
      <c r="B12" s="1" t="s">
        <v>37</v>
      </c>
      <c r="C12" s="1">
        <v>1</v>
      </c>
      <c r="H12" s="2" t="s">
        <v>38</v>
      </c>
      <c r="I12" s="3">
        <f t="shared" ref="I12:L12" si="11">SUM(C21+C24+C34+C40+C67+C84+C132)</f>
        <v>2</v>
      </c>
      <c r="J12" s="3">
        <f t="shared" si="11"/>
        <v>5</v>
      </c>
      <c r="K12" s="3">
        <f t="shared" si="11"/>
        <v>0</v>
      </c>
      <c r="L12" s="3">
        <f t="shared" si="11"/>
        <v>0</v>
      </c>
      <c r="M12" s="3">
        <f t="shared" si="1"/>
        <v>7</v>
      </c>
    </row>
    <row r="13" spans="1:13" ht="12.75" customHeight="1" x14ac:dyDescent="0.3">
      <c r="A13" s="1" t="s">
        <v>39</v>
      </c>
      <c r="B13" s="1" t="s">
        <v>30</v>
      </c>
      <c r="D13" s="1">
        <v>1</v>
      </c>
      <c r="H13" s="2" t="s">
        <v>33</v>
      </c>
      <c r="I13" s="3">
        <f t="shared" ref="I13:L13" si="12">SUM(C10+C11+C57+C125+C149)</f>
        <v>4</v>
      </c>
      <c r="J13" s="3">
        <f t="shared" si="12"/>
        <v>0</v>
      </c>
      <c r="K13" s="3">
        <f t="shared" si="12"/>
        <v>1</v>
      </c>
      <c r="L13" s="3">
        <f t="shared" si="12"/>
        <v>0</v>
      </c>
      <c r="M13" s="3">
        <f t="shared" si="1"/>
        <v>5</v>
      </c>
    </row>
    <row r="14" spans="1:13" ht="12.75" customHeight="1" x14ac:dyDescent="0.3">
      <c r="A14" s="1" t="s">
        <v>40</v>
      </c>
      <c r="B14" s="1" t="s">
        <v>19</v>
      </c>
      <c r="C14" s="1">
        <v>1</v>
      </c>
      <c r="I14" s="4"/>
      <c r="J14" s="4"/>
      <c r="K14" s="4"/>
      <c r="L14" s="4"/>
    </row>
    <row r="15" spans="1:13" ht="12.75" customHeight="1" x14ac:dyDescent="0.3">
      <c r="A15" s="1" t="s">
        <v>41</v>
      </c>
      <c r="B15" s="1" t="s">
        <v>42</v>
      </c>
      <c r="C15" s="1">
        <v>1</v>
      </c>
      <c r="I15" s="4"/>
      <c r="J15" s="4"/>
      <c r="K15" s="4"/>
      <c r="L15" s="4"/>
    </row>
    <row r="16" spans="1:13" ht="12.75" customHeight="1" x14ac:dyDescent="0.3">
      <c r="A16" s="1" t="s">
        <v>43</v>
      </c>
      <c r="B16" s="1" t="s">
        <v>30</v>
      </c>
      <c r="D16" s="1">
        <v>1</v>
      </c>
      <c r="I16" s="4"/>
      <c r="J16" s="4"/>
      <c r="K16" s="4"/>
      <c r="L16" s="4"/>
    </row>
    <row r="17" spans="1:12" ht="12.75" customHeight="1" x14ac:dyDescent="0.3">
      <c r="A17" s="1" t="s">
        <v>44</v>
      </c>
      <c r="B17" s="1" t="s">
        <v>13</v>
      </c>
      <c r="D17" s="1">
        <v>1</v>
      </c>
      <c r="I17" s="4"/>
      <c r="J17" s="4"/>
      <c r="K17" s="4"/>
      <c r="L17" s="4"/>
    </row>
    <row r="18" spans="1:12" ht="12.75" customHeight="1" x14ac:dyDescent="0.3">
      <c r="A18" s="1" t="s">
        <v>45</v>
      </c>
      <c r="B18" s="1" t="s">
        <v>37</v>
      </c>
      <c r="C18" s="1">
        <v>1</v>
      </c>
      <c r="I18" s="4"/>
      <c r="J18" s="4"/>
      <c r="K18" s="4"/>
      <c r="L18" s="4"/>
    </row>
    <row r="19" spans="1:12" ht="12.75" customHeight="1" x14ac:dyDescent="0.3">
      <c r="A19" s="1" t="s">
        <v>46</v>
      </c>
      <c r="B19" s="1" t="s">
        <v>13</v>
      </c>
      <c r="C19" s="1">
        <v>1</v>
      </c>
    </row>
    <row r="20" spans="1:12" ht="12.75" customHeight="1" x14ac:dyDescent="0.3">
      <c r="A20" s="1" t="s">
        <v>47</v>
      </c>
      <c r="B20" s="1" t="s">
        <v>16</v>
      </c>
      <c r="C20" s="1">
        <v>1</v>
      </c>
    </row>
    <row r="21" spans="1:12" ht="12.75" customHeight="1" x14ac:dyDescent="0.3">
      <c r="A21" s="1" t="s">
        <v>48</v>
      </c>
      <c r="B21" s="1" t="s">
        <v>38</v>
      </c>
      <c r="C21" s="1">
        <v>1</v>
      </c>
    </row>
    <row r="22" spans="1:12" ht="12.75" customHeight="1" x14ac:dyDescent="0.3">
      <c r="A22" s="1" t="s">
        <v>49</v>
      </c>
      <c r="B22" s="1" t="s">
        <v>14</v>
      </c>
      <c r="C22" s="1">
        <v>1</v>
      </c>
    </row>
    <row r="23" spans="1:12" ht="12.75" customHeight="1" x14ac:dyDescent="0.3">
      <c r="A23" s="1" t="s">
        <v>50</v>
      </c>
      <c r="B23" s="1" t="s">
        <v>13</v>
      </c>
      <c r="D23" s="1">
        <v>1</v>
      </c>
    </row>
    <row r="24" spans="1:12" ht="12.75" customHeight="1" x14ac:dyDescent="0.3">
      <c r="A24" s="1" t="s">
        <v>51</v>
      </c>
      <c r="B24" s="1" t="s">
        <v>38</v>
      </c>
      <c r="C24" s="1">
        <v>1</v>
      </c>
    </row>
    <row r="25" spans="1:12" ht="12.75" customHeight="1" x14ac:dyDescent="0.3">
      <c r="A25" s="1" t="s">
        <v>52</v>
      </c>
      <c r="B25" s="1" t="s">
        <v>30</v>
      </c>
      <c r="D25" s="1">
        <v>1</v>
      </c>
    </row>
    <row r="26" spans="1:12" ht="12.75" customHeight="1" x14ac:dyDescent="0.3">
      <c r="A26" s="1" t="s">
        <v>53</v>
      </c>
      <c r="B26" s="1" t="s">
        <v>19</v>
      </c>
      <c r="C26" s="1">
        <v>1</v>
      </c>
    </row>
    <row r="27" spans="1:12" ht="12.75" customHeight="1" x14ac:dyDescent="0.3">
      <c r="A27" s="1" t="s">
        <v>54</v>
      </c>
      <c r="B27" s="1" t="s">
        <v>19</v>
      </c>
      <c r="C27" s="1">
        <v>1</v>
      </c>
    </row>
    <row r="28" spans="1:12" ht="12.75" customHeight="1" x14ac:dyDescent="0.3">
      <c r="A28" s="1" t="s">
        <v>55</v>
      </c>
      <c r="B28" s="1" t="s">
        <v>37</v>
      </c>
      <c r="C28" s="1">
        <v>1</v>
      </c>
    </row>
    <row r="29" spans="1:12" ht="12.75" customHeight="1" x14ac:dyDescent="0.3">
      <c r="A29" s="1" t="s">
        <v>56</v>
      </c>
      <c r="B29" s="1" t="s">
        <v>27</v>
      </c>
      <c r="D29" s="1">
        <v>1</v>
      </c>
    </row>
    <row r="30" spans="1:12" ht="12.75" customHeight="1" x14ac:dyDescent="0.3">
      <c r="A30" s="1" t="s">
        <v>57</v>
      </c>
      <c r="B30" s="1" t="s">
        <v>27</v>
      </c>
      <c r="D30" s="1">
        <v>1</v>
      </c>
    </row>
    <row r="31" spans="1:12" ht="12.75" customHeight="1" x14ac:dyDescent="0.3">
      <c r="A31" s="1" t="s">
        <v>58</v>
      </c>
      <c r="B31" s="1" t="s">
        <v>30</v>
      </c>
      <c r="D31" s="1">
        <v>1</v>
      </c>
    </row>
    <row r="32" spans="1:12" ht="12.75" customHeight="1" x14ac:dyDescent="0.3">
      <c r="A32" s="1" t="s">
        <v>59</v>
      </c>
      <c r="B32" s="1" t="s">
        <v>24</v>
      </c>
      <c r="C32" s="1">
        <v>1</v>
      </c>
    </row>
    <row r="33" spans="1:12" ht="12.75" customHeight="1" x14ac:dyDescent="0.3">
      <c r="A33" s="1" t="s">
        <v>60</v>
      </c>
      <c r="B33" s="1" t="s">
        <v>27</v>
      </c>
      <c r="D33" s="1">
        <v>1</v>
      </c>
    </row>
    <row r="34" spans="1:12" ht="12.75" customHeight="1" x14ac:dyDescent="0.3">
      <c r="A34" s="1" t="s">
        <v>61</v>
      </c>
      <c r="B34" s="1" t="s">
        <v>38</v>
      </c>
      <c r="D34" s="1">
        <v>1</v>
      </c>
    </row>
    <row r="35" spans="1:12" ht="12.75" customHeight="1" x14ac:dyDescent="0.3">
      <c r="A35" s="1" t="s">
        <v>62</v>
      </c>
      <c r="B35" s="1" t="s">
        <v>30</v>
      </c>
      <c r="D35" s="1">
        <v>1</v>
      </c>
    </row>
    <row r="36" spans="1:12" ht="12.75" customHeight="1" x14ac:dyDescent="0.3">
      <c r="A36" s="1" t="s">
        <v>63</v>
      </c>
      <c r="B36" s="1" t="s">
        <v>21</v>
      </c>
      <c r="E36" s="1">
        <v>1</v>
      </c>
    </row>
    <row r="37" spans="1:12" ht="12.75" customHeight="1" x14ac:dyDescent="0.3">
      <c r="A37" s="1" t="s">
        <v>64</v>
      </c>
      <c r="B37" s="1" t="s">
        <v>14</v>
      </c>
      <c r="C37" s="1">
        <v>1</v>
      </c>
    </row>
    <row r="38" spans="1:12" ht="12.75" customHeight="1" x14ac:dyDescent="0.3">
      <c r="A38" s="1" t="s">
        <v>65</v>
      </c>
      <c r="B38" s="1" t="s">
        <v>66</v>
      </c>
      <c r="D38" s="1">
        <v>1</v>
      </c>
    </row>
    <row r="39" spans="1:12" ht="12.75" customHeight="1" x14ac:dyDescent="0.3">
      <c r="A39" s="1" t="s">
        <v>67</v>
      </c>
      <c r="B39" s="1" t="s">
        <v>16</v>
      </c>
      <c r="C39" s="1">
        <v>1</v>
      </c>
    </row>
    <row r="40" spans="1:12" ht="12.75" customHeight="1" x14ac:dyDescent="0.3">
      <c r="A40" s="1" t="s">
        <v>68</v>
      </c>
      <c r="B40" s="1" t="s">
        <v>38</v>
      </c>
      <c r="D40" s="1">
        <v>1</v>
      </c>
    </row>
    <row r="41" spans="1:12" ht="12.75" customHeight="1" x14ac:dyDescent="0.3">
      <c r="A41" s="1" t="s">
        <v>69</v>
      </c>
      <c r="B41" s="1" t="s">
        <v>37</v>
      </c>
      <c r="C41" s="1">
        <v>1</v>
      </c>
    </row>
    <row r="42" spans="1:12" ht="12.75" customHeight="1" x14ac:dyDescent="0.3">
      <c r="A42" s="1" t="s">
        <v>70</v>
      </c>
      <c r="B42" s="1" t="s">
        <v>66</v>
      </c>
      <c r="D42" s="1">
        <v>1</v>
      </c>
    </row>
    <row r="43" spans="1:12" ht="12.75" customHeight="1" x14ac:dyDescent="0.3">
      <c r="A43" s="1" t="s">
        <v>71</v>
      </c>
      <c r="B43" s="1" t="s">
        <v>30</v>
      </c>
      <c r="D43" s="1">
        <v>1</v>
      </c>
    </row>
    <row r="44" spans="1:12" ht="12.75" customHeight="1" x14ac:dyDescent="0.3">
      <c r="A44" s="1" t="s">
        <v>72</v>
      </c>
      <c r="B44" s="1" t="s">
        <v>27</v>
      </c>
      <c r="D44" s="1">
        <v>1</v>
      </c>
    </row>
    <row r="45" spans="1:12" ht="12.75" customHeight="1" x14ac:dyDescent="0.3">
      <c r="A45" s="1" t="s">
        <v>73</v>
      </c>
      <c r="B45" s="1" t="s">
        <v>30</v>
      </c>
      <c r="D45" s="1">
        <v>1</v>
      </c>
      <c r="H45" s="1" t="s">
        <v>6</v>
      </c>
      <c r="I45" s="1" t="s">
        <v>7</v>
      </c>
      <c r="J45" s="1" t="s">
        <v>8</v>
      </c>
      <c r="K45" s="1" t="s">
        <v>9</v>
      </c>
      <c r="L45" s="1" t="s">
        <v>10</v>
      </c>
    </row>
    <row r="46" spans="1:12" ht="12.75" customHeight="1" x14ac:dyDescent="0.3">
      <c r="A46" s="1" t="s">
        <v>74</v>
      </c>
      <c r="B46" s="1" t="s">
        <v>16</v>
      </c>
      <c r="C46" s="1">
        <v>1</v>
      </c>
      <c r="H46" s="2" t="s">
        <v>14</v>
      </c>
      <c r="I46" s="4">
        <f t="shared" ref="I46:I57" si="13">I2/M2</f>
        <v>0.90909090909090906</v>
      </c>
      <c r="J46" s="4">
        <f t="shared" ref="J46:J57" si="14">J2/M2</f>
        <v>9.0909090909090912E-2</v>
      </c>
      <c r="K46" s="4">
        <f t="shared" ref="K46:K57" si="15">K2/M2</f>
        <v>0</v>
      </c>
      <c r="L46" s="4">
        <f t="shared" ref="L46:L57" si="16">L2/M2</f>
        <v>0</v>
      </c>
    </row>
    <row r="47" spans="1:12" ht="12.75" customHeight="1" x14ac:dyDescent="0.3">
      <c r="A47" s="1" t="s">
        <v>75</v>
      </c>
      <c r="B47" s="1" t="s">
        <v>66</v>
      </c>
      <c r="F47" s="1">
        <v>1</v>
      </c>
      <c r="H47" s="2" t="s">
        <v>17</v>
      </c>
      <c r="I47" s="4">
        <f t="shared" si="13"/>
        <v>1</v>
      </c>
      <c r="J47" s="4">
        <f t="shared" si="14"/>
        <v>0</v>
      </c>
      <c r="K47" s="4">
        <f t="shared" si="15"/>
        <v>0</v>
      </c>
      <c r="L47" s="4">
        <f t="shared" si="16"/>
        <v>0</v>
      </c>
    </row>
    <row r="48" spans="1:12" ht="12.75" customHeight="1" x14ac:dyDescent="0.3">
      <c r="A48" s="1" t="s">
        <v>76</v>
      </c>
      <c r="B48" s="1" t="s">
        <v>13</v>
      </c>
      <c r="C48" s="1">
        <v>1</v>
      </c>
      <c r="H48" s="2" t="s">
        <v>19</v>
      </c>
      <c r="I48" s="4">
        <f t="shared" si="13"/>
        <v>1</v>
      </c>
      <c r="J48" s="4">
        <f t="shared" si="14"/>
        <v>0</v>
      </c>
      <c r="K48" s="4">
        <f t="shared" si="15"/>
        <v>0</v>
      </c>
      <c r="L48" s="4">
        <f t="shared" si="16"/>
        <v>0</v>
      </c>
    </row>
    <row r="49" spans="1:12" ht="12.75" customHeight="1" x14ac:dyDescent="0.3">
      <c r="A49" s="1" t="s">
        <v>77</v>
      </c>
      <c r="B49" s="1" t="s">
        <v>16</v>
      </c>
      <c r="D49" s="1">
        <v>1</v>
      </c>
      <c r="H49" s="2" t="s">
        <v>22</v>
      </c>
      <c r="I49" s="4">
        <f t="shared" si="13"/>
        <v>0</v>
      </c>
      <c r="J49" s="4">
        <f t="shared" si="14"/>
        <v>0</v>
      </c>
      <c r="K49" s="4">
        <f t="shared" si="15"/>
        <v>0.88888888888888884</v>
      </c>
      <c r="L49" s="4">
        <f t="shared" si="16"/>
        <v>0.1111111111111111</v>
      </c>
    </row>
    <row r="50" spans="1:12" ht="12.75" customHeight="1" x14ac:dyDescent="0.3">
      <c r="A50" s="1" t="s">
        <v>78</v>
      </c>
      <c r="B50" s="1" t="s">
        <v>24</v>
      </c>
      <c r="C50" s="1">
        <v>1</v>
      </c>
      <c r="H50" s="2" t="s">
        <v>25</v>
      </c>
      <c r="I50" s="4">
        <f t="shared" si="13"/>
        <v>1</v>
      </c>
      <c r="J50" s="4">
        <f t="shared" si="14"/>
        <v>0</v>
      </c>
      <c r="K50" s="4">
        <f t="shared" si="15"/>
        <v>0</v>
      </c>
      <c r="L50" s="4">
        <f t="shared" si="16"/>
        <v>0</v>
      </c>
    </row>
    <row r="51" spans="1:12" ht="12.75" customHeight="1" x14ac:dyDescent="0.3">
      <c r="A51" s="1" t="s">
        <v>79</v>
      </c>
      <c r="B51" s="1" t="s">
        <v>27</v>
      </c>
      <c r="D51" s="1">
        <v>1</v>
      </c>
      <c r="H51" s="2" t="s">
        <v>28</v>
      </c>
      <c r="I51" s="4">
        <f t="shared" si="13"/>
        <v>0.66666666666666663</v>
      </c>
      <c r="J51" s="4">
        <f t="shared" si="14"/>
        <v>0.16666666666666666</v>
      </c>
      <c r="K51" s="4">
        <f t="shared" si="15"/>
        <v>0.16666666666666666</v>
      </c>
      <c r="L51" s="4">
        <f t="shared" si="16"/>
        <v>0</v>
      </c>
    </row>
    <row r="52" spans="1:12" ht="12.75" customHeight="1" x14ac:dyDescent="0.3">
      <c r="A52" s="1" t="s">
        <v>80</v>
      </c>
      <c r="B52" s="1" t="s">
        <v>24</v>
      </c>
      <c r="C52" s="1">
        <v>1</v>
      </c>
      <c r="H52" s="2" t="s">
        <v>27</v>
      </c>
      <c r="I52" s="4">
        <f t="shared" si="13"/>
        <v>0.2</v>
      </c>
      <c r="J52" s="4">
        <f t="shared" si="14"/>
        <v>0.8</v>
      </c>
      <c r="K52" s="4">
        <f t="shared" si="15"/>
        <v>0</v>
      </c>
      <c r="L52" s="4">
        <f t="shared" si="16"/>
        <v>0</v>
      </c>
    </row>
    <row r="53" spans="1:12" ht="12.75" customHeight="1" x14ac:dyDescent="0.3">
      <c r="A53" s="1" t="s">
        <v>81</v>
      </c>
      <c r="B53" s="1" t="s">
        <v>66</v>
      </c>
      <c r="D53" s="1">
        <v>1</v>
      </c>
      <c r="H53" s="2" t="s">
        <v>13</v>
      </c>
      <c r="I53" s="4">
        <f t="shared" si="13"/>
        <v>0.5714285714285714</v>
      </c>
      <c r="J53" s="4">
        <f t="shared" si="14"/>
        <v>0.21428571428571427</v>
      </c>
      <c r="K53" s="4">
        <f t="shared" si="15"/>
        <v>0.21428571428571427</v>
      </c>
      <c r="L53" s="4">
        <f t="shared" si="16"/>
        <v>0</v>
      </c>
    </row>
    <row r="54" spans="1:12" ht="12.75" customHeight="1" x14ac:dyDescent="0.3">
      <c r="A54" s="1" t="s">
        <v>82</v>
      </c>
      <c r="B54" s="1" t="s">
        <v>16</v>
      </c>
      <c r="E54" s="1">
        <v>1</v>
      </c>
      <c r="H54" s="2" t="s">
        <v>30</v>
      </c>
      <c r="I54" s="4">
        <f t="shared" si="13"/>
        <v>0</v>
      </c>
      <c r="J54" s="4">
        <f t="shared" si="14"/>
        <v>1</v>
      </c>
      <c r="K54" s="4">
        <f t="shared" si="15"/>
        <v>0</v>
      </c>
      <c r="L54" s="4">
        <f t="shared" si="16"/>
        <v>0</v>
      </c>
    </row>
    <row r="55" spans="1:12" ht="12.75" customHeight="1" x14ac:dyDescent="0.3">
      <c r="A55" s="1" t="s">
        <v>83</v>
      </c>
      <c r="B55" s="1" t="s">
        <v>14</v>
      </c>
      <c r="C55" s="1">
        <v>1</v>
      </c>
      <c r="H55" s="2" t="s">
        <v>35</v>
      </c>
      <c r="I55" s="4">
        <f t="shared" si="13"/>
        <v>0</v>
      </c>
      <c r="J55" s="4">
        <f t="shared" si="14"/>
        <v>0.8666666666666667</v>
      </c>
      <c r="K55" s="4">
        <f t="shared" si="15"/>
        <v>6.6666666666666666E-2</v>
      </c>
      <c r="L55" s="4">
        <f t="shared" si="16"/>
        <v>6.6666666666666666E-2</v>
      </c>
    </row>
    <row r="56" spans="1:12" ht="12.75" customHeight="1" x14ac:dyDescent="0.3">
      <c r="A56" s="1" t="s">
        <v>84</v>
      </c>
      <c r="B56" s="1" t="s">
        <v>21</v>
      </c>
      <c r="E56" s="1">
        <v>1</v>
      </c>
      <c r="H56" s="2" t="s">
        <v>38</v>
      </c>
      <c r="I56" s="4">
        <f t="shared" si="13"/>
        <v>0.2857142857142857</v>
      </c>
      <c r="J56" s="4">
        <f t="shared" si="14"/>
        <v>0.7142857142857143</v>
      </c>
      <c r="K56" s="4">
        <f t="shared" si="15"/>
        <v>0</v>
      </c>
      <c r="L56" s="4">
        <f t="shared" si="16"/>
        <v>0</v>
      </c>
    </row>
    <row r="57" spans="1:12" ht="12.75" customHeight="1" x14ac:dyDescent="0.3">
      <c r="A57" s="1" t="s">
        <v>85</v>
      </c>
      <c r="B57" s="1" t="s">
        <v>33</v>
      </c>
      <c r="C57" s="1">
        <v>1</v>
      </c>
      <c r="H57" s="2" t="s">
        <v>33</v>
      </c>
      <c r="I57" s="4">
        <f t="shared" si="13"/>
        <v>0.8</v>
      </c>
      <c r="J57" s="4">
        <f t="shared" si="14"/>
        <v>0</v>
      </c>
      <c r="K57" s="4">
        <f t="shared" si="15"/>
        <v>0.2</v>
      </c>
      <c r="L57" s="4">
        <f t="shared" si="16"/>
        <v>0</v>
      </c>
    </row>
    <row r="58" spans="1:12" ht="12.75" customHeight="1" x14ac:dyDescent="0.3">
      <c r="A58" s="1" t="s">
        <v>86</v>
      </c>
      <c r="B58" s="1" t="s">
        <v>24</v>
      </c>
      <c r="C58" s="1">
        <v>1</v>
      </c>
    </row>
    <row r="59" spans="1:12" ht="12.75" customHeight="1" x14ac:dyDescent="0.3">
      <c r="A59" s="1" t="s">
        <v>87</v>
      </c>
      <c r="B59" s="1" t="s">
        <v>37</v>
      </c>
      <c r="C59" s="1">
        <v>1</v>
      </c>
    </row>
    <row r="60" spans="1:12" ht="12.75" customHeight="1" x14ac:dyDescent="0.3">
      <c r="A60" s="1" t="s">
        <v>88</v>
      </c>
      <c r="B60" s="1" t="s">
        <v>27</v>
      </c>
      <c r="C60" s="1">
        <v>1</v>
      </c>
    </row>
    <row r="61" spans="1:12" ht="12.75" customHeight="1" x14ac:dyDescent="0.3">
      <c r="A61" s="1" t="s">
        <v>89</v>
      </c>
      <c r="B61" s="1" t="s">
        <v>13</v>
      </c>
      <c r="C61" s="1">
        <v>1</v>
      </c>
    </row>
    <row r="62" spans="1:12" ht="12.75" customHeight="1" x14ac:dyDescent="0.3">
      <c r="A62" s="1" t="s">
        <v>90</v>
      </c>
      <c r="B62" s="1" t="s">
        <v>19</v>
      </c>
      <c r="C62" s="1">
        <v>1</v>
      </c>
    </row>
    <row r="63" spans="1:12" ht="12.75" customHeight="1" x14ac:dyDescent="0.3">
      <c r="A63" s="1" t="s">
        <v>91</v>
      </c>
      <c r="B63" s="1" t="s">
        <v>21</v>
      </c>
      <c r="F63" s="1">
        <v>1</v>
      </c>
    </row>
    <row r="64" spans="1:12" ht="12.75" customHeight="1" x14ac:dyDescent="0.3">
      <c r="A64" s="1" t="s">
        <v>92</v>
      </c>
      <c r="B64" s="1" t="s">
        <v>42</v>
      </c>
      <c r="C64" s="1">
        <v>1</v>
      </c>
    </row>
    <row r="65" spans="1:5" ht="12.75" customHeight="1" x14ac:dyDescent="0.3">
      <c r="A65" s="1" t="s">
        <v>93</v>
      </c>
      <c r="B65" s="1" t="s">
        <v>14</v>
      </c>
      <c r="C65" s="1">
        <v>1</v>
      </c>
    </row>
    <row r="66" spans="1:5" ht="12.75" customHeight="1" x14ac:dyDescent="0.3">
      <c r="A66" s="1" t="s">
        <v>94</v>
      </c>
      <c r="B66" s="1" t="s">
        <v>14</v>
      </c>
      <c r="C66" s="1">
        <v>1</v>
      </c>
    </row>
    <row r="67" spans="1:5" ht="12.75" customHeight="1" x14ac:dyDescent="0.3">
      <c r="A67" s="1" t="s">
        <v>95</v>
      </c>
      <c r="B67" s="1" t="s">
        <v>38</v>
      </c>
      <c r="D67" s="1">
        <v>1</v>
      </c>
    </row>
    <row r="68" spans="1:5" ht="12.75" customHeight="1" x14ac:dyDescent="0.3">
      <c r="A68" s="1" t="s">
        <v>96</v>
      </c>
      <c r="B68" s="1" t="s">
        <v>19</v>
      </c>
      <c r="C68" s="1">
        <v>1</v>
      </c>
    </row>
    <row r="69" spans="1:5" ht="12.75" customHeight="1" x14ac:dyDescent="0.3">
      <c r="A69" s="1" t="s">
        <v>97</v>
      </c>
      <c r="B69" s="1" t="s">
        <v>24</v>
      </c>
      <c r="C69" s="1">
        <v>1</v>
      </c>
    </row>
    <row r="70" spans="1:5" ht="12.75" customHeight="1" x14ac:dyDescent="0.3">
      <c r="A70" s="1" t="s">
        <v>98</v>
      </c>
      <c r="B70" s="1" t="s">
        <v>30</v>
      </c>
      <c r="D70" s="1">
        <v>1</v>
      </c>
    </row>
    <row r="71" spans="1:5" ht="12.75" customHeight="1" x14ac:dyDescent="0.3">
      <c r="A71" s="1" t="s">
        <v>99</v>
      </c>
      <c r="B71" s="1" t="s">
        <v>30</v>
      </c>
      <c r="D71" s="1">
        <v>1</v>
      </c>
    </row>
    <row r="72" spans="1:5" ht="12.75" customHeight="1" x14ac:dyDescent="0.3">
      <c r="A72" s="1" t="s">
        <v>100</v>
      </c>
      <c r="B72" s="1" t="s">
        <v>27</v>
      </c>
      <c r="D72" s="1">
        <v>1</v>
      </c>
    </row>
    <row r="73" spans="1:5" ht="12.75" customHeight="1" x14ac:dyDescent="0.3">
      <c r="A73" s="1" t="s">
        <v>101</v>
      </c>
      <c r="B73" s="1" t="s">
        <v>21</v>
      </c>
      <c r="E73" s="1">
        <v>1</v>
      </c>
    </row>
    <row r="74" spans="1:5" ht="12.75" customHeight="1" x14ac:dyDescent="0.3">
      <c r="A74" s="1" t="s">
        <v>102</v>
      </c>
      <c r="B74" s="1" t="s">
        <v>66</v>
      </c>
      <c r="D74" s="1">
        <v>1</v>
      </c>
    </row>
    <row r="75" spans="1:5" ht="12.75" customHeight="1" x14ac:dyDescent="0.3">
      <c r="A75" s="1" t="s">
        <v>103</v>
      </c>
      <c r="B75" s="1" t="s">
        <v>30</v>
      </c>
      <c r="D75" s="1">
        <v>1</v>
      </c>
    </row>
    <row r="76" spans="1:5" ht="12.75" customHeight="1" x14ac:dyDescent="0.3">
      <c r="A76" s="1" t="s">
        <v>104</v>
      </c>
      <c r="B76" s="1" t="s">
        <v>24</v>
      </c>
      <c r="C76" s="1">
        <v>1</v>
      </c>
    </row>
    <row r="77" spans="1:5" ht="12.75" customHeight="1" x14ac:dyDescent="0.3">
      <c r="A77" s="1" t="s">
        <v>105</v>
      </c>
      <c r="B77" s="1" t="s">
        <v>66</v>
      </c>
      <c r="D77" s="1">
        <v>1</v>
      </c>
    </row>
    <row r="78" spans="1:5" ht="12.75" customHeight="1" x14ac:dyDescent="0.3">
      <c r="A78" s="1" t="s">
        <v>106</v>
      </c>
      <c r="B78" s="1" t="s">
        <v>42</v>
      </c>
      <c r="C78" s="1">
        <v>1</v>
      </c>
    </row>
    <row r="79" spans="1:5" ht="12.75" customHeight="1" x14ac:dyDescent="0.3">
      <c r="A79" s="1" t="s">
        <v>107</v>
      </c>
      <c r="B79" s="1" t="s">
        <v>27</v>
      </c>
      <c r="D79" s="1">
        <v>1</v>
      </c>
    </row>
    <row r="80" spans="1:5" ht="12.75" customHeight="1" x14ac:dyDescent="0.3">
      <c r="A80" s="1" t="s">
        <v>108</v>
      </c>
      <c r="B80" s="1" t="s">
        <v>66</v>
      </c>
      <c r="D80" s="1">
        <v>1</v>
      </c>
    </row>
    <row r="81" spans="1:5" ht="12.75" customHeight="1" x14ac:dyDescent="0.3">
      <c r="A81" s="1" t="s">
        <v>109</v>
      </c>
      <c r="B81" s="1" t="s">
        <v>30</v>
      </c>
      <c r="D81" s="1">
        <v>1</v>
      </c>
    </row>
    <row r="82" spans="1:5" ht="12.75" customHeight="1" x14ac:dyDescent="0.3">
      <c r="A82" s="1" t="s">
        <v>110</v>
      </c>
      <c r="B82" s="1" t="s">
        <v>37</v>
      </c>
      <c r="C82" s="1">
        <v>1</v>
      </c>
    </row>
    <row r="83" spans="1:5" ht="12.75" customHeight="1" x14ac:dyDescent="0.3">
      <c r="A83" s="1" t="s">
        <v>111</v>
      </c>
      <c r="B83" s="1" t="s">
        <v>37</v>
      </c>
      <c r="C83" s="1">
        <v>1</v>
      </c>
    </row>
    <row r="84" spans="1:5" ht="12.75" customHeight="1" x14ac:dyDescent="0.3">
      <c r="A84" s="1" t="s">
        <v>112</v>
      </c>
      <c r="B84" s="1" t="s">
        <v>38</v>
      </c>
      <c r="D84" s="1">
        <v>1</v>
      </c>
    </row>
    <row r="85" spans="1:5" ht="12.75" customHeight="1" x14ac:dyDescent="0.3">
      <c r="A85" s="1" t="s">
        <v>113</v>
      </c>
      <c r="B85" s="1" t="s">
        <v>21</v>
      </c>
      <c r="E85" s="1">
        <v>1</v>
      </c>
    </row>
    <row r="86" spans="1:5" ht="12.75" customHeight="1" x14ac:dyDescent="0.3">
      <c r="A86" s="1" t="s">
        <v>114</v>
      </c>
      <c r="B86" s="1" t="s">
        <v>42</v>
      </c>
      <c r="C86" s="1">
        <v>1</v>
      </c>
    </row>
    <row r="87" spans="1:5" ht="12.75" customHeight="1" x14ac:dyDescent="0.3">
      <c r="A87" s="1" t="s">
        <v>115</v>
      </c>
      <c r="B87" s="1" t="s">
        <v>21</v>
      </c>
      <c r="E87" s="1">
        <v>1</v>
      </c>
    </row>
    <row r="88" spans="1:5" ht="12.75" customHeight="1" x14ac:dyDescent="0.3">
      <c r="A88" s="1" t="s">
        <v>116</v>
      </c>
      <c r="B88" s="1" t="s">
        <v>30</v>
      </c>
      <c r="D88" s="1">
        <v>1</v>
      </c>
    </row>
    <row r="89" spans="1:5" ht="12.75" customHeight="1" x14ac:dyDescent="0.3">
      <c r="A89" s="1" t="s">
        <v>117</v>
      </c>
      <c r="B89" s="1" t="s">
        <v>16</v>
      </c>
      <c r="C89" s="1">
        <v>1</v>
      </c>
    </row>
    <row r="90" spans="1:5" ht="12.75" customHeight="1" x14ac:dyDescent="0.3">
      <c r="A90" s="1" t="s">
        <v>118</v>
      </c>
      <c r="B90" s="1" t="s">
        <v>16</v>
      </c>
      <c r="C90" s="1">
        <v>1</v>
      </c>
    </row>
    <row r="91" spans="1:5" ht="12.75" customHeight="1" x14ac:dyDescent="0.3">
      <c r="A91" s="1" t="s">
        <v>119</v>
      </c>
      <c r="B91" s="1" t="s">
        <v>66</v>
      </c>
      <c r="D91" s="1">
        <v>1</v>
      </c>
    </row>
    <row r="92" spans="1:5" ht="12.75" customHeight="1" x14ac:dyDescent="0.3">
      <c r="A92" s="1" t="s">
        <v>120</v>
      </c>
      <c r="B92" s="1" t="s">
        <v>13</v>
      </c>
      <c r="C92" s="1">
        <v>1</v>
      </c>
    </row>
    <row r="93" spans="1:5" ht="12.75" customHeight="1" x14ac:dyDescent="0.3">
      <c r="A93" s="1" t="s">
        <v>121</v>
      </c>
      <c r="B93" s="1" t="s">
        <v>30</v>
      </c>
      <c r="D93" s="1">
        <v>1</v>
      </c>
    </row>
    <row r="94" spans="1:5" ht="12.75" customHeight="1" x14ac:dyDescent="0.3">
      <c r="A94" s="1" t="s">
        <v>122</v>
      </c>
      <c r="B94" s="1" t="s">
        <v>24</v>
      </c>
      <c r="C94" s="1">
        <v>1</v>
      </c>
    </row>
    <row r="95" spans="1:5" ht="12.75" customHeight="1" x14ac:dyDescent="0.3">
      <c r="A95" s="1" t="s">
        <v>123</v>
      </c>
      <c r="B95" s="1" t="s">
        <v>21</v>
      </c>
      <c r="E95" s="1">
        <v>1</v>
      </c>
    </row>
    <row r="96" spans="1:5" ht="12.75" customHeight="1" x14ac:dyDescent="0.3">
      <c r="A96" s="1" t="s">
        <v>124</v>
      </c>
      <c r="B96" s="1" t="s">
        <v>14</v>
      </c>
      <c r="C96" s="1">
        <v>1</v>
      </c>
    </row>
    <row r="97" spans="1:5" ht="12.75" customHeight="1" x14ac:dyDescent="0.3">
      <c r="A97" s="1" t="s">
        <v>125</v>
      </c>
      <c r="B97" s="1" t="s">
        <v>66</v>
      </c>
      <c r="D97" s="1">
        <v>1</v>
      </c>
    </row>
    <row r="98" spans="1:5" ht="12.75" customHeight="1" x14ac:dyDescent="0.3">
      <c r="A98" s="1" t="s">
        <v>126</v>
      </c>
      <c r="B98" s="1" t="s">
        <v>30</v>
      </c>
      <c r="D98" s="1">
        <v>1</v>
      </c>
    </row>
    <row r="99" spans="1:5" ht="12.75" customHeight="1" x14ac:dyDescent="0.3">
      <c r="A99" s="1" t="s">
        <v>127</v>
      </c>
      <c r="B99" s="1" t="s">
        <v>27</v>
      </c>
      <c r="D99" s="1">
        <v>1</v>
      </c>
    </row>
    <row r="100" spans="1:5" ht="12.75" customHeight="1" x14ac:dyDescent="0.3">
      <c r="A100" s="1" t="s">
        <v>128</v>
      </c>
      <c r="B100" s="1" t="s">
        <v>30</v>
      </c>
      <c r="D100" s="1">
        <v>1</v>
      </c>
    </row>
    <row r="101" spans="1:5" ht="12.75" customHeight="1" x14ac:dyDescent="0.3">
      <c r="A101" s="1" t="s">
        <v>129</v>
      </c>
      <c r="B101" s="1" t="s">
        <v>27</v>
      </c>
      <c r="D101" s="1">
        <v>1</v>
      </c>
    </row>
    <row r="102" spans="1:5" ht="12.75" customHeight="1" x14ac:dyDescent="0.3">
      <c r="A102" s="1" t="s">
        <v>130</v>
      </c>
      <c r="B102" s="1" t="s">
        <v>16</v>
      </c>
      <c r="C102" s="1">
        <v>1</v>
      </c>
    </row>
    <row r="103" spans="1:5" ht="12.75" customHeight="1" x14ac:dyDescent="0.3">
      <c r="A103" s="1" t="s">
        <v>131</v>
      </c>
      <c r="B103" s="1" t="s">
        <v>66</v>
      </c>
      <c r="D103" s="1">
        <v>1</v>
      </c>
    </row>
    <row r="104" spans="1:5" ht="12.75" customHeight="1" x14ac:dyDescent="0.3">
      <c r="A104" s="1" t="s">
        <v>132</v>
      </c>
      <c r="B104" s="1" t="s">
        <v>30</v>
      </c>
      <c r="D104" s="1">
        <v>1</v>
      </c>
    </row>
    <row r="105" spans="1:5" ht="12.75" customHeight="1" x14ac:dyDescent="0.3">
      <c r="A105" s="1" t="s">
        <v>133</v>
      </c>
      <c r="B105" s="1" t="s">
        <v>14</v>
      </c>
      <c r="C105" s="1">
        <v>1</v>
      </c>
    </row>
    <row r="106" spans="1:5" ht="12.75" customHeight="1" x14ac:dyDescent="0.3">
      <c r="A106" s="1" t="s">
        <v>134</v>
      </c>
      <c r="B106" s="1" t="s">
        <v>42</v>
      </c>
      <c r="C106" s="1">
        <v>1</v>
      </c>
    </row>
    <row r="107" spans="1:5" ht="12.75" customHeight="1" x14ac:dyDescent="0.3">
      <c r="A107" s="1" t="s">
        <v>135</v>
      </c>
      <c r="B107" s="1" t="s">
        <v>27</v>
      </c>
      <c r="D107" s="1">
        <v>1</v>
      </c>
    </row>
    <row r="108" spans="1:5" ht="12.75" customHeight="1" x14ac:dyDescent="0.3">
      <c r="A108" s="1" t="s">
        <v>136</v>
      </c>
      <c r="B108" s="1" t="s">
        <v>66</v>
      </c>
      <c r="D108" s="1">
        <v>1</v>
      </c>
    </row>
    <row r="109" spans="1:5" ht="12.75" customHeight="1" x14ac:dyDescent="0.3">
      <c r="A109" s="1" t="s">
        <v>137</v>
      </c>
      <c r="B109" s="1" t="s">
        <v>13</v>
      </c>
      <c r="D109" s="1">
        <v>1</v>
      </c>
    </row>
    <row r="110" spans="1:5" ht="12.75" customHeight="1" x14ac:dyDescent="0.3">
      <c r="A110" s="1" t="s">
        <v>138</v>
      </c>
      <c r="B110" s="1" t="s">
        <v>42</v>
      </c>
      <c r="C110" s="1">
        <v>1</v>
      </c>
    </row>
    <row r="111" spans="1:5" ht="12.75" customHeight="1" x14ac:dyDescent="0.3">
      <c r="A111" s="1" t="s">
        <v>139</v>
      </c>
      <c r="B111" s="1" t="s">
        <v>27</v>
      </c>
      <c r="C111" s="1">
        <v>1</v>
      </c>
    </row>
    <row r="112" spans="1:5" ht="12.75" customHeight="1" x14ac:dyDescent="0.3">
      <c r="A112" s="1" t="s">
        <v>140</v>
      </c>
      <c r="B112" s="1" t="s">
        <v>16</v>
      </c>
      <c r="E112" s="1">
        <v>1</v>
      </c>
    </row>
    <row r="113" spans="1:6" ht="12.75" customHeight="1" x14ac:dyDescent="0.3">
      <c r="A113" s="1" t="s">
        <v>141</v>
      </c>
      <c r="B113" s="1" t="s">
        <v>14</v>
      </c>
      <c r="C113" s="1">
        <v>1</v>
      </c>
    </row>
    <row r="114" spans="1:6" ht="12.75" customHeight="1" x14ac:dyDescent="0.3">
      <c r="A114" s="1" t="s">
        <v>142</v>
      </c>
      <c r="B114" s="1" t="s">
        <v>16</v>
      </c>
      <c r="D114" s="1">
        <v>1</v>
      </c>
    </row>
    <row r="115" spans="1:6" ht="12.75" customHeight="1" x14ac:dyDescent="0.3">
      <c r="A115" s="1" t="s">
        <v>143</v>
      </c>
      <c r="B115" s="1" t="s">
        <v>24</v>
      </c>
      <c r="C115" s="1">
        <v>1</v>
      </c>
    </row>
    <row r="116" spans="1:6" ht="12.75" customHeight="1" x14ac:dyDescent="0.3">
      <c r="A116" s="1" t="s">
        <v>144</v>
      </c>
      <c r="B116" s="1" t="s">
        <v>66</v>
      </c>
      <c r="D116" s="1">
        <v>1</v>
      </c>
    </row>
    <row r="117" spans="1:6" ht="12.75" customHeight="1" x14ac:dyDescent="0.3">
      <c r="A117" s="1" t="s">
        <v>145</v>
      </c>
      <c r="B117" s="1" t="s">
        <v>27</v>
      </c>
      <c r="C117" s="1">
        <v>1</v>
      </c>
    </row>
    <row r="118" spans="1:6" ht="12.75" customHeight="1" x14ac:dyDescent="0.3">
      <c r="A118" s="1" t="s">
        <v>146</v>
      </c>
      <c r="B118" s="1" t="s">
        <v>30</v>
      </c>
      <c r="D118" s="1">
        <v>1</v>
      </c>
    </row>
    <row r="119" spans="1:6" ht="12.75" customHeight="1" x14ac:dyDescent="0.3">
      <c r="A119" s="1" t="s">
        <v>147</v>
      </c>
      <c r="B119" s="1" t="s">
        <v>42</v>
      </c>
      <c r="C119" s="1">
        <v>1</v>
      </c>
    </row>
    <row r="120" spans="1:6" ht="12.75" customHeight="1" x14ac:dyDescent="0.3">
      <c r="A120" s="1" t="s">
        <v>148</v>
      </c>
      <c r="B120" s="1" t="s">
        <v>13</v>
      </c>
      <c r="C120" s="1">
        <v>1</v>
      </c>
    </row>
    <row r="121" spans="1:6" ht="12.75" customHeight="1" x14ac:dyDescent="0.3">
      <c r="A121" s="1" t="s">
        <v>149</v>
      </c>
      <c r="B121" s="1" t="s">
        <v>150</v>
      </c>
      <c r="F121" s="1">
        <v>1</v>
      </c>
    </row>
    <row r="122" spans="1:6" ht="12.75" customHeight="1" x14ac:dyDescent="0.3">
      <c r="A122" s="1" t="s">
        <v>151</v>
      </c>
      <c r="B122" s="1" t="s">
        <v>24</v>
      </c>
      <c r="C122" s="1">
        <v>1</v>
      </c>
    </row>
    <row r="123" spans="1:6" ht="12.75" customHeight="1" x14ac:dyDescent="0.3">
      <c r="A123" s="1" t="s">
        <v>152</v>
      </c>
      <c r="B123" s="1" t="s">
        <v>24</v>
      </c>
      <c r="C123" s="1">
        <v>1</v>
      </c>
    </row>
    <row r="124" spans="1:6" ht="12.75" customHeight="1" x14ac:dyDescent="0.3">
      <c r="A124" s="1" t="s">
        <v>153</v>
      </c>
      <c r="B124" s="1" t="s">
        <v>19</v>
      </c>
      <c r="C124" s="1">
        <v>1</v>
      </c>
    </row>
    <row r="125" spans="1:6" ht="12.75" customHeight="1" x14ac:dyDescent="0.3">
      <c r="A125" s="1" t="s">
        <v>154</v>
      </c>
      <c r="B125" s="1" t="s">
        <v>33</v>
      </c>
      <c r="C125" s="1">
        <v>1</v>
      </c>
    </row>
    <row r="126" spans="1:6" ht="12.75" customHeight="1" x14ac:dyDescent="0.3">
      <c r="A126" s="1" t="s">
        <v>155</v>
      </c>
      <c r="B126" s="1" t="s">
        <v>13</v>
      </c>
      <c r="D126" s="1">
        <v>1</v>
      </c>
    </row>
    <row r="127" spans="1:6" ht="12.75" customHeight="1" x14ac:dyDescent="0.3">
      <c r="A127" s="1" t="s">
        <v>156</v>
      </c>
      <c r="B127" s="1" t="s">
        <v>13</v>
      </c>
      <c r="E127" s="1">
        <v>1</v>
      </c>
    </row>
    <row r="128" spans="1:6" ht="12.75" customHeight="1" x14ac:dyDescent="0.3">
      <c r="A128" s="1" t="s">
        <v>157</v>
      </c>
      <c r="B128" s="1" t="s">
        <v>14</v>
      </c>
      <c r="D128" s="1">
        <v>1</v>
      </c>
    </row>
    <row r="129" spans="1:5" ht="12.75" customHeight="1" x14ac:dyDescent="0.3">
      <c r="A129" s="1" t="s">
        <v>158</v>
      </c>
      <c r="B129" s="1" t="s">
        <v>16</v>
      </c>
      <c r="C129" s="1">
        <v>1</v>
      </c>
    </row>
    <row r="130" spans="1:5" ht="12.75" customHeight="1" x14ac:dyDescent="0.3">
      <c r="A130" s="1" t="s">
        <v>159</v>
      </c>
      <c r="B130" s="1" t="s">
        <v>13</v>
      </c>
      <c r="C130" s="1">
        <v>1</v>
      </c>
    </row>
    <row r="131" spans="1:5" ht="12.75" customHeight="1" x14ac:dyDescent="0.3">
      <c r="A131" s="1" t="s">
        <v>160</v>
      </c>
      <c r="B131" s="1" t="s">
        <v>66</v>
      </c>
      <c r="D131" s="1">
        <v>1</v>
      </c>
    </row>
    <row r="132" spans="1:5" ht="12.75" customHeight="1" x14ac:dyDescent="0.3">
      <c r="A132" s="1" t="s">
        <v>161</v>
      </c>
      <c r="B132" s="1" t="s">
        <v>38</v>
      </c>
      <c r="D132" s="1">
        <v>1</v>
      </c>
    </row>
    <row r="133" spans="1:5" ht="12.75" customHeight="1" x14ac:dyDescent="0.3">
      <c r="A133" s="1" t="s">
        <v>162</v>
      </c>
      <c r="B133" s="1" t="s">
        <v>13</v>
      </c>
      <c r="C133" s="1">
        <v>1</v>
      </c>
    </row>
    <row r="134" spans="1:5" ht="12.75" customHeight="1" x14ac:dyDescent="0.3">
      <c r="A134" s="1" t="s">
        <v>163</v>
      </c>
      <c r="B134" s="1" t="s">
        <v>66</v>
      </c>
      <c r="D134" s="1">
        <v>1</v>
      </c>
    </row>
    <row r="135" spans="1:5" ht="12.75" customHeight="1" x14ac:dyDescent="0.3">
      <c r="A135" s="1" t="s">
        <v>164</v>
      </c>
      <c r="B135" s="1" t="s">
        <v>21</v>
      </c>
      <c r="E135" s="1">
        <v>1</v>
      </c>
    </row>
    <row r="136" spans="1:5" ht="12.75" customHeight="1" x14ac:dyDescent="0.3">
      <c r="A136" s="1" t="s">
        <v>165</v>
      </c>
      <c r="B136" s="1" t="s">
        <v>30</v>
      </c>
      <c r="D136" s="1">
        <v>1</v>
      </c>
    </row>
    <row r="137" spans="1:5" ht="12.75" customHeight="1" x14ac:dyDescent="0.3">
      <c r="A137" s="1" t="s">
        <v>166</v>
      </c>
      <c r="B137" s="1" t="s">
        <v>30</v>
      </c>
      <c r="D137" s="1">
        <v>1</v>
      </c>
    </row>
    <row r="138" spans="1:5" ht="12.75" customHeight="1" x14ac:dyDescent="0.3">
      <c r="A138" s="1" t="s">
        <v>167</v>
      </c>
      <c r="B138" s="1" t="s">
        <v>19</v>
      </c>
      <c r="C138" s="1">
        <v>1</v>
      </c>
    </row>
    <row r="139" spans="1:5" ht="12.75" customHeight="1" x14ac:dyDescent="0.3">
      <c r="A139" s="1" t="s">
        <v>168</v>
      </c>
      <c r="B139" s="1" t="s">
        <v>13</v>
      </c>
      <c r="E139" s="1">
        <v>1</v>
      </c>
    </row>
    <row r="140" spans="1:5" ht="12.75" customHeight="1" x14ac:dyDescent="0.3">
      <c r="A140" s="1" t="s">
        <v>169</v>
      </c>
      <c r="B140" s="1" t="s">
        <v>27</v>
      </c>
      <c r="D140" s="1">
        <v>1</v>
      </c>
    </row>
    <row r="141" spans="1:5" ht="12.75" customHeight="1" x14ac:dyDescent="0.3">
      <c r="A141" s="1" t="s">
        <v>170</v>
      </c>
      <c r="B141" s="1" t="s">
        <v>16</v>
      </c>
      <c r="C141" s="1">
        <v>1</v>
      </c>
    </row>
    <row r="142" spans="1:5" ht="12.75" customHeight="1" x14ac:dyDescent="0.3">
      <c r="A142" s="1" t="s">
        <v>171</v>
      </c>
      <c r="B142" s="1" t="s">
        <v>19</v>
      </c>
      <c r="C142" s="1">
        <v>1</v>
      </c>
    </row>
    <row r="143" spans="1:5" ht="12.75" customHeight="1" x14ac:dyDescent="0.3">
      <c r="A143" s="1" t="s">
        <v>172</v>
      </c>
      <c r="B143" s="1" t="s">
        <v>37</v>
      </c>
      <c r="C143" s="1">
        <v>1</v>
      </c>
    </row>
    <row r="144" spans="1:5" ht="12.75" customHeight="1" x14ac:dyDescent="0.3">
      <c r="A144" s="1" t="s">
        <v>173</v>
      </c>
      <c r="B144" s="1" t="s">
        <v>27</v>
      </c>
      <c r="D144" s="1">
        <v>1</v>
      </c>
    </row>
    <row r="145" spans="1:5" ht="12.75" customHeight="1" x14ac:dyDescent="0.3">
      <c r="A145" s="1" t="s">
        <v>174</v>
      </c>
      <c r="B145" s="1" t="s">
        <v>66</v>
      </c>
      <c r="D145" s="1">
        <v>1</v>
      </c>
    </row>
    <row r="146" spans="1:5" ht="12.75" customHeight="1" x14ac:dyDescent="0.3">
      <c r="A146" s="1" t="s">
        <v>175</v>
      </c>
      <c r="B146" s="1" t="s">
        <v>14</v>
      </c>
      <c r="C146" s="1">
        <v>1</v>
      </c>
    </row>
    <row r="147" spans="1:5" ht="12.75" customHeight="1" x14ac:dyDescent="0.3">
      <c r="A147" s="1" t="s">
        <v>176</v>
      </c>
      <c r="B147" s="1" t="s">
        <v>66</v>
      </c>
      <c r="E147" s="1">
        <v>1</v>
      </c>
    </row>
    <row r="148" spans="1:5" ht="12.75" customHeight="1" x14ac:dyDescent="0.3">
      <c r="A148" s="1" t="s">
        <v>177</v>
      </c>
      <c r="B148" s="1" t="s">
        <v>42</v>
      </c>
      <c r="C148" s="1">
        <v>1</v>
      </c>
    </row>
    <row r="149" spans="1:5" ht="12.75" customHeight="1" x14ac:dyDescent="0.3">
      <c r="A149" s="1" t="s">
        <v>178</v>
      </c>
      <c r="B149" s="1" t="s">
        <v>33</v>
      </c>
      <c r="E149" s="1">
        <v>1</v>
      </c>
    </row>
    <row r="150" spans="1:5" ht="12.75" customHeight="1" x14ac:dyDescent="0.3">
      <c r="A150" s="1" t="s">
        <v>179</v>
      </c>
      <c r="B150" s="1" t="s">
        <v>14</v>
      </c>
      <c r="C150" s="1">
        <v>1</v>
      </c>
    </row>
    <row r="151" spans="1:5" ht="12.75" customHeight="1" x14ac:dyDescent="0.3">
      <c r="A151" s="1" t="s">
        <v>180</v>
      </c>
      <c r="B151" s="1" t="s">
        <v>13</v>
      </c>
      <c r="D151" s="1">
        <v>1</v>
      </c>
    </row>
    <row r="152" spans="1:5" ht="12.75" customHeight="1" x14ac:dyDescent="0.3">
      <c r="A152" s="1" t="s">
        <v>181</v>
      </c>
      <c r="B152" s="1" t="s">
        <v>24</v>
      </c>
      <c r="C152" s="1">
        <v>1</v>
      </c>
    </row>
    <row r="153" spans="1:5" ht="12.75" customHeight="1" x14ac:dyDescent="0.3">
      <c r="A153" s="1" t="s">
        <v>182</v>
      </c>
      <c r="B153" s="1" t="s">
        <v>19</v>
      </c>
      <c r="C153" s="1">
        <v>1</v>
      </c>
    </row>
    <row r="154" spans="1:5" ht="12.75" customHeight="1" x14ac:dyDescent="0.3">
      <c r="A154" s="1" t="s">
        <v>183</v>
      </c>
      <c r="B154" s="1" t="s">
        <v>42</v>
      </c>
      <c r="C154" s="1">
        <v>1</v>
      </c>
    </row>
    <row r="155" spans="1:5" ht="12.75" customHeight="1" x14ac:dyDescent="0.3">
      <c r="A155" s="1" t="s">
        <v>184</v>
      </c>
      <c r="B155" s="1" t="s">
        <v>19</v>
      </c>
      <c r="C155" s="1">
        <v>1</v>
      </c>
    </row>
    <row r="156" spans="1:5" ht="12.75" customHeight="1" x14ac:dyDescent="0.3">
      <c r="A156" s="1" t="s">
        <v>185</v>
      </c>
      <c r="B156" s="1" t="s">
        <v>30</v>
      </c>
      <c r="D156" s="1">
        <v>1</v>
      </c>
    </row>
    <row r="157" spans="1:5" ht="12.75" customHeight="1" x14ac:dyDescent="0.3"/>
    <row r="158" spans="1:5" ht="12.75" customHeight="1" x14ac:dyDescent="0.3"/>
    <row r="159" spans="1:5" ht="12.75" customHeight="1" x14ac:dyDescent="0.3"/>
    <row r="160" spans="1:5" ht="12.75" customHeight="1" x14ac:dyDescent="0.3"/>
    <row r="161" s="1" customFormat="1" ht="12.75" customHeight="1" x14ac:dyDescent="0.3"/>
    <row r="162" s="1" customFormat="1" ht="12.75" customHeight="1" x14ac:dyDescent="0.3"/>
    <row r="163" s="1" customFormat="1" ht="12.75" customHeight="1" x14ac:dyDescent="0.3"/>
    <row r="164" s="1" customFormat="1" ht="12.75" customHeight="1" x14ac:dyDescent="0.3"/>
    <row r="165" s="1" customFormat="1" ht="12.75" customHeight="1" x14ac:dyDescent="0.3"/>
    <row r="166" s="1" customFormat="1" ht="12.75" customHeight="1" x14ac:dyDescent="0.3"/>
    <row r="167" s="1" customFormat="1" ht="12.75" customHeight="1" x14ac:dyDescent="0.3"/>
    <row r="168" s="1" customFormat="1" ht="12.75" customHeight="1" x14ac:dyDescent="0.3"/>
    <row r="169" s="1" customFormat="1" ht="12.75" customHeight="1" x14ac:dyDescent="0.3"/>
    <row r="170" s="1" customFormat="1" ht="12.75" customHeight="1" x14ac:dyDescent="0.3"/>
    <row r="171" s="1" customFormat="1" ht="12.75" customHeight="1" x14ac:dyDescent="0.3"/>
    <row r="172" s="1" customFormat="1" ht="12.75" customHeight="1" x14ac:dyDescent="0.3"/>
    <row r="173" s="1" customFormat="1" ht="12.75" customHeight="1" x14ac:dyDescent="0.3"/>
    <row r="174" s="1" customFormat="1" ht="12.75" customHeight="1" x14ac:dyDescent="0.3"/>
    <row r="175" s="1" customFormat="1" ht="12.75" customHeight="1" x14ac:dyDescent="0.3"/>
    <row r="176" s="1" customFormat="1" ht="12.75" customHeight="1" x14ac:dyDescent="0.3"/>
    <row r="177" s="1" customFormat="1" ht="12.75" customHeight="1" x14ac:dyDescent="0.3"/>
    <row r="178" s="1" customFormat="1" ht="12.75" customHeight="1" x14ac:dyDescent="0.3"/>
    <row r="179" s="1" customFormat="1" ht="12.75" customHeight="1" x14ac:dyDescent="0.3"/>
    <row r="180" s="1" customFormat="1" ht="12.75" customHeight="1" x14ac:dyDescent="0.3"/>
    <row r="181" s="1" customFormat="1" ht="12.75" customHeight="1" x14ac:dyDescent="0.3"/>
    <row r="182" s="1" customFormat="1" ht="12.75" customHeight="1" x14ac:dyDescent="0.3"/>
    <row r="183" s="1" customFormat="1" ht="12.75" customHeight="1" x14ac:dyDescent="0.3"/>
    <row r="184" s="1" customFormat="1" ht="12.75" customHeight="1" x14ac:dyDescent="0.3"/>
    <row r="185" s="1" customFormat="1" ht="12.75" customHeight="1" x14ac:dyDescent="0.3"/>
    <row r="186" s="1" customFormat="1" ht="12.75" customHeight="1" x14ac:dyDescent="0.3"/>
    <row r="187" s="1" customFormat="1" ht="12.75" customHeight="1" x14ac:dyDescent="0.3"/>
    <row r="188" s="1" customFormat="1" ht="12.75" customHeight="1" x14ac:dyDescent="0.3"/>
    <row r="189" s="1" customFormat="1" ht="12.75" customHeight="1" x14ac:dyDescent="0.3"/>
    <row r="190" s="1" customFormat="1" ht="12.75" customHeight="1" x14ac:dyDescent="0.3"/>
    <row r="191" s="1" customFormat="1" ht="12.75" customHeight="1" x14ac:dyDescent="0.3"/>
    <row r="192" s="1" customFormat="1" ht="12.75" customHeight="1" x14ac:dyDescent="0.3"/>
    <row r="193" s="1" customFormat="1" ht="12.75" customHeight="1" x14ac:dyDescent="0.3"/>
    <row r="194" s="1" customFormat="1" ht="12.75" customHeight="1" x14ac:dyDescent="0.3"/>
    <row r="195" s="1" customFormat="1" ht="12.75" customHeight="1" x14ac:dyDescent="0.3"/>
    <row r="196" s="1" customFormat="1" ht="12.75" customHeight="1" x14ac:dyDescent="0.3"/>
    <row r="197" s="1" customFormat="1" ht="12.75" customHeight="1" x14ac:dyDescent="0.3"/>
    <row r="198" s="1" customFormat="1" ht="12.75" customHeight="1" x14ac:dyDescent="0.3"/>
    <row r="199" s="1" customFormat="1" ht="12.75" customHeight="1" x14ac:dyDescent="0.3"/>
    <row r="200" s="1" customFormat="1" ht="12.75" customHeight="1" x14ac:dyDescent="0.3"/>
    <row r="201" s="1" customFormat="1" ht="12.75" customHeight="1" x14ac:dyDescent="0.3"/>
    <row r="202" s="1" customFormat="1" ht="12.75" customHeight="1" x14ac:dyDescent="0.3"/>
    <row r="203" s="1" customFormat="1" ht="12.75" customHeight="1" x14ac:dyDescent="0.3"/>
    <row r="204" s="1" customFormat="1" ht="12.75" customHeight="1" x14ac:dyDescent="0.3"/>
    <row r="205" s="1" customFormat="1" ht="12.75" customHeight="1" x14ac:dyDescent="0.3"/>
    <row r="206" s="1" customFormat="1" ht="12.75" customHeight="1" x14ac:dyDescent="0.3"/>
    <row r="207" s="1" customFormat="1" ht="12.75" customHeight="1" x14ac:dyDescent="0.3"/>
    <row r="208" s="1" customFormat="1" ht="12.75" customHeight="1" x14ac:dyDescent="0.3"/>
    <row r="209" s="1" customFormat="1" ht="12.75" customHeight="1" x14ac:dyDescent="0.3"/>
    <row r="210" s="1" customFormat="1" ht="12.75" customHeight="1" x14ac:dyDescent="0.3"/>
    <row r="211" s="1" customFormat="1" ht="12.75" customHeight="1" x14ac:dyDescent="0.3"/>
    <row r="212" s="1" customFormat="1" ht="12.75" customHeight="1" x14ac:dyDescent="0.3"/>
    <row r="213" s="1" customFormat="1" ht="12.75" customHeight="1" x14ac:dyDescent="0.3"/>
    <row r="214" s="1" customFormat="1" ht="12.75" customHeight="1" x14ac:dyDescent="0.3"/>
    <row r="215" s="1" customFormat="1" ht="12.75" customHeight="1" x14ac:dyDescent="0.3"/>
    <row r="216" s="1" customFormat="1" ht="12.75" customHeight="1" x14ac:dyDescent="0.3"/>
    <row r="217" s="1" customFormat="1" ht="12.75" customHeight="1" x14ac:dyDescent="0.3"/>
    <row r="218" s="1" customFormat="1" ht="12.75" customHeight="1" x14ac:dyDescent="0.3"/>
    <row r="219" s="1" customFormat="1" ht="12.75" customHeight="1" x14ac:dyDescent="0.3"/>
    <row r="220" s="1" customFormat="1" ht="12.75" customHeight="1" x14ac:dyDescent="0.3"/>
    <row r="221" s="1" customFormat="1" ht="12.75" customHeight="1" x14ac:dyDescent="0.3"/>
    <row r="222" s="1" customFormat="1" ht="12.75" customHeight="1" x14ac:dyDescent="0.3"/>
    <row r="223" s="1" customFormat="1" ht="12.75" customHeight="1" x14ac:dyDescent="0.3"/>
    <row r="224" s="1" customFormat="1" ht="12.75" customHeight="1" x14ac:dyDescent="0.3"/>
    <row r="225" s="1" customFormat="1" ht="12.75" customHeight="1" x14ac:dyDescent="0.3"/>
    <row r="226" s="1" customFormat="1" ht="12.75" customHeight="1" x14ac:dyDescent="0.3"/>
    <row r="227" s="1" customFormat="1" ht="12.75" customHeight="1" x14ac:dyDescent="0.3"/>
    <row r="228" s="1" customFormat="1" ht="12.75" customHeight="1" x14ac:dyDescent="0.3"/>
    <row r="229" s="1" customFormat="1" ht="12.75" customHeight="1" x14ac:dyDescent="0.3"/>
    <row r="230" s="1" customFormat="1" ht="12.75" customHeight="1" x14ac:dyDescent="0.3"/>
    <row r="231" s="1" customFormat="1" ht="12.75" customHeight="1" x14ac:dyDescent="0.3"/>
    <row r="232" s="1" customFormat="1" ht="12.75" customHeight="1" x14ac:dyDescent="0.3"/>
    <row r="233" s="1" customFormat="1" ht="12.75" customHeight="1" x14ac:dyDescent="0.3"/>
    <row r="234" s="1" customFormat="1" ht="12.75" customHeight="1" x14ac:dyDescent="0.3"/>
    <row r="235" s="1" customFormat="1" ht="12.75" customHeight="1" x14ac:dyDescent="0.3"/>
    <row r="236" s="1" customFormat="1" ht="12.75" customHeight="1" x14ac:dyDescent="0.3"/>
    <row r="237" s="1" customFormat="1" ht="12.75" customHeight="1" x14ac:dyDescent="0.3"/>
    <row r="238" s="1" customFormat="1" ht="12.75" customHeight="1" x14ac:dyDescent="0.3"/>
    <row r="239" s="1" customFormat="1" ht="12.75" customHeight="1" x14ac:dyDescent="0.3"/>
    <row r="240" s="1" customFormat="1" ht="12.75" customHeight="1" x14ac:dyDescent="0.3"/>
    <row r="241" s="1" customFormat="1" ht="12.75" customHeight="1" x14ac:dyDescent="0.3"/>
    <row r="242" s="1" customFormat="1" ht="12.75" customHeight="1" x14ac:dyDescent="0.3"/>
    <row r="243" s="1" customFormat="1" ht="12.75" customHeight="1" x14ac:dyDescent="0.3"/>
    <row r="244" s="1" customFormat="1" ht="12.75" customHeight="1" x14ac:dyDescent="0.3"/>
    <row r="245" s="1" customFormat="1" ht="12.75" customHeight="1" x14ac:dyDescent="0.3"/>
    <row r="246" s="1" customFormat="1" ht="12.75" customHeight="1" x14ac:dyDescent="0.3"/>
    <row r="247" s="1" customFormat="1" ht="12.75" customHeight="1" x14ac:dyDescent="0.3"/>
    <row r="248" s="1" customFormat="1" ht="12.75" customHeight="1" x14ac:dyDescent="0.3"/>
    <row r="249" s="1" customFormat="1" ht="12.75" customHeight="1" x14ac:dyDescent="0.3"/>
    <row r="250" s="1" customFormat="1" ht="12.75" customHeight="1" x14ac:dyDescent="0.3"/>
    <row r="251" s="1" customFormat="1" ht="12.75" customHeight="1" x14ac:dyDescent="0.3"/>
    <row r="252" s="1" customFormat="1" ht="12.75" customHeight="1" x14ac:dyDescent="0.3"/>
    <row r="253" s="1" customFormat="1" ht="12.75" customHeight="1" x14ac:dyDescent="0.3"/>
    <row r="254" s="1" customFormat="1" ht="12.75" customHeight="1" x14ac:dyDescent="0.3"/>
    <row r="255" s="1" customFormat="1" ht="12.75" customHeight="1" x14ac:dyDescent="0.3"/>
    <row r="256" s="1" customFormat="1" ht="12.75" customHeight="1" x14ac:dyDescent="0.3"/>
    <row r="257" s="1" customFormat="1" ht="12.75" customHeight="1" x14ac:dyDescent="0.3"/>
    <row r="258" s="1" customFormat="1" ht="12.75" customHeight="1" x14ac:dyDescent="0.3"/>
    <row r="259" s="1" customFormat="1" ht="12.75" customHeight="1" x14ac:dyDescent="0.3"/>
    <row r="260" s="1" customFormat="1" ht="12.75" customHeight="1" x14ac:dyDescent="0.3"/>
    <row r="261" s="1" customFormat="1" ht="12.75" customHeight="1" x14ac:dyDescent="0.3"/>
    <row r="262" s="1" customFormat="1" ht="12.75" customHeight="1" x14ac:dyDescent="0.3"/>
    <row r="263" s="1" customFormat="1" ht="12.75" customHeight="1" x14ac:dyDescent="0.3"/>
    <row r="264" s="1" customFormat="1" ht="12.75" customHeight="1" x14ac:dyDescent="0.3"/>
    <row r="265" s="1" customFormat="1" ht="12.75" customHeight="1" x14ac:dyDescent="0.3"/>
    <row r="266" s="1" customFormat="1" ht="12.75" customHeight="1" x14ac:dyDescent="0.3"/>
    <row r="267" s="1" customFormat="1" ht="12.75" customHeight="1" x14ac:dyDescent="0.3"/>
    <row r="268" s="1" customFormat="1" ht="12.75" customHeight="1" x14ac:dyDescent="0.3"/>
    <row r="269" s="1" customFormat="1" ht="12.75" customHeight="1" x14ac:dyDescent="0.3"/>
    <row r="270" s="1" customFormat="1" ht="12.75" customHeight="1" x14ac:dyDescent="0.3"/>
    <row r="271" s="1" customFormat="1" ht="12.75" customHeight="1" x14ac:dyDescent="0.3"/>
    <row r="272" s="1" customFormat="1" ht="12.75" customHeight="1" x14ac:dyDescent="0.3"/>
    <row r="273" s="1" customFormat="1" ht="12.75" customHeight="1" x14ac:dyDescent="0.3"/>
    <row r="274" s="1" customFormat="1" ht="12.75" customHeight="1" x14ac:dyDescent="0.3"/>
    <row r="275" s="1" customFormat="1" ht="12.75" customHeight="1" x14ac:dyDescent="0.3"/>
    <row r="276" s="1" customFormat="1" ht="12.75" customHeight="1" x14ac:dyDescent="0.3"/>
    <row r="277" s="1" customFormat="1" ht="12.75" customHeight="1" x14ac:dyDescent="0.3"/>
    <row r="278" s="1" customFormat="1" ht="12.75" customHeight="1" x14ac:dyDescent="0.3"/>
    <row r="279" s="1" customFormat="1" ht="12.75" customHeight="1" x14ac:dyDescent="0.3"/>
    <row r="280" s="1" customFormat="1" ht="12.75" customHeight="1" x14ac:dyDescent="0.3"/>
    <row r="281" s="1" customFormat="1" ht="12.75" customHeight="1" x14ac:dyDescent="0.3"/>
    <row r="282" s="1" customFormat="1" ht="12.75" customHeight="1" x14ac:dyDescent="0.3"/>
    <row r="283" s="1" customFormat="1" ht="12.75" customHeight="1" x14ac:dyDescent="0.3"/>
    <row r="284" s="1" customFormat="1" ht="12.75" customHeight="1" x14ac:dyDescent="0.3"/>
    <row r="285" s="1" customFormat="1" ht="12.75" customHeight="1" x14ac:dyDescent="0.3"/>
    <row r="286" s="1" customFormat="1" ht="12.75" customHeight="1" x14ac:dyDescent="0.3"/>
    <row r="287" s="1" customFormat="1" ht="12.75" customHeight="1" x14ac:dyDescent="0.3"/>
    <row r="288" s="1" customFormat="1" ht="12.75" customHeight="1" x14ac:dyDescent="0.3"/>
    <row r="289" s="1" customFormat="1" ht="12.75" customHeight="1" x14ac:dyDescent="0.3"/>
    <row r="290" s="1" customFormat="1" ht="12.75" customHeight="1" x14ac:dyDescent="0.3"/>
    <row r="291" s="1" customFormat="1" ht="12.75" customHeight="1" x14ac:dyDescent="0.3"/>
    <row r="292" s="1" customFormat="1" ht="12.75" customHeight="1" x14ac:dyDescent="0.3"/>
    <row r="293" s="1" customFormat="1" ht="12.75" customHeight="1" x14ac:dyDescent="0.3"/>
    <row r="294" s="1" customFormat="1" ht="12.75" customHeight="1" x14ac:dyDescent="0.3"/>
    <row r="295" s="1" customFormat="1" ht="12.75" customHeight="1" x14ac:dyDescent="0.3"/>
    <row r="296" s="1" customFormat="1" ht="12.75" customHeight="1" x14ac:dyDescent="0.3"/>
    <row r="297" s="1" customFormat="1" ht="12.75" customHeight="1" x14ac:dyDescent="0.3"/>
    <row r="298" s="1" customFormat="1" ht="12.75" customHeight="1" x14ac:dyDescent="0.3"/>
    <row r="299" s="1" customFormat="1" ht="12.75" customHeight="1" x14ac:dyDescent="0.3"/>
    <row r="300" s="1" customFormat="1" ht="12.75" customHeight="1" x14ac:dyDescent="0.3"/>
    <row r="301" s="1" customFormat="1" ht="12.75" customHeight="1" x14ac:dyDescent="0.3"/>
    <row r="302" s="1" customFormat="1" ht="12.75" customHeight="1" x14ac:dyDescent="0.3"/>
    <row r="303" s="1" customFormat="1" ht="12.75" customHeight="1" x14ac:dyDescent="0.3"/>
    <row r="304" s="1" customFormat="1" ht="12.75" customHeight="1" x14ac:dyDescent="0.3"/>
    <row r="305" s="1" customFormat="1" ht="12.75" customHeight="1" x14ac:dyDescent="0.3"/>
    <row r="306" s="1" customFormat="1" ht="12.75" customHeight="1" x14ac:dyDescent="0.3"/>
    <row r="307" s="1" customFormat="1" ht="12.75" customHeight="1" x14ac:dyDescent="0.3"/>
    <row r="308" s="1" customFormat="1" ht="12.75" customHeight="1" x14ac:dyDescent="0.3"/>
    <row r="309" s="1" customFormat="1" ht="12.75" customHeight="1" x14ac:dyDescent="0.3"/>
    <row r="310" s="1" customFormat="1" ht="12.75" customHeight="1" x14ac:dyDescent="0.3"/>
    <row r="311" s="1" customFormat="1" ht="12.75" customHeight="1" x14ac:dyDescent="0.3"/>
    <row r="312" s="1" customFormat="1" ht="12.75" customHeight="1" x14ac:dyDescent="0.3"/>
    <row r="313" s="1" customFormat="1" ht="12.75" customHeight="1" x14ac:dyDescent="0.3"/>
    <row r="314" s="1" customFormat="1" ht="12.75" customHeight="1" x14ac:dyDescent="0.3"/>
    <row r="315" s="1" customFormat="1" ht="12.75" customHeight="1" x14ac:dyDescent="0.3"/>
    <row r="316" s="1" customFormat="1" ht="12.75" customHeight="1" x14ac:dyDescent="0.3"/>
    <row r="317" s="1" customFormat="1" ht="12.75" customHeight="1" x14ac:dyDescent="0.3"/>
    <row r="318" s="1" customFormat="1" ht="12.75" customHeight="1" x14ac:dyDescent="0.3"/>
    <row r="319" s="1" customFormat="1" ht="12.75" customHeight="1" x14ac:dyDescent="0.3"/>
    <row r="320" s="1" customFormat="1" ht="12.75" customHeight="1" x14ac:dyDescent="0.3"/>
    <row r="321" s="1" customFormat="1" ht="12.75" customHeight="1" x14ac:dyDescent="0.3"/>
    <row r="322" s="1" customFormat="1" ht="12.75" customHeight="1" x14ac:dyDescent="0.3"/>
    <row r="323" s="1" customFormat="1" ht="12.75" customHeight="1" x14ac:dyDescent="0.3"/>
    <row r="324" s="1" customFormat="1" ht="12.75" customHeight="1" x14ac:dyDescent="0.3"/>
    <row r="325" s="1" customFormat="1" ht="12.75" customHeight="1" x14ac:dyDescent="0.3"/>
    <row r="326" s="1" customFormat="1" ht="12.75" customHeight="1" x14ac:dyDescent="0.3"/>
    <row r="327" s="1" customFormat="1" ht="12.75" customHeight="1" x14ac:dyDescent="0.3"/>
    <row r="328" s="1" customFormat="1" ht="12.75" customHeight="1" x14ac:dyDescent="0.3"/>
    <row r="329" s="1" customFormat="1" ht="12.75" customHeight="1" x14ac:dyDescent="0.3"/>
    <row r="330" s="1" customFormat="1" ht="12.75" customHeight="1" x14ac:dyDescent="0.3"/>
    <row r="331" s="1" customFormat="1" ht="12.75" customHeight="1" x14ac:dyDescent="0.3"/>
    <row r="332" s="1" customFormat="1" ht="12.75" customHeight="1" x14ac:dyDescent="0.3"/>
    <row r="333" s="1" customFormat="1" ht="12.75" customHeight="1" x14ac:dyDescent="0.3"/>
    <row r="334" s="1" customFormat="1" ht="12.75" customHeight="1" x14ac:dyDescent="0.3"/>
    <row r="335" s="1" customFormat="1" ht="12.75" customHeight="1" x14ac:dyDescent="0.3"/>
    <row r="336" s="1" customFormat="1" ht="12.75" customHeight="1" x14ac:dyDescent="0.3"/>
    <row r="337" s="1" customFormat="1" ht="12.75" customHeight="1" x14ac:dyDescent="0.3"/>
    <row r="338" s="1" customFormat="1" ht="12.75" customHeight="1" x14ac:dyDescent="0.3"/>
    <row r="339" s="1" customFormat="1" ht="12.75" customHeight="1" x14ac:dyDescent="0.3"/>
    <row r="340" s="1" customFormat="1" ht="12.75" customHeight="1" x14ac:dyDescent="0.3"/>
    <row r="341" s="1" customFormat="1" ht="12.75" customHeight="1" x14ac:dyDescent="0.3"/>
    <row r="342" s="1" customFormat="1" ht="12.75" customHeight="1" x14ac:dyDescent="0.3"/>
    <row r="343" s="1" customFormat="1" ht="12.75" customHeight="1" x14ac:dyDescent="0.3"/>
    <row r="344" s="1" customFormat="1" ht="12.75" customHeight="1" x14ac:dyDescent="0.3"/>
    <row r="345" s="1" customFormat="1" ht="12.75" customHeight="1" x14ac:dyDescent="0.3"/>
    <row r="346" s="1" customFormat="1" ht="12.75" customHeight="1" x14ac:dyDescent="0.3"/>
    <row r="347" s="1" customFormat="1" ht="12.75" customHeight="1" x14ac:dyDescent="0.3"/>
    <row r="348" s="1" customFormat="1" ht="12.75" customHeight="1" x14ac:dyDescent="0.3"/>
    <row r="349" s="1" customFormat="1" ht="12.75" customHeight="1" x14ac:dyDescent="0.3"/>
    <row r="350" s="1" customFormat="1" ht="12.75" customHeight="1" x14ac:dyDescent="0.3"/>
    <row r="351" s="1" customFormat="1" ht="12.75" customHeight="1" x14ac:dyDescent="0.3"/>
    <row r="352" s="1" customFormat="1" ht="12.75" customHeight="1" x14ac:dyDescent="0.3"/>
    <row r="353" s="1" customFormat="1" ht="12.75" customHeight="1" x14ac:dyDescent="0.3"/>
    <row r="354" s="1" customFormat="1" ht="12.75" customHeight="1" x14ac:dyDescent="0.3"/>
    <row r="355" s="1" customFormat="1" ht="12.75" customHeight="1" x14ac:dyDescent="0.3"/>
    <row r="356" s="1" customFormat="1" ht="12.75" customHeight="1" x14ac:dyDescent="0.3"/>
    <row r="357" s="1" customFormat="1" ht="12.75" customHeight="1" x14ac:dyDescent="0.3"/>
    <row r="358" s="1" customFormat="1" ht="12.75" customHeight="1" x14ac:dyDescent="0.3"/>
    <row r="359" s="1" customFormat="1" ht="12.75" customHeight="1" x14ac:dyDescent="0.3"/>
    <row r="360" s="1" customFormat="1" ht="12.75" customHeight="1" x14ac:dyDescent="0.3"/>
    <row r="361" s="1" customFormat="1" ht="12.75" customHeight="1" x14ac:dyDescent="0.3"/>
    <row r="362" s="1" customFormat="1" ht="12.75" customHeight="1" x14ac:dyDescent="0.3"/>
    <row r="363" s="1" customFormat="1" ht="12.75" customHeight="1" x14ac:dyDescent="0.3"/>
    <row r="364" s="1" customFormat="1" ht="12.75" customHeight="1" x14ac:dyDescent="0.3"/>
    <row r="365" s="1" customFormat="1" ht="12.75" customHeight="1" x14ac:dyDescent="0.3"/>
    <row r="366" s="1" customFormat="1" ht="12.75" customHeight="1" x14ac:dyDescent="0.3"/>
    <row r="367" s="1" customFormat="1" ht="12.75" customHeight="1" x14ac:dyDescent="0.3"/>
    <row r="368" s="1" customFormat="1" ht="12.75" customHeight="1" x14ac:dyDescent="0.3"/>
    <row r="369" s="1" customFormat="1" ht="12.75" customHeight="1" x14ac:dyDescent="0.3"/>
    <row r="370" s="1" customFormat="1" ht="12.75" customHeight="1" x14ac:dyDescent="0.3"/>
    <row r="371" s="1" customFormat="1" ht="12.75" customHeight="1" x14ac:dyDescent="0.3"/>
    <row r="372" s="1" customFormat="1" ht="12.75" customHeight="1" x14ac:dyDescent="0.3"/>
    <row r="373" s="1" customFormat="1" ht="12.75" customHeight="1" x14ac:dyDescent="0.3"/>
    <row r="374" s="1" customFormat="1" ht="12.75" customHeight="1" x14ac:dyDescent="0.3"/>
    <row r="375" s="1" customFormat="1" ht="12.75" customHeight="1" x14ac:dyDescent="0.3"/>
    <row r="376" s="1" customFormat="1" ht="12.75" customHeight="1" x14ac:dyDescent="0.3"/>
    <row r="377" s="1" customFormat="1" ht="12.75" customHeight="1" x14ac:dyDescent="0.3"/>
    <row r="378" s="1" customFormat="1" ht="12.75" customHeight="1" x14ac:dyDescent="0.3"/>
    <row r="379" s="1" customFormat="1" ht="12.75" customHeight="1" x14ac:dyDescent="0.3"/>
    <row r="380" s="1" customFormat="1" ht="12.75" customHeight="1" x14ac:dyDescent="0.3"/>
    <row r="381" s="1" customFormat="1" ht="12.75" customHeight="1" x14ac:dyDescent="0.3"/>
    <row r="382" s="1" customFormat="1" ht="12.75" customHeight="1" x14ac:dyDescent="0.3"/>
    <row r="383" s="1" customFormat="1" ht="12.75" customHeight="1" x14ac:dyDescent="0.3"/>
    <row r="384" s="1" customFormat="1" ht="12.75" customHeight="1" x14ac:dyDescent="0.3"/>
    <row r="385" s="1" customFormat="1" ht="12.75" customHeight="1" x14ac:dyDescent="0.3"/>
    <row r="386" s="1" customFormat="1" ht="12.75" customHeight="1" x14ac:dyDescent="0.3"/>
    <row r="387" s="1" customFormat="1" ht="12.75" customHeight="1" x14ac:dyDescent="0.3"/>
    <row r="388" s="1" customFormat="1" ht="12.75" customHeight="1" x14ac:dyDescent="0.3"/>
    <row r="389" s="1" customFormat="1" ht="12.75" customHeight="1" x14ac:dyDescent="0.3"/>
    <row r="390" s="1" customFormat="1" ht="12.75" customHeight="1" x14ac:dyDescent="0.3"/>
    <row r="391" s="1" customFormat="1" ht="12.75" customHeight="1" x14ac:dyDescent="0.3"/>
    <row r="392" s="1" customFormat="1" ht="12.75" customHeight="1" x14ac:dyDescent="0.3"/>
    <row r="393" s="1" customFormat="1" ht="12.75" customHeight="1" x14ac:dyDescent="0.3"/>
    <row r="394" s="1" customFormat="1" ht="12.75" customHeight="1" x14ac:dyDescent="0.3"/>
    <row r="395" s="1" customFormat="1" ht="12.75" customHeight="1" x14ac:dyDescent="0.3"/>
    <row r="396" s="1" customFormat="1" ht="12.75" customHeight="1" x14ac:dyDescent="0.3"/>
    <row r="397" s="1" customFormat="1" ht="12.75" customHeight="1" x14ac:dyDescent="0.3"/>
    <row r="398" s="1" customFormat="1" ht="12.75" customHeight="1" x14ac:dyDescent="0.3"/>
    <row r="399" s="1" customFormat="1" ht="12.75" customHeight="1" x14ac:dyDescent="0.3"/>
    <row r="400" s="1" customFormat="1" ht="12.75" customHeight="1" x14ac:dyDescent="0.3"/>
    <row r="401" s="1" customFormat="1" ht="12.75" customHeight="1" x14ac:dyDescent="0.3"/>
    <row r="402" s="1" customFormat="1" ht="12.75" customHeight="1" x14ac:dyDescent="0.3"/>
    <row r="403" s="1" customFormat="1" ht="12.75" customHeight="1" x14ac:dyDescent="0.3"/>
    <row r="404" s="1" customFormat="1" ht="12.75" customHeight="1" x14ac:dyDescent="0.3"/>
    <row r="405" s="1" customFormat="1" ht="12.75" customHeight="1" x14ac:dyDescent="0.3"/>
    <row r="406" s="1" customFormat="1" ht="12.75" customHeight="1" x14ac:dyDescent="0.3"/>
    <row r="407" s="1" customFormat="1" ht="12.75" customHeight="1" x14ac:dyDescent="0.3"/>
    <row r="408" s="1" customFormat="1" ht="12.75" customHeight="1" x14ac:dyDescent="0.3"/>
    <row r="409" s="1" customFormat="1" ht="12.75" customHeight="1" x14ac:dyDescent="0.3"/>
    <row r="410" s="1" customFormat="1" ht="12.75" customHeight="1" x14ac:dyDescent="0.3"/>
    <row r="411" s="1" customFormat="1" ht="12.75" customHeight="1" x14ac:dyDescent="0.3"/>
    <row r="412" s="1" customFormat="1" ht="12.75" customHeight="1" x14ac:dyDescent="0.3"/>
    <row r="413" s="1" customFormat="1" ht="12.75" customHeight="1" x14ac:dyDescent="0.3"/>
    <row r="414" s="1" customFormat="1" ht="12.75" customHeight="1" x14ac:dyDescent="0.3"/>
    <row r="415" s="1" customFormat="1" ht="12.75" customHeight="1" x14ac:dyDescent="0.3"/>
    <row r="416" s="1" customFormat="1" ht="12.75" customHeight="1" x14ac:dyDescent="0.3"/>
    <row r="417" s="1" customFormat="1" ht="12.75" customHeight="1" x14ac:dyDescent="0.3"/>
    <row r="418" s="1" customFormat="1" ht="12.75" customHeight="1" x14ac:dyDescent="0.3"/>
    <row r="419" s="1" customFormat="1" ht="12.75" customHeight="1" x14ac:dyDescent="0.3"/>
    <row r="420" s="1" customFormat="1" ht="12.75" customHeight="1" x14ac:dyDescent="0.3"/>
    <row r="421" s="1" customFormat="1" ht="12.75" customHeight="1" x14ac:dyDescent="0.3"/>
    <row r="422" s="1" customFormat="1" ht="12.75" customHeight="1" x14ac:dyDescent="0.3"/>
    <row r="423" s="1" customFormat="1" ht="12.75" customHeight="1" x14ac:dyDescent="0.3"/>
    <row r="424" s="1" customFormat="1" ht="12.75" customHeight="1" x14ac:dyDescent="0.3"/>
    <row r="425" s="1" customFormat="1" ht="12.75" customHeight="1" x14ac:dyDescent="0.3"/>
    <row r="426" s="1" customFormat="1" ht="12.75" customHeight="1" x14ac:dyDescent="0.3"/>
    <row r="427" s="1" customFormat="1" ht="12.75" customHeight="1" x14ac:dyDescent="0.3"/>
    <row r="428" s="1" customFormat="1" ht="12.75" customHeight="1" x14ac:dyDescent="0.3"/>
    <row r="429" s="1" customFormat="1" ht="12.75" customHeight="1" x14ac:dyDescent="0.3"/>
    <row r="430" s="1" customFormat="1" ht="12.75" customHeight="1" x14ac:dyDescent="0.3"/>
    <row r="431" s="1" customFormat="1" ht="12.75" customHeight="1" x14ac:dyDescent="0.3"/>
    <row r="432" s="1" customFormat="1" ht="12.75" customHeight="1" x14ac:dyDescent="0.3"/>
    <row r="433" s="1" customFormat="1" ht="12.75" customHeight="1" x14ac:dyDescent="0.3"/>
    <row r="434" s="1" customFormat="1" ht="12.75" customHeight="1" x14ac:dyDescent="0.3"/>
    <row r="435" s="1" customFormat="1" ht="12.75" customHeight="1" x14ac:dyDescent="0.3"/>
    <row r="436" s="1" customFormat="1" ht="12.75" customHeight="1" x14ac:dyDescent="0.3"/>
    <row r="437" s="1" customFormat="1" ht="12.75" customHeight="1" x14ac:dyDescent="0.3"/>
    <row r="438" s="1" customFormat="1" ht="12.75" customHeight="1" x14ac:dyDescent="0.3"/>
    <row r="439" s="1" customFormat="1" ht="12.75" customHeight="1" x14ac:dyDescent="0.3"/>
    <row r="440" s="1" customFormat="1" ht="12.75" customHeight="1" x14ac:dyDescent="0.3"/>
    <row r="441" s="1" customFormat="1" ht="12.75" customHeight="1" x14ac:dyDescent="0.3"/>
    <row r="442" s="1" customFormat="1" ht="12.75" customHeight="1" x14ac:dyDescent="0.3"/>
    <row r="443" s="1" customFormat="1" ht="12.75" customHeight="1" x14ac:dyDescent="0.3"/>
    <row r="444" s="1" customFormat="1" ht="12.75" customHeight="1" x14ac:dyDescent="0.3"/>
    <row r="445" s="1" customFormat="1" ht="12.75" customHeight="1" x14ac:dyDescent="0.3"/>
    <row r="446" s="1" customFormat="1" ht="12.75" customHeight="1" x14ac:dyDescent="0.3"/>
    <row r="447" s="1" customFormat="1" ht="12.75" customHeight="1" x14ac:dyDescent="0.3"/>
    <row r="448" s="1" customFormat="1" ht="12.75" customHeight="1" x14ac:dyDescent="0.3"/>
    <row r="449" s="1" customFormat="1" ht="12.75" customHeight="1" x14ac:dyDescent="0.3"/>
    <row r="450" s="1" customFormat="1" ht="12.75" customHeight="1" x14ac:dyDescent="0.3"/>
    <row r="451" s="1" customFormat="1" ht="12.75" customHeight="1" x14ac:dyDescent="0.3"/>
    <row r="452" s="1" customFormat="1" ht="12.75" customHeight="1" x14ac:dyDescent="0.3"/>
    <row r="453" s="1" customFormat="1" ht="12.75" customHeight="1" x14ac:dyDescent="0.3"/>
    <row r="454" s="1" customFormat="1" ht="12.75" customHeight="1" x14ac:dyDescent="0.3"/>
    <row r="455" s="1" customFormat="1" ht="12.75" customHeight="1" x14ac:dyDescent="0.3"/>
    <row r="456" s="1" customFormat="1" ht="12.75" customHeight="1" x14ac:dyDescent="0.3"/>
    <row r="457" s="1" customFormat="1" ht="12.75" customHeight="1" x14ac:dyDescent="0.3"/>
    <row r="458" s="1" customFormat="1" ht="12.75" customHeight="1" x14ac:dyDescent="0.3"/>
    <row r="459" s="1" customFormat="1" ht="12.75" customHeight="1" x14ac:dyDescent="0.3"/>
    <row r="460" s="1" customFormat="1" ht="12.75" customHeight="1" x14ac:dyDescent="0.3"/>
    <row r="461" s="1" customFormat="1" ht="12.75" customHeight="1" x14ac:dyDescent="0.3"/>
    <row r="462" s="1" customFormat="1" ht="12.75" customHeight="1" x14ac:dyDescent="0.3"/>
    <row r="463" s="1" customFormat="1" ht="12.75" customHeight="1" x14ac:dyDescent="0.3"/>
    <row r="464" s="1" customFormat="1" ht="12.75" customHeight="1" x14ac:dyDescent="0.3"/>
    <row r="465" s="1" customFormat="1" ht="12.75" customHeight="1" x14ac:dyDescent="0.3"/>
    <row r="466" s="1" customFormat="1" ht="12.75" customHeight="1" x14ac:dyDescent="0.3"/>
    <row r="467" s="1" customFormat="1" ht="12.75" customHeight="1" x14ac:dyDescent="0.3"/>
    <row r="468" s="1" customFormat="1" ht="12.75" customHeight="1" x14ac:dyDescent="0.3"/>
    <row r="469" s="1" customFormat="1" ht="12.75" customHeight="1" x14ac:dyDescent="0.3"/>
    <row r="470" s="1" customFormat="1" ht="12.75" customHeight="1" x14ac:dyDescent="0.3"/>
    <row r="471" s="1" customFormat="1" ht="12.75" customHeight="1" x14ac:dyDescent="0.3"/>
    <row r="472" s="1" customFormat="1" ht="12.75" customHeight="1" x14ac:dyDescent="0.3"/>
    <row r="473" s="1" customFormat="1" ht="12.75" customHeight="1" x14ac:dyDescent="0.3"/>
    <row r="474" s="1" customFormat="1" ht="12.75" customHeight="1" x14ac:dyDescent="0.3"/>
    <row r="475" s="1" customFormat="1" ht="12.75" customHeight="1" x14ac:dyDescent="0.3"/>
    <row r="476" s="1" customFormat="1" ht="12.75" customHeight="1" x14ac:dyDescent="0.3"/>
    <row r="477" s="1" customFormat="1" ht="12.75" customHeight="1" x14ac:dyDescent="0.3"/>
    <row r="478" s="1" customFormat="1" ht="12.75" customHeight="1" x14ac:dyDescent="0.3"/>
    <row r="479" s="1" customFormat="1" ht="12.75" customHeight="1" x14ac:dyDescent="0.3"/>
    <row r="480" s="1" customFormat="1" ht="12.75" customHeight="1" x14ac:dyDescent="0.3"/>
    <row r="481" s="1" customFormat="1" ht="12.75" customHeight="1" x14ac:dyDescent="0.3"/>
    <row r="482" s="1" customFormat="1" ht="12.75" customHeight="1" x14ac:dyDescent="0.3"/>
    <row r="483" s="1" customFormat="1" ht="12.75" customHeight="1" x14ac:dyDescent="0.3"/>
    <row r="484" s="1" customFormat="1" ht="12.75" customHeight="1" x14ac:dyDescent="0.3"/>
    <row r="485" s="1" customFormat="1" ht="12.75" customHeight="1" x14ac:dyDescent="0.3"/>
    <row r="486" s="1" customFormat="1" ht="12.75" customHeight="1" x14ac:dyDescent="0.3"/>
    <row r="487" s="1" customFormat="1" ht="12.75" customHeight="1" x14ac:dyDescent="0.3"/>
    <row r="488" s="1" customFormat="1" ht="12.75" customHeight="1" x14ac:dyDescent="0.3"/>
    <row r="489" s="1" customFormat="1" ht="12.75" customHeight="1" x14ac:dyDescent="0.3"/>
    <row r="490" s="1" customFormat="1" ht="12.75" customHeight="1" x14ac:dyDescent="0.3"/>
    <row r="491" s="1" customFormat="1" ht="12.75" customHeight="1" x14ac:dyDescent="0.3"/>
    <row r="492" s="1" customFormat="1" ht="12.75" customHeight="1" x14ac:dyDescent="0.3"/>
    <row r="493" s="1" customFormat="1" ht="12.75" customHeight="1" x14ac:dyDescent="0.3"/>
    <row r="494" s="1" customFormat="1" ht="12.75" customHeight="1" x14ac:dyDescent="0.3"/>
    <row r="495" s="1" customFormat="1" ht="12.75" customHeight="1" x14ac:dyDescent="0.3"/>
    <row r="496" s="1" customFormat="1" ht="12.75" customHeight="1" x14ac:dyDescent="0.3"/>
    <row r="497" s="1" customFormat="1" ht="12.75" customHeight="1" x14ac:dyDescent="0.3"/>
    <row r="498" s="1" customFormat="1" ht="12.75" customHeight="1" x14ac:dyDescent="0.3"/>
    <row r="499" s="1" customFormat="1" ht="12.75" customHeight="1" x14ac:dyDescent="0.3"/>
    <row r="500" s="1" customFormat="1" ht="12.75" customHeight="1" x14ac:dyDescent="0.3"/>
    <row r="501" s="1" customFormat="1" ht="12.75" customHeight="1" x14ac:dyDescent="0.3"/>
    <row r="502" s="1" customFormat="1" ht="12.75" customHeight="1" x14ac:dyDescent="0.3"/>
    <row r="503" s="1" customFormat="1" ht="12.75" customHeight="1" x14ac:dyDescent="0.3"/>
    <row r="504" s="1" customFormat="1" ht="12.75" customHeight="1" x14ac:dyDescent="0.3"/>
    <row r="505" s="1" customFormat="1" ht="12.75" customHeight="1" x14ac:dyDescent="0.3"/>
    <row r="506" s="1" customFormat="1" ht="12.75" customHeight="1" x14ac:dyDescent="0.3"/>
    <row r="507" s="1" customFormat="1" ht="12.75" customHeight="1" x14ac:dyDescent="0.3"/>
    <row r="508" s="1" customFormat="1" ht="12.75" customHeight="1" x14ac:dyDescent="0.3"/>
    <row r="509" s="1" customFormat="1" ht="12.75" customHeight="1" x14ac:dyDescent="0.3"/>
    <row r="510" s="1" customFormat="1" ht="12.75" customHeight="1" x14ac:dyDescent="0.3"/>
    <row r="511" s="1" customFormat="1" ht="12.75" customHeight="1" x14ac:dyDescent="0.3"/>
    <row r="512" s="1" customFormat="1" ht="12.75" customHeight="1" x14ac:dyDescent="0.3"/>
    <row r="513" s="1" customFormat="1" ht="12.75" customHeight="1" x14ac:dyDescent="0.3"/>
    <row r="514" s="1" customFormat="1" ht="12.75" customHeight="1" x14ac:dyDescent="0.3"/>
    <row r="515" s="1" customFormat="1" ht="12.75" customHeight="1" x14ac:dyDescent="0.3"/>
    <row r="516" s="1" customFormat="1" ht="12.75" customHeight="1" x14ac:dyDescent="0.3"/>
    <row r="517" s="1" customFormat="1" ht="12.75" customHeight="1" x14ac:dyDescent="0.3"/>
    <row r="518" s="1" customFormat="1" ht="12.75" customHeight="1" x14ac:dyDescent="0.3"/>
    <row r="519" s="1" customFormat="1" ht="12.75" customHeight="1" x14ac:dyDescent="0.3"/>
    <row r="520" s="1" customFormat="1" ht="12.75" customHeight="1" x14ac:dyDescent="0.3"/>
    <row r="521" s="1" customFormat="1" ht="12.75" customHeight="1" x14ac:dyDescent="0.3"/>
    <row r="522" s="1" customFormat="1" ht="12.75" customHeight="1" x14ac:dyDescent="0.3"/>
    <row r="523" s="1" customFormat="1" ht="12.75" customHeight="1" x14ac:dyDescent="0.3"/>
    <row r="524" s="1" customFormat="1" ht="12.75" customHeight="1" x14ac:dyDescent="0.3"/>
    <row r="525" s="1" customFormat="1" ht="12.75" customHeight="1" x14ac:dyDescent="0.3"/>
    <row r="526" s="1" customFormat="1" ht="12.75" customHeight="1" x14ac:dyDescent="0.3"/>
    <row r="527" s="1" customFormat="1" ht="12.75" customHeight="1" x14ac:dyDescent="0.3"/>
    <row r="528" s="1" customFormat="1" ht="12.75" customHeight="1" x14ac:dyDescent="0.3"/>
    <row r="529" s="1" customFormat="1" ht="12.75" customHeight="1" x14ac:dyDescent="0.3"/>
    <row r="530" s="1" customFormat="1" ht="12.75" customHeight="1" x14ac:dyDescent="0.3"/>
    <row r="531" s="1" customFormat="1" ht="12.75" customHeight="1" x14ac:dyDescent="0.3"/>
    <row r="532" s="1" customFormat="1" ht="12.75" customHeight="1" x14ac:dyDescent="0.3"/>
    <row r="533" s="1" customFormat="1" ht="12.75" customHeight="1" x14ac:dyDescent="0.3"/>
    <row r="534" s="1" customFormat="1" ht="12.75" customHeight="1" x14ac:dyDescent="0.3"/>
    <row r="535" s="1" customFormat="1" ht="12.75" customHeight="1" x14ac:dyDescent="0.3"/>
    <row r="536" s="1" customFormat="1" ht="12.75" customHeight="1" x14ac:dyDescent="0.3"/>
    <row r="537" s="1" customFormat="1" ht="12.75" customHeight="1" x14ac:dyDescent="0.3"/>
    <row r="538" s="1" customFormat="1" ht="12.75" customHeight="1" x14ac:dyDescent="0.3"/>
    <row r="539" s="1" customFormat="1" ht="12.75" customHeight="1" x14ac:dyDescent="0.3"/>
    <row r="540" s="1" customFormat="1" ht="12.75" customHeight="1" x14ac:dyDescent="0.3"/>
    <row r="541" s="1" customFormat="1" ht="12.75" customHeight="1" x14ac:dyDescent="0.3"/>
    <row r="542" s="1" customFormat="1" ht="12.75" customHeight="1" x14ac:dyDescent="0.3"/>
    <row r="543" s="1" customFormat="1" ht="12.75" customHeight="1" x14ac:dyDescent="0.3"/>
    <row r="544" s="1" customFormat="1" ht="12.75" customHeight="1" x14ac:dyDescent="0.3"/>
    <row r="545" s="1" customFormat="1" ht="12.75" customHeight="1" x14ac:dyDescent="0.3"/>
    <row r="546" s="1" customFormat="1" ht="12.75" customHeight="1" x14ac:dyDescent="0.3"/>
    <row r="547" s="1" customFormat="1" ht="12.75" customHeight="1" x14ac:dyDescent="0.3"/>
    <row r="548" s="1" customFormat="1" ht="12.75" customHeight="1" x14ac:dyDescent="0.3"/>
    <row r="549" s="1" customFormat="1" ht="12.75" customHeight="1" x14ac:dyDescent="0.3"/>
    <row r="550" s="1" customFormat="1" ht="12.75" customHeight="1" x14ac:dyDescent="0.3"/>
    <row r="551" s="1" customFormat="1" ht="12.75" customHeight="1" x14ac:dyDescent="0.3"/>
    <row r="552" s="1" customFormat="1" ht="12.75" customHeight="1" x14ac:dyDescent="0.3"/>
    <row r="553" s="1" customFormat="1" ht="12.75" customHeight="1" x14ac:dyDescent="0.3"/>
    <row r="554" s="1" customFormat="1" ht="12.75" customHeight="1" x14ac:dyDescent="0.3"/>
    <row r="555" s="1" customFormat="1" ht="12.75" customHeight="1" x14ac:dyDescent="0.3"/>
    <row r="556" s="1" customFormat="1" ht="12.75" customHeight="1" x14ac:dyDescent="0.3"/>
    <row r="557" s="1" customFormat="1" ht="12.75" customHeight="1" x14ac:dyDescent="0.3"/>
    <row r="558" s="1" customFormat="1" ht="12.75" customHeight="1" x14ac:dyDescent="0.3"/>
    <row r="559" s="1" customFormat="1" ht="12.75" customHeight="1" x14ac:dyDescent="0.3"/>
    <row r="560" s="1" customFormat="1" ht="12.75" customHeight="1" x14ac:dyDescent="0.3"/>
    <row r="561" s="1" customFormat="1" ht="12.75" customHeight="1" x14ac:dyDescent="0.3"/>
    <row r="562" s="1" customFormat="1" ht="12.75" customHeight="1" x14ac:dyDescent="0.3"/>
    <row r="563" s="1" customFormat="1" ht="12.75" customHeight="1" x14ac:dyDescent="0.3"/>
    <row r="564" s="1" customFormat="1" ht="12.75" customHeight="1" x14ac:dyDescent="0.3"/>
    <row r="565" s="1" customFormat="1" ht="12.75" customHeight="1" x14ac:dyDescent="0.3"/>
    <row r="566" s="1" customFormat="1" ht="12.75" customHeight="1" x14ac:dyDescent="0.3"/>
    <row r="567" s="1" customFormat="1" ht="12.75" customHeight="1" x14ac:dyDescent="0.3"/>
    <row r="568" s="1" customFormat="1" ht="12.75" customHeight="1" x14ac:dyDescent="0.3"/>
    <row r="569" s="1" customFormat="1" ht="12.75" customHeight="1" x14ac:dyDescent="0.3"/>
    <row r="570" s="1" customFormat="1" ht="12.75" customHeight="1" x14ac:dyDescent="0.3"/>
    <row r="571" s="1" customFormat="1" ht="12.75" customHeight="1" x14ac:dyDescent="0.3"/>
    <row r="572" s="1" customFormat="1" ht="12.75" customHeight="1" x14ac:dyDescent="0.3"/>
    <row r="573" s="1" customFormat="1" ht="12.75" customHeight="1" x14ac:dyDescent="0.3"/>
    <row r="574" s="1" customFormat="1" ht="12.75" customHeight="1" x14ac:dyDescent="0.3"/>
    <row r="575" s="1" customFormat="1" ht="12.75" customHeight="1" x14ac:dyDescent="0.3"/>
    <row r="576" s="1" customFormat="1" ht="12.75" customHeight="1" x14ac:dyDescent="0.3"/>
    <row r="577" s="1" customFormat="1" ht="12.75" customHeight="1" x14ac:dyDescent="0.3"/>
    <row r="578" s="1" customFormat="1" ht="12.75" customHeight="1" x14ac:dyDescent="0.3"/>
    <row r="579" s="1" customFormat="1" ht="12.75" customHeight="1" x14ac:dyDescent="0.3"/>
    <row r="580" s="1" customFormat="1" ht="12.75" customHeight="1" x14ac:dyDescent="0.3"/>
    <row r="581" s="1" customFormat="1" ht="12.75" customHeight="1" x14ac:dyDescent="0.3"/>
    <row r="582" s="1" customFormat="1" ht="12.75" customHeight="1" x14ac:dyDescent="0.3"/>
    <row r="583" s="1" customFormat="1" ht="12.75" customHeight="1" x14ac:dyDescent="0.3"/>
    <row r="584" s="1" customFormat="1" ht="12.75" customHeight="1" x14ac:dyDescent="0.3"/>
    <row r="585" s="1" customFormat="1" ht="12.75" customHeight="1" x14ac:dyDescent="0.3"/>
    <row r="586" s="1" customFormat="1" ht="12.75" customHeight="1" x14ac:dyDescent="0.3"/>
    <row r="587" s="1" customFormat="1" ht="12.75" customHeight="1" x14ac:dyDescent="0.3"/>
    <row r="588" s="1" customFormat="1" ht="12.75" customHeight="1" x14ac:dyDescent="0.3"/>
    <row r="589" s="1" customFormat="1" ht="12.75" customHeight="1" x14ac:dyDescent="0.3"/>
    <row r="590" s="1" customFormat="1" ht="12.75" customHeight="1" x14ac:dyDescent="0.3"/>
    <row r="591" s="1" customFormat="1" ht="12.75" customHeight="1" x14ac:dyDescent="0.3"/>
    <row r="592" s="1" customFormat="1" ht="12.75" customHeight="1" x14ac:dyDescent="0.3"/>
    <row r="593" s="1" customFormat="1" ht="12.75" customHeight="1" x14ac:dyDescent="0.3"/>
    <row r="594" s="1" customFormat="1" ht="12.75" customHeight="1" x14ac:dyDescent="0.3"/>
    <row r="595" s="1" customFormat="1" ht="12.75" customHeight="1" x14ac:dyDescent="0.3"/>
    <row r="596" s="1" customFormat="1" ht="12.75" customHeight="1" x14ac:dyDescent="0.3"/>
    <row r="597" s="1" customFormat="1" ht="12.75" customHeight="1" x14ac:dyDescent="0.3"/>
    <row r="598" s="1" customFormat="1" ht="12.75" customHeight="1" x14ac:dyDescent="0.3"/>
    <row r="599" s="1" customFormat="1" ht="12.75" customHeight="1" x14ac:dyDescent="0.3"/>
    <row r="600" s="1" customFormat="1" ht="12.75" customHeight="1" x14ac:dyDescent="0.3"/>
    <row r="601" s="1" customFormat="1" ht="12.75" customHeight="1" x14ac:dyDescent="0.3"/>
    <row r="602" s="1" customFormat="1" ht="12.75" customHeight="1" x14ac:dyDescent="0.3"/>
    <row r="603" s="1" customFormat="1" ht="12.75" customHeight="1" x14ac:dyDescent="0.3"/>
    <row r="604" s="1" customFormat="1" ht="12.75" customHeight="1" x14ac:dyDescent="0.3"/>
    <row r="605" s="1" customFormat="1" ht="12.75" customHeight="1" x14ac:dyDescent="0.3"/>
    <row r="606" s="1" customFormat="1" ht="12.75" customHeight="1" x14ac:dyDescent="0.3"/>
    <row r="607" s="1" customFormat="1" ht="12.75" customHeight="1" x14ac:dyDescent="0.3"/>
    <row r="608" s="1" customFormat="1" ht="12.75" customHeight="1" x14ac:dyDescent="0.3"/>
    <row r="609" s="1" customFormat="1" ht="12.75" customHeight="1" x14ac:dyDescent="0.3"/>
    <row r="610" s="1" customFormat="1" ht="12.75" customHeight="1" x14ac:dyDescent="0.3"/>
    <row r="611" s="1" customFormat="1" ht="12.75" customHeight="1" x14ac:dyDescent="0.3"/>
    <row r="612" s="1" customFormat="1" ht="12.75" customHeight="1" x14ac:dyDescent="0.3"/>
    <row r="613" s="1" customFormat="1" ht="12.75" customHeight="1" x14ac:dyDescent="0.3"/>
    <row r="614" s="1" customFormat="1" ht="12.75" customHeight="1" x14ac:dyDescent="0.3"/>
    <row r="615" s="1" customFormat="1" ht="12.75" customHeight="1" x14ac:dyDescent="0.3"/>
    <row r="616" s="1" customFormat="1" ht="12.75" customHeight="1" x14ac:dyDescent="0.3"/>
    <row r="617" s="1" customFormat="1" ht="12.75" customHeight="1" x14ac:dyDescent="0.3"/>
    <row r="618" s="1" customFormat="1" ht="12.75" customHeight="1" x14ac:dyDescent="0.3"/>
    <row r="619" s="1" customFormat="1" ht="12.75" customHeight="1" x14ac:dyDescent="0.3"/>
    <row r="620" s="1" customFormat="1" ht="12.75" customHeight="1" x14ac:dyDescent="0.3"/>
    <row r="621" s="1" customFormat="1" ht="12.75" customHeight="1" x14ac:dyDescent="0.3"/>
    <row r="622" s="1" customFormat="1" ht="12.75" customHeight="1" x14ac:dyDescent="0.3"/>
    <row r="623" s="1" customFormat="1" ht="12.75" customHeight="1" x14ac:dyDescent="0.3"/>
    <row r="624" s="1" customFormat="1" ht="12.75" customHeight="1" x14ac:dyDescent="0.3"/>
    <row r="625" s="1" customFormat="1" ht="12.75" customHeight="1" x14ac:dyDescent="0.3"/>
    <row r="626" s="1" customFormat="1" ht="12.75" customHeight="1" x14ac:dyDescent="0.3"/>
    <row r="627" s="1" customFormat="1" ht="12.75" customHeight="1" x14ac:dyDescent="0.3"/>
    <row r="628" s="1" customFormat="1" ht="12.75" customHeight="1" x14ac:dyDescent="0.3"/>
    <row r="629" s="1" customFormat="1" ht="12.75" customHeight="1" x14ac:dyDescent="0.3"/>
    <row r="630" s="1" customFormat="1" ht="12.75" customHeight="1" x14ac:dyDescent="0.3"/>
    <row r="631" s="1" customFormat="1" ht="12.75" customHeight="1" x14ac:dyDescent="0.3"/>
    <row r="632" s="1" customFormat="1" ht="12.75" customHeight="1" x14ac:dyDescent="0.3"/>
    <row r="633" s="1" customFormat="1" ht="12.75" customHeight="1" x14ac:dyDescent="0.3"/>
    <row r="634" s="1" customFormat="1" ht="12.75" customHeight="1" x14ac:dyDescent="0.3"/>
    <row r="635" s="1" customFormat="1" ht="12.75" customHeight="1" x14ac:dyDescent="0.3"/>
    <row r="636" s="1" customFormat="1" ht="12.75" customHeight="1" x14ac:dyDescent="0.3"/>
    <row r="637" s="1" customFormat="1" ht="12.75" customHeight="1" x14ac:dyDescent="0.3"/>
    <row r="638" s="1" customFormat="1" ht="12.75" customHeight="1" x14ac:dyDescent="0.3"/>
    <row r="639" s="1" customFormat="1" ht="12.75" customHeight="1" x14ac:dyDescent="0.3"/>
    <row r="640" s="1" customFormat="1" ht="12.75" customHeight="1" x14ac:dyDescent="0.3"/>
    <row r="641" s="1" customFormat="1" ht="12.75" customHeight="1" x14ac:dyDescent="0.3"/>
    <row r="642" s="1" customFormat="1" ht="12.75" customHeight="1" x14ac:dyDescent="0.3"/>
    <row r="643" s="1" customFormat="1" ht="12.75" customHeight="1" x14ac:dyDescent="0.3"/>
    <row r="644" s="1" customFormat="1" ht="12.75" customHeight="1" x14ac:dyDescent="0.3"/>
    <row r="645" s="1" customFormat="1" ht="12.75" customHeight="1" x14ac:dyDescent="0.3"/>
    <row r="646" s="1" customFormat="1" ht="12.75" customHeight="1" x14ac:dyDescent="0.3"/>
    <row r="647" s="1" customFormat="1" ht="12.75" customHeight="1" x14ac:dyDescent="0.3"/>
    <row r="648" s="1" customFormat="1" ht="12.75" customHeight="1" x14ac:dyDescent="0.3"/>
    <row r="649" s="1" customFormat="1" ht="12.75" customHeight="1" x14ac:dyDescent="0.3"/>
    <row r="650" s="1" customFormat="1" ht="12.75" customHeight="1" x14ac:dyDescent="0.3"/>
    <row r="651" s="1" customFormat="1" ht="12.75" customHeight="1" x14ac:dyDescent="0.3"/>
    <row r="652" s="1" customFormat="1" ht="12.75" customHeight="1" x14ac:dyDescent="0.3"/>
    <row r="653" s="1" customFormat="1" ht="12.75" customHeight="1" x14ac:dyDescent="0.3"/>
    <row r="654" s="1" customFormat="1" ht="12.75" customHeight="1" x14ac:dyDescent="0.3"/>
    <row r="655" s="1" customFormat="1" ht="12.75" customHeight="1" x14ac:dyDescent="0.3"/>
    <row r="656" s="1" customFormat="1" ht="12.75" customHeight="1" x14ac:dyDescent="0.3"/>
    <row r="657" s="1" customFormat="1" ht="12.75" customHeight="1" x14ac:dyDescent="0.3"/>
    <row r="658" s="1" customFormat="1" ht="12.75" customHeight="1" x14ac:dyDescent="0.3"/>
    <row r="659" s="1" customFormat="1" ht="12.75" customHeight="1" x14ac:dyDescent="0.3"/>
    <row r="660" s="1" customFormat="1" ht="12.75" customHeight="1" x14ac:dyDescent="0.3"/>
    <row r="661" s="1" customFormat="1" ht="12.75" customHeight="1" x14ac:dyDescent="0.3"/>
    <row r="662" s="1" customFormat="1" ht="12.75" customHeight="1" x14ac:dyDescent="0.3"/>
    <row r="663" s="1" customFormat="1" ht="12.75" customHeight="1" x14ac:dyDescent="0.3"/>
    <row r="664" s="1" customFormat="1" ht="12.75" customHeight="1" x14ac:dyDescent="0.3"/>
    <row r="665" s="1" customFormat="1" ht="12.75" customHeight="1" x14ac:dyDescent="0.3"/>
    <row r="666" s="1" customFormat="1" ht="12.75" customHeight="1" x14ac:dyDescent="0.3"/>
    <row r="667" s="1" customFormat="1" ht="12.75" customHeight="1" x14ac:dyDescent="0.3"/>
    <row r="668" s="1" customFormat="1" ht="12.75" customHeight="1" x14ac:dyDescent="0.3"/>
    <row r="669" s="1" customFormat="1" ht="12.75" customHeight="1" x14ac:dyDescent="0.3"/>
    <row r="670" s="1" customFormat="1" ht="12.75" customHeight="1" x14ac:dyDescent="0.3"/>
    <row r="671" s="1" customFormat="1" ht="12.75" customHeight="1" x14ac:dyDescent="0.3"/>
    <row r="672" s="1" customFormat="1" ht="12.75" customHeight="1" x14ac:dyDescent="0.3"/>
    <row r="673" s="1" customFormat="1" ht="12.75" customHeight="1" x14ac:dyDescent="0.3"/>
    <row r="674" s="1" customFormat="1" ht="12.75" customHeight="1" x14ac:dyDescent="0.3"/>
    <row r="675" s="1" customFormat="1" ht="12.75" customHeight="1" x14ac:dyDescent="0.3"/>
    <row r="676" s="1" customFormat="1" ht="12.75" customHeight="1" x14ac:dyDescent="0.3"/>
    <row r="677" s="1" customFormat="1" ht="12.75" customHeight="1" x14ac:dyDescent="0.3"/>
    <row r="678" s="1" customFormat="1" ht="12.75" customHeight="1" x14ac:dyDescent="0.3"/>
    <row r="679" s="1" customFormat="1" ht="12.75" customHeight="1" x14ac:dyDescent="0.3"/>
    <row r="680" s="1" customFormat="1" ht="12.75" customHeight="1" x14ac:dyDescent="0.3"/>
    <row r="681" s="1" customFormat="1" ht="12.75" customHeight="1" x14ac:dyDescent="0.3"/>
    <row r="682" s="1" customFormat="1" ht="12.75" customHeight="1" x14ac:dyDescent="0.3"/>
    <row r="683" s="1" customFormat="1" ht="12.75" customHeight="1" x14ac:dyDescent="0.3"/>
    <row r="684" s="1" customFormat="1" ht="12.75" customHeight="1" x14ac:dyDescent="0.3"/>
    <row r="685" s="1" customFormat="1" ht="12.75" customHeight="1" x14ac:dyDescent="0.3"/>
    <row r="686" s="1" customFormat="1" ht="12.75" customHeight="1" x14ac:dyDescent="0.3"/>
    <row r="687" s="1" customFormat="1" ht="12.75" customHeight="1" x14ac:dyDescent="0.3"/>
    <row r="688" s="1" customFormat="1" ht="12.75" customHeight="1" x14ac:dyDescent="0.3"/>
    <row r="689" s="1" customFormat="1" ht="12.75" customHeight="1" x14ac:dyDescent="0.3"/>
    <row r="690" s="1" customFormat="1" ht="12.75" customHeight="1" x14ac:dyDescent="0.3"/>
    <row r="691" s="1" customFormat="1" ht="12.75" customHeight="1" x14ac:dyDescent="0.3"/>
    <row r="692" s="1" customFormat="1" ht="12.75" customHeight="1" x14ac:dyDescent="0.3"/>
    <row r="693" s="1" customFormat="1" ht="12.75" customHeight="1" x14ac:dyDescent="0.3"/>
    <row r="694" s="1" customFormat="1" ht="12.75" customHeight="1" x14ac:dyDescent="0.3"/>
    <row r="695" s="1" customFormat="1" ht="12.75" customHeight="1" x14ac:dyDescent="0.3"/>
    <row r="696" s="1" customFormat="1" ht="12.75" customHeight="1" x14ac:dyDescent="0.3"/>
    <row r="697" s="1" customFormat="1" ht="12.75" customHeight="1" x14ac:dyDescent="0.3"/>
    <row r="698" s="1" customFormat="1" ht="12.75" customHeight="1" x14ac:dyDescent="0.3"/>
    <row r="699" s="1" customFormat="1" ht="12.75" customHeight="1" x14ac:dyDescent="0.3"/>
    <row r="700" s="1" customFormat="1" ht="12.75" customHeight="1" x14ac:dyDescent="0.3"/>
    <row r="701" s="1" customFormat="1" ht="12.75" customHeight="1" x14ac:dyDescent="0.3"/>
    <row r="702" s="1" customFormat="1" ht="12.75" customHeight="1" x14ac:dyDescent="0.3"/>
    <row r="703" s="1" customFormat="1" ht="12.75" customHeight="1" x14ac:dyDescent="0.3"/>
    <row r="704" s="1" customFormat="1" ht="12.75" customHeight="1" x14ac:dyDescent="0.3"/>
    <row r="705" s="1" customFormat="1" ht="12.75" customHeight="1" x14ac:dyDescent="0.3"/>
    <row r="706" s="1" customFormat="1" ht="12.75" customHeight="1" x14ac:dyDescent="0.3"/>
    <row r="707" s="1" customFormat="1" ht="12.75" customHeight="1" x14ac:dyDescent="0.3"/>
    <row r="708" s="1" customFormat="1" ht="12.75" customHeight="1" x14ac:dyDescent="0.3"/>
    <row r="709" s="1" customFormat="1" ht="12.75" customHeight="1" x14ac:dyDescent="0.3"/>
    <row r="710" s="1" customFormat="1" ht="12.75" customHeight="1" x14ac:dyDescent="0.3"/>
    <row r="711" s="1" customFormat="1" ht="12.75" customHeight="1" x14ac:dyDescent="0.3"/>
    <row r="712" s="1" customFormat="1" ht="12.75" customHeight="1" x14ac:dyDescent="0.3"/>
    <row r="713" s="1" customFormat="1" ht="12.75" customHeight="1" x14ac:dyDescent="0.3"/>
    <row r="714" s="1" customFormat="1" ht="12.75" customHeight="1" x14ac:dyDescent="0.3"/>
    <row r="715" s="1" customFormat="1" ht="12.75" customHeight="1" x14ac:dyDescent="0.3"/>
    <row r="716" s="1" customFormat="1" ht="12.75" customHeight="1" x14ac:dyDescent="0.3"/>
    <row r="717" s="1" customFormat="1" ht="12.75" customHeight="1" x14ac:dyDescent="0.3"/>
    <row r="718" s="1" customFormat="1" ht="12.75" customHeight="1" x14ac:dyDescent="0.3"/>
    <row r="719" s="1" customFormat="1" ht="12.75" customHeight="1" x14ac:dyDescent="0.3"/>
    <row r="720" s="1" customFormat="1" ht="12.75" customHeight="1" x14ac:dyDescent="0.3"/>
    <row r="721" s="1" customFormat="1" ht="12.75" customHeight="1" x14ac:dyDescent="0.3"/>
    <row r="722" s="1" customFormat="1" ht="12.75" customHeight="1" x14ac:dyDescent="0.3"/>
    <row r="723" s="1" customFormat="1" ht="12.75" customHeight="1" x14ac:dyDescent="0.3"/>
    <row r="724" s="1" customFormat="1" ht="12.75" customHeight="1" x14ac:dyDescent="0.3"/>
    <row r="725" s="1" customFormat="1" ht="12.75" customHeight="1" x14ac:dyDescent="0.3"/>
    <row r="726" s="1" customFormat="1" ht="12.75" customHeight="1" x14ac:dyDescent="0.3"/>
    <row r="727" s="1" customFormat="1" ht="12.75" customHeight="1" x14ac:dyDescent="0.3"/>
    <row r="728" s="1" customFormat="1" ht="12.75" customHeight="1" x14ac:dyDescent="0.3"/>
    <row r="729" s="1" customFormat="1" ht="12.75" customHeight="1" x14ac:dyDescent="0.3"/>
    <row r="730" s="1" customFormat="1" ht="12.75" customHeight="1" x14ac:dyDescent="0.3"/>
    <row r="731" s="1" customFormat="1" ht="12.75" customHeight="1" x14ac:dyDescent="0.3"/>
    <row r="732" s="1" customFormat="1" ht="12.75" customHeight="1" x14ac:dyDescent="0.3"/>
    <row r="733" s="1" customFormat="1" ht="12.75" customHeight="1" x14ac:dyDescent="0.3"/>
    <row r="734" s="1" customFormat="1" ht="12.75" customHeight="1" x14ac:dyDescent="0.3"/>
    <row r="735" s="1" customFormat="1" ht="12.75" customHeight="1" x14ac:dyDescent="0.3"/>
    <row r="736" s="1" customFormat="1" ht="12.75" customHeight="1" x14ac:dyDescent="0.3"/>
    <row r="737" s="1" customFormat="1" ht="12.75" customHeight="1" x14ac:dyDescent="0.3"/>
    <row r="738" s="1" customFormat="1" ht="12.75" customHeight="1" x14ac:dyDescent="0.3"/>
    <row r="739" s="1" customFormat="1" ht="12.75" customHeight="1" x14ac:dyDescent="0.3"/>
    <row r="740" s="1" customFormat="1" ht="12.75" customHeight="1" x14ac:dyDescent="0.3"/>
    <row r="741" s="1" customFormat="1" ht="12.75" customHeight="1" x14ac:dyDescent="0.3"/>
    <row r="742" s="1" customFormat="1" ht="12.75" customHeight="1" x14ac:dyDescent="0.3"/>
    <row r="743" s="1" customFormat="1" ht="12.75" customHeight="1" x14ac:dyDescent="0.3"/>
    <row r="744" s="1" customFormat="1" ht="12.75" customHeight="1" x14ac:dyDescent="0.3"/>
    <row r="745" s="1" customFormat="1" ht="12.75" customHeight="1" x14ac:dyDescent="0.3"/>
    <row r="746" s="1" customFormat="1" ht="12.75" customHeight="1" x14ac:dyDescent="0.3"/>
    <row r="747" s="1" customFormat="1" ht="12.75" customHeight="1" x14ac:dyDescent="0.3"/>
    <row r="748" s="1" customFormat="1" ht="12.75" customHeight="1" x14ac:dyDescent="0.3"/>
    <row r="749" s="1" customFormat="1" ht="12.75" customHeight="1" x14ac:dyDescent="0.3"/>
    <row r="750" s="1" customFormat="1" ht="12.75" customHeight="1" x14ac:dyDescent="0.3"/>
    <row r="751" s="1" customFormat="1" ht="12.75" customHeight="1" x14ac:dyDescent="0.3"/>
    <row r="752" s="1" customFormat="1" ht="12.75" customHeight="1" x14ac:dyDescent="0.3"/>
    <row r="753" s="1" customFormat="1" ht="12.75" customHeight="1" x14ac:dyDescent="0.3"/>
    <row r="754" s="1" customFormat="1" ht="12.75" customHeight="1" x14ac:dyDescent="0.3"/>
    <row r="755" s="1" customFormat="1" ht="12.75" customHeight="1" x14ac:dyDescent="0.3"/>
    <row r="756" s="1" customFormat="1" ht="12.75" customHeight="1" x14ac:dyDescent="0.3"/>
    <row r="757" s="1" customFormat="1" ht="12.75" customHeight="1" x14ac:dyDescent="0.3"/>
    <row r="758" s="1" customFormat="1" ht="12.75" customHeight="1" x14ac:dyDescent="0.3"/>
    <row r="759" s="1" customFormat="1" ht="12.75" customHeight="1" x14ac:dyDescent="0.3"/>
    <row r="760" s="1" customFormat="1" ht="12.75" customHeight="1" x14ac:dyDescent="0.3"/>
    <row r="761" s="1" customFormat="1" ht="12.75" customHeight="1" x14ac:dyDescent="0.3"/>
    <row r="762" s="1" customFormat="1" ht="12.75" customHeight="1" x14ac:dyDescent="0.3"/>
    <row r="763" s="1" customFormat="1" ht="12.75" customHeight="1" x14ac:dyDescent="0.3"/>
    <row r="764" s="1" customFormat="1" ht="12.75" customHeight="1" x14ac:dyDescent="0.3"/>
    <row r="765" s="1" customFormat="1" ht="12.75" customHeight="1" x14ac:dyDescent="0.3"/>
    <row r="766" s="1" customFormat="1" ht="12.75" customHeight="1" x14ac:dyDescent="0.3"/>
    <row r="767" s="1" customFormat="1" ht="12.75" customHeight="1" x14ac:dyDescent="0.3"/>
    <row r="768" s="1" customFormat="1" ht="12.75" customHeight="1" x14ac:dyDescent="0.3"/>
    <row r="769" s="1" customFormat="1" ht="12.75" customHeight="1" x14ac:dyDescent="0.3"/>
    <row r="770" s="1" customFormat="1" ht="12.75" customHeight="1" x14ac:dyDescent="0.3"/>
    <row r="771" s="1" customFormat="1" ht="12.75" customHeight="1" x14ac:dyDescent="0.3"/>
    <row r="772" s="1" customFormat="1" ht="12.75" customHeight="1" x14ac:dyDescent="0.3"/>
    <row r="773" s="1" customFormat="1" ht="12.75" customHeight="1" x14ac:dyDescent="0.3"/>
    <row r="774" s="1" customFormat="1" ht="12.75" customHeight="1" x14ac:dyDescent="0.3"/>
    <row r="775" s="1" customFormat="1" ht="12.75" customHeight="1" x14ac:dyDescent="0.3"/>
    <row r="776" s="1" customFormat="1" ht="12.75" customHeight="1" x14ac:dyDescent="0.3"/>
    <row r="777" s="1" customFormat="1" ht="12.75" customHeight="1" x14ac:dyDescent="0.3"/>
    <row r="778" s="1" customFormat="1" ht="12.75" customHeight="1" x14ac:dyDescent="0.3"/>
    <row r="779" s="1" customFormat="1" ht="12.75" customHeight="1" x14ac:dyDescent="0.3"/>
    <row r="780" s="1" customFormat="1" ht="12.75" customHeight="1" x14ac:dyDescent="0.3"/>
    <row r="781" s="1" customFormat="1" ht="12.75" customHeight="1" x14ac:dyDescent="0.3"/>
    <row r="782" s="1" customFormat="1" ht="12.75" customHeight="1" x14ac:dyDescent="0.3"/>
    <row r="783" s="1" customFormat="1" ht="12.75" customHeight="1" x14ac:dyDescent="0.3"/>
    <row r="784" s="1" customFormat="1" ht="12.75" customHeight="1" x14ac:dyDescent="0.3"/>
    <row r="785" s="1" customFormat="1" ht="12.75" customHeight="1" x14ac:dyDescent="0.3"/>
    <row r="786" s="1" customFormat="1" ht="12.75" customHeight="1" x14ac:dyDescent="0.3"/>
    <row r="787" s="1" customFormat="1" ht="12.75" customHeight="1" x14ac:dyDescent="0.3"/>
    <row r="788" s="1" customFormat="1" ht="12.75" customHeight="1" x14ac:dyDescent="0.3"/>
    <row r="789" s="1" customFormat="1" ht="12.75" customHeight="1" x14ac:dyDescent="0.3"/>
    <row r="790" s="1" customFormat="1" ht="12.75" customHeight="1" x14ac:dyDescent="0.3"/>
    <row r="791" s="1" customFormat="1" ht="12.75" customHeight="1" x14ac:dyDescent="0.3"/>
    <row r="792" s="1" customFormat="1" ht="12.75" customHeight="1" x14ac:dyDescent="0.3"/>
    <row r="793" s="1" customFormat="1" ht="12.75" customHeight="1" x14ac:dyDescent="0.3"/>
    <row r="794" s="1" customFormat="1" ht="12.75" customHeight="1" x14ac:dyDescent="0.3"/>
    <row r="795" s="1" customFormat="1" ht="12.75" customHeight="1" x14ac:dyDescent="0.3"/>
    <row r="796" s="1" customFormat="1" ht="12.75" customHeight="1" x14ac:dyDescent="0.3"/>
    <row r="797" s="1" customFormat="1" ht="12.75" customHeight="1" x14ac:dyDescent="0.3"/>
    <row r="798" s="1" customFormat="1" ht="12.75" customHeight="1" x14ac:dyDescent="0.3"/>
    <row r="799" s="1" customFormat="1" ht="12.75" customHeight="1" x14ac:dyDescent="0.3"/>
    <row r="800" s="1" customFormat="1" ht="12.75" customHeight="1" x14ac:dyDescent="0.3"/>
    <row r="801" s="1" customFormat="1" ht="12.75" customHeight="1" x14ac:dyDescent="0.3"/>
    <row r="802" s="1" customFormat="1" ht="12.75" customHeight="1" x14ac:dyDescent="0.3"/>
    <row r="803" s="1" customFormat="1" ht="12.75" customHeight="1" x14ac:dyDescent="0.3"/>
    <row r="804" s="1" customFormat="1" ht="12.75" customHeight="1" x14ac:dyDescent="0.3"/>
    <row r="805" s="1" customFormat="1" ht="12.75" customHeight="1" x14ac:dyDescent="0.3"/>
    <row r="806" s="1" customFormat="1" ht="12.75" customHeight="1" x14ac:dyDescent="0.3"/>
    <row r="807" s="1" customFormat="1" ht="12.75" customHeight="1" x14ac:dyDescent="0.3"/>
    <row r="808" s="1" customFormat="1" ht="12.75" customHeight="1" x14ac:dyDescent="0.3"/>
    <row r="809" s="1" customFormat="1" ht="12.75" customHeight="1" x14ac:dyDescent="0.3"/>
    <row r="810" s="1" customFormat="1" ht="12.75" customHeight="1" x14ac:dyDescent="0.3"/>
    <row r="811" s="1" customFormat="1" ht="12.75" customHeight="1" x14ac:dyDescent="0.3"/>
    <row r="812" s="1" customFormat="1" ht="12.75" customHeight="1" x14ac:dyDescent="0.3"/>
    <row r="813" s="1" customFormat="1" ht="12.75" customHeight="1" x14ac:dyDescent="0.3"/>
    <row r="814" s="1" customFormat="1" ht="12.75" customHeight="1" x14ac:dyDescent="0.3"/>
    <row r="815" s="1" customFormat="1" ht="12.75" customHeight="1" x14ac:dyDescent="0.3"/>
    <row r="816" s="1" customFormat="1" ht="12.75" customHeight="1" x14ac:dyDescent="0.3"/>
    <row r="817" s="1" customFormat="1" ht="12.75" customHeight="1" x14ac:dyDescent="0.3"/>
    <row r="818" s="1" customFormat="1" ht="12.75" customHeight="1" x14ac:dyDescent="0.3"/>
    <row r="819" s="1" customFormat="1" ht="12.75" customHeight="1" x14ac:dyDescent="0.3"/>
    <row r="820" s="1" customFormat="1" ht="12.75" customHeight="1" x14ac:dyDescent="0.3"/>
    <row r="821" s="1" customFormat="1" ht="12.75" customHeight="1" x14ac:dyDescent="0.3"/>
    <row r="822" s="1" customFormat="1" ht="12.75" customHeight="1" x14ac:dyDescent="0.3"/>
    <row r="823" s="1" customFormat="1" ht="12.75" customHeight="1" x14ac:dyDescent="0.3"/>
    <row r="824" s="1" customFormat="1" ht="12.75" customHeight="1" x14ac:dyDescent="0.3"/>
    <row r="825" s="1" customFormat="1" ht="12.75" customHeight="1" x14ac:dyDescent="0.3"/>
    <row r="826" s="1" customFormat="1" ht="12.75" customHeight="1" x14ac:dyDescent="0.3"/>
    <row r="827" s="1" customFormat="1" ht="12.75" customHeight="1" x14ac:dyDescent="0.3"/>
    <row r="828" s="1" customFormat="1" ht="12.75" customHeight="1" x14ac:dyDescent="0.3"/>
    <row r="829" s="1" customFormat="1" ht="12.75" customHeight="1" x14ac:dyDescent="0.3"/>
    <row r="830" s="1" customFormat="1" ht="12.75" customHeight="1" x14ac:dyDescent="0.3"/>
    <row r="831" s="1" customFormat="1" ht="12.75" customHeight="1" x14ac:dyDescent="0.3"/>
    <row r="832" s="1" customFormat="1" ht="12.75" customHeight="1" x14ac:dyDescent="0.3"/>
    <row r="833" s="1" customFormat="1" ht="12.75" customHeight="1" x14ac:dyDescent="0.3"/>
    <row r="834" s="1" customFormat="1" ht="12.75" customHeight="1" x14ac:dyDescent="0.3"/>
    <row r="835" s="1" customFormat="1" ht="12.75" customHeight="1" x14ac:dyDescent="0.3"/>
    <row r="836" s="1" customFormat="1" ht="12.75" customHeight="1" x14ac:dyDescent="0.3"/>
    <row r="837" s="1" customFormat="1" ht="12.75" customHeight="1" x14ac:dyDescent="0.3"/>
    <row r="838" s="1" customFormat="1" ht="12.75" customHeight="1" x14ac:dyDescent="0.3"/>
    <row r="839" s="1" customFormat="1" ht="12.75" customHeight="1" x14ac:dyDescent="0.3"/>
    <row r="840" s="1" customFormat="1" ht="12.75" customHeight="1" x14ac:dyDescent="0.3"/>
    <row r="841" s="1" customFormat="1" ht="12.75" customHeight="1" x14ac:dyDescent="0.3"/>
    <row r="842" s="1" customFormat="1" ht="12.75" customHeight="1" x14ac:dyDescent="0.3"/>
    <row r="843" s="1" customFormat="1" ht="12.75" customHeight="1" x14ac:dyDescent="0.3"/>
    <row r="844" s="1" customFormat="1" ht="12.75" customHeight="1" x14ac:dyDescent="0.3"/>
    <row r="845" s="1" customFormat="1" ht="12.75" customHeight="1" x14ac:dyDescent="0.3"/>
    <row r="846" s="1" customFormat="1" ht="12.75" customHeight="1" x14ac:dyDescent="0.3"/>
    <row r="847" s="1" customFormat="1" ht="12.75" customHeight="1" x14ac:dyDescent="0.3"/>
    <row r="848" s="1" customFormat="1" ht="12.75" customHeight="1" x14ac:dyDescent="0.3"/>
    <row r="849" s="1" customFormat="1" ht="12.75" customHeight="1" x14ac:dyDescent="0.3"/>
    <row r="850" s="1" customFormat="1" ht="12.75" customHeight="1" x14ac:dyDescent="0.3"/>
    <row r="851" s="1" customFormat="1" ht="12.75" customHeight="1" x14ac:dyDescent="0.3"/>
    <row r="852" s="1" customFormat="1" ht="12.75" customHeight="1" x14ac:dyDescent="0.3"/>
    <row r="853" s="1" customFormat="1" ht="12.75" customHeight="1" x14ac:dyDescent="0.3"/>
    <row r="854" s="1" customFormat="1" ht="12.75" customHeight="1" x14ac:dyDescent="0.3"/>
    <row r="855" s="1" customFormat="1" ht="12.75" customHeight="1" x14ac:dyDescent="0.3"/>
    <row r="856" s="1" customFormat="1" ht="12.75" customHeight="1" x14ac:dyDescent="0.3"/>
    <row r="857" s="1" customFormat="1" ht="12.75" customHeight="1" x14ac:dyDescent="0.3"/>
    <row r="858" s="1" customFormat="1" ht="12.75" customHeight="1" x14ac:dyDescent="0.3"/>
    <row r="859" s="1" customFormat="1" ht="12.75" customHeight="1" x14ac:dyDescent="0.3"/>
    <row r="860" s="1" customFormat="1" ht="12.75" customHeight="1" x14ac:dyDescent="0.3"/>
    <row r="861" s="1" customFormat="1" ht="12.75" customHeight="1" x14ac:dyDescent="0.3"/>
    <row r="862" s="1" customFormat="1" ht="12.75" customHeight="1" x14ac:dyDescent="0.3"/>
    <row r="863" s="1" customFormat="1" ht="12.75" customHeight="1" x14ac:dyDescent="0.3"/>
    <row r="864" s="1" customFormat="1" ht="12.75" customHeight="1" x14ac:dyDescent="0.3"/>
    <row r="865" s="1" customFormat="1" ht="12.75" customHeight="1" x14ac:dyDescent="0.3"/>
    <row r="866" s="1" customFormat="1" ht="12.75" customHeight="1" x14ac:dyDescent="0.3"/>
    <row r="867" s="1" customFormat="1" ht="12.75" customHeight="1" x14ac:dyDescent="0.3"/>
    <row r="868" s="1" customFormat="1" ht="12.75" customHeight="1" x14ac:dyDescent="0.3"/>
    <row r="869" s="1" customFormat="1" ht="12.75" customHeight="1" x14ac:dyDescent="0.3"/>
    <row r="870" s="1" customFormat="1" ht="12.75" customHeight="1" x14ac:dyDescent="0.3"/>
    <row r="871" s="1" customFormat="1" ht="12.75" customHeight="1" x14ac:dyDescent="0.3"/>
    <row r="872" s="1" customFormat="1" ht="12.75" customHeight="1" x14ac:dyDescent="0.3"/>
    <row r="873" s="1" customFormat="1" ht="12.75" customHeight="1" x14ac:dyDescent="0.3"/>
    <row r="874" s="1" customFormat="1" ht="12.75" customHeight="1" x14ac:dyDescent="0.3"/>
    <row r="875" s="1" customFormat="1" ht="12.75" customHeight="1" x14ac:dyDescent="0.3"/>
    <row r="876" s="1" customFormat="1" ht="12.75" customHeight="1" x14ac:dyDescent="0.3"/>
    <row r="877" s="1" customFormat="1" ht="12.75" customHeight="1" x14ac:dyDescent="0.3"/>
    <row r="878" s="1" customFormat="1" ht="12.75" customHeight="1" x14ac:dyDescent="0.3"/>
    <row r="879" s="1" customFormat="1" ht="12.75" customHeight="1" x14ac:dyDescent="0.3"/>
    <row r="880" s="1" customFormat="1" ht="12.75" customHeight="1" x14ac:dyDescent="0.3"/>
    <row r="881" s="1" customFormat="1" ht="12.75" customHeight="1" x14ac:dyDescent="0.3"/>
    <row r="882" s="1" customFormat="1" ht="12.75" customHeight="1" x14ac:dyDescent="0.3"/>
    <row r="883" s="1" customFormat="1" ht="12.75" customHeight="1" x14ac:dyDescent="0.3"/>
    <row r="884" s="1" customFormat="1" ht="12.75" customHeight="1" x14ac:dyDescent="0.3"/>
    <row r="885" s="1" customFormat="1" ht="12.75" customHeight="1" x14ac:dyDescent="0.3"/>
    <row r="886" s="1" customFormat="1" ht="12.75" customHeight="1" x14ac:dyDescent="0.3"/>
    <row r="887" s="1" customFormat="1" ht="12.75" customHeight="1" x14ac:dyDescent="0.3"/>
    <row r="888" s="1" customFormat="1" ht="12.75" customHeight="1" x14ac:dyDescent="0.3"/>
    <row r="889" s="1" customFormat="1" ht="12.75" customHeight="1" x14ac:dyDescent="0.3"/>
    <row r="890" s="1" customFormat="1" ht="12.75" customHeight="1" x14ac:dyDescent="0.3"/>
    <row r="891" s="1" customFormat="1" ht="12.75" customHeight="1" x14ac:dyDescent="0.3"/>
    <row r="892" s="1" customFormat="1" ht="12.75" customHeight="1" x14ac:dyDescent="0.3"/>
    <row r="893" s="1" customFormat="1" ht="12.75" customHeight="1" x14ac:dyDescent="0.3"/>
    <row r="894" s="1" customFormat="1" ht="12.75" customHeight="1" x14ac:dyDescent="0.3"/>
    <row r="895" s="1" customFormat="1" ht="12.75" customHeight="1" x14ac:dyDescent="0.3"/>
    <row r="896" s="1" customFormat="1" ht="12.75" customHeight="1" x14ac:dyDescent="0.3"/>
    <row r="897" s="1" customFormat="1" ht="12.75" customHeight="1" x14ac:dyDescent="0.3"/>
    <row r="898" s="1" customFormat="1" ht="12.75" customHeight="1" x14ac:dyDescent="0.3"/>
    <row r="899" s="1" customFormat="1" ht="12.75" customHeight="1" x14ac:dyDescent="0.3"/>
    <row r="900" s="1" customFormat="1" ht="12.75" customHeight="1" x14ac:dyDescent="0.3"/>
    <row r="901" s="1" customFormat="1" ht="12.75" customHeight="1" x14ac:dyDescent="0.3"/>
    <row r="902" s="1" customFormat="1" ht="12.75" customHeight="1" x14ac:dyDescent="0.3"/>
    <row r="903" s="1" customFormat="1" ht="12.75" customHeight="1" x14ac:dyDescent="0.3"/>
    <row r="904" s="1" customFormat="1" ht="12.75" customHeight="1" x14ac:dyDescent="0.3"/>
    <row r="905" s="1" customFormat="1" ht="12.75" customHeight="1" x14ac:dyDescent="0.3"/>
    <row r="906" s="1" customFormat="1" ht="12.75" customHeight="1" x14ac:dyDescent="0.3"/>
    <row r="907" s="1" customFormat="1" ht="12.75" customHeight="1" x14ac:dyDescent="0.3"/>
    <row r="908" s="1" customFormat="1" ht="12.75" customHeight="1" x14ac:dyDescent="0.3"/>
    <row r="909" s="1" customFormat="1" ht="12.75" customHeight="1" x14ac:dyDescent="0.3"/>
    <row r="910" s="1" customFormat="1" ht="12.75" customHeight="1" x14ac:dyDescent="0.3"/>
    <row r="911" s="1" customFormat="1" ht="12.75" customHeight="1" x14ac:dyDescent="0.3"/>
    <row r="912" s="1" customFormat="1" ht="12.75" customHeight="1" x14ac:dyDescent="0.3"/>
    <row r="913" s="1" customFormat="1" ht="12.75" customHeight="1" x14ac:dyDescent="0.3"/>
    <row r="914" s="1" customFormat="1" ht="12.75" customHeight="1" x14ac:dyDescent="0.3"/>
    <row r="915" s="1" customFormat="1" ht="12.75" customHeight="1" x14ac:dyDescent="0.3"/>
    <row r="916" s="1" customFormat="1" ht="12.75" customHeight="1" x14ac:dyDescent="0.3"/>
    <row r="917" s="1" customFormat="1" ht="12.75" customHeight="1" x14ac:dyDescent="0.3"/>
    <row r="918" s="1" customFormat="1" ht="12.75" customHeight="1" x14ac:dyDescent="0.3"/>
    <row r="919" s="1" customFormat="1" ht="12.75" customHeight="1" x14ac:dyDescent="0.3"/>
    <row r="920" s="1" customFormat="1" ht="12.75" customHeight="1" x14ac:dyDescent="0.3"/>
    <row r="921" s="1" customFormat="1" ht="12.75" customHeight="1" x14ac:dyDescent="0.3"/>
    <row r="922" s="1" customFormat="1" ht="12.75" customHeight="1" x14ac:dyDescent="0.3"/>
    <row r="923" s="1" customFormat="1" ht="12.75" customHeight="1" x14ac:dyDescent="0.3"/>
    <row r="924" s="1" customFormat="1" ht="12.75" customHeight="1" x14ac:dyDescent="0.3"/>
    <row r="925" s="1" customFormat="1" ht="12.75" customHeight="1" x14ac:dyDescent="0.3"/>
    <row r="926" s="1" customFormat="1" ht="12.75" customHeight="1" x14ac:dyDescent="0.3"/>
    <row r="927" s="1" customFormat="1" ht="12.75" customHeight="1" x14ac:dyDescent="0.3"/>
    <row r="928" s="1" customFormat="1" ht="12.75" customHeight="1" x14ac:dyDescent="0.3"/>
    <row r="929" s="1" customFormat="1" ht="12.75" customHeight="1" x14ac:dyDescent="0.3"/>
    <row r="930" s="1" customFormat="1" ht="12.75" customHeight="1" x14ac:dyDescent="0.3"/>
    <row r="931" s="1" customFormat="1" ht="12.75" customHeight="1" x14ac:dyDescent="0.3"/>
    <row r="932" s="1" customFormat="1" ht="12.75" customHeight="1" x14ac:dyDescent="0.3"/>
    <row r="933" s="1" customFormat="1" ht="12.75" customHeight="1" x14ac:dyDescent="0.3"/>
    <row r="934" s="1" customFormat="1" ht="12.75" customHeight="1" x14ac:dyDescent="0.3"/>
    <row r="935" s="1" customFormat="1" ht="12.75" customHeight="1" x14ac:dyDescent="0.3"/>
    <row r="936" s="1" customFormat="1" ht="12.75" customHeight="1" x14ac:dyDescent="0.3"/>
    <row r="937" s="1" customFormat="1" ht="12.75" customHeight="1" x14ac:dyDescent="0.3"/>
    <row r="938" s="1" customFormat="1" ht="12.75" customHeight="1" x14ac:dyDescent="0.3"/>
    <row r="939" s="1" customFormat="1" ht="12.75" customHeight="1" x14ac:dyDescent="0.3"/>
    <row r="940" s="1" customFormat="1" ht="12.75" customHeight="1" x14ac:dyDescent="0.3"/>
    <row r="941" s="1" customFormat="1" ht="12.75" customHeight="1" x14ac:dyDescent="0.3"/>
    <row r="942" s="1" customFormat="1" ht="12.75" customHeight="1" x14ac:dyDescent="0.3"/>
    <row r="943" s="1" customFormat="1" ht="12.75" customHeight="1" x14ac:dyDescent="0.3"/>
    <row r="944" s="1" customFormat="1" ht="12.75" customHeight="1" x14ac:dyDescent="0.3"/>
    <row r="945" s="1" customFormat="1" ht="12.75" customHeight="1" x14ac:dyDescent="0.3"/>
    <row r="946" s="1" customFormat="1" ht="12.75" customHeight="1" x14ac:dyDescent="0.3"/>
    <row r="947" s="1" customFormat="1" ht="12.75" customHeight="1" x14ac:dyDescent="0.3"/>
    <row r="948" s="1" customFormat="1" ht="12.75" customHeight="1" x14ac:dyDescent="0.3"/>
    <row r="949" s="1" customFormat="1" ht="12.75" customHeight="1" x14ac:dyDescent="0.3"/>
    <row r="950" s="1" customFormat="1" ht="12.75" customHeight="1" x14ac:dyDescent="0.3"/>
    <row r="951" s="1" customFormat="1" ht="12.75" customHeight="1" x14ac:dyDescent="0.3"/>
    <row r="952" s="1" customFormat="1" ht="12.75" customHeight="1" x14ac:dyDescent="0.3"/>
    <row r="953" s="1" customFormat="1" ht="12.75" customHeight="1" x14ac:dyDescent="0.3"/>
    <row r="954" s="1" customFormat="1" ht="12.75" customHeight="1" x14ac:dyDescent="0.3"/>
    <row r="955" s="1" customFormat="1" ht="12.75" customHeight="1" x14ac:dyDescent="0.3"/>
    <row r="956" s="1" customFormat="1" ht="12.75" customHeight="1" x14ac:dyDescent="0.3"/>
    <row r="957" s="1" customFormat="1" ht="12.75" customHeight="1" x14ac:dyDescent="0.3"/>
    <row r="958" s="1" customFormat="1" ht="12.75" customHeight="1" x14ac:dyDescent="0.3"/>
    <row r="959" s="1" customFormat="1" ht="12.75" customHeight="1" x14ac:dyDescent="0.3"/>
    <row r="960" s="1" customFormat="1" ht="12.75" customHeight="1" x14ac:dyDescent="0.3"/>
    <row r="961" s="1" customFormat="1" ht="12.75" customHeight="1" x14ac:dyDescent="0.3"/>
    <row r="962" s="1" customFormat="1" ht="12.75" customHeight="1" x14ac:dyDescent="0.3"/>
    <row r="963" s="1" customFormat="1" ht="12.75" customHeight="1" x14ac:dyDescent="0.3"/>
    <row r="964" s="1" customFormat="1" ht="12.75" customHeight="1" x14ac:dyDescent="0.3"/>
    <row r="965" s="1" customFormat="1" ht="12.75" customHeight="1" x14ac:dyDescent="0.3"/>
    <row r="966" s="1" customFormat="1" ht="12.75" customHeight="1" x14ac:dyDescent="0.3"/>
    <row r="967" s="1" customFormat="1" ht="12.75" customHeight="1" x14ac:dyDescent="0.3"/>
    <row r="968" s="1" customFormat="1" ht="12.75" customHeight="1" x14ac:dyDescent="0.3"/>
    <row r="969" s="1" customFormat="1" ht="12.75" customHeight="1" x14ac:dyDescent="0.3"/>
    <row r="970" s="1" customFormat="1" ht="12.75" customHeight="1" x14ac:dyDescent="0.3"/>
    <row r="971" s="1" customFormat="1" ht="12.75" customHeight="1" x14ac:dyDescent="0.3"/>
    <row r="972" s="1" customFormat="1" ht="12.75" customHeight="1" x14ac:dyDescent="0.3"/>
    <row r="973" s="1" customFormat="1" ht="12.75" customHeight="1" x14ac:dyDescent="0.3"/>
    <row r="974" s="1" customFormat="1" ht="12.75" customHeight="1" x14ac:dyDescent="0.3"/>
    <row r="975" s="1" customFormat="1" ht="12.75" customHeight="1" x14ac:dyDescent="0.3"/>
    <row r="976" s="1" customFormat="1" ht="12.75" customHeight="1" x14ac:dyDescent="0.3"/>
    <row r="977" s="1" customFormat="1" ht="12.75" customHeight="1" x14ac:dyDescent="0.3"/>
    <row r="978" s="1" customFormat="1" ht="12.75" customHeight="1" x14ac:dyDescent="0.3"/>
    <row r="979" s="1" customFormat="1" ht="12.75" customHeight="1" x14ac:dyDescent="0.3"/>
    <row r="980" s="1" customFormat="1" ht="12.75" customHeight="1" x14ac:dyDescent="0.3"/>
    <row r="981" s="1" customFormat="1" ht="12.75" customHeight="1" x14ac:dyDescent="0.3"/>
    <row r="982" s="1" customFormat="1" ht="12.75" customHeight="1" x14ac:dyDescent="0.3"/>
    <row r="983" s="1" customFormat="1" ht="12.75" customHeight="1" x14ac:dyDescent="0.3"/>
    <row r="984" s="1" customFormat="1" ht="12.75" customHeight="1" x14ac:dyDescent="0.3"/>
    <row r="985" s="1" customFormat="1" ht="12.75" customHeight="1" x14ac:dyDescent="0.3"/>
    <row r="986" s="1" customFormat="1" ht="12.75" customHeight="1" x14ac:dyDescent="0.3"/>
    <row r="987" s="1" customFormat="1" ht="12.75" customHeight="1" x14ac:dyDescent="0.3"/>
    <row r="988" s="1" customFormat="1" ht="12.75" customHeight="1" x14ac:dyDescent="0.3"/>
    <row r="989" s="1" customFormat="1" ht="12.75" customHeight="1" x14ac:dyDescent="0.3"/>
    <row r="990" s="1" customFormat="1" ht="12.75" customHeight="1" x14ac:dyDescent="0.3"/>
    <row r="991" s="1" customFormat="1" ht="12.75" customHeight="1" x14ac:dyDescent="0.3"/>
    <row r="992" s="1" customFormat="1" ht="12.75" customHeight="1" x14ac:dyDescent="0.3"/>
    <row r="993" s="1" customFormat="1" ht="12.75" customHeight="1" x14ac:dyDescent="0.3"/>
    <row r="994" s="1" customFormat="1" ht="12.75" customHeight="1" x14ac:dyDescent="0.3"/>
    <row r="995" s="1" customFormat="1" ht="12.75" customHeight="1" x14ac:dyDescent="0.3"/>
    <row r="996" s="1" customFormat="1" ht="12.75" customHeight="1" x14ac:dyDescent="0.3"/>
    <row r="997" s="1" customFormat="1" ht="12.75" customHeight="1" x14ac:dyDescent="0.3"/>
    <row r="998" s="1" customFormat="1" ht="12.75" customHeight="1" x14ac:dyDescent="0.3"/>
    <row r="999" s="1" customFormat="1" ht="12.75" customHeight="1" x14ac:dyDescent="0.3"/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B1079-2D43-4183-893D-0D636C160EFF}">
  <dimension ref="A1:M999"/>
  <sheetViews>
    <sheetView workbookViewId="0">
      <selection sqref="A1:XFD1048576"/>
    </sheetView>
  </sheetViews>
  <sheetFormatPr baseColWidth="10" defaultColWidth="12.6328125" defaultRowHeight="15" customHeight="1" x14ac:dyDescent="0.3"/>
  <cols>
    <col min="1" max="1" width="15.7265625" style="1" customWidth="1"/>
    <col min="2" max="7" width="10.6328125" style="1" customWidth="1"/>
    <col min="8" max="8" width="11.36328125" style="1" customWidth="1"/>
    <col min="9" max="25" width="10.6328125" style="1" customWidth="1"/>
    <col min="26" max="16384" width="12.6328125" style="1"/>
  </cols>
  <sheetData>
    <row r="1" spans="1:13" ht="12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2.75" customHeight="1" x14ac:dyDescent="0.3">
      <c r="A2" s="1" t="s">
        <v>12</v>
      </c>
      <c r="B2" s="1" t="s">
        <v>13</v>
      </c>
      <c r="E2" s="1">
        <v>1</v>
      </c>
      <c r="H2" s="2" t="s">
        <v>14</v>
      </c>
      <c r="I2" s="3">
        <f t="shared" ref="I2:L2" si="0">SUM(C22+C37+C55+C65+C66+C96+C105+C113+C128+C146+C150)</f>
        <v>11</v>
      </c>
      <c r="J2" s="3">
        <f t="shared" si="0"/>
        <v>0</v>
      </c>
      <c r="K2" s="3">
        <f t="shared" si="0"/>
        <v>0</v>
      </c>
      <c r="L2" s="3">
        <f t="shared" si="0"/>
        <v>0</v>
      </c>
      <c r="M2" s="3">
        <f t="shared" ref="M2:M13" si="1">SUM(I2:L2)</f>
        <v>11</v>
      </c>
    </row>
    <row r="3" spans="1:13" ht="12.75" customHeight="1" x14ac:dyDescent="0.3">
      <c r="A3" s="1" t="s">
        <v>15</v>
      </c>
      <c r="B3" s="1" t="s">
        <v>16</v>
      </c>
      <c r="E3" s="1">
        <v>1</v>
      </c>
      <c r="H3" s="2" t="s">
        <v>17</v>
      </c>
      <c r="I3" s="3">
        <f t="shared" ref="I3:L3" si="2">SUM(C6+C32+C50+C52+C58+C69+C76+C94+C115+C122+C123+C152)</f>
        <v>12</v>
      </c>
      <c r="J3" s="3">
        <f t="shared" si="2"/>
        <v>0</v>
      </c>
      <c r="K3" s="3">
        <f t="shared" si="2"/>
        <v>0</v>
      </c>
      <c r="L3" s="3">
        <f t="shared" si="2"/>
        <v>0</v>
      </c>
      <c r="M3" s="3">
        <f t="shared" si="1"/>
        <v>12</v>
      </c>
    </row>
    <row r="4" spans="1:13" ht="12.75" customHeight="1" x14ac:dyDescent="0.3">
      <c r="A4" s="1" t="s">
        <v>18</v>
      </c>
      <c r="B4" s="1" t="s">
        <v>13</v>
      </c>
      <c r="D4" s="1">
        <v>1</v>
      </c>
      <c r="H4" s="2" t="s">
        <v>19</v>
      </c>
      <c r="I4" s="3">
        <f t="shared" ref="I4:L4" si="3">SUM(C26+C14+C27+C62+C68+C124+C138+C142+C153+C155)</f>
        <v>10</v>
      </c>
      <c r="J4" s="3">
        <f t="shared" si="3"/>
        <v>0</v>
      </c>
      <c r="K4" s="3">
        <f t="shared" si="3"/>
        <v>0</v>
      </c>
      <c r="L4" s="3">
        <f t="shared" si="3"/>
        <v>0</v>
      </c>
      <c r="M4" s="3">
        <f t="shared" si="1"/>
        <v>10</v>
      </c>
    </row>
    <row r="5" spans="1:13" ht="12.75" customHeight="1" x14ac:dyDescent="0.3">
      <c r="A5" s="1" t="s">
        <v>20</v>
      </c>
      <c r="B5" s="1" t="s">
        <v>21</v>
      </c>
      <c r="E5" s="1">
        <v>1</v>
      </c>
      <c r="H5" s="2" t="s">
        <v>22</v>
      </c>
      <c r="I5" s="3">
        <f t="shared" ref="I5:L5" si="4">SUM(C5+C36+C56+C63+C73+C85+C87+C95+C135)</f>
        <v>0</v>
      </c>
      <c r="J5" s="3">
        <f t="shared" si="4"/>
        <v>0</v>
      </c>
      <c r="K5" s="3">
        <f t="shared" si="4"/>
        <v>8</v>
      </c>
      <c r="L5" s="3">
        <f t="shared" si="4"/>
        <v>1</v>
      </c>
      <c r="M5" s="3">
        <f t="shared" si="1"/>
        <v>9</v>
      </c>
    </row>
    <row r="6" spans="1:13" ht="12.75" customHeight="1" x14ac:dyDescent="0.3">
      <c r="A6" s="1" t="s">
        <v>23</v>
      </c>
      <c r="B6" s="1" t="s">
        <v>24</v>
      </c>
      <c r="C6" s="1">
        <v>1</v>
      </c>
      <c r="H6" s="2" t="s">
        <v>25</v>
      </c>
      <c r="I6" s="3">
        <f t="shared" ref="I6:L6" si="5">SUM(C12+C15+C18+C28+C41+C59+C78+C64+C82+C83+C86+C106+C119+C143+C148+C154)</f>
        <v>15</v>
      </c>
      <c r="J6" s="3">
        <f t="shared" si="5"/>
        <v>1</v>
      </c>
      <c r="K6" s="3">
        <f t="shared" si="5"/>
        <v>0</v>
      </c>
      <c r="L6" s="3">
        <f t="shared" si="5"/>
        <v>0</v>
      </c>
      <c r="M6" s="3">
        <f t="shared" si="1"/>
        <v>16</v>
      </c>
    </row>
    <row r="7" spans="1:13" ht="12.75" customHeight="1" x14ac:dyDescent="0.3">
      <c r="A7" s="1" t="s">
        <v>26</v>
      </c>
      <c r="B7" s="1" t="s">
        <v>27</v>
      </c>
      <c r="D7" s="1">
        <v>1</v>
      </c>
      <c r="H7" s="2" t="s">
        <v>28</v>
      </c>
      <c r="I7" s="3">
        <f t="shared" ref="I7:L7" si="6">SUM(C3+C20+C46+C49+C54+C89+C90+C102+C112+C114+C129+C141)</f>
        <v>2</v>
      </c>
      <c r="J7" s="3">
        <f t="shared" si="6"/>
        <v>4</v>
      </c>
      <c r="K7" s="3">
        <f t="shared" si="6"/>
        <v>6</v>
      </c>
      <c r="L7" s="3">
        <f t="shared" si="6"/>
        <v>0</v>
      </c>
      <c r="M7" s="3">
        <f t="shared" si="1"/>
        <v>12</v>
      </c>
    </row>
    <row r="8" spans="1:13" ht="12.75" customHeight="1" x14ac:dyDescent="0.3">
      <c r="A8" s="1" t="s">
        <v>29</v>
      </c>
      <c r="B8" s="1" t="s">
        <v>30</v>
      </c>
      <c r="D8" s="1">
        <v>1</v>
      </c>
      <c r="H8" s="2" t="s">
        <v>27</v>
      </c>
      <c r="I8" s="3">
        <f t="shared" ref="I8:L8" si="7">SUM(C7+C30+C29+C44+C51+C60+C72+C79+C101+C99+C107+C111+C117+C140+C144)</f>
        <v>3</v>
      </c>
      <c r="J8" s="3">
        <f t="shared" si="7"/>
        <v>11</v>
      </c>
      <c r="K8" s="3">
        <f t="shared" si="7"/>
        <v>1</v>
      </c>
      <c r="L8" s="3">
        <f t="shared" si="7"/>
        <v>0</v>
      </c>
      <c r="M8" s="3">
        <f t="shared" si="1"/>
        <v>15</v>
      </c>
    </row>
    <row r="9" spans="1:13" ht="12.75" customHeight="1" x14ac:dyDescent="0.3">
      <c r="A9" s="1" t="s">
        <v>31</v>
      </c>
      <c r="B9" s="1" t="s">
        <v>13</v>
      </c>
      <c r="D9" s="1">
        <v>1</v>
      </c>
      <c r="H9" s="2" t="s">
        <v>13</v>
      </c>
      <c r="I9" s="3">
        <f t="shared" ref="I9:J9" si="8">SUM(C4+C9+C17+C19+C2+C48+C92+C120+C126+C127+C130+C133+C151)</f>
        <v>2</v>
      </c>
      <c r="J9" s="3">
        <f t="shared" si="8"/>
        <v>10</v>
      </c>
      <c r="K9" s="3">
        <f>SUM(D4+D9+D17+D19+D2+D48+D92+D120+D126+D127+D130+D133+D151)</f>
        <v>10</v>
      </c>
      <c r="L9" s="3">
        <f>SUM(F4+F9+F17+F19+F2+F48+F92+F120+F126+F127+F130+F133+F151)</f>
        <v>0</v>
      </c>
      <c r="M9" s="3">
        <f t="shared" si="1"/>
        <v>22</v>
      </c>
    </row>
    <row r="10" spans="1:13" ht="12.75" customHeight="1" x14ac:dyDescent="0.3">
      <c r="A10" s="1" t="s">
        <v>32</v>
      </c>
      <c r="B10" s="1" t="s">
        <v>33</v>
      </c>
      <c r="E10" s="1">
        <v>1</v>
      </c>
      <c r="H10" s="2" t="s">
        <v>30</v>
      </c>
      <c r="I10" s="3">
        <f t="shared" ref="I10:L10" si="9">SUM(C8+C13+C16+C25+C31+C35+C43+C45+C70+C71+C75+C81+C88+C93+C98+C100+C104+C118+C136+C137+C156)</f>
        <v>0</v>
      </c>
      <c r="J10" s="3">
        <f t="shared" si="9"/>
        <v>21</v>
      </c>
      <c r="K10" s="3">
        <f t="shared" si="9"/>
        <v>0</v>
      </c>
      <c r="L10" s="3">
        <f t="shared" si="9"/>
        <v>0</v>
      </c>
      <c r="M10" s="3">
        <f t="shared" si="1"/>
        <v>21</v>
      </c>
    </row>
    <row r="11" spans="1:13" ht="12.75" customHeight="1" x14ac:dyDescent="0.3">
      <c r="A11" s="1" t="s">
        <v>34</v>
      </c>
      <c r="B11" s="1" t="s">
        <v>33</v>
      </c>
      <c r="C11" s="1">
        <v>1</v>
      </c>
      <c r="H11" s="2" t="s">
        <v>35</v>
      </c>
      <c r="I11" s="3">
        <f t="shared" ref="I11:L11" si="10">SUM(C38+C42+C47+C53+C74+C77+C80+C91+C97+C103+C108+C116+C131+C145+C147)</f>
        <v>0</v>
      </c>
      <c r="J11" s="3">
        <f t="shared" si="10"/>
        <v>14</v>
      </c>
      <c r="K11" s="3">
        <f t="shared" si="10"/>
        <v>1</v>
      </c>
      <c r="L11" s="3">
        <f t="shared" si="10"/>
        <v>0</v>
      </c>
      <c r="M11" s="3">
        <f t="shared" si="1"/>
        <v>15</v>
      </c>
    </row>
    <row r="12" spans="1:13" ht="12.75" customHeight="1" x14ac:dyDescent="0.3">
      <c r="A12" s="1" t="s">
        <v>36</v>
      </c>
      <c r="B12" s="1" t="s">
        <v>37</v>
      </c>
      <c r="C12" s="1">
        <v>1</v>
      </c>
      <c r="H12" s="2" t="s">
        <v>38</v>
      </c>
      <c r="I12" s="3">
        <f t="shared" ref="I12:L12" si="11">SUM(C21+C24+C34+C40+C67+C84+C132)</f>
        <v>1</v>
      </c>
      <c r="J12" s="3">
        <f t="shared" si="11"/>
        <v>4</v>
      </c>
      <c r="K12" s="3">
        <f t="shared" si="11"/>
        <v>2</v>
      </c>
      <c r="L12" s="3">
        <f t="shared" si="11"/>
        <v>0</v>
      </c>
      <c r="M12" s="3">
        <f t="shared" si="1"/>
        <v>7</v>
      </c>
    </row>
    <row r="13" spans="1:13" ht="12.75" customHeight="1" x14ac:dyDescent="0.3">
      <c r="A13" s="1" t="s">
        <v>39</v>
      </c>
      <c r="B13" s="1" t="s">
        <v>30</v>
      </c>
      <c r="D13" s="1">
        <v>1</v>
      </c>
      <c r="H13" s="2" t="s">
        <v>33</v>
      </c>
      <c r="I13" s="3">
        <f t="shared" ref="I13:L13" si="12">SUM(C10+C11+C57+C125+C149)</f>
        <v>3</v>
      </c>
      <c r="J13" s="3">
        <f t="shared" si="12"/>
        <v>1</v>
      </c>
      <c r="K13" s="3">
        <f t="shared" si="12"/>
        <v>1</v>
      </c>
      <c r="L13" s="3">
        <f t="shared" si="12"/>
        <v>0</v>
      </c>
      <c r="M13" s="3">
        <f t="shared" si="1"/>
        <v>5</v>
      </c>
    </row>
    <row r="14" spans="1:13" ht="12.75" customHeight="1" x14ac:dyDescent="0.3">
      <c r="A14" s="1" t="s">
        <v>40</v>
      </c>
      <c r="B14" s="1" t="s">
        <v>19</v>
      </c>
      <c r="C14" s="1">
        <v>1</v>
      </c>
      <c r="I14" s="4"/>
      <c r="J14" s="4"/>
      <c r="K14" s="4"/>
      <c r="L14" s="4"/>
    </row>
    <row r="15" spans="1:13" ht="12.75" customHeight="1" x14ac:dyDescent="0.3">
      <c r="A15" s="1" t="s">
        <v>41</v>
      </c>
      <c r="B15" s="1" t="s">
        <v>42</v>
      </c>
      <c r="C15" s="1">
        <v>1</v>
      </c>
      <c r="I15" s="4"/>
      <c r="J15" s="4"/>
      <c r="K15" s="4"/>
      <c r="L15" s="4"/>
    </row>
    <row r="16" spans="1:13" ht="12.75" customHeight="1" x14ac:dyDescent="0.3">
      <c r="A16" s="1" t="s">
        <v>43</v>
      </c>
      <c r="B16" s="1" t="s">
        <v>30</v>
      </c>
      <c r="D16" s="1">
        <v>1</v>
      </c>
      <c r="I16" s="4"/>
      <c r="J16" s="4"/>
      <c r="K16" s="4"/>
      <c r="L16" s="4"/>
    </row>
    <row r="17" spans="1:12" ht="12.75" customHeight="1" x14ac:dyDescent="0.3">
      <c r="A17" s="1" t="s">
        <v>44</v>
      </c>
      <c r="B17" s="1" t="s">
        <v>13</v>
      </c>
      <c r="D17" s="1">
        <v>1</v>
      </c>
      <c r="I17" s="4"/>
      <c r="J17" s="4"/>
      <c r="K17" s="4"/>
      <c r="L17" s="4"/>
    </row>
    <row r="18" spans="1:12" ht="12.75" customHeight="1" x14ac:dyDescent="0.3">
      <c r="A18" s="1" t="s">
        <v>45</v>
      </c>
      <c r="B18" s="1" t="s">
        <v>37</v>
      </c>
      <c r="C18" s="1">
        <v>1</v>
      </c>
      <c r="I18" s="4"/>
      <c r="J18" s="4"/>
      <c r="K18" s="4"/>
      <c r="L18" s="4"/>
    </row>
    <row r="19" spans="1:12" ht="12.75" customHeight="1" x14ac:dyDescent="0.3">
      <c r="A19" s="1" t="s">
        <v>46</v>
      </c>
      <c r="B19" s="1" t="s">
        <v>13</v>
      </c>
      <c r="D19" s="1">
        <v>1</v>
      </c>
    </row>
    <row r="20" spans="1:12" ht="12.75" customHeight="1" x14ac:dyDescent="0.3">
      <c r="A20" s="1" t="s">
        <v>47</v>
      </c>
      <c r="B20" s="1" t="s">
        <v>16</v>
      </c>
      <c r="C20" s="1">
        <v>1</v>
      </c>
    </row>
    <row r="21" spans="1:12" ht="12.75" customHeight="1" x14ac:dyDescent="0.3">
      <c r="A21" s="1" t="s">
        <v>48</v>
      </c>
      <c r="B21" s="1" t="s">
        <v>38</v>
      </c>
      <c r="C21" s="1">
        <v>1</v>
      </c>
    </row>
    <row r="22" spans="1:12" ht="12.75" customHeight="1" x14ac:dyDescent="0.3">
      <c r="A22" s="1" t="s">
        <v>49</v>
      </c>
      <c r="B22" s="1" t="s">
        <v>14</v>
      </c>
      <c r="C22" s="1">
        <v>1</v>
      </c>
    </row>
    <row r="23" spans="1:12" ht="12.75" customHeight="1" x14ac:dyDescent="0.3">
      <c r="A23" s="1" t="s">
        <v>50</v>
      </c>
      <c r="B23" s="1" t="s">
        <v>13</v>
      </c>
      <c r="E23" s="1">
        <v>1</v>
      </c>
    </row>
    <row r="24" spans="1:12" ht="12.75" customHeight="1" x14ac:dyDescent="0.3">
      <c r="A24" s="1" t="s">
        <v>51</v>
      </c>
      <c r="B24" s="1" t="s">
        <v>38</v>
      </c>
      <c r="E24" s="1">
        <v>1</v>
      </c>
    </row>
    <row r="25" spans="1:12" ht="12.75" customHeight="1" x14ac:dyDescent="0.3">
      <c r="A25" s="1" t="s">
        <v>52</v>
      </c>
      <c r="B25" s="1" t="s">
        <v>30</v>
      </c>
      <c r="D25" s="1">
        <v>1</v>
      </c>
    </row>
    <row r="26" spans="1:12" ht="12.75" customHeight="1" x14ac:dyDescent="0.3">
      <c r="A26" s="1" t="s">
        <v>53</v>
      </c>
      <c r="B26" s="1" t="s">
        <v>19</v>
      </c>
      <c r="C26" s="1">
        <v>1</v>
      </c>
    </row>
    <row r="27" spans="1:12" ht="12.75" customHeight="1" x14ac:dyDescent="0.3">
      <c r="A27" s="1" t="s">
        <v>54</v>
      </c>
      <c r="B27" s="1" t="s">
        <v>19</v>
      </c>
      <c r="C27" s="1">
        <v>1</v>
      </c>
    </row>
    <row r="28" spans="1:12" ht="12.75" customHeight="1" x14ac:dyDescent="0.3">
      <c r="A28" s="1" t="s">
        <v>55</v>
      </c>
      <c r="B28" s="1" t="s">
        <v>37</v>
      </c>
      <c r="C28" s="1">
        <v>1</v>
      </c>
    </row>
    <row r="29" spans="1:12" ht="12.75" customHeight="1" x14ac:dyDescent="0.3">
      <c r="A29" s="1" t="s">
        <v>56</v>
      </c>
      <c r="B29" s="1" t="s">
        <v>27</v>
      </c>
      <c r="C29" s="1">
        <v>1</v>
      </c>
    </row>
    <row r="30" spans="1:12" ht="12.75" customHeight="1" x14ac:dyDescent="0.3">
      <c r="A30" s="1" t="s">
        <v>57</v>
      </c>
      <c r="B30" s="1" t="s">
        <v>27</v>
      </c>
      <c r="D30" s="1">
        <v>1</v>
      </c>
    </row>
    <row r="31" spans="1:12" ht="12.75" customHeight="1" x14ac:dyDescent="0.3">
      <c r="A31" s="1" t="s">
        <v>58</v>
      </c>
      <c r="B31" s="1" t="s">
        <v>30</v>
      </c>
      <c r="D31" s="1">
        <v>1</v>
      </c>
    </row>
    <row r="32" spans="1:12" ht="12.75" customHeight="1" x14ac:dyDescent="0.3">
      <c r="A32" s="1" t="s">
        <v>59</v>
      </c>
      <c r="B32" s="1" t="s">
        <v>24</v>
      </c>
      <c r="C32" s="1">
        <v>1</v>
      </c>
    </row>
    <row r="33" spans="1:12" ht="12.75" customHeight="1" x14ac:dyDescent="0.3">
      <c r="A33" s="1" t="s">
        <v>60</v>
      </c>
      <c r="B33" s="1" t="s">
        <v>27</v>
      </c>
      <c r="D33" s="1">
        <v>1</v>
      </c>
    </row>
    <row r="34" spans="1:12" ht="12.75" customHeight="1" x14ac:dyDescent="0.3">
      <c r="A34" s="1" t="s">
        <v>61</v>
      </c>
      <c r="B34" s="1" t="s">
        <v>38</v>
      </c>
      <c r="D34" s="1">
        <v>1</v>
      </c>
    </row>
    <row r="35" spans="1:12" ht="12.75" customHeight="1" x14ac:dyDescent="0.3">
      <c r="A35" s="1" t="s">
        <v>62</v>
      </c>
      <c r="B35" s="1" t="s">
        <v>30</v>
      </c>
      <c r="D35" s="1">
        <v>1</v>
      </c>
    </row>
    <row r="36" spans="1:12" ht="12.75" customHeight="1" x14ac:dyDescent="0.3">
      <c r="A36" s="1" t="s">
        <v>63</v>
      </c>
      <c r="B36" s="1" t="s">
        <v>21</v>
      </c>
      <c r="E36" s="1">
        <v>1</v>
      </c>
    </row>
    <row r="37" spans="1:12" ht="12.75" customHeight="1" x14ac:dyDescent="0.3">
      <c r="A37" s="1" t="s">
        <v>64</v>
      </c>
      <c r="B37" s="1" t="s">
        <v>14</v>
      </c>
      <c r="C37" s="1">
        <v>1</v>
      </c>
    </row>
    <row r="38" spans="1:12" ht="12.75" customHeight="1" x14ac:dyDescent="0.3">
      <c r="A38" s="1" t="s">
        <v>65</v>
      </c>
      <c r="B38" s="1" t="s">
        <v>66</v>
      </c>
      <c r="D38" s="1">
        <v>1</v>
      </c>
    </row>
    <row r="39" spans="1:12" ht="12.75" customHeight="1" x14ac:dyDescent="0.3">
      <c r="A39" s="1" t="s">
        <v>67</v>
      </c>
      <c r="B39" s="1" t="s">
        <v>16</v>
      </c>
      <c r="D39" s="1">
        <v>1</v>
      </c>
    </row>
    <row r="40" spans="1:12" ht="12.75" customHeight="1" x14ac:dyDescent="0.3">
      <c r="A40" s="1" t="s">
        <v>68</v>
      </c>
      <c r="B40" s="1" t="s">
        <v>38</v>
      </c>
      <c r="E40" s="1">
        <v>1</v>
      </c>
    </row>
    <row r="41" spans="1:12" ht="12.75" customHeight="1" x14ac:dyDescent="0.3">
      <c r="A41" s="1" t="s">
        <v>69</v>
      </c>
      <c r="B41" s="1" t="s">
        <v>37</v>
      </c>
      <c r="C41" s="1">
        <v>1</v>
      </c>
    </row>
    <row r="42" spans="1:12" ht="12.75" customHeight="1" x14ac:dyDescent="0.3">
      <c r="A42" s="1" t="s">
        <v>70</v>
      </c>
      <c r="B42" s="1" t="s">
        <v>66</v>
      </c>
      <c r="D42" s="1">
        <v>1</v>
      </c>
    </row>
    <row r="43" spans="1:12" ht="12.75" customHeight="1" x14ac:dyDescent="0.3">
      <c r="A43" s="1" t="s">
        <v>71</v>
      </c>
      <c r="B43" s="1" t="s">
        <v>30</v>
      </c>
      <c r="D43" s="1">
        <v>1</v>
      </c>
    </row>
    <row r="44" spans="1:12" ht="12.75" customHeight="1" x14ac:dyDescent="0.3">
      <c r="A44" s="1" t="s">
        <v>72</v>
      </c>
      <c r="B44" s="1" t="s">
        <v>27</v>
      </c>
      <c r="D44" s="1">
        <v>1</v>
      </c>
    </row>
    <row r="45" spans="1:12" ht="12.75" customHeight="1" x14ac:dyDescent="0.3">
      <c r="A45" s="1" t="s">
        <v>73</v>
      </c>
      <c r="B45" s="1" t="s">
        <v>30</v>
      </c>
      <c r="D45" s="1">
        <v>1</v>
      </c>
      <c r="H45" s="1" t="s">
        <v>6</v>
      </c>
      <c r="I45" s="1" t="s">
        <v>7</v>
      </c>
      <c r="J45" s="1" t="s">
        <v>8</v>
      </c>
      <c r="K45" s="1" t="s">
        <v>9</v>
      </c>
      <c r="L45" s="1" t="s">
        <v>10</v>
      </c>
    </row>
    <row r="46" spans="1:12" ht="12.75" customHeight="1" x14ac:dyDescent="0.3">
      <c r="A46" s="1" t="s">
        <v>74</v>
      </c>
      <c r="B46" s="1" t="s">
        <v>16</v>
      </c>
      <c r="E46" s="1">
        <v>1</v>
      </c>
      <c r="H46" s="2" t="s">
        <v>14</v>
      </c>
      <c r="I46" s="4">
        <f t="shared" ref="I46:I57" si="13">I2/M2</f>
        <v>1</v>
      </c>
      <c r="J46" s="4">
        <f t="shared" ref="J46:J57" si="14">J2/M2</f>
        <v>0</v>
      </c>
      <c r="K46" s="4">
        <f t="shared" ref="K46:K57" si="15">K2/M2</f>
        <v>0</v>
      </c>
      <c r="L46" s="4">
        <f t="shared" ref="L46:L57" si="16">L2/M2</f>
        <v>0</v>
      </c>
    </row>
    <row r="47" spans="1:12" ht="12.75" customHeight="1" x14ac:dyDescent="0.3">
      <c r="A47" s="1" t="s">
        <v>75</v>
      </c>
      <c r="B47" s="1" t="s">
        <v>66</v>
      </c>
      <c r="D47" s="1">
        <v>1</v>
      </c>
      <c r="H47" s="2" t="s">
        <v>17</v>
      </c>
      <c r="I47" s="4">
        <f t="shared" si="13"/>
        <v>1</v>
      </c>
      <c r="J47" s="4">
        <f t="shared" si="14"/>
        <v>0</v>
      </c>
      <c r="K47" s="4">
        <f t="shared" si="15"/>
        <v>0</v>
      </c>
      <c r="L47" s="4">
        <f t="shared" si="16"/>
        <v>0</v>
      </c>
    </row>
    <row r="48" spans="1:12" ht="12.75" customHeight="1" x14ac:dyDescent="0.3">
      <c r="A48" s="1" t="s">
        <v>76</v>
      </c>
      <c r="B48" s="1" t="s">
        <v>13</v>
      </c>
      <c r="C48" s="1">
        <v>1</v>
      </c>
      <c r="H48" s="2" t="s">
        <v>19</v>
      </c>
      <c r="I48" s="4">
        <f t="shared" si="13"/>
        <v>1</v>
      </c>
      <c r="J48" s="4">
        <f t="shared" si="14"/>
        <v>0</v>
      </c>
      <c r="K48" s="4">
        <f t="shared" si="15"/>
        <v>0</v>
      </c>
      <c r="L48" s="4">
        <f t="shared" si="16"/>
        <v>0</v>
      </c>
    </row>
    <row r="49" spans="1:12" ht="12.75" customHeight="1" x14ac:dyDescent="0.3">
      <c r="A49" s="1" t="s">
        <v>77</v>
      </c>
      <c r="B49" s="1" t="s">
        <v>16</v>
      </c>
      <c r="D49" s="1">
        <v>1</v>
      </c>
      <c r="H49" s="2" t="s">
        <v>22</v>
      </c>
      <c r="I49" s="4">
        <f t="shared" si="13"/>
        <v>0</v>
      </c>
      <c r="J49" s="4">
        <f t="shared" si="14"/>
        <v>0</v>
      </c>
      <c r="K49" s="4">
        <f t="shared" si="15"/>
        <v>0.88888888888888884</v>
      </c>
      <c r="L49" s="4">
        <f t="shared" si="16"/>
        <v>0.1111111111111111</v>
      </c>
    </row>
    <row r="50" spans="1:12" ht="12.75" customHeight="1" x14ac:dyDescent="0.3">
      <c r="A50" s="1" t="s">
        <v>78</v>
      </c>
      <c r="B50" s="1" t="s">
        <v>24</v>
      </c>
      <c r="C50" s="1">
        <v>1</v>
      </c>
      <c r="H50" s="2" t="s">
        <v>25</v>
      </c>
      <c r="I50" s="4">
        <f t="shared" si="13"/>
        <v>0.9375</v>
      </c>
      <c r="J50" s="4">
        <f t="shared" si="14"/>
        <v>6.25E-2</v>
      </c>
      <c r="K50" s="4">
        <f t="shared" si="15"/>
        <v>0</v>
      </c>
      <c r="L50" s="4">
        <f t="shared" si="16"/>
        <v>0</v>
      </c>
    </row>
    <row r="51" spans="1:12" ht="12.75" customHeight="1" x14ac:dyDescent="0.3">
      <c r="A51" s="1" t="s">
        <v>79</v>
      </c>
      <c r="B51" s="1" t="s">
        <v>27</v>
      </c>
      <c r="D51" s="1">
        <v>1</v>
      </c>
      <c r="H51" s="2" t="s">
        <v>28</v>
      </c>
      <c r="I51" s="4">
        <f t="shared" si="13"/>
        <v>0.16666666666666666</v>
      </c>
      <c r="J51" s="4">
        <f t="shared" si="14"/>
        <v>0.33333333333333331</v>
      </c>
      <c r="K51" s="4">
        <f t="shared" si="15"/>
        <v>0.5</v>
      </c>
      <c r="L51" s="4">
        <f t="shared" si="16"/>
        <v>0</v>
      </c>
    </row>
    <row r="52" spans="1:12" ht="12.75" customHeight="1" x14ac:dyDescent="0.3">
      <c r="A52" s="1" t="s">
        <v>80</v>
      </c>
      <c r="B52" s="1" t="s">
        <v>24</v>
      </c>
      <c r="C52" s="1">
        <v>1</v>
      </c>
      <c r="H52" s="2" t="s">
        <v>27</v>
      </c>
      <c r="I52" s="4">
        <f t="shared" si="13"/>
        <v>0.2</v>
      </c>
      <c r="J52" s="4">
        <f t="shared" si="14"/>
        <v>0.73333333333333328</v>
      </c>
      <c r="K52" s="4">
        <f t="shared" si="15"/>
        <v>6.6666666666666666E-2</v>
      </c>
      <c r="L52" s="4">
        <f t="shared" si="16"/>
        <v>0</v>
      </c>
    </row>
    <row r="53" spans="1:12" ht="12.75" customHeight="1" x14ac:dyDescent="0.3">
      <c r="A53" s="1" t="s">
        <v>81</v>
      </c>
      <c r="B53" s="1" t="s">
        <v>66</v>
      </c>
      <c r="D53" s="1">
        <v>1</v>
      </c>
      <c r="H53" s="2" t="s">
        <v>13</v>
      </c>
      <c r="I53" s="4">
        <f t="shared" si="13"/>
        <v>9.0909090909090912E-2</v>
      </c>
      <c r="J53" s="4">
        <f t="shared" si="14"/>
        <v>0.45454545454545453</v>
      </c>
      <c r="K53" s="4">
        <f t="shared" si="15"/>
        <v>0.45454545454545453</v>
      </c>
      <c r="L53" s="4">
        <f t="shared" si="16"/>
        <v>0</v>
      </c>
    </row>
    <row r="54" spans="1:12" ht="12.75" customHeight="1" x14ac:dyDescent="0.3">
      <c r="A54" s="1" t="s">
        <v>82</v>
      </c>
      <c r="B54" s="1" t="s">
        <v>16</v>
      </c>
      <c r="D54" s="1">
        <v>1</v>
      </c>
      <c r="H54" s="2" t="s">
        <v>30</v>
      </c>
      <c r="I54" s="4">
        <f t="shared" si="13"/>
        <v>0</v>
      </c>
      <c r="J54" s="4">
        <f t="shared" si="14"/>
        <v>1</v>
      </c>
      <c r="K54" s="4">
        <f t="shared" si="15"/>
        <v>0</v>
      </c>
      <c r="L54" s="4">
        <f t="shared" si="16"/>
        <v>0</v>
      </c>
    </row>
    <row r="55" spans="1:12" ht="12.75" customHeight="1" x14ac:dyDescent="0.3">
      <c r="A55" s="1" t="s">
        <v>83</v>
      </c>
      <c r="B55" s="1" t="s">
        <v>14</v>
      </c>
      <c r="C55" s="1">
        <v>1</v>
      </c>
      <c r="H55" s="2" t="s">
        <v>35</v>
      </c>
      <c r="I55" s="4">
        <f t="shared" si="13"/>
        <v>0</v>
      </c>
      <c r="J55" s="4">
        <f t="shared" si="14"/>
        <v>0.93333333333333335</v>
      </c>
      <c r="K55" s="4">
        <f t="shared" si="15"/>
        <v>6.6666666666666666E-2</v>
      </c>
      <c r="L55" s="4">
        <f t="shared" si="16"/>
        <v>0</v>
      </c>
    </row>
    <row r="56" spans="1:12" ht="12.75" customHeight="1" x14ac:dyDescent="0.3">
      <c r="A56" s="1" t="s">
        <v>84</v>
      </c>
      <c r="B56" s="1" t="s">
        <v>21</v>
      </c>
      <c r="E56" s="1">
        <v>1</v>
      </c>
      <c r="H56" s="2" t="s">
        <v>38</v>
      </c>
      <c r="I56" s="4">
        <f t="shared" si="13"/>
        <v>0.14285714285714285</v>
      </c>
      <c r="J56" s="4">
        <f t="shared" si="14"/>
        <v>0.5714285714285714</v>
      </c>
      <c r="K56" s="4">
        <f t="shared" si="15"/>
        <v>0.2857142857142857</v>
      </c>
      <c r="L56" s="4">
        <f t="shared" si="16"/>
        <v>0</v>
      </c>
    </row>
    <row r="57" spans="1:12" ht="12.75" customHeight="1" x14ac:dyDescent="0.3">
      <c r="A57" s="1" t="s">
        <v>85</v>
      </c>
      <c r="B57" s="1" t="s">
        <v>33</v>
      </c>
      <c r="C57" s="1">
        <v>1</v>
      </c>
      <c r="H57" s="2" t="s">
        <v>33</v>
      </c>
      <c r="I57" s="4">
        <f t="shared" si="13"/>
        <v>0.6</v>
      </c>
      <c r="J57" s="4">
        <f t="shared" si="14"/>
        <v>0.2</v>
      </c>
      <c r="K57" s="4">
        <f t="shared" si="15"/>
        <v>0.2</v>
      </c>
      <c r="L57" s="4">
        <f t="shared" si="16"/>
        <v>0</v>
      </c>
    </row>
    <row r="58" spans="1:12" ht="12.75" customHeight="1" x14ac:dyDescent="0.3">
      <c r="A58" s="1" t="s">
        <v>86</v>
      </c>
      <c r="B58" s="1" t="s">
        <v>24</v>
      </c>
      <c r="C58" s="1">
        <v>1</v>
      </c>
    </row>
    <row r="59" spans="1:12" ht="12.75" customHeight="1" x14ac:dyDescent="0.3">
      <c r="A59" s="1" t="s">
        <v>87</v>
      </c>
      <c r="B59" s="1" t="s">
        <v>37</v>
      </c>
      <c r="D59" s="1">
        <v>1</v>
      </c>
    </row>
    <row r="60" spans="1:12" ht="12.75" customHeight="1" x14ac:dyDescent="0.3">
      <c r="A60" s="1" t="s">
        <v>88</v>
      </c>
      <c r="B60" s="1" t="s">
        <v>27</v>
      </c>
      <c r="C60" s="1">
        <v>1</v>
      </c>
    </row>
    <row r="61" spans="1:12" ht="12.75" customHeight="1" x14ac:dyDescent="0.3">
      <c r="A61" s="1" t="s">
        <v>89</v>
      </c>
      <c r="B61" s="1" t="s">
        <v>13</v>
      </c>
      <c r="C61" s="1">
        <v>1</v>
      </c>
    </row>
    <row r="62" spans="1:12" ht="12.75" customHeight="1" x14ac:dyDescent="0.3">
      <c r="A62" s="1" t="s">
        <v>90</v>
      </c>
      <c r="B62" s="1" t="s">
        <v>19</v>
      </c>
      <c r="C62" s="1">
        <v>1</v>
      </c>
    </row>
    <row r="63" spans="1:12" ht="12.75" customHeight="1" x14ac:dyDescent="0.3">
      <c r="A63" s="1" t="s">
        <v>91</v>
      </c>
      <c r="B63" s="1" t="s">
        <v>21</v>
      </c>
      <c r="F63" s="1">
        <v>1</v>
      </c>
    </row>
    <row r="64" spans="1:12" ht="12.75" customHeight="1" x14ac:dyDescent="0.3">
      <c r="A64" s="1" t="s">
        <v>92</v>
      </c>
      <c r="B64" s="1" t="s">
        <v>42</v>
      </c>
      <c r="C64" s="1">
        <v>1</v>
      </c>
    </row>
    <row r="65" spans="1:5" ht="12.75" customHeight="1" x14ac:dyDescent="0.3">
      <c r="A65" s="1" t="s">
        <v>93</v>
      </c>
      <c r="B65" s="1" t="s">
        <v>14</v>
      </c>
      <c r="C65" s="1">
        <v>1</v>
      </c>
    </row>
    <row r="66" spans="1:5" ht="12.75" customHeight="1" x14ac:dyDescent="0.3">
      <c r="A66" s="1" t="s">
        <v>94</v>
      </c>
      <c r="B66" s="1" t="s">
        <v>14</v>
      </c>
      <c r="C66" s="1">
        <v>1</v>
      </c>
    </row>
    <row r="67" spans="1:5" ht="12.75" customHeight="1" x14ac:dyDescent="0.3">
      <c r="A67" s="1" t="s">
        <v>95</v>
      </c>
      <c r="B67" s="1" t="s">
        <v>38</v>
      </c>
      <c r="D67" s="1">
        <v>1</v>
      </c>
    </row>
    <row r="68" spans="1:5" ht="12.75" customHeight="1" x14ac:dyDescent="0.3">
      <c r="A68" s="1" t="s">
        <v>96</v>
      </c>
      <c r="B68" s="1" t="s">
        <v>19</v>
      </c>
      <c r="C68" s="1">
        <v>1</v>
      </c>
    </row>
    <row r="69" spans="1:5" ht="12.75" customHeight="1" x14ac:dyDescent="0.3">
      <c r="A69" s="1" t="s">
        <v>97</v>
      </c>
      <c r="B69" s="1" t="s">
        <v>24</v>
      </c>
      <c r="C69" s="1">
        <v>1</v>
      </c>
    </row>
    <row r="70" spans="1:5" ht="12.75" customHeight="1" x14ac:dyDescent="0.3">
      <c r="A70" s="1" t="s">
        <v>98</v>
      </c>
      <c r="B70" s="1" t="s">
        <v>30</v>
      </c>
      <c r="D70" s="1">
        <v>1</v>
      </c>
    </row>
    <row r="71" spans="1:5" ht="12.75" customHeight="1" x14ac:dyDescent="0.3">
      <c r="A71" s="1" t="s">
        <v>99</v>
      </c>
      <c r="B71" s="1" t="s">
        <v>30</v>
      </c>
      <c r="D71" s="1">
        <v>1</v>
      </c>
    </row>
    <row r="72" spans="1:5" ht="12.75" customHeight="1" x14ac:dyDescent="0.3">
      <c r="A72" s="1" t="s">
        <v>100</v>
      </c>
      <c r="B72" s="1" t="s">
        <v>27</v>
      </c>
      <c r="D72" s="1">
        <v>1</v>
      </c>
    </row>
    <row r="73" spans="1:5" ht="12.75" customHeight="1" x14ac:dyDescent="0.3">
      <c r="A73" s="1" t="s">
        <v>101</v>
      </c>
      <c r="B73" s="1" t="s">
        <v>21</v>
      </c>
      <c r="E73" s="1">
        <v>1</v>
      </c>
    </row>
    <row r="74" spans="1:5" ht="12.75" customHeight="1" x14ac:dyDescent="0.3">
      <c r="A74" s="1" t="s">
        <v>102</v>
      </c>
      <c r="B74" s="1" t="s">
        <v>66</v>
      </c>
      <c r="D74" s="1">
        <v>1</v>
      </c>
    </row>
    <row r="75" spans="1:5" ht="12.75" customHeight="1" x14ac:dyDescent="0.3">
      <c r="A75" s="1" t="s">
        <v>103</v>
      </c>
      <c r="B75" s="1" t="s">
        <v>30</v>
      </c>
      <c r="D75" s="1">
        <v>1</v>
      </c>
    </row>
    <row r="76" spans="1:5" ht="12.75" customHeight="1" x14ac:dyDescent="0.3">
      <c r="A76" s="1" t="s">
        <v>104</v>
      </c>
      <c r="B76" s="1" t="s">
        <v>24</v>
      </c>
      <c r="C76" s="1">
        <v>1</v>
      </c>
    </row>
    <row r="77" spans="1:5" ht="12.75" customHeight="1" x14ac:dyDescent="0.3">
      <c r="A77" s="1" t="s">
        <v>105</v>
      </c>
      <c r="B77" s="1" t="s">
        <v>66</v>
      </c>
      <c r="D77" s="1">
        <v>1</v>
      </c>
    </row>
    <row r="78" spans="1:5" ht="12.75" customHeight="1" x14ac:dyDescent="0.3">
      <c r="A78" s="1" t="s">
        <v>106</v>
      </c>
      <c r="B78" s="1" t="s">
        <v>42</v>
      </c>
      <c r="C78" s="1">
        <v>1</v>
      </c>
    </row>
    <row r="79" spans="1:5" ht="12.75" customHeight="1" x14ac:dyDescent="0.3">
      <c r="A79" s="1" t="s">
        <v>107</v>
      </c>
      <c r="B79" s="1" t="s">
        <v>27</v>
      </c>
      <c r="D79" s="1">
        <v>1</v>
      </c>
    </row>
    <row r="80" spans="1:5" ht="12.75" customHeight="1" x14ac:dyDescent="0.3">
      <c r="A80" s="1" t="s">
        <v>108</v>
      </c>
      <c r="B80" s="1" t="s">
        <v>66</v>
      </c>
      <c r="D80" s="1">
        <v>1</v>
      </c>
    </row>
    <row r="81" spans="1:5" ht="12.75" customHeight="1" x14ac:dyDescent="0.3">
      <c r="A81" s="1" t="s">
        <v>109</v>
      </c>
      <c r="B81" s="1" t="s">
        <v>30</v>
      </c>
      <c r="D81" s="1">
        <v>1</v>
      </c>
    </row>
    <row r="82" spans="1:5" ht="12.75" customHeight="1" x14ac:dyDescent="0.3">
      <c r="A82" s="1" t="s">
        <v>110</v>
      </c>
      <c r="B82" s="1" t="s">
        <v>37</v>
      </c>
      <c r="C82" s="1">
        <v>1</v>
      </c>
    </row>
    <row r="83" spans="1:5" ht="12.75" customHeight="1" x14ac:dyDescent="0.3">
      <c r="A83" s="1" t="s">
        <v>111</v>
      </c>
      <c r="B83" s="1" t="s">
        <v>37</v>
      </c>
      <c r="C83" s="1">
        <v>1</v>
      </c>
    </row>
    <row r="84" spans="1:5" ht="12.75" customHeight="1" x14ac:dyDescent="0.3">
      <c r="A84" s="1" t="s">
        <v>112</v>
      </c>
      <c r="B84" s="1" t="s">
        <v>38</v>
      </c>
      <c r="D84" s="1">
        <v>1</v>
      </c>
    </row>
    <row r="85" spans="1:5" ht="12.75" customHeight="1" x14ac:dyDescent="0.3">
      <c r="A85" s="1" t="s">
        <v>113</v>
      </c>
      <c r="B85" s="1" t="s">
        <v>21</v>
      </c>
      <c r="E85" s="1">
        <v>1</v>
      </c>
    </row>
    <row r="86" spans="1:5" ht="12.75" customHeight="1" x14ac:dyDescent="0.3">
      <c r="A86" s="1" t="s">
        <v>114</v>
      </c>
      <c r="B86" s="1" t="s">
        <v>42</v>
      </c>
      <c r="C86" s="1">
        <v>1</v>
      </c>
    </row>
    <row r="87" spans="1:5" ht="12.75" customHeight="1" x14ac:dyDescent="0.3">
      <c r="A87" s="1" t="s">
        <v>115</v>
      </c>
      <c r="B87" s="1" t="s">
        <v>21</v>
      </c>
      <c r="E87" s="1">
        <v>1</v>
      </c>
    </row>
    <row r="88" spans="1:5" ht="12.75" customHeight="1" x14ac:dyDescent="0.3">
      <c r="A88" s="1" t="s">
        <v>116</v>
      </c>
      <c r="B88" s="1" t="s">
        <v>30</v>
      </c>
      <c r="D88" s="1">
        <v>1</v>
      </c>
    </row>
    <row r="89" spans="1:5" ht="12.75" customHeight="1" x14ac:dyDescent="0.3">
      <c r="A89" s="1" t="s">
        <v>117</v>
      </c>
      <c r="B89" s="1" t="s">
        <v>16</v>
      </c>
      <c r="C89" s="1">
        <v>1</v>
      </c>
    </row>
    <row r="90" spans="1:5" ht="12.75" customHeight="1" x14ac:dyDescent="0.3">
      <c r="A90" s="1" t="s">
        <v>118</v>
      </c>
      <c r="B90" s="1" t="s">
        <v>16</v>
      </c>
      <c r="E90" s="1">
        <v>1</v>
      </c>
    </row>
    <row r="91" spans="1:5" ht="12.75" customHeight="1" x14ac:dyDescent="0.3">
      <c r="A91" s="1" t="s">
        <v>119</v>
      </c>
      <c r="B91" s="1" t="s">
        <v>66</v>
      </c>
      <c r="D91" s="1">
        <v>1</v>
      </c>
    </row>
    <row r="92" spans="1:5" ht="12.75" customHeight="1" x14ac:dyDescent="0.3">
      <c r="A92" s="1" t="s">
        <v>120</v>
      </c>
      <c r="B92" s="1" t="s">
        <v>13</v>
      </c>
      <c r="C92" s="1">
        <v>1</v>
      </c>
    </row>
    <row r="93" spans="1:5" ht="12.75" customHeight="1" x14ac:dyDescent="0.3">
      <c r="A93" s="1" t="s">
        <v>121</v>
      </c>
      <c r="B93" s="1" t="s">
        <v>30</v>
      </c>
      <c r="D93" s="1">
        <v>1</v>
      </c>
    </row>
    <row r="94" spans="1:5" ht="12.75" customHeight="1" x14ac:dyDescent="0.3">
      <c r="A94" s="1" t="s">
        <v>122</v>
      </c>
      <c r="B94" s="1" t="s">
        <v>24</v>
      </c>
      <c r="C94" s="1">
        <v>1</v>
      </c>
    </row>
    <row r="95" spans="1:5" ht="12.75" customHeight="1" x14ac:dyDescent="0.3">
      <c r="A95" s="1" t="s">
        <v>123</v>
      </c>
      <c r="B95" s="1" t="s">
        <v>21</v>
      </c>
      <c r="E95" s="1">
        <v>1</v>
      </c>
    </row>
    <row r="96" spans="1:5" ht="12.75" customHeight="1" x14ac:dyDescent="0.3">
      <c r="A96" s="1" t="s">
        <v>124</v>
      </c>
      <c r="B96" s="1" t="s">
        <v>14</v>
      </c>
      <c r="C96" s="1">
        <v>1</v>
      </c>
    </row>
    <row r="97" spans="1:5" ht="12.75" customHeight="1" x14ac:dyDescent="0.3">
      <c r="A97" s="1" t="s">
        <v>125</v>
      </c>
      <c r="B97" s="1" t="s">
        <v>66</v>
      </c>
      <c r="D97" s="1">
        <v>1</v>
      </c>
    </row>
    <row r="98" spans="1:5" ht="12.75" customHeight="1" x14ac:dyDescent="0.3">
      <c r="A98" s="1" t="s">
        <v>126</v>
      </c>
      <c r="B98" s="1" t="s">
        <v>30</v>
      </c>
      <c r="D98" s="1">
        <v>1</v>
      </c>
    </row>
    <row r="99" spans="1:5" ht="12.75" customHeight="1" x14ac:dyDescent="0.3">
      <c r="A99" s="1" t="s">
        <v>127</v>
      </c>
      <c r="B99" s="1" t="s">
        <v>27</v>
      </c>
      <c r="D99" s="1">
        <v>1</v>
      </c>
    </row>
    <row r="100" spans="1:5" ht="12.75" customHeight="1" x14ac:dyDescent="0.3">
      <c r="A100" s="1" t="s">
        <v>128</v>
      </c>
      <c r="B100" s="1" t="s">
        <v>30</v>
      </c>
      <c r="D100" s="1">
        <v>1</v>
      </c>
    </row>
    <row r="101" spans="1:5" ht="12.75" customHeight="1" x14ac:dyDescent="0.3">
      <c r="A101" s="1" t="s">
        <v>129</v>
      </c>
      <c r="B101" s="1" t="s">
        <v>27</v>
      </c>
      <c r="D101" s="1">
        <v>1</v>
      </c>
    </row>
    <row r="102" spans="1:5" ht="12.75" customHeight="1" x14ac:dyDescent="0.3">
      <c r="A102" s="1" t="s">
        <v>130</v>
      </c>
      <c r="B102" s="1" t="s">
        <v>16</v>
      </c>
      <c r="E102" s="1">
        <v>1</v>
      </c>
    </row>
    <row r="103" spans="1:5" ht="12.75" customHeight="1" x14ac:dyDescent="0.3">
      <c r="A103" s="1" t="s">
        <v>131</v>
      </c>
      <c r="B103" s="1" t="s">
        <v>66</v>
      </c>
      <c r="D103" s="1">
        <v>1</v>
      </c>
    </row>
    <row r="104" spans="1:5" ht="12.75" customHeight="1" x14ac:dyDescent="0.3">
      <c r="A104" s="1" t="s">
        <v>132</v>
      </c>
      <c r="B104" s="1" t="s">
        <v>30</v>
      </c>
      <c r="D104" s="1">
        <v>1</v>
      </c>
    </row>
    <row r="105" spans="1:5" ht="12.75" customHeight="1" x14ac:dyDescent="0.3">
      <c r="A105" s="1" t="s">
        <v>133</v>
      </c>
      <c r="B105" s="1" t="s">
        <v>14</v>
      </c>
      <c r="C105" s="1">
        <v>1</v>
      </c>
    </row>
    <row r="106" spans="1:5" ht="12.75" customHeight="1" x14ac:dyDescent="0.3">
      <c r="A106" s="1" t="s">
        <v>134</v>
      </c>
      <c r="B106" s="1" t="s">
        <v>42</v>
      </c>
      <c r="C106" s="1">
        <v>1</v>
      </c>
    </row>
    <row r="107" spans="1:5" ht="12.75" customHeight="1" x14ac:dyDescent="0.3">
      <c r="A107" s="1" t="s">
        <v>135</v>
      </c>
      <c r="B107" s="1" t="s">
        <v>27</v>
      </c>
      <c r="D107" s="1">
        <v>1</v>
      </c>
    </row>
    <row r="108" spans="1:5" ht="12.75" customHeight="1" x14ac:dyDescent="0.3">
      <c r="A108" s="1" t="s">
        <v>136</v>
      </c>
      <c r="B108" s="1" t="s">
        <v>66</v>
      </c>
      <c r="D108" s="1">
        <v>1</v>
      </c>
    </row>
    <row r="109" spans="1:5" ht="12.75" customHeight="1" x14ac:dyDescent="0.3">
      <c r="A109" s="1" t="s">
        <v>137</v>
      </c>
      <c r="B109" s="1" t="s">
        <v>13</v>
      </c>
      <c r="D109" s="1">
        <v>1</v>
      </c>
    </row>
    <row r="110" spans="1:5" ht="12.75" customHeight="1" x14ac:dyDescent="0.3">
      <c r="A110" s="1" t="s">
        <v>138</v>
      </c>
      <c r="B110" s="1" t="s">
        <v>42</v>
      </c>
      <c r="C110" s="1">
        <v>1</v>
      </c>
    </row>
    <row r="111" spans="1:5" ht="12.75" customHeight="1" x14ac:dyDescent="0.3">
      <c r="A111" s="1" t="s">
        <v>139</v>
      </c>
      <c r="B111" s="1" t="s">
        <v>27</v>
      </c>
      <c r="E111" s="1">
        <v>1</v>
      </c>
    </row>
    <row r="112" spans="1:5" ht="12.75" customHeight="1" x14ac:dyDescent="0.3">
      <c r="A112" s="1" t="s">
        <v>140</v>
      </c>
      <c r="B112" s="1" t="s">
        <v>16</v>
      </c>
      <c r="D112" s="1">
        <v>1</v>
      </c>
    </row>
    <row r="113" spans="1:6" ht="12.75" customHeight="1" x14ac:dyDescent="0.3">
      <c r="A113" s="1" t="s">
        <v>141</v>
      </c>
      <c r="B113" s="1" t="s">
        <v>14</v>
      </c>
      <c r="C113" s="1">
        <v>1</v>
      </c>
    </row>
    <row r="114" spans="1:6" ht="12.75" customHeight="1" x14ac:dyDescent="0.3">
      <c r="A114" s="1" t="s">
        <v>142</v>
      </c>
      <c r="B114" s="1" t="s">
        <v>16</v>
      </c>
      <c r="D114" s="1">
        <v>1</v>
      </c>
    </row>
    <row r="115" spans="1:6" ht="12.75" customHeight="1" x14ac:dyDescent="0.3">
      <c r="A115" s="1" t="s">
        <v>143</v>
      </c>
      <c r="B115" s="1" t="s">
        <v>24</v>
      </c>
      <c r="C115" s="1">
        <v>1</v>
      </c>
    </row>
    <row r="116" spans="1:6" ht="12.75" customHeight="1" x14ac:dyDescent="0.3">
      <c r="A116" s="1" t="s">
        <v>144</v>
      </c>
      <c r="B116" s="1" t="s">
        <v>66</v>
      </c>
      <c r="D116" s="1">
        <v>1</v>
      </c>
    </row>
    <row r="117" spans="1:6" ht="12.75" customHeight="1" x14ac:dyDescent="0.3">
      <c r="A117" s="1" t="s">
        <v>145</v>
      </c>
      <c r="B117" s="1" t="s">
        <v>27</v>
      </c>
      <c r="C117" s="1">
        <v>1</v>
      </c>
    </row>
    <row r="118" spans="1:6" ht="12.75" customHeight="1" x14ac:dyDescent="0.3">
      <c r="A118" s="1" t="s">
        <v>146</v>
      </c>
      <c r="B118" s="1" t="s">
        <v>30</v>
      </c>
      <c r="D118" s="1">
        <v>1</v>
      </c>
    </row>
    <row r="119" spans="1:6" ht="12.75" customHeight="1" x14ac:dyDescent="0.3">
      <c r="A119" s="1" t="s">
        <v>147</v>
      </c>
      <c r="B119" s="1" t="s">
        <v>42</v>
      </c>
      <c r="C119" s="1">
        <v>1</v>
      </c>
    </row>
    <row r="120" spans="1:6" ht="12.75" customHeight="1" x14ac:dyDescent="0.3">
      <c r="A120" s="1" t="s">
        <v>148</v>
      </c>
      <c r="B120" s="1" t="s">
        <v>13</v>
      </c>
      <c r="D120" s="1">
        <v>1</v>
      </c>
    </row>
    <row r="121" spans="1:6" ht="12.75" customHeight="1" x14ac:dyDescent="0.3">
      <c r="A121" s="1" t="s">
        <v>149</v>
      </c>
      <c r="B121" s="1" t="s">
        <v>150</v>
      </c>
      <c r="F121" s="1">
        <v>1</v>
      </c>
    </row>
    <row r="122" spans="1:6" ht="12.75" customHeight="1" x14ac:dyDescent="0.3">
      <c r="A122" s="1" t="s">
        <v>151</v>
      </c>
      <c r="B122" s="1" t="s">
        <v>24</v>
      </c>
      <c r="C122" s="1">
        <v>1</v>
      </c>
    </row>
    <row r="123" spans="1:6" ht="12.75" customHeight="1" x14ac:dyDescent="0.3">
      <c r="A123" s="1" t="s">
        <v>152</v>
      </c>
      <c r="B123" s="1" t="s">
        <v>24</v>
      </c>
      <c r="C123" s="1">
        <v>1</v>
      </c>
    </row>
    <row r="124" spans="1:6" ht="12.75" customHeight="1" x14ac:dyDescent="0.3">
      <c r="A124" s="1" t="s">
        <v>153</v>
      </c>
      <c r="B124" s="1" t="s">
        <v>19</v>
      </c>
      <c r="C124" s="1">
        <v>1</v>
      </c>
    </row>
    <row r="125" spans="1:6" ht="12.75" customHeight="1" x14ac:dyDescent="0.3">
      <c r="A125" s="1" t="s">
        <v>154</v>
      </c>
      <c r="B125" s="1" t="s">
        <v>33</v>
      </c>
      <c r="C125" s="1">
        <v>1</v>
      </c>
    </row>
    <row r="126" spans="1:6" ht="12.75" customHeight="1" x14ac:dyDescent="0.3">
      <c r="A126" s="1" t="s">
        <v>155</v>
      </c>
      <c r="B126" s="1" t="s">
        <v>13</v>
      </c>
      <c r="D126" s="1">
        <v>1</v>
      </c>
    </row>
    <row r="127" spans="1:6" ht="12.75" customHeight="1" x14ac:dyDescent="0.3">
      <c r="A127" s="1" t="s">
        <v>156</v>
      </c>
      <c r="B127" s="1" t="s">
        <v>13</v>
      </c>
      <c r="D127" s="1">
        <v>1</v>
      </c>
    </row>
    <row r="128" spans="1:6" ht="12.75" customHeight="1" x14ac:dyDescent="0.3">
      <c r="A128" s="1" t="s">
        <v>157</v>
      </c>
      <c r="B128" s="1" t="s">
        <v>14</v>
      </c>
      <c r="C128" s="1">
        <v>1</v>
      </c>
    </row>
    <row r="129" spans="1:5" ht="12.75" customHeight="1" x14ac:dyDescent="0.3">
      <c r="A129" s="1" t="s">
        <v>158</v>
      </c>
      <c r="B129" s="1" t="s">
        <v>16</v>
      </c>
      <c r="E129" s="1">
        <v>1</v>
      </c>
    </row>
    <row r="130" spans="1:5" ht="12.75" customHeight="1" x14ac:dyDescent="0.3">
      <c r="A130" s="1" t="s">
        <v>159</v>
      </c>
      <c r="B130" s="1" t="s">
        <v>13</v>
      </c>
      <c r="D130" s="1">
        <v>1</v>
      </c>
    </row>
    <row r="131" spans="1:5" ht="12.75" customHeight="1" x14ac:dyDescent="0.3">
      <c r="A131" s="1" t="s">
        <v>160</v>
      </c>
      <c r="B131" s="1" t="s">
        <v>66</v>
      </c>
      <c r="E131" s="1">
        <v>1</v>
      </c>
    </row>
    <row r="132" spans="1:5" ht="12.75" customHeight="1" x14ac:dyDescent="0.3">
      <c r="A132" s="1" t="s">
        <v>161</v>
      </c>
      <c r="B132" s="1" t="s">
        <v>38</v>
      </c>
      <c r="D132" s="1">
        <v>1</v>
      </c>
    </row>
    <row r="133" spans="1:5" ht="12.75" customHeight="1" x14ac:dyDescent="0.3">
      <c r="A133" s="1" t="s">
        <v>162</v>
      </c>
      <c r="B133" s="1" t="s">
        <v>13</v>
      </c>
      <c r="D133" s="1">
        <v>1</v>
      </c>
    </row>
    <row r="134" spans="1:5" ht="12.75" customHeight="1" x14ac:dyDescent="0.3">
      <c r="A134" s="1" t="s">
        <v>163</v>
      </c>
      <c r="B134" s="1" t="s">
        <v>66</v>
      </c>
      <c r="D134" s="1">
        <v>1</v>
      </c>
    </row>
    <row r="135" spans="1:5" ht="12.75" customHeight="1" x14ac:dyDescent="0.3">
      <c r="A135" s="1" t="s">
        <v>164</v>
      </c>
      <c r="B135" s="1" t="s">
        <v>21</v>
      </c>
      <c r="E135" s="1">
        <v>1</v>
      </c>
    </row>
    <row r="136" spans="1:5" ht="12.75" customHeight="1" x14ac:dyDescent="0.3">
      <c r="A136" s="1" t="s">
        <v>165</v>
      </c>
      <c r="B136" s="1" t="s">
        <v>30</v>
      </c>
      <c r="D136" s="1">
        <v>1</v>
      </c>
    </row>
    <row r="137" spans="1:5" ht="12.75" customHeight="1" x14ac:dyDescent="0.3">
      <c r="A137" s="1" t="s">
        <v>166</v>
      </c>
      <c r="B137" s="1" t="s">
        <v>30</v>
      </c>
      <c r="D137" s="1">
        <v>1</v>
      </c>
    </row>
    <row r="138" spans="1:5" ht="12.75" customHeight="1" x14ac:dyDescent="0.3">
      <c r="A138" s="1" t="s">
        <v>167</v>
      </c>
      <c r="B138" s="1" t="s">
        <v>19</v>
      </c>
      <c r="C138" s="1">
        <v>1</v>
      </c>
    </row>
    <row r="139" spans="1:5" ht="12.75" customHeight="1" x14ac:dyDescent="0.3">
      <c r="A139" s="1" t="s">
        <v>168</v>
      </c>
      <c r="B139" s="1" t="s">
        <v>13</v>
      </c>
      <c r="D139" s="1">
        <v>1</v>
      </c>
    </row>
    <row r="140" spans="1:5" ht="12.75" customHeight="1" x14ac:dyDescent="0.3">
      <c r="A140" s="1" t="s">
        <v>169</v>
      </c>
      <c r="B140" s="1" t="s">
        <v>27</v>
      </c>
      <c r="D140" s="1">
        <v>1</v>
      </c>
    </row>
    <row r="141" spans="1:5" ht="12.75" customHeight="1" x14ac:dyDescent="0.3">
      <c r="A141" s="1" t="s">
        <v>170</v>
      </c>
      <c r="B141" s="1" t="s">
        <v>16</v>
      </c>
      <c r="E141" s="1">
        <v>1</v>
      </c>
    </row>
    <row r="142" spans="1:5" ht="12.75" customHeight="1" x14ac:dyDescent="0.3">
      <c r="A142" s="1" t="s">
        <v>171</v>
      </c>
      <c r="B142" s="1" t="s">
        <v>19</v>
      </c>
      <c r="C142" s="1">
        <v>1</v>
      </c>
    </row>
    <row r="143" spans="1:5" ht="12.75" customHeight="1" x14ac:dyDescent="0.3">
      <c r="A143" s="1" t="s">
        <v>172</v>
      </c>
      <c r="B143" s="1" t="s">
        <v>37</v>
      </c>
      <c r="C143" s="1">
        <v>1</v>
      </c>
    </row>
    <row r="144" spans="1:5" ht="12.75" customHeight="1" x14ac:dyDescent="0.3">
      <c r="A144" s="1" t="s">
        <v>173</v>
      </c>
      <c r="B144" s="1" t="s">
        <v>27</v>
      </c>
      <c r="D144" s="1">
        <v>1</v>
      </c>
    </row>
    <row r="145" spans="1:4" ht="12.75" customHeight="1" x14ac:dyDescent="0.3">
      <c r="A145" s="1" t="s">
        <v>174</v>
      </c>
      <c r="B145" s="1" t="s">
        <v>66</v>
      </c>
      <c r="D145" s="1">
        <v>1</v>
      </c>
    </row>
    <row r="146" spans="1:4" ht="12.75" customHeight="1" x14ac:dyDescent="0.3">
      <c r="A146" s="1" t="s">
        <v>175</v>
      </c>
      <c r="B146" s="1" t="s">
        <v>14</v>
      </c>
      <c r="C146" s="1">
        <v>1</v>
      </c>
    </row>
    <row r="147" spans="1:4" ht="12.75" customHeight="1" x14ac:dyDescent="0.3">
      <c r="A147" s="1" t="s">
        <v>176</v>
      </c>
      <c r="B147" s="1" t="s">
        <v>66</v>
      </c>
      <c r="D147" s="1">
        <v>1</v>
      </c>
    </row>
    <row r="148" spans="1:4" ht="12.75" customHeight="1" x14ac:dyDescent="0.3">
      <c r="A148" s="1" t="s">
        <v>177</v>
      </c>
      <c r="B148" s="1" t="s">
        <v>42</v>
      </c>
      <c r="C148" s="1">
        <v>1</v>
      </c>
    </row>
    <row r="149" spans="1:4" ht="12.75" customHeight="1" x14ac:dyDescent="0.3">
      <c r="A149" s="1" t="s">
        <v>178</v>
      </c>
      <c r="B149" s="1" t="s">
        <v>33</v>
      </c>
      <c r="D149" s="1">
        <v>1</v>
      </c>
    </row>
    <row r="150" spans="1:4" ht="12.75" customHeight="1" x14ac:dyDescent="0.3">
      <c r="A150" s="1" t="s">
        <v>179</v>
      </c>
      <c r="B150" s="1" t="s">
        <v>14</v>
      </c>
      <c r="C150" s="1">
        <v>1</v>
      </c>
    </row>
    <row r="151" spans="1:4" ht="12.75" customHeight="1" x14ac:dyDescent="0.3">
      <c r="A151" s="1" t="s">
        <v>180</v>
      </c>
      <c r="B151" s="1" t="s">
        <v>13</v>
      </c>
      <c r="D151" s="1">
        <v>1</v>
      </c>
    </row>
    <row r="152" spans="1:4" ht="12.75" customHeight="1" x14ac:dyDescent="0.3">
      <c r="A152" s="1" t="s">
        <v>181</v>
      </c>
      <c r="B152" s="1" t="s">
        <v>24</v>
      </c>
      <c r="C152" s="1">
        <v>1</v>
      </c>
    </row>
    <row r="153" spans="1:4" ht="12.75" customHeight="1" x14ac:dyDescent="0.3">
      <c r="A153" s="1" t="s">
        <v>182</v>
      </c>
      <c r="B153" s="1" t="s">
        <v>19</v>
      </c>
      <c r="C153" s="1">
        <v>1</v>
      </c>
    </row>
    <row r="154" spans="1:4" ht="12.75" customHeight="1" x14ac:dyDescent="0.3">
      <c r="A154" s="1" t="s">
        <v>183</v>
      </c>
      <c r="B154" s="1" t="s">
        <v>42</v>
      </c>
      <c r="C154" s="1">
        <v>1</v>
      </c>
    </row>
    <row r="155" spans="1:4" ht="12.75" customHeight="1" x14ac:dyDescent="0.3">
      <c r="A155" s="1" t="s">
        <v>184</v>
      </c>
      <c r="B155" s="1" t="s">
        <v>19</v>
      </c>
      <c r="C155" s="1">
        <v>1</v>
      </c>
    </row>
    <row r="156" spans="1:4" ht="12.75" customHeight="1" x14ac:dyDescent="0.3">
      <c r="A156" s="1" t="s">
        <v>185</v>
      </c>
      <c r="B156" s="1" t="s">
        <v>30</v>
      </c>
      <c r="D156" s="1">
        <v>1</v>
      </c>
    </row>
    <row r="157" spans="1:4" ht="12.75" customHeight="1" x14ac:dyDescent="0.3"/>
    <row r="158" spans="1:4" ht="12.75" customHeight="1" x14ac:dyDescent="0.3"/>
    <row r="159" spans="1:4" ht="12.75" customHeight="1" x14ac:dyDescent="0.3"/>
    <row r="160" spans="1:4" ht="12.75" customHeight="1" x14ac:dyDescent="0.3"/>
    <row r="161" s="1" customFormat="1" ht="12.75" customHeight="1" x14ac:dyDescent="0.3"/>
    <row r="162" s="1" customFormat="1" ht="12.75" customHeight="1" x14ac:dyDescent="0.3"/>
    <row r="163" s="1" customFormat="1" ht="12.75" customHeight="1" x14ac:dyDescent="0.3"/>
    <row r="164" s="1" customFormat="1" ht="12.75" customHeight="1" x14ac:dyDescent="0.3"/>
    <row r="165" s="1" customFormat="1" ht="12.75" customHeight="1" x14ac:dyDescent="0.3"/>
    <row r="166" s="1" customFormat="1" ht="12.75" customHeight="1" x14ac:dyDescent="0.3"/>
    <row r="167" s="1" customFormat="1" ht="12.75" customHeight="1" x14ac:dyDescent="0.3"/>
    <row r="168" s="1" customFormat="1" ht="12.75" customHeight="1" x14ac:dyDescent="0.3"/>
    <row r="169" s="1" customFormat="1" ht="12.75" customHeight="1" x14ac:dyDescent="0.3"/>
    <row r="170" s="1" customFormat="1" ht="12.75" customHeight="1" x14ac:dyDescent="0.3"/>
    <row r="171" s="1" customFormat="1" ht="12.75" customHeight="1" x14ac:dyDescent="0.3"/>
    <row r="172" s="1" customFormat="1" ht="12.75" customHeight="1" x14ac:dyDescent="0.3"/>
    <row r="173" s="1" customFormat="1" ht="12.75" customHeight="1" x14ac:dyDescent="0.3"/>
    <row r="174" s="1" customFormat="1" ht="12.75" customHeight="1" x14ac:dyDescent="0.3"/>
    <row r="175" s="1" customFormat="1" ht="12.75" customHeight="1" x14ac:dyDescent="0.3"/>
    <row r="176" s="1" customFormat="1" ht="12.75" customHeight="1" x14ac:dyDescent="0.3"/>
    <row r="177" s="1" customFormat="1" ht="12.75" customHeight="1" x14ac:dyDescent="0.3"/>
    <row r="178" s="1" customFormat="1" ht="12.75" customHeight="1" x14ac:dyDescent="0.3"/>
    <row r="179" s="1" customFormat="1" ht="12.75" customHeight="1" x14ac:dyDescent="0.3"/>
    <row r="180" s="1" customFormat="1" ht="12.75" customHeight="1" x14ac:dyDescent="0.3"/>
    <row r="181" s="1" customFormat="1" ht="12.75" customHeight="1" x14ac:dyDescent="0.3"/>
    <row r="182" s="1" customFormat="1" ht="12.75" customHeight="1" x14ac:dyDescent="0.3"/>
    <row r="183" s="1" customFormat="1" ht="12.75" customHeight="1" x14ac:dyDescent="0.3"/>
    <row r="184" s="1" customFormat="1" ht="12.75" customHeight="1" x14ac:dyDescent="0.3"/>
    <row r="185" s="1" customFormat="1" ht="12.75" customHeight="1" x14ac:dyDescent="0.3"/>
    <row r="186" s="1" customFormat="1" ht="12.75" customHeight="1" x14ac:dyDescent="0.3"/>
    <row r="187" s="1" customFormat="1" ht="12.75" customHeight="1" x14ac:dyDescent="0.3"/>
    <row r="188" s="1" customFormat="1" ht="12.75" customHeight="1" x14ac:dyDescent="0.3"/>
    <row r="189" s="1" customFormat="1" ht="12.75" customHeight="1" x14ac:dyDescent="0.3"/>
    <row r="190" s="1" customFormat="1" ht="12.75" customHeight="1" x14ac:dyDescent="0.3"/>
    <row r="191" s="1" customFormat="1" ht="12.75" customHeight="1" x14ac:dyDescent="0.3"/>
    <row r="192" s="1" customFormat="1" ht="12.75" customHeight="1" x14ac:dyDescent="0.3"/>
    <row r="193" s="1" customFormat="1" ht="12.75" customHeight="1" x14ac:dyDescent="0.3"/>
    <row r="194" s="1" customFormat="1" ht="12.75" customHeight="1" x14ac:dyDescent="0.3"/>
    <row r="195" s="1" customFormat="1" ht="12.75" customHeight="1" x14ac:dyDescent="0.3"/>
    <row r="196" s="1" customFormat="1" ht="12.75" customHeight="1" x14ac:dyDescent="0.3"/>
    <row r="197" s="1" customFormat="1" ht="12.75" customHeight="1" x14ac:dyDescent="0.3"/>
    <row r="198" s="1" customFormat="1" ht="12.75" customHeight="1" x14ac:dyDescent="0.3"/>
    <row r="199" s="1" customFormat="1" ht="12.75" customHeight="1" x14ac:dyDescent="0.3"/>
    <row r="200" s="1" customFormat="1" ht="12.75" customHeight="1" x14ac:dyDescent="0.3"/>
    <row r="201" s="1" customFormat="1" ht="12.75" customHeight="1" x14ac:dyDescent="0.3"/>
    <row r="202" s="1" customFormat="1" ht="12.75" customHeight="1" x14ac:dyDescent="0.3"/>
    <row r="203" s="1" customFormat="1" ht="12.75" customHeight="1" x14ac:dyDescent="0.3"/>
    <row r="204" s="1" customFormat="1" ht="12.75" customHeight="1" x14ac:dyDescent="0.3"/>
    <row r="205" s="1" customFormat="1" ht="12.75" customHeight="1" x14ac:dyDescent="0.3"/>
    <row r="206" s="1" customFormat="1" ht="12.75" customHeight="1" x14ac:dyDescent="0.3"/>
    <row r="207" s="1" customFormat="1" ht="12.75" customHeight="1" x14ac:dyDescent="0.3"/>
    <row r="208" s="1" customFormat="1" ht="12.75" customHeight="1" x14ac:dyDescent="0.3"/>
    <row r="209" s="1" customFormat="1" ht="12.75" customHeight="1" x14ac:dyDescent="0.3"/>
    <row r="210" s="1" customFormat="1" ht="12.75" customHeight="1" x14ac:dyDescent="0.3"/>
    <row r="211" s="1" customFormat="1" ht="12.75" customHeight="1" x14ac:dyDescent="0.3"/>
    <row r="212" s="1" customFormat="1" ht="12.75" customHeight="1" x14ac:dyDescent="0.3"/>
    <row r="213" s="1" customFormat="1" ht="12.75" customHeight="1" x14ac:dyDescent="0.3"/>
    <row r="214" s="1" customFormat="1" ht="12.75" customHeight="1" x14ac:dyDescent="0.3"/>
    <row r="215" s="1" customFormat="1" ht="12.75" customHeight="1" x14ac:dyDescent="0.3"/>
    <row r="216" s="1" customFormat="1" ht="12.75" customHeight="1" x14ac:dyDescent="0.3"/>
    <row r="217" s="1" customFormat="1" ht="12.75" customHeight="1" x14ac:dyDescent="0.3"/>
    <row r="218" s="1" customFormat="1" ht="12.75" customHeight="1" x14ac:dyDescent="0.3"/>
    <row r="219" s="1" customFormat="1" ht="12.75" customHeight="1" x14ac:dyDescent="0.3"/>
    <row r="220" s="1" customFormat="1" ht="12.75" customHeight="1" x14ac:dyDescent="0.3"/>
    <row r="221" s="1" customFormat="1" ht="12.75" customHeight="1" x14ac:dyDescent="0.3"/>
    <row r="222" s="1" customFormat="1" ht="12.75" customHeight="1" x14ac:dyDescent="0.3"/>
    <row r="223" s="1" customFormat="1" ht="12.75" customHeight="1" x14ac:dyDescent="0.3"/>
    <row r="224" s="1" customFormat="1" ht="12.75" customHeight="1" x14ac:dyDescent="0.3"/>
    <row r="225" s="1" customFormat="1" ht="12.75" customHeight="1" x14ac:dyDescent="0.3"/>
    <row r="226" s="1" customFormat="1" ht="12.75" customHeight="1" x14ac:dyDescent="0.3"/>
    <row r="227" s="1" customFormat="1" ht="12.75" customHeight="1" x14ac:dyDescent="0.3"/>
    <row r="228" s="1" customFormat="1" ht="12.75" customHeight="1" x14ac:dyDescent="0.3"/>
    <row r="229" s="1" customFormat="1" ht="12.75" customHeight="1" x14ac:dyDescent="0.3"/>
    <row r="230" s="1" customFormat="1" ht="12.75" customHeight="1" x14ac:dyDescent="0.3"/>
    <row r="231" s="1" customFormat="1" ht="12.75" customHeight="1" x14ac:dyDescent="0.3"/>
    <row r="232" s="1" customFormat="1" ht="12.75" customHeight="1" x14ac:dyDescent="0.3"/>
    <row r="233" s="1" customFormat="1" ht="12.75" customHeight="1" x14ac:dyDescent="0.3"/>
    <row r="234" s="1" customFormat="1" ht="12.75" customHeight="1" x14ac:dyDescent="0.3"/>
    <row r="235" s="1" customFormat="1" ht="12.75" customHeight="1" x14ac:dyDescent="0.3"/>
    <row r="236" s="1" customFormat="1" ht="12.75" customHeight="1" x14ac:dyDescent="0.3"/>
    <row r="237" s="1" customFormat="1" ht="12.75" customHeight="1" x14ac:dyDescent="0.3"/>
    <row r="238" s="1" customFormat="1" ht="12.75" customHeight="1" x14ac:dyDescent="0.3"/>
    <row r="239" s="1" customFormat="1" ht="12.75" customHeight="1" x14ac:dyDescent="0.3"/>
    <row r="240" s="1" customFormat="1" ht="12.75" customHeight="1" x14ac:dyDescent="0.3"/>
    <row r="241" s="1" customFormat="1" ht="12.75" customHeight="1" x14ac:dyDescent="0.3"/>
    <row r="242" s="1" customFormat="1" ht="12.75" customHeight="1" x14ac:dyDescent="0.3"/>
    <row r="243" s="1" customFormat="1" ht="12.75" customHeight="1" x14ac:dyDescent="0.3"/>
    <row r="244" s="1" customFormat="1" ht="12.75" customHeight="1" x14ac:dyDescent="0.3"/>
    <row r="245" s="1" customFormat="1" ht="12.75" customHeight="1" x14ac:dyDescent="0.3"/>
    <row r="246" s="1" customFormat="1" ht="12.75" customHeight="1" x14ac:dyDescent="0.3"/>
    <row r="247" s="1" customFormat="1" ht="12.75" customHeight="1" x14ac:dyDescent="0.3"/>
    <row r="248" s="1" customFormat="1" ht="12.75" customHeight="1" x14ac:dyDescent="0.3"/>
    <row r="249" s="1" customFormat="1" ht="12.75" customHeight="1" x14ac:dyDescent="0.3"/>
    <row r="250" s="1" customFormat="1" ht="12.75" customHeight="1" x14ac:dyDescent="0.3"/>
    <row r="251" s="1" customFormat="1" ht="12.75" customHeight="1" x14ac:dyDescent="0.3"/>
    <row r="252" s="1" customFormat="1" ht="12.75" customHeight="1" x14ac:dyDescent="0.3"/>
    <row r="253" s="1" customFormat="1" ht="12.75" customHeight="1" x14ac:dyDescent="0.3"/>
    <row r="254" s="1" customFormat="1" ht="12.75" customHeight="1" x14ac:dyDescent="0.3"/>
    <row r="255" s="1" customFormat="1" ht="12.75" customHeight="1" x14ac:dyDescent="0.3"/>
    <row r="256" s="1" customFormat="1" ht="12.75" customHeight="1" x14ac:dyDescent="0.3"/>
    <row r="257" s="1" customFormat="1" ht="12.75" customHeight="1" x14ac:dyDescent="0.3"/>
    <row r="258" s="1" customFormat="1" ht="12.75" customHeight="1" x14ac:dyDescent="0.3"/>
    <row r="259" s="1" customFormat="1" ht="12.75" customHeight="1" x14ac:dyDescent="0.3"/>
    <row r="260" s="1" customFormat="1" ht="12.75" customHeight="1" x14ac:dyDescent="0.3"/>
    <row r="261" s="1" customFormat="1" ht="12.75" customHeight="1" x14ac:dyDescent="0.3"/>
    <row r="262" s="1" customFormat="1" ht="12.75" customHeight="1" x14ac:dyDescent="0.3"/>
    <row r="263" s="1" customFormat="1" ht="12.75" customHeight="1" x14ac:dyDescent="0.3"/>
    <row r="264" s="1" customFormat="1" ht="12.75" customHeight="1" x14ac:dyDescent="0.3"/>
    <row r="265" s="1" customFormat="1" ht="12.75" customHeight="1" x14ac:dyDescent="0.3"/>
    <row r="266" s="1" customFormat="1" ht="12.75" customHeight="1" x14ac:dyDescent="0.3"/>
    <row r="267" s="1" customFormat="1" ht="12.75" customHeight="1" x14ac:dyDescent="0.3"/>
    <row r="268" s="1" customFormat="1" ht="12.75" customHeight="1" x14ac:dyDescent="0.3"/>
    <row r="269" s="1" customFormat="1" ht="12.75" customHeight="1" x14ac:dyDescent="0.3"/>
    <row r="270" s="1" customFormat="1" ht="12.75" customHeight="1" x14ac:dyDescent="0.3"/>
    <row r="271" s="1" customFormat="1" ht="12.75" customHeight="1" x14ac:dyDescent="0.3"/>
    <row r="272" s="1" customFormat="1" ht="12.75" customHeight="1" x14ac:dyDescent="0.3"/>
    <row r="273" s="1" customFormat="1" ht="12.75" customHeight="1" x14ac:dyDescent="0.3"/>
    <row r="274" s="1" customFormat="1" ht="12.75" customHeight="1" x14ac:dyDescent="0.3"/>
    <row r="275" s="1" customFormat="1" ht="12.75" customHeight="1" x14ac:dyDescent="0.3"/>
    <row r="276" s="1" customFormat="1" ht="12.75" customHeight="1" x14ac:dyDescent="0.3"/>
    <row r="277" s="1" customFormat="1" ht="12.75" customHeight="1" x14ac:dyDescent="0.3"/>
    <row r="278" s="1" customFormat="1" ht="12.75" customHeight="1" x14ac:dyDescent="0.3"/>
    <row r="279" s="1" customFormat="1" ht="12.75" customHeight="1" x14ac:dyDescent="0.3"/>
    <row r="280" s="1" customFormat="1" ht="12.75" customHeight="1" x14ac:dyDescent="0.3"/>
    <row r="281" s="1" customFormat="1" ht="12.75" customHeight="1" x14ac:dyDescent="0.3"/>
    <row r="282" s="1" customFormat="1" ht="12.75" customHeight="1" x14ac:dyDescent="0.3"/>
    <row r="283" s="1" customFormat="1" ht="12.75" customHeight="1" x14ac:dyDescent="0.3"/>
    <row r="284" s="1" customFormat="1" ht="12.75" customHeight="1" x14ac:dyDescent="0.3"/>
    <row r="285" s="1" customFormat="1" ht="12.75" customHeight="1" x14ac:dyDescent="0.3"/>
    <row r="286" s="1" customFormat="1" ht="12.75" customHeight="1" x14ac:dyDescent="0.3"/>
    <row r="287" s="1" customFormat="1" ht="12.75" customHeight="1" x14ac:dyDescent="0.3"/>
    <row r="288" s="1" customFormat="1" ht="12.75" customHeight="1" x14ac:dyDescent="0.3"/>
    <row r="289" s="1" customFormat="1" ht="12.75" customHeight="1" x14ac:dyDescent="0.3"/>
    <row r="290" s="1" customFormat="1" ht="12.75" customHeight="1" x14ac:dyDescent="0.3"/>
    <row r="291" s="1" customFormat="1" ht="12.75" customHeight="1" x14ac:dyDescent="0.3"/>
    <row r="292" s="1" customFormat="1" ht="12.75" customHeight="1" x14ac:dyDescent="0.3"/>
    <row r="293" s="1" customFormat="1" ht="12.75" customHeight="1" x14ac:dyDescent="0.3"/>
    <row r="294" s="1" customFormat="1" ht="12.75" customHeight="1" x14ac:dyDescent="0.3"/>
    <row r="295" s="1" customFormat="1" ht="12.75" customHeight="1" x14ac:dyDescent="0.3"/>
    <row r="296" s="1" customFormat="1" ht="12.75" customHeight="1" x14ac:dyDescent="0.3"/>
    <row r="297" s="1" customFormat="1" ht="12.75" customHeight="1" x14ac:dyDescent="0.3"/>
    <row r="298" s="1" customFormat="1" ht="12.75" customHeight="1" x14ac:dyDescent="0.3"/>
    <row r="299" s="1" customFormat="1" ht="12.75" customHeight="1" x14ac:dyDescent="0.3"/>
    <row r="300" s="1" customFormat="1" ht="12.75" customHeight="1" x14ac:dyDescent="0.3"/>
    <row r="301" s="1" customFormat="1" ht="12.75" customHeight="1" x14ac:dyDescent="0.3"/>
    <row r="302" s="1" customFormat="1" ht="12.75" customHeight="1" x14ac:dyDescent="0.3"/>
    <row r="303" s="1" customFormat="1" ht="12.75" customHeight="1" x14ac:dyDescent="0.3"/>
    <row r="304" s="1" customFormat="1" ht="12.75" customHeight="1" x14ac:dyDescent="0.3"/>
    <row r="305" s="1" customFormat="1" ht="12.75" customHeight="1" x14ac:dyDescent="0.3"/>
    <row r="306" s="1" customFormat="1" ht="12.75" customHeight="1" x14ac:dyDescent="0.3"/>
    <row r="307" s="1" customFormat="1" ht="12.75" customHeight="1" x14ac:dyDescent="0.3"/>
    <row r="308" s="1" customFormat="1" ht="12.75" customHeight="1" x14ac:dyDescent="0.3"/>
    <row r="309" s="1" customFormat="1" ht="12.75" customHeight="1" x14ac:dyDescent="0.3"/>
    <row r="310" s="1" customFormat="1" ht="12.75" customHeight="1" x14ac:dyDescent="0.3"/>
    <row r="311" s="1" customFormat="1" ht="12.75" customHeight="1" x14ac:dyDescent="0.3"/>
    <row r="312" s="1" customFormat="1" ht="12.75" customHeight="1" x14ac:dyDescent="0.3"/>
    <row r="313" s="1" customFormat="1" ht="12.75" customHeight="1" x14ac:dyDescent="0.3"/>
    <row r="314" s="1" customFormat="1" ht="12.75" customHeight="1" x14ac:dyDescent="0.3"/>
    <row r="315" s="1" customFormat="1" ht="12.75" customHeight="1" x14ac:dyDescent="0.3"/>
    <row r="316" s="1" customFormat="1" ht="12.75" customHeight="1" x14ac:dyDescent="0.3"/>
    <row r="317" s="1" customFormat="1" ht="12.75" customHeight="1" x14ac:dyDescent="0.3"/>
    <row r="318" s="1" customFormat="1" ht="12.75" customHeight="1" x14ac:dyDescent="0.3"/>
    <row r="319" s="1" customFormat="1" ht="12.75" customHeight="1" x14ac:dyDescent="0.3"/>
    <row r="320" s="1" customFormat="1" ht="12.75" customHeight="1" x14ac:dyDescent="0.3"/>
    <row r="321" s="1" customFormat="1" ht="12.75" customHeight="1" x14ac:dyDescent="0.3"/>
    <row r="322" s="1" customFormat="1" ht="12.75" customHeight="1" x14ac:dyDescent="0.3"/>
    <row r="323" s="1" customFormat="1" ht="12.75" customHeight="1" x14ac:dyDescent="0.3"/>
    <row r="324" s="1" customFormat="1" ht="12.75" customHeight="1" x14ac:dyDescent="0.3"/>
    <row r="325" s="1" customFormat="1" ht="12.75" customHeight="1" x14ac:dyDescent="0.3"/>
    <row r="326" s="1" customFormat="1" ht="12.75" customHeight="1" x14ac:dyDescent="0.3"/>
    <row r="327" s="1" customFormat="1" ht="12.75" customHeight="1" x14ac:dyDescent="0.3"/>
    <row r="328" s="1" customFormat="1" ht="12.75" customHeight="1" x14ac:dyDescent="0.3"/>
    <row r="329" s="1" customFormat="1" ht="12.75" customHeight="1" x14ac:dyDescent="0.3"/>
    <row r="330" s="1" customFormat="1" ht="12.75" customHeight="1" x14ac:dyDescent="0.3"/>
    <row r="331" s="1" customFormat="1" ht="12.75" customHeight="1" x14ac:dyDescent="0.3"/>
    <row r="332" s="1" customFormat="1" ht="12.75" customHeight="1" x14ac:dyDescent="0.3"/>
    <row r="333" s="1" customFormat="1" ht="12.75" customHeight="1" x14ac:dyDescent="0.3"/>
    <row r="334" s="1" customFormat="1" ht="12.75" customHeight="1" x14ac:dyDescent="0.3"/>
    <row r="335" s="1" customFormat="1" ht="12.75" customHeight="1" x14ac:dyDescent="0.3"/>
    <row r="336" s="1" customFormat="1" ht="12.75" customHeight="1" x14ac:dyDescent="0.3"/>
    <row r="337" s="1" customFormat="1" ht="12.75" customHeight="1" x14ac:dyDescent="0.3"/>
    <row r="338" s="1" customFormat="1" ht="12.75" customHeight="1" x14ac:dyDescent="0.3"/>
    <row r="339" s="1" customFormat="1" ht="12.75" customHeight="1" x14ac:dyDescent="0.3"/>
    <row r="340" s="1" customFormat="1" ht="12.75" customHeight="1" x14ac:dyDescent="0.3"/>
    <row r="341" s="1" customFormat="1" ht="12.75" customHeight="1" x14ac:dyDescent="0.3"/>
    <row r="342" s="1" customFormat="1" ht="12.75" customHeight="1" x14ac:dyDescent="0.3"/>
    <row r="343" s="1" customFormat="1" ht="12.75" customHeight="1" x14ac:dyDescent="0.3"/>
    <row r="344" s="1" customFormat="1" ht="12.75" customHeight="1" x14ac:dyDescent="0.3"/>
    <row r="345" s="1" customFormat="1" ht="12.75" customHeight="1" x14ac:dyDescent="0.3"/>
    <row r="346" s="1" customFormat="1" ht="12.75" customHeight="1" x14ac:dyDescent="0.3"/>
    <row r="347" s="1" customFormat="1" ht="12.75" customHeight="1" x14ac:dyDescent="0.3"/>
    <row r="348" s="1" customFormat="1" ht="12.75" customHeight="1" x14ac:dyDescent="0.3"/>
    <row r="349" s="1" customFormat="1" ht="12.75" customHeight="1" x14ac:dyDescent="0.3"/>
    <row r="350" s="1" customFormat="1" ht="12.75" customHeight="1" x14ac:dyDescent="0.3"/>
    <row r="351" s="1" customFormat="1" ht="12.75" customHeight="1" x14ac:dyDescent="0.3"/>
    <row r="352" s="1" customFormat="1" ht="12.75" customHeight="1" x14ac:dyDescent="0.3"/>
    <row r="353" s="1" customFormat="1" ht="12.75" customHeight="1" x14ac:dyDescent="0.3"/>
    <row r="354" s="1" customFormat="1" ht="12.75" customHeight="1" x14ac:dyDescent="0.3"/>
    <row r="355" s="1" customFormat="1" ht="12.75" customHeight="1" x14ac:dyDescent="0.3"/>
    <row r="356" s="1" customFormat="1" ht="12.75" customHeight="1" x14ac:dyDescent="0.3"/>
    <row r="357" s="1" customFormat="1" ht="12.75" customHeight="1" x14ac:dyDescent="0.3"/>
    <row r="358" s="1" customFormat="1" ht="12.75" customHeight="1" x14ac:dyDescent="0.3"/>
    <row r="359" s="1" customFormat="1" ht="12.75" customHeight="1" x14ac:dyDescent="0.3"/>
    <row r="360" s="1" customFormat="1" ht="12.75" customHeight="1" x14ac:dyDescent="0.3"/>
    <row r="361" s="1" customFormat="1" ht="12.75" customHeight="1" x14ac:dyDescent="0.3"/>
    <row r="362" s="1" customFormat="1" ht="12.75" customHeight="1" x14ac:dyDescent="0.3"/>
    <row r="363" s="1" customFormat="1" ht="12.75" customHeight="1" x14ac:dyDescent="0.3"/>
    <row r="364" s="1" customFormat="1" ht="12.75" customHeight="1" x14ac:dyDescent="0.3"/>
    <row r="365" s="1" customFormat="1" ht="12.75" customHeight="1" x14ac:dyDescent="0.3"/>
    <row r="366" s="1" customFormat="1" ht="12.75" customHeight="1" x14ac:dyDescent="0.3"/>
    <row r="367" s="1" customFormat="1" ht="12.75" customHeight="1" x14ac:dyDescent="0.3"/>
    <row r="368" s="1" customFormat="1" ht="12.75" customHeight="1" x14ac:dyDescent="0.3"/>
    <row r="369" s="1" customFormat="1" ht="12.75" customHeight="1" x14ac:dyDescent="0.3"/>
    <row r="370" s="1" customFormat="1" ht="12.75" customHeight="1" x14ac:dyDescent="0.3"/>
    <row r="371" s="1" customFormat="1" ht="12.75" customHeight="1" x14ac:dyDescent="0.3"/>
    <row r="372" s="1" customFormat="1" ht="12.75" customHeight="1" x14ac:dyDescent="0.3"/>
    <row r="373" s="1" customFormat="1" ht="12.75" customHeight="1" x14ac:dyDescent="0.3"/>
    <row r="374" s="1" customFormat="1" ht="12.75" customHeight="1" x14ac:dyDescent="0.3"/>
    <row r="375" s="1" customFormat="1" ht="12.75" customHeight="1" x14ac:dyDescent="0.3"/>
    <row r="376" s="1" customFormat="1" ht="12.75" customHeight="1" x14ac:dyDescent="0.3"/>
    <row r="377" s="1" customFormat="1" ht="12.75" customHeight="1" x14ac:dyDescent="0.3"/>
    <row r="378" s="1" customFormat="1" ht="12.75" customHeight="1" x14ac:dyDescent="0.3"/>
    <row r="379" s="1" customFormat="1" ht="12.75" customHeight="1" x14ac:dyDescent="0.3"/>
    <row r="380" s="1" customFormat="1" ht="12.75" customHeight="1" x14ac:dyDescent="0.3"/>
    <row r="381" s="1" customFormat="1" ht="12.75" customHeight="1" x14ac:dyDescent="0.3"/>
    <row r="382" s="1" customFormat="1" ht="12.75" customHeight="1" x14ac:dyDescent="0.3"/>
    <row r="383" s="1" customFormat="1" ht="12.75" customHeight="1" x14ac:dyDescent="0.3"/>
    <row r="384" s="1" customFormat="1" ht="12.75" customHeight="1" x14ac:dyDescent="0.3"/>
    <row r="385" s="1" customFormat="1" ht="12.75" customHeight="1" x14ac:dyDescent="0.3"/>
    <row r="386" s="1" customFormat="1" ht="12.75" customHeight="1" x14ac:dyDescent="0.3"/>
    <row r="387" s="1" customFormat="1" ht="12.75" customHeight="1" x14ac:dyDescent="0.3"/>
    <row r="388" s="1" customFormat="1" ht="12.75" customHeight="1" x14ac:dyDescent="0.3"/>
    <row r="389" s="1" customFormat="1" ht="12.75" customHeight="1" x14ac:dyDescent="0.3"/>
    <row r="390" s="1" customFormat="1" ht="12.75" customHeight="1" x14ac:dyDescent="0.3"/>
    <row r="391" s="1" customFormat="1" ht="12.75" customHeight="1" x14ac:dyDescent="0.3"/>
    <row r="392" s="1" customFormat="1" ht="12.75" customHeight="1" x14ac:dyDescent="0.3"/>
    <row r="393" s="1" customFormat="1" ht="12.75" customHeight="1" x14ac:dyDescent="0.3"/>
    <row r="394" s="1" customFormat="1" ht="12.75" customHeight="1" x14ac:dyDescent="0.3"/>
    <row r="395" s="1" customFormat="1" ht="12.75" customHeight="1" x14ac:dyDescent="0.3"/>
    <row r="396" s="1" customFormat="1" ht="12.75" customHeight="1" x14ac:dyDescent="0.3"/>
    <row r="397" s="1" customFormat="1" ht="12.75" customHeight="1" x14ac:dyDescent="0.3"/>
    <row r="398" s="1" customFormat="1" ht="12.75" customHeight="1" x14ac:dyDescent="0.3"/>
    <row r="399" s="1" customFormat="1" ht="12.75" customHeight="1" x14ac:dyDescent="0.3"/>
    <row r="400" s="1" customFormat="1" ht="12.75" customHeight="1" x14ac:dyDescent="0.3"/>
    <row r="401" s="1" customFormat="1" ht="12.75" customHeight="1" x14ac:dyDescent="0.3"/>
    <row r="402" s="1" customFormat="1" ht="12.75" customHeight="1" x14ac:dyDescent="0.3"/>
    <row r="403" s="1" customFormat="1" ht="12.75" customHeight="1" x14ac:dyDescent="0.3"/>
    <row r="404" s="1" customFormat="1" ht="12.75" customHeight="1" x14ac:dyDescent="0.3"/>
    <row r="405" s="1" customFormat="1" ht="12.75" customHeight="1" x14ac:dyDescent="0.3"/>
    <row r="406" s="1" customFormat="1" ht="12.75" customHeight="1" x14ac:dyDescent="0.3"/>
    <row r="407" s="1" customFormat="1" ht="12.75" customHeight="1" x14ac:dyDescent="0.3"/>
    <row r="408" s="1" customFormat="1" ht="12.75" customHeight="1" x14ac:dyDescent="0.3"/>
    <row r="409" s="1" customFormat="1" ht="12.75" customHeight="1" x14ac:dyDescent="0.3"/>
    <row r="410" s="1" customFormat="1" ht="12.75" customHeight="1" x14ac:dyDescent="0.3"/>
    <row r="411" s="1" customFormat="1" ht="12.75" customHeight="1" x14ac:dyDescent="0.3"/>
    <row r="412" s="1" customFormat="1" ht="12.75" customHeight="1" x14ac:dyDescent="0.3"/>
    <row r="413" s="1" customFormat="1" ht="12.75" customHeight="1" x14ac:dyDescent="0.3"/>
    <row r="414" s="1" customFormat="1" ht="12.75" customHeight="1" x14ac:dyDescent="0.3"/>
    <row r="415" s="1" customFormat="1" ht="12.75" customHeight="1" x14ac:dyDescent="0.3"/>
    <row r="416" s="1" customFormat="1" ht="12.75" customHeight="1" x14ac:dyDescent="0.3"/>
    <row r="417" s="1" customFormat="1" ht="12.75" customHeight="1" x14ac:dyDescent="0.3"/>
    <row r="418" s="1" customFormat="1" ht="12.75" customHeight="1" x14ac:dyDescent="0.3"/>
    <row r="419" s="1" customFormat="1" ht="12.75" customHeight="1" x14ac:dyDescent="0.3"/>
    <row r="420" s="1" customFormat="1" ht="12.75" customHeight="1" x14ac:dyDescent="0.3"/>
    <row r="421" s="1" customFormat="1" ht="12.75" customHeight="1" x14ac:dyDescent="0.3"/>
    <row r="422" s="1" customFormat="1" ht="12.75" customHeight="1" x14ac:dyDescent="0.3"/>
    <row r="423" s="1" customFormat="1" ht="12.75" customHeight="1" x14ac:dyDescent="0.3"/>
    <row r="424" s="1" customFormat="1" ht="12.75" customHeight="1" x14ac:dyDescent="0.3"/>
    <row r="425" s="1" customFormat="1" ht="12.75" customHeight="1" x14ac:dyDescent="0.3"/>
    <row r="426" s="1" customFormat="1" ht="12.75" customHeight="1" x14ac:dyDescent="0.3"/>
    <row r="427" s="1" customFormat="1" ht="12.75" customHeight="1" x14ac:dyDescent="0.3"/>
    <row r="428" s="1" customFormat="1" ht="12.75" customHeight="1" x14ac:dyDescent="0.3"/>
    <row r="429" s="1" customFormat="1" ht="12.75" customHeight="1" x14ac:dyDescent="0.3"/>
    <row r="430" s="1" customFormat="1" ht="12.75" customHeight="1" x14ac:dyDescent="0.3"/>
    <row r="431" s="1" customFormat="1" ht="12.75" customHeight="1" x14ac:dyDescent="0.3"/>
    <row r="432" s="1" customFormat="1" ht="12.75" customHeight="1" x14ac:dyDescent="0.3"/>
    <row r="433" s="1" customFormat="1" ht="12.75" customHeight="1" x14ac:dyDescent="0.3"/>
    <row r="434" s="1" customFormat="1" ht="12.75" customHeight="1" x14ac:dyDescent="0.3"/>
    <row r="435" s="1" customFormat="1" ht="12.75" customHeight="1" x14ac:dyDescent="0.3"/>
    <row r="436" s="1" customFormat="1" ht="12.75" customHeight="1" x14ac:dyDescent="0.3"/>
    <row r="437" s="1" customFormat="1" ht="12.75" customHeight="1" x14ac:dyDescent="0.3"/>
    <row r="438" s="1" customFormat="1" ht="12.75" customHeight="1" x14ac:dyDescent="0.3"/>
    <row r="439" s="1" customFormat="1" ht="12.75" customHeight="1" x14ac:dyDescent="0.3"/>
    <row r="440" s="1" customFormat="1" ht="12.75" customHeight="1" x14ac:dyDescent="0.3"/>
    <row r="441" s="1" customFormat="1" ht="12.75" customHeight="1" x14ac:dyDescent="0.3"/>
    <row r="442" s="1" customFormat="1" ht="12.75" customHeight="1" x14ac:dyDescent="0.3"/>
    <row r="443" s="1" customFormat="1" ht="12.75" customHeight="1" x14ac:dyDescent="0.3"/>
    <row r="444" s="1" customFormat="1" ht="12.75" customHeight="1" x14ac:dyDescent="0.3"/>
    <row r="445" s="1" customFormat="1" ht="12.75" customHeight="1" x14ac:dyDescent="0.3"/>
    <row r="446" s="1" customFormat="1" ht="12.75" customHeight="1" x14ac:dyDescent="0.3"/>
    <row r="447" s="1" customFormat="1" ht="12.75" customHeight="1" x14ac:dyDescent="0.3"/>
    <row r="448" s="1" customFormat="1" ht="12.75" customHeight="1" x14ac:dyDescent="0.3"/>
    <row r="449" s="1" customFormat="1" ht="12.75" customHeight="1" x14ac:dyDescent="0.3"/>
    <row r="450" s="1" customFormat="1" ht="12.75" customHeight="1" x14ac:dyDescent="0.3"/>
    <row r="451" s="1" customFormat="1" ht="12.75" customHeight="1" x14ac:dyDescent="0.3"/>
    <row r="452" s="1" customFormat="1" ht="12.75" customHeight="1" x14ac:dyDescent="0.3"/>
    <row r="453" s="1" customFormat="1" ht="12.75" customHeight="1" x14ac:dyDescent="0.3"/>
    <row r="454" s="1" customFormat="1" ht="12.75" customHeight="1" x14ac:dyDescent="0.3"/>
    <row r="455" s="1" customFormat="1" ht="12.75" customHeight="1" x14ac:dyDescent="0.3"/>
    <row r="456" s="1" customFormat="1" ht="12.75" customHeight="1" x14ac:dyDescent="0.3"/>
    <row r="457" s="1" customFormat="1" ht="12.75" customHeight="1" x14ac:dyDescent="0.3"/>
    <row r="458" s="1" customFormat="1" ht="12.75" customHeight="1" x14ac:dyDescent="0.3"/>
    <row r="459" s="1" customFormat="1" ht="12.75" customHeight="1" x14ac:dyDescent="0.3"/>
    <row r="460" s="1" customFormat="1" ht="12.75" customHeight="1" x14ac:dyDescent="0.3"/>
    <row r="461" s="1" customFormat="1" ht="12.75" customHeight="1" x14ac:dyDescent="0.3"/>
    <row r="462" s="1" customFormat="1" ht="12.75" customHeight="1" x14ac:dyDescent="0.3"/>
    <row r="463" s="1" customFormat="1" ht="12.75" customHeight="1" x14ac:dyDescent="0.3"/>
    <row r="464" s="1" customFormat="1" ht="12.75" customHeight="1" x14ac:dyDescent="0.3"/>
    <row r="465" s="1" customFormat="1" ht="12.75" customHeight="1" x14ac:dyDescent="0.3"/>
    <row r="466" s="1" customFormat="1" ht="12.75" customHeight="1" x14ac:dyDescent="0.3"/>
    <row r="467" s="1" customFormat="1" ht="12.75" customHeight="1" x14ac:dyDescent="0.3"/>
    <row r="468" s="1" customFormat="1" ht="12.75" customHeight="1" x14ac:dyDescent="0.3"/>
    <row r="469" s="1" customFormat="1" ht="12.75" customHeight="1" x14ac:dyDescent="0.3"/>
    <row r="470" s="1" customFormat="1" ht="12.75" customHeight="1" x14ac:dyDescent="0.3"/>
    <row r="471" s="1" customFormat="1" ht="12.75" customHeight="1" x14ac:dyDescent="0.3"/>
    <row r="472" s="1" customFormat="1" ht="12.75" customHeight="1" x14ac:dyDescent="0.3"/>
    <row r="473" s="1" customFormat="1" ht="12.75" customHeight="1" x14ac:dyDescent="0.3"/>
    <row r="474" s="1" customFormat="1" ht="12.75" customHeight="1" x14ac:dyDescent="0.3"/>
    <row r="475" s="1" customFormat="1" ht="12.75" customHeight="1" x14ac:dyDescent="0.3"/>
    <row r="476" s="1" customFormat="1" ht="12.75" customHeight="1" x14ac:dyDescent="0.3"/>
    <row r="477" s="1" customFormat="1" ht="12.75" customHeight="1" x14ac:dyDescent="0.3"/>
    <row r="478" s="1" customFormat="1" ht="12.75" customHeight="1" x14ac:dyDescent="0.3"/>
    <row r="479" s="1" customFormat="1" ht="12.75" customHeight="1" x14ac:dyDescent="0.3"/>
    <row r="480" s="1" customFormat="1" ht="12.75" customHeight="1" x14ac:dyDescent="0.3"/>
    <row r="481" s="1" customFormat="1" ht="12.75" customHeight="1" x14ac:dyDescent="0.3"/>
    <row r="482" s="1" customFormat="1" ht="12.75" customHeight="1" x14ac:dyDescent="0.3"/>
    <row r="483" s="1" customFormat="1" ht="12.75" customHeight="1" x14ac:dyDescent="0.3"/>
    <row r="484" s="1" customFormat="1" ht="12.75" customHeight="1" x14ac:dyDescent="0.3"/>
    <row r="485" s="1" customFormat="1" ht="12.75" customHeight="1" x14ac:dyDescent="0.3"/>
    <row r="486" s="1" customFormat="1" ht="12.75" customHeight="1" x14ac:dyDescent="0.3"/>
    <row r="487" s="1" customFormat="1" ht="12.75" customHeight="1" x14ac:dyDescent="0.3"/>
    <row r="488" s="1" customFormat="1" ht="12.75" customHeight="1" x14ac:dyDescent="0.3"/>
    <row r="489" s="1" customFormat="1" ht="12.75" customHeight="1" x14ac:dyDescent="0.3"/>
    <row r="490" s="1" customFormat="1" ht="12.75" customHeight="1" x14ac:dyDescent="0.3"/>
    <row r="491" s="1" customFormat="1" ht="12.75" customHeight="1" x14ac:dyDescent="0.3"/>
    <row r="492" s="1" customFormat="1" ht="12.75" customHeight="1" x14ac:dyDescent="0.3"/>
    <row r="493" s="1" customFormat="1" ht="12.75" customHeight="1" x14ac:dyDescent="0.3"/>
    <row r="494" s="1" customFormat="1" ht="12.75" customHeight="1" x14ac:dyDescent="0.3"/>
    <row r="495" s="1" customFormat="1" ht="12.75" customHeight="1" x14ac:dyDescent="0.3"/>
    <row r="496" s="1" customFormat="1" ht="12.75" customHeight="1" x14ac:dyDescent="0.3"/>
    <row r="497" s="1" customFormat="1" ht="12.75" customHeight="1" x14ac:dyDescent="0.3"/>
    <row r="498" s="1" customFormat="1" ht="12.75" customHeight="1" x14ac:dyDescent="0.3"/>
    <row r="499" s="1" customFormat="1" ht="12.75" customHeight="1" x14ac:dyDescent="0.3"/>
    <row r="500" s="1" customFormat="1" ht="12.75" customHeight="1" x14ac:dyDescent="0.3"/>
    <row r="501" s="1" customFormat="1" ht="12.75" customHeight="1" x14ac:dyDescent="0.3"/>
    <row r="502" s="1" customFormat="1" ht="12.75" customHeight="1" x14ac:dyDescent="0.3"/>
    <row r="503" s="1" customFormat="1" ht="12.75" customHeight="1" x14ac:dyDescent="0.3"/>
    <row r="504" s="1" customFormat="1" ht="12.75" customHeight="1" x14ac:dyDescent="0.3"/>
    <row r="505" s="1" customFormat="1" ht="12.75" customHeight="1" x14ac:dyDescent="0.3"/>
    <row r="506" s="1" customFormat="1" ht="12.75" customHeight="1" x14ac:dyDescent="0.3"/>
    <row r="507" s="1" customFormat="1" ht="12.75" customHeight="1" x14ac:dyDescent="0.3"/>
    <row r="508" s="1" customFormat="1" ht="12.75" customHeight="1" x14ac:dyDescent="0.3"/>
    <row r="509" s="1" customFormat="1" ht="12.75" customHeight="1" x14ac:dyDescent="0.3"/>
    <row r="510" s="1" customFormat="1" ht="12.75" customHeight="1" x14ac:dyDescent="0.3"/>
    <row r="511" s="1" customFormat="1" ht="12.75" customHeight="1" x14ac:dyDescent="0.3"/>
    <row r="512" s="1" customFormat="1" ht="12.75" customHeight="1" x14ac:dyDescent="0.3"/>
    <row r="513" s="1" customFormat="1" ht="12.75" customHeight="1" x14ac:dyDescent="0.3"/>
    <row r="514" s="1" customFormat="1" ht="12.75" customHeight="1" x14ac:dyDescent="0.3"/>
    <row r="515" s="1" customFormat="1" ht="12.75" customHeight="1" x14ac:dyDescent="0.3"/>
    <row r="516" s="1" customFormat="1" ht="12.75" customHeight="1" x14ac:dyDescent="0.3"/>
    <row r="517" s="1" customFormat="1" ht="12.75" customHeight="1" x14ac:dyDescent="0.3"/>
    <row r="518" s="1" customFormat="1" ht="12.75" customHeight="1" x14ac:dyDescent="0.3"/>
    <row r="519" s="1" customFormat="1" ht="12.75" customHeight="1" x14ac:dyDescent="0.3"/>
    <row r="520" s="1" customFormat="1" ht="12.75" customHeight="1" x14ac:dyDescent="0.3"/>
    <row r="521" s="1" customFormat="1" ht="12.75" customHeight="1" x14ac:dyDescent="0.3"/>
    <row r="522" s="1" customFormat="1" ht="12.75" customHeight="1" x14ac:dyDescent="0.3"/>
    <row r="523" s="1" customFormat="1" ht="12.75" customHeight="1" x14ac:dyDescent="0.3"/>
    <row r="524" s="1" customFormat="1" ht="12.75" customHeight="1" x14ac:dyDescent="0.3"/>
    <row r="525" s="1" customFormat="1" ht="12.75" customHeight="1" x14ac:dyDescent="0.3"/>
    <row r="526" s="1" customFormat="1" ht="12.75" customHeight="1" x14ac:dyDescent="0.3"/>
    <row r="527" s="1" customFormat="1" ht="12.75" customHeight="1" x14ac:dyDescent="0.3"/>
    <row r="528" s="1" customFormat="1" ht="12.75" customHeight="1" x14ac:dyDescent="0.3"/>
    <row r="529" s="1" customFormat="1" ht="12.75" customHeight="1" x14ac:dyDescent="0.3"/>
    <row r="530" s="1" customFormat="1" ht="12.75" customHeight="1" x14ac:dyDescent="0.3"/>
    <row r="531" s="1" customFormat="1" ht="12.75" customHeight="1" x14ac:dyDescent="0.3"/>
    <row r="532" s="1" customFormat="1" ht="12.75" customHeight="1" x14ac:dyDescent="0.3"/>
    <row r="533" s="1" customFormat="1" ht="12.75" customHeight="1" x14ac:dyDescent="0.3"/>
    <row r="534" s="1" customFormat="1" ht="12.75" customHeight="1" x14ac:dyDescent="0.3"/>
    <row r="535" s="1" customFormat="1" ht="12.75" customHeight="1" x14ac:dyDescent="0.3"/>
    <row r="536" s="1" customFormat="1" ht="12.75" customHeight="1" x14ac:dyDescent="0.3"/>
    <row r="537" s="1" customFormat="1" ht="12.75" customHeight="1" x14ac:dyDescent="0.3"/>
    <row r="538" s="1" customFormat="1" ht="12.75" customHeight="1" x14ac:dyDescent="0.3"/>
    <row r="539" s="1" customFormat="1" ht="12.75" customHeight="1" x14ac:dyDescent="0.3"/>
    <row r="540" s="1" customFormat="1" ht="12.75" customHeight="1" x14ac:dyDescent="0.3"/>
    <row r="541" s="1" customFormat="1" ht="12.75" customHeight="1" x14ac:dyDescent="0.3"/>
    <row r="542" s="1" customFormat="1" ht="12.75" customHeight="1" x14ac:dyDescent="0.3"/>
    <row r="543" s="1" customFormat="1" ht="12.75" customHeight="1" x14ac:dyDescent="0.3"/>
    <row r="544" s="1" customFormat="1" ht="12.75" customHeight="1" x14ac:dyDescent="0.3"/>
    <row r="545" s="1" customFormat="1" ht="12.75" customHeight="1" x14ac:dyDescent="0.3"/>
    <row r="546" s="1" customFormat="1" ht="12.75" customHeight="1" x14ac:dyDescent="0.3"/>
    <row r="547" s="1" customFormat="1" ht="12.75" customHeight="1" x14ac:dyDescent="0.3"/>
    <row r="548" s="1" customFormat="1" ht="12.75" customHeight="1" x14ac:dyDescent="0.3"/>
    <row r="549" s="1" customFormat="1" ht="12.75" customHeight="1" x14ac:dyDescent="0.3"/>
    <row r="550" s="1" customFormat="1" ht="12.75" customHeight="1" x14ac:dyDescent="0.3"/>
    <row r="551" s="1" customFormat="1" ht="12.75" customHeight="1" x14ac:dyDescent="0.3"/>
    <row r="552" s="1" customFormat="1" ht="12.75" customHeight="1" x14ac:dyDescent="0.3"/>
    <row r="553" s="1" customFormat="1" ht="12.75" customHeight="1" x14ac:dyDescent="0.3"/>
    <row r="554" s="1" customFormat="1" ht="12.75" customHeight="1" x14ac:dyDescent="0.3"/>
    <row r="555" s="1" customFormat="1" ht="12.75" customHeight="1" x14ac:dyDescent="0.3"/>
    <row r="556" s="1" customFormat="1" ht="12.75" customHeight="1" x14ac:dyDescent="0.3"/>
    <row r="557" s="1" customFormat="1" ht="12.75" customHeight="1" x14ac:dyDescent="0.3"/>
    <row r="558" s="1" customFormat="1" ht="12.75" customHeight="1" x14ac:dyDescent="0.3"/>
    <row r="559" s="1" customFormat="1" ht="12.75" customHeight="1" x14ac:dyDescent="0.3"/>
    <row r="560" s="1" customFormat="1" ht="12.75" customHeight="1" x14ac:dyDescent="0.3"/>
    <row r="561" s="1" customFormat="1" ht="12.75" customHeight="1" x14ac:dyDescent="0.3"/>
    <row r="562" s="1" customFormat="1" ht="12.75" customHeight="1" x14ac:dyDescent="0.3"/>
    <row r="563" s="1" customFormat="1" ht="12.75" customHeight="1" x14ac:dyDescent="0.3"/>
    <row r="564" s="1" customFormat="1" ht="12.75" customHeight="1" x14ac:dyDescent="0.3"/>
    <row r="565" s="1" customFormat="1" ht="12.75" customHeight="1" x14ac:dyDescent="0.3"/>
    <row r="566" s="1" customFormat="1" ht="12.75" customHeight="1" x14ac:dyDescent="0.3"/>
    <row r="567" s="1" customFormat="1" ht="12.75" customHeight="1" x14ac:dyDescent="0.3"/>
    <row r="568" s="1" customFormat="1" ht="12.75" customHeight="1" x14ac:dyDescent="0.3"/>
    <row r="569" s="1" customFormat="1" ht="12.75" customHeight="1" x14ac:dyDescent="0.3"/>
    <row r="570" s="1" customFormat="1" ht="12.75" customHeight="1" x14ac:dyDescent="0.3"/>
    <row r="571" s="1" customFormat="1" ht="12.75" customHeight="1" x14ac:dyDescent="0.3"/>
    <row r="572" s="1" customFormat="1" ht="12.75" customHeight="1" x14ac:dyDescent="0.3"/>
    <row r="573" s="1" customFormat="1" ht="12.75" customHeight="1" x14ac:dyDescent="0.3"/>
    <row r="574" s="1" customFormat="1" ht="12.75" customHeight="1" x14ac:dyDescent="0.3"/>
    <row r="575" s="1" customFormat="1" ht="12.75" customHeight="1" x14ac:dyDescent="0.3"/>
    <row r="576" s="1" customFormat="1" ht="12.75" customHeight="1" x14ac:dyDescent="0.3"/>
    <row r="577" s="1" customFormat="1" ht="12.75" customHeight="1" x14ac:dyDescent="0.3"/>
    <row r="578" s="1" customFormat="1" ht="12.75" customHeight="1" x14ac:dyDescent="0.3"/>
    <row r="579" s="1" customFormat="1" ht="12.75" customHeight="1" x14ac:dyDescent="0.3"/>
    <row r="580" s="1" customFormat="1" ht="12.75" customHeight="1" x14ac:dyDescent="0.3"/>
    <row r="581" s="1" customFormat="1" ht="12.75" customHeight="1" x14ac:dyDescent="0.3"/>
    <row r="582" s="1" customFormat="1" ht="12.75" customHeight="1" x14ac:dyDescent="0.3"/>
    <row r="583" s="1" customFormat="1" ht="12.75" customHeight="1" x14ac:dyDescent="0.3"/>
    <row r="584" s="1" customFormat="1" ht="12.75" customHeight="1" x14ac:dyDescent="0.3"/>
    <row r="585" s="1" customFormat="1" ht="12.75" customHeight="1" x14ac:dyDescent="0.3"/>
    <row r="586" s="1" customFormat="1" ht="12.75" customHeight="1" x14ac:dyDescent="0.3"/>
    <row r="587" s="1" customFormat="1" ht="12.75" customHeight="1" x14ac:dyDescent="0.3"/>
    <row r="588" s="1" customFormat="1" ht="12.75" customHeight="1" x14ac:dyDescent="0.3"/>
    <row r="589" s="1" customFormat="1" ht="12.75" customHeight="1" x14ac:dyDescent="0.3"/>
    <row r="590" s="1" customFormat="1" ht="12.75" customHeight="1" x14ac:dyDescent="0.3"/>
    <row r="591" s="1" customFormat="1" ht="12.75" customHeight="1" x14ac:dyDescent="0.3"/>
    <row r="592" s="1" customFormat="1" ht="12.75" customHeight="1" x14ac:dyDescent="0.3"/>
    <row r="593" s="1" customFormat="1" ht="12.75" customHeight="1" x14ac:dyDescent="0.3"/>
    <row r="594" s="1" customFormat="1" ht="12.75" customHeight="1" x14ac:dyDescent="0.3"/>
    <row r="595" s="1" customFormat="1" ht="12.75" customHeight="1" x14ac:dyDescent="0.3"/>
    <row r="596" s="1" customFormat="1" ht="12.75" customHeight="1" x14ac:dyDescent="0.3"/>
    <row r="597" s="1" customFormat="1" ht="12.75" customHeight="1" x14ac:dyDescent="0.3"/>
    <row r="598" s="1" customFormat="1" ht="12.75" customHeight="1" x14ac:dyDescent="0.3"/>
    <row r="599" s="1" customFormat="1" ht="12.75" customHeight="1" x14ac:dyDescent="0.3"/>
    <row r="600" s="1" customFormat="1" ht="12.75" customHeight="1" x14ac:dyDescent="0.3"/>
    <row r="601" s="1" customFormat="1" ht="12.75" customHeight="1" x14ac:dyDescent="0.3"/>
    <row r="602" s="1" customFormat="1" ht="12.75" customHeight="1" x14ac:dyDescent="0.3"/>
    <row r="603" s="1" customFormat="1" ht="12.75" customHeight="1" x14ac:dyDescent="0.3"/>
    <row r="604" s="1" customFormat="1" ht="12.75" customHeight="1" x14ac:dyDescent="0.3"/>
    <row r="605" s="1" customFormat="1" ht="12.75" customHeight="1" x14ac:dyDescent="0.3"/>
    <row r="606" s="1" customFormat="1" ht="12.75" customHeight="1" x14ac:dyDescent="0.3"/>
    <row r="607" s="1" customFormat="1" ht="12.75" customHeight="1" x14ac:dyDescent="0.3"/>
    <row r="608" s="1" customFormat="1" ht="12.75" customHeight="1" x14ac:dyDescent="0.3"/>
    <row r="609" s="1" customFormat="1" ht="12.75" customHeight="1" x14ac:dyDescent="0.3"/>
    <row r="610" s="1" customFormat="1" ht="12.75" customHeight="1" x14ac:dyDescent="0.3"/>
    <row r="611" s="1" customFormat="1" ht="12.75" customHeight="1" x14ac:dyDescent="0.3"/>
    <row r="612" s="1" customFormat="1" ht="12.75" customHeight="1" x14ac:dyDescent="0.3"/>
    <row r="613" s="1" customFormat="1" ht="12.75" customHeight="1" x14ac:dyDescent="0.3"/>
    <row r="614" s="1" customFormat="1" ht="12.75" customHeight="1" x14ac:dyDescent="0.3"/>
    <row r="615" s="1" customFormat="1" ht="12.75" customHeight="1" x14ac:dyDescent="0.3"/>
    <row r="616" s="1" customFormat="1" ht="12.75" customHeight="1" x14ac:dyDescent="0.3"/>
    <row r="617" s="1" customFormat="1" ht="12.75" customHeight="1" x14ac:dyDescent="0.3"/>
    <row r="618" s="1" customFormat="1" ht="12.75" customHeight="1" x14ac:dyDescent="0.3"/>
    <row r="619" s="1" customFormat="1" ht="12.75" customHeight="1" x14ac:dyDescent="0.3"/>
    <row r="620" s="1" customFormat="1" ht="12.75" customHeight="1" x14ac:dyDescent="0.3"/>
    <row r="621" s="1" customFormat="1" ht="12.75" customHeight="1" x14ac:dyDescent="0.3"/>
    <row r="622" s="1" customFormat="1" ht="12.75" customHeight="1" x14ac:dyDescent="0.3"/>
    <row r="623" s="1" customFormat="1" ht="12.75" customHeight="1" x14ac:dyDescent="0.3"/>
    <row r="624" s="1" customFormat="1" ht="12.75" customHeight="1" x14ac:dyDescent="0.3"/>
    <row r="625" s="1" customFormat="1" ht="12.75" customHeight="1" x14ac:dyDescent="0.3"/>
    <row r="626" s="1" customFormat="1" ht="12.75" customHeight="1" x14ac:dyDescent="0.3"/>
    <row r="627" s="1" customFormat="1" ht="12.75" customHeight="1" x14ac:dyDescent="0.3"/>
    <row r="628" s="1" customFormat="1" ht="12.75" customHeight="1" x14ac:dyDescent="0.3"/>
    <row r="629" s="1" customFormat="1" ht="12.75" customHeight="1" x14ac:dyDescent="0.3"/>
    <row r="630" s="1" customFormat="1" ht="12.75" customHeight="1" x14ac:dyDescent="0.3"/>
    <row r="631" s="1" customFormat="1" ht="12.75" customHeight="1" x14ac:dyDescent="0.3"/>
    <row r="632" s="1" customFormat="1" ht="12.75" customHeight="1" x14ac:dyDescent="0.3"/>
    <row r="633" s="1" customFormat="1" ht="12.75" customHeight="1" x14ac:dyDescent="0.3"/>
    <row r="634" s="1" customFormat="1" ht="12.75" customHeight="1" x14ac:dyDescent="0.3"/>
    <row r="635" s="1" customFormat="1" ht="12.75" customHeight="1" x14ac:dyDescent="0.3"/>
    <row r="636" s="1" customFormat="1" ht="12.75" customHeight="1" x14ac:dyDescent="0.3"/>
    <row r="637" s="1" customFormat="1" ht="12.75" customHeight="1" x14ac:dyDescent="0.3"/>
    <row r="638" s="1" customFormat="1" ht="12.75" customHeight="1" x14ac:dyDescent="0.3"/>
    <row r="639" s="1" customFormat="1" ht="12.75" customHeight="1" x14ac:dyDescent="0.3"/>
    <row r="640" s="1" customFormat="1" ht="12.75" customHeight="1" x14ac:dyDescent="0.3"/>
    <row r="641" s="1" customFormat="1" ht="12.75" customHeight="1" x14ac:dyDescent="0.3"/>
    <row r="642" s="1" customFormat="1" ht="12.75" customHeight="1" x14ac:dyDescent="0.3"/>
    <row r="643" s="1" customFormat="1" ht="12.75" customHeight="1" x14ac:dyDescent="0.3"/>
    <row r="644" s="1" customFormat="1" ht="12.75" customHeight="1" x14ac:dyDescent="0.3"/>
    <row r="645" s="1" customFormat="1" ht="12.75" customHeight="1" x14ac:dyDescent="0.3"/>
    <row r="646" s="1" customFormat="1" ht="12.75" customHeight="1" x14ac:dyDescent="0.3"/>
    <row r="647" s="1" customFormat="1" ht="12.75" customHeight="1" x14ac:dyDescent="0.3"/>
    <row r="648" s="1" customFormat="1" ht="12.75" customHeight="1" x14ac:dyDescent="0.3"/>
    <row r="649" s="1" customFormat="1" ht="12.75" customHeight="1" x14ac:dyDescent="0.3"/>
    <row r="650" s="1" customFormat="1" ht="12.75" customHeight="1" x14ac:dyDescent="0.3"/>
    <row r="651" s="1" customFormat="1" ht="12.75" customHeight="1" x14ac:dyDescent="0.3"/>
    <row r="652" s="1" customFormat="1" ht="12.75" customHeight="1" x14ac:dyDescent="0.3"/>
    <row r="653" s="1" customFormat="1" ht="12.75" customHeight="1" x14ac:dyDescent="0.3"/>
    <row r="654" s="1" customFormat="1" ht="12.75" customHeight="1" x14ac:dyDescent="0.3"/>
    <row r="655" s="1" customFormat="1" ht="12.75" customHeight="1" x14ac:dyDescent="0.3"/>
    <row r="656" s="1" customFormat="1" ht="12.75" customHeight="1" x14ac:dyDescent="0.3"/>
    <row r="657" s="1" customFormat="1" ht="12.75" customHeight="1" x14ac:dyDescent="0.3"/>
    <row r="658" s="1" customFormat="1" ht="12.75" customHeight="1" x14ac:dyDescent="0.3"/>
    <row r="659" s="1" customFormat="1" ht="12.75" customHeight="1" x14ac:dyDescent="0.3"/>
    <row r="660" s="1" customFormat="1" ht="12.75" customHeight="1" x14ac:dyDescent="0.3"/>
    <row r="661" s="1" customFormat="1" ht="12.75" customHeight="1" x14ac:dyDescent="0.3"/>
    <row r="662" s="1" customFormat="1" ht="12.75" customHeight="1" x14ac:dyDescent="0.3"/>
    <row r="663" s="1" customFormat="1" ht="12.75" customHeight="1" x14ac:dyDescent="0.3"/>
    <row r="664" s="1" customFormat="1" ht="12.75" customHeight="1" x14ac:dyDescent="0.3"/>
    <row r="665" s="1" customFormat="1" ht="12.75" customHeight="1" x14ac:dyDescent="0.3"/>
    <row r="666" s="1" customFormat="1" ht="12.75" customHeight="1" x14ac:dyDescent="0.3"/>
    <row r="667" s="1" customFormat="1" ht="12.75" customHeight="1" x14ac:dyDescent="0.3"/>
    <row r="668" s="1" customFormat="1" ht="12.75" customHeight="1" x14ac:dyDescent="0.3"/>
    <row r="669" s="1" customFormat="1" ht="12.75" customHeight="1" x14ac:dyDescent="0.3"/>
    <row r="670" s="1" customFormat="1" ht="12.75" customHeight="1" x14ac:dyDescent="0.3"/>
    <row r="671" s="1" customFormat="1" ht="12.75" customHeight="1" x14ac:dyDescent="0.3"/>
    <row r="672" s="1" customFormat="1" ht="12.75" customHeight="1" x14ac:dyDescent="0.3"/>
    <row r="673" s="1" customFormat="1" ht="12.75" customHeight="1" x14ac:dyDescent="0.3"/>
    <row r="674" s="1" customFormat="1" ht="12.75" customHeight="1" x14ac:dyDescent="0.3"/>
    <row r="675" s="1" customFormat="1" ht="12.75" customHeight="1" x14ac:dyDescent="0.3"/>
    <row r="676" s="1" customFormat="1" ht="12.75" customHeight="1" x14ac:dyDescent="0.3"/>
    <row r="677" s="1" customFormat="1" ht="12.75" customHeight="1" x14ac:dyDescent="0.3"/>
    <row r="678" s="1" customFormat="1" ht="12.75" customHeight="1" x14ac:dyDescent="0.3"/>
    <row r="679" s="1" customFormat="1" ht="12.75" customHeight="1" x14ac:dyDescent="0.3"/>
    <row r="680" s="1" customFormat="1" ht="12.75" customHeight="1" x14ac:dyDescent="0.3"/>
    <row r="681" s="1" customFormat="1" ht="12.75" customHeight="1" x14ac:dyDescent="0.3"/>
    <row r="682" s="1" customFormat="1" ht="12.75" customHeight="1" x14ac:dyDescent="0.3"/>
    <row r="683" s="1" customFormat="1" ht="12.75" customHeight="1" x14ac:dyDescent="0.3"/>
    <row r="684" s="1" customFormat="1" ht="12.75" customHeight="1" x14ac:dyDescent="0.3"/>
    <row r="685" s="1" customFormat="1" ht="12.75" customHeight="1" x14ac:dyDescent="0.3"/>
    <row r="686" s="1" customFormat="1" ht="12.75" customHeight="1" x14ac:dyDescent="0.3"/>
    <row r="687" s="1" customFormat="1" ht="12.75" customHeight="1" x14ac:dyDescent="0.3"/>
    <row r="688" s="1" customFormat="1" ht="12.75" customHeight="1" x14ac:dyDescent="0.3"/>
    <row r="689" s="1" customFormat="1" ht="12.75" customHeight="1" x14ac:dyDescent="0.3"/>
    <row r="690" s="1" customFormat="1" ht="12.75" customHeight="1" x14ac:dyDescent="0.3"/>
    <row r="691" s="1" customFormat="1" ht="12.75" customHeight="1" x14ac:dyDescent="0.3"/>
    <row r="692" s="1" customFormat="1" ht="12.75" customHeight="1" x14ac:dyDescent="0.3"/>
    <row r="693" s="1" customFormat="1" ht="12.75" customHeight="1" x14ac:dyDescent="0.3"/>
    <row r="694" s="1" customFormat="1" ht="12.75" customHeight="1" x14ac:dyDescent="0.3"/>
    <row r="695" s="1" customFormat="1" ht="12.75" customHeight="1" x14ac:dyDescent="0.3"/>
    <row r="696" s="1" customFormat="1" ht="12.75" customHeight="1" x14ac:dyDescent="0.3"/>
    <row r="697" s="1" customFormat="1" ht="12.75" customHeight="1" x14ac:dyDescent="0.3"/>
    <row r="698" s="1" customFormat="1" ht="12.75" customHeight="1" x14ac:dyDescent="0.3"/>
    <row r="699" s="1" customFormat="1" ht="12.75" customHeight="1" x14ac:dyDescent="0.3"/>
    <row r="700" s="1" customFormat="1" ht="12.75" customHeight="1" x14ac:dyDescent="0.3"/>
    <row r="701" s="1" customFormat="1" ht="12.75" customHeight="1" x14ac:dyDescent="0.3"/>
    <row r="702" s="1" customFormat="1" ht="12.75" customHeight="1" x14ac:dyDescent="0.3"/>
    <row r="703" s="1" customFormat="1" ht="12.75" customHeight="1" x14ac:dyDescent="0.3"/>
    <row r="704" s="1" customFormat="1" ht="12.75" customHeight="1" x14ac:dyDescent="0.3"/>
    <row r="705" s="1" customFormat="1" ht="12.75" customHeight="1" x14ac:dyDescent="0.3"/>
    <row r="706" s="1" customFormat="1" ht="12.75" customHeight="1" x14ac:dyDescent="0.3"/>
    <row r="707" s="1" customFormat="1" ht="12.75" customHeight="1" x14ac:dyDescent="0.3"/>
    <row r="708" s="1" customFormat="1" ht="12.75" customHeight="1" x14ac:dyDescent="0.3"/>
    <row r="709" s="1" customFormat="1" ht="12.75" customHeight="1" x14ac:dyDescent="0.3"/>
    <row r="710" s="1" customFormat="1" ht="12.75" customHeight="1" x14ac:dyDescent="0.3"/>
    <row r="711" s="1" customFormat="1" ht="12.75" customHeight="1" x14ac:dyDescent="0.3"/>
    <row r="712" s="1" customFormat="1" ht="12.75" customHeight="1" x14ac:dyDescent="0.3"/>
    <row r="713" s="1" customFormat="1" ht="12.75" customHeight="1" x14ac:dyDescent="0.3"/>
    <row r="714" s="1" customFormat="1" ht="12.75" customHeight="1" x14ac:dyDescent="0.3"/>
    <row r="715" s="1" customFormat="1" ht="12.75" customHeight="1" x14ac:dyDescent="0.3"/>
    <row r="716" s="1" customFormat="1" ht="12.75" customHeight="1" x14ac:dyDescent="0.3"/>
    <row r="717" s="1" customFormat="1" ht="12.75" customHeight="1" x14ac:dyDescent="0.3"/>
    <row r="718" s="1" customFormat="1" ht="12.75" customHeight="1" x14ac:dyDescent="0.3"/>
    <row r="719" s="1" customFormat="1" ht="12.75" customHeight="1" x14ac:dyDescent="0.3"/>
    <row r="720" s="1" customFormat="1" ht="12.75" customHeight="1" x14ac:dyDescent="0.3"/>
    <row r="721" s="1" customFormat="1" ht="12.75" customHeight="1" x14ac:dyDescent="0.3"/>
    <row r="722" s="1" customFormat="1" ht="12.75" customHeight="1" x14ac:dyDescent="0.3"/>
    <row r="723" s="1" customFormat="1" ht="12.75" customHeight="1" x14ac:dyDescent="0.3"/>
    <row r="724" s="1" customFormat="1" ht="12.75" customHeight="1" x14ac:dyDescent="0.3"/>
    <row r="725" s="1" customFormat="1" ht="12.75" customHeight="1" x14ac:dyDescent="0.3"/>
    <row r="726" s="1" customFormat="1" ht="12.75" customHeight="1" x14ac:dyDescent="0.3"/>
    <row r="727" s="1" customFormat="1" ht="12.75" customHeight="1" x14ac:dyDescent="0.3"/>
    <row r="728" s="1" customFormat="1" ht="12.75" customHeight="1" x14ac:dyDescent="0.3"/>
    <row r="729" s="1" customFormat="1" ht="12.75" customHeight="1" x14ac:dyDescent="0.3"/>
    <row r="730" s="1" customFormat="1" ht="12.75" customHeight="1" x14ac:dyDescent="0.3"/>
    <row r="731" s="1" customFormat="1" ht="12.75" customHeight="1" x14ac:dyDescent="0.3"/>
    <row r="732" s="1" customFormat="1" ht="12.75" customHeight="1" x14ac:dyDescent="0.3"/>
    <row r="733" s="1" customFormat="1" ht="12.75" customHeight="1" x14ac:dyDescent="0.3"/>
    <row r="734" s="1" customFormat="1" ht="12.75" customHeight="1" x14ac:dyDescent="0.3"/>
    <row r="735" s="1" customFormat="1" ht="12.75" customHeight="1" x14ac:dyDescent="0.3"/>
    <row r="736" s="1" customFormat="1" ht="12.75" customHeight="1" x14ac:dyDescent="0.3"/>
    <row r="737" s="1" customFormat="1" ht="12.75" customHeight="1" x14ac:dyDescent="0.3"/>
    <row r="738" s="1" customFormat="1" ht="12.75" customHeight="1" x14ac:dyDescent="0.3"/>
    <row r="739" s="1" customFormat="1" ht="12.75" customHeight="1" x14ac:dyDescent="0.3"/>
    <row r="740" s="1" customFormat="1" ht="12.75" customHeight="1" x14ac:dyDescent="0.3"/>
    <row r="741" s="1" customFormat="1" ht="12.75" customHeight="1" x14ac:dyDescent="0.3"/>
    <row r="742" s="1" customFormat="1" ht="12.75" customHeight="1" x14ac:dyDescent="0.3"/>
    <row r="743" s="1" customFormat="1" ht="12.75" customHeight="1" x14ac:dyDescent="0.3"/>
    <row r="744" s="1" customFormat="1" ht="12.75" customHeight="1" x14ac:dyDescent="0.3"/>
    <row r="745" s="1" customFormat="1" ht="12.75" customHeight="1" x14ac:dyDescent="0.3"/>
    <row r="746" s="1" customFormat="1" ht="12.75" customHeight="1" x14ac:dyDescent="0.3"/>
    <row r="747" s="1" customFormat="1" ht="12.75" customHeight="1" x14ac:dyDescent="0.3"/>
    <row r="748" s="1" customFormat="1" ht="12.75" customHeight="1" x14ac:dyDescent="0.3"/>
    <row r="749" s="1" customFormat="1" ht="12.75" customHeight="1" x14ac:dyDescent="0.3"/>
    <row r="750" s="1" customFormat="1" ht="12.75" customHeight="1" x14ac:dyDescent="0.3"/>
    <row r="751" s="1" customFormat="1" ht="12.75" customHeight="1" x14ac:dyDescent="0.3"/>
    <row r="752" s="1" customFormat="1" ht="12.75" customHeight="1" x14ac:dyDescent="0.3"/>
    <row r="753" s="1" customFormat="1" ht="12.75" customHeight="1" x14ac:dyDescent="0.3"/>
    <row r="754" s="1" customFormat="1" ht="12.75" customHeight="1" x14ac:dyDescent="0.3"/>
    <row r="755" s="1" customFormat="1" ht="12.75" customHeight="1" x14ac:dyDescent="0.3"/>
    <row r="756" s="1" customFormat="1" ht="12.75" customHeight="1" x14ac:dyDescent="0.3"/>
    <row r="757" s="1" customFormat="1" ht="12.75" customHeight="1" x14ac:dyDescent="0.3"/>
    <row r="758" s="1" customFormat="1" ht="12.75" customHeight="1" x14ac:dyDescent="0.3"/>
    <row r="759" s="1" customFormat="1" ht="12.75" customHeight="1" x14ac:dyDescent="0.3"/>
    <row r="760" s="1" customFormat="1" ht="12.75" customHeight="1" x14ac:dyDescent="0.3"/>
    <row r="761" s="1" customFormat="1" ht="12.75" customHeight="1" x14ac:dyDescent="0.3"/>
    <row r="762" s="1" customFormat="1" ht="12.75" customHeight="1" x14ac:dyDescent="0.3"/>
    <row r="763" s="1" customFormat="1" ht="12.75" customHeight="1" x14ac:dyDescent="0.3"/>
    <row r="764" s="1" customFormat="1" ht="12.75" customHeight="1" x14ac:dyDescent="0.3"/>
    <row r="765" s="1" customFormat="1" ht="12.75" customHeight="1" x14ac:dyDescent="0.3"/>
    <row r="766" s="1" customFormat="1" ht="12.75" customHeight="1" x14ac:dyDescent="0.3"/>
    <row r="767" s="1" customFormat="1" ht="12.75" customHeight="1" x14ac:dyDescent="0.3"/>
    <row r="768" s="1" customFormat="1" ht="12.75" customHeight="1" x14ac:dyDescent="0.3"/>
    <row r="769" s="1" customFormat="1" ht="12.75" customHeight="1" x14ac:dyDescent="0.3"/>
    <row r="770" s="1" customFormat="1" ht="12.75" customHeight="1" x14ac:dyDescent="0.3"/>
    <row r="771" s="1" customFormat="1" ht="12.75" customHeight="1" x14ac:dyDescent="0.3"/>
    <row r="772" s="1" customFormat="1" ht="12.75" customHeight="1" x14ac:dyDescent="0.3"/>
    <row r="773" s="1" customFormat="1" ht="12.75" customHeight="1" x14ac:dyDescent="0.3"/>
    <row r="774" s="1" customFormat="1" ht="12.75" customHeight="1" x14ac:dyDescent="0.3"/>
    <row r="775" s="1" customFormat="1" ht="12.75" customHeight="1" x14ac:dyDescent="0.3"/>
    <row r="776" s="1" customFormat="1" ht="12.75" customHeight="1" x14ac:dyDescent="0.3"/>
    <row r="777" s="1" customFormat="1" ht="12.75" customHeight="1" x14ac:dyDescent="0.3"/>
    <row r="778" s="1" customFormat="1" ht="12.75" customHeight="1" x14ac:dyDescent="0.3"/>
    <row r="779" s="1" customFormat="1" ht="12.75" customHeight="1" x14ac:dyDescent="0.3"/>
    <row r="780" s="1" customFormat="1" ht="12.75" customHeight="1" x14ac:dyDescent="0.3"/>
    <row r="781" s="1" customFormat="1" ht="12.75" customHeight="1" x14ac:dyDescent="0.3"/>
    <row r="782" s="1" customFormat="1" ht="12.75" customHeight="1" x14ac:dyDescent="0.3"/>
    <row r="783" s="1" customFormat="1" ht="12.75" customHeight="1" x14ac:dyDescent="0.3"/>
    <row r="784" s="1" customFormat="1" ht="12.75" customHeight="1" x14ac:dyDescent="0.3"/>
    <row r="785" s="1" customFormat="1" ht="12.75" customHeight="1" x14ac:dyDescent="0.3"/>
    <row r="786" s="1" customFormat="1" ht="12.75" customHeight="1" x14ac:dyDescent="0.3"/>
    <row r="787" s="1" customFormat="1" ht="12.75" customHeight="1" x14ac:dyDescent="0.3"/>
    <row r="788" s="1" customFormat="1" ht="12.75" customHeight="1" x14ac:dyDescent="0.3"/>
    <row r="789" s="1" customFormat="1" ht="12.75" customHeight="1" x14ac:dyDescent="0.3"/>
    <row r="790" s="1" customFormat="1" ht="12.75" customHeight="1" x14ac:dyDescent="0.3"/>
    <row r="791" s="1" customFormat="1" ht="12.75" customHeight="1" x14ac:dyDescent="0.3"/>
    <row r="792" s="1" customFormat="1" ht="12.75" customHeight="1" x14ac:dyDescent="0.3"/>
    <row r="793" s="1" customFormat="1" ht="12.75" customHeight="1" x14ac:dyDescent="0.3"/>
    <row r="794" s="1" customFormat="1" ht="12.75" customHeight="1" x14ac:dyDescent="0.3"/>
    <row r="795" s="1" customFormat="1" ht="12.75" customHeight="1" x14ac:dyDescent="0.3"/>
    <row r="796" s="1" customFormat="1" ht="12.75" customHeight="1" x14ac:dyDescent="0.3"/>
    <row r="797" s="1" customFormat="1" ht="12.75" customHeight="1" x14ac:dyDescent="0.3"/>
    <row r="798" s="1" customFormat="1" ht="12.75" customHeight="1" x14ac:dyDescent="0.3"/>
    <row r="799" s="1" customFormat="1" ht="12.75" customHeight="1" x14ac:dyDescent="0.3"/>
    <row r="800" s="1" customFormat="1" ht="12.75" customHeight="1" x14ac:dyDescent="0.3"/>
    <row r="801" s="1" customFormat="1" ht="12.75" customHeight="1" x14ac:dyDescent="0.3"/>
    <row r="802" s="1" customFormat="1" ht="12.75" customHeight="1" x14ac:dyDescent="0.3"/>
    <row r="803" s="1" customFormat="1" ht="12.75" customHeight="1" x14ac:dyDescent="0.3"/>
    <row r="804" s="1" customFormat="1" ht="12.75" customHeight="1" x14ac:dyDescent="0.3"/>
    <row r="805" s="1" customFormat="1" ht="12.75" customHeight="1" x14ac:dyDescent="0.3"/>
    <row r="806" s="1" customFormat="1" ht="12.75" customHeight="1" x14ac:dyDescent="0.3"/>
    <row r="807" s="1" customFormat="1" ht="12.75" customHeight="1" x14ac:dyDescent="0.3"/>
    <row r="808" s="1" customFormat="1" ht="12.75" customHeight="1" x14ac:dyDescent="0.3"/>
    <row r="809" s="1" customFormat="1" ht="12.75" customHeight="1" x14ac:dyDescent="0.3"/>
    <row r="810" s="1" customFormat="1" ht="12.75" customHeight="1" x14ac:dyDescent="0.3"/>
    <row r="811" s="1" customFormat="1" ht="12.75" customHeight="1" x14ac:dyDescent="0.3"/>
    <row r="812" s="1" customFormat="1" ht="12.75" customHeight="1" x14ac:dyDescent="0.3"/>
    <row r="813" s="1" customFormat="1" ht="12.75" customHeight="1" x14ac:dyDescent="0.3"/>
    <row r="814" s="1" customFormat="1" ht="12.75" customHeight="1" x14ac:dyDescent="0.3"/>
    <row r="815" s="1" customFormat="1" ht="12.75" customHeight="1" x14ac:dyDescent="0.3"/>
    <row r="816" s="1" customFormat="1" ht="12.75" customHeight="1" x14ac:dyDescent="0.3"/>
    <row r="817" s="1" customFormat="1" ht="12.75" customHeight="1" x14ac:dyDescent="0.3"/>
    <row r="818" s="1" customFormat="1" ht="12.75" customHeight="1" x14ac:dyDescent="0.3"/>
    <row r="819" s="1" customFormat="1" ht="12.75" customHeight="1" x14ac:dyDescent="0.3"/>
    <row r="820" s="1" customFormat="1" ht="12.75" customHeight="1" x14ac:dyDescent="0.3"/>
    <row r="821" s="1" customFormat="1" ht="12.75" customHeight="1" x14ac:dyDescent="0.3"/>
    <row r="822" s="1" customFormat="1" ht="12.75" customHeight="1" x14ac:dyDescent="0.3"/>
    <row r="823" s="1" customFormat="1" ht="12.75" customHeight="1" x14ac:dyDescent="0.3"/>
    <row r="824" s="1" customFormat="1" ht="12.75" customHeight="1" x14ac:dyDescent="0.3"/>
    <row r="825" s="1" customFormat="1" ht="12.75" customHeight="1" x14ac:dyDescent="0.3"/>
    <row r="826" s="1" customFormat="1" ht="12.75" customHeight="1" x14ac:dyDescent="0.3"/>
    <row r="827" s="1" customFormat="1" ht="12.75" customHeight="1" x14ac:dyDescent="0.3"/>
    <row r="828" s="1" customFormat="1" ht="12.75" customHeight="1" x14ac:dyDescent="0.3"/>
    <row r="829" s="1" customFormat="1" ht="12.75" customHeight="1" x14ac:dyDescent="0.3"/>
    <row r="830" s="1" customFormat="1" ht="12.75" customHeight="1" x14ac:dyDescent="0.3"/>
    <row r="831" s="1" customFormat="1" ht="12.75" customHeight="1" x14ac:dyDescent="0.3"/>
    <row r="832" s="1" customFormat="1" ht="12.75" customHeight="1" x14ac:dyDescent="0.3"/>
    <row r="833" s="1" customFormat="1" ht="12.75" customHeight="1" x14ac:dyDescent="0.3"/>
    <row r="834" s="1" customFormat="1" ht="12.75" customHeight="1" x14ac:dyDescent="0.3"/>
    <row r="835" s="1" customFormat="1" ht="12.75" customHeight="1" x14ac:dyDescent="0.3"/>
    <row r="836" s="1" customFormat="1" ht="12.75" customHeight="1" x14ac:dyDescent="0.3"/>
    <row r="837" s="1" customFormat="1" ht="12.75" customHeight="1" x14ac:dyDescent="0.3"/>
    <row r="838" s="1" customFormat="1" ht="12.75" customHeight="1" x14ac:dyDescent="0.3"/>
    <row r="839" s="1" customFormat="1" ht="12.75" customHeight="1" x14ac:dyDescent="0.3"/>
    <row r="840" s="1" customFormat="1" ht="12.75" customHeight="1" x14ac:dyDescent="0.3"/>
    <row r="841" s="1" customFormat="1" ht="12.75" customHeight="1" x14ac:dyDescent="0.3"/>
    <row r="842" s="1" customFormat="1" ht="12.75" customHeight="1" x14ac:dyDescent="0.3"/>
    <row r="843" s="1" customFormat="1" ht="12.75" customHeight="1" x14ac:dyDescent="0.3"/>
    <row r="844" s="1" customFormat="1" ht="12.75" customHeight="1" x14ac:dyDescent="0.3"/>
    <row r="845" s="1" customFormat="1" ht="12.75" customHeight="1" x14ac:dyDescent="0.3"/>
    <row r="846" s="1" customFormat="1" ht="12.75" customHeight="1" x14ac:dyDescent="0.3"/>
    <row r="847" s="1" customFormat="1" ht="12.75" customHeight="1" x14ac:dyDescent="0.3"/>
    <row r="848" s="1" customFormat="1" ht="12.75" customHeight="1" x14ac:dyDescent="0.3"/>
    <row r="849" s="1" customFormat="1" ht="12.75" customHeight="1" x14ac:dyDescent="0.3"/>
    <row r="850" s="1" customFormat="1" ht="12.75" customHeight="1" x14ac:dyDescent="0.3"/>
    <row r="851" s="1" customFormat="1" ht="12.75" customHeight="1" x14ac:dyDescent="0.3"/>
    <row r="852" s="1" customFormat="1" ht="12.75" customHeight="1" x14ac:dyDescent="0.3"/>
    <row r="853" s="1" customFormat="1" ht="12.75" customHeight="1" x14ac:dyDescent="0.3"/>
    <row r="854" s="1" customFormat="1" ht="12.75" customHeight="1" x14ac:dyDescent="0.3"/>
    <row r="855" s="1" customFormat="1" ht="12.75" customHeight="1" x14ac:dyDescent="0.3"/>
    <row r="856" s="1" customFormat="1" ht="12.75" customHeight="1" x14ac:dyDescent="0.3"/>
    <row r="857" s="1" customFormat="1" ht="12.75" customHeight="1" x14ac:dyDescent="0.3"/>
    <row r="858" s="1" customFormat="1" ht="12.75" customHeight="1" x14ac:dyDescent="0.3"/>
    <row r="859" s="1" customFormat="1" ht="12.75" customHeight="1" x14ac:dyDescent="0.3"/>
    <row r="860" s="1" customFormat="1" ht="12.75" customHeight="1" x14ac:dyDescent="0.3"/>
    <row r="861" s="1" customFormat="1" ht="12.75" customHeight="1" x14ac:dyDescent="0.3"/>
    <row r="862" s="1" customFormat="1" ht="12.75" customHeight="1" x14ac:dyDescent="0.3"/>
    <row r="863" s="1" customFormat="1" ht="12.75" customHeight="1" x14ac:dyDescent="0.3"/>
    <row r="864" s="1" customFormat="1" ht="12.75" customHeight="1" x14ac:dyDescent="0.3"/>
    <row r="865" s="1" customFormat="1" ht="12.75" customHeight="1" x14ac:dyDescent="0.3"/>
    <row r="866" s="1" customFormat="1" ht="12.75" customHeight="1" x14ac:dyDescent="0.3"/>
    <row r="867" s="1" customFormat="1" ht="12.75" customHeight="1" x14ac:dyDescent="0.3"/>
    <row r="868" s="1" customFormat="1" ht="12.75" customHeight="1" x14ac:dyDescent="0.3"/>
    <row r="869" s="1" customFormat="1" ht="12.75" customHeight="1" x14ac:dyDescent="0.3"/>
    <row r="870" s="1" customFormat="1" ht="12.75" customHeight="1" x14ac:dyDescent="0.3"/>
    <row r="871" s="1" customFormat="1" ht="12.75" customHeight="1" x14ac:dyDescent="0.3"/>
    <row r="872" s="1" customFormat="1" ht="12.75" customHeight="1" x14ac:dyDescent="0.3"/>
    <row r="873" s="1" customFormat="1" ht="12.75" customHeight="1" x14ac:dyDescent="0.3"/>
    <row r="874" s="1" customFormat="1" ht="12.75" customHeight="1" x14ac:dyDescent="0.3"/>
    <row r="875" s="1" customFormat="1" ht="12.75" customHeight="1" x14ac:dyDescent="0.3"/>
    <row r="876" s="1" customFormat="1" ht="12.75" customHeight="1" x14ac:dyDescent="0.3"/>
    <row r="877" s="1" customFormat="1" ht="12.75" customHeight="1" x14ac:dyDescent="0.3"/>
    <row r="878" s="1" customFormat="1" ht="12.75" customHeight="1" x14ac:dyDescent="0.3"/>
    <row r="879" s="1" customFormat="1" ht="12.75" customHeight="1" x14ac:dyDescent="0.3"/>
    <row r="880" s="1" customFormat="1" ht="12.75" customHeight="1" x14ac:dyDescent="0.3"/>
    <row r="881" s="1" customFormat="1" ht="12.75" customHeight="1" x14ac:dyDescent="0.3"/>
    <row r="882" s="1" customFormat="1" ht="12.75" customHeight="1" x14ac:dyDescent="0.3"/>
    <row r="883" s="1" customFormat="1" ht="12.75" customHeight="1" x14ac:dyDescent="0.3"/>
    <row r="884" s="1" customFormat="1" ht="12.75" customHeight="1" x14ac:dyDescent="0.3"/>
    <row r="885" s="1" customFormat="1" ht="12.75" customHeight="1" x14ac:dyDescent="0.3"/>
    <row r="886" s="1" customFormat="1" ht="12.75" customHeight="1" x14ac:dyDescent="0.3"/>
    <row r="887" s="1" customFormat="1" ht="12.75" customHeight="1" x14ac:dyDescent="0.3"/>
    <row r="888" s="1" customFormat="1" ht="12.75" customHeight="1" x14ac:dyDescent="0.3"/>
    <row r="889" s="1" customFormat="1" ht="12.75" customHeight="1" x14ac:dyDescent="0.3"/>
    <row r="890" s="1" customFormat="1" ht="12.75" customHeight="1" x14ac:dyDescent="0.3"/>
    <row r="891" s="1" customFormat="1" ht="12.75" customHeight="1" x14ac:dyDescent="0.3"/>
    <row r="892" s="1" customFormat="1" ht="12.75" customHeight="1" x14ac:dyDescent="0.3"/>
    <row r="893" s="1" customFormat="1" ht="12.75" customHeight="1" x14ac:dyDescent="0.3"/>
    <row r="894" s="1" customFormat="1" ht="12.75" customHeight="1" x14ac:dyDescent="0.3"/>
    <row r="895" s="1" customFormat="1" ht="12.75" customHeight="1" x14ac:dyDescent="0.3"/>
    <row r="896" s="1" customFormat="1" ht="12.75" customHeight="1" x14ac:dyDescent="0.3"/>
    <row r="897" s="1" customFormat="1" ht="12.75" customHeight="1" x14ac:dyDescent="0.3"/>
    <row r="898" s="1" customFormat="1" ht="12.75" customHeight="1" x14ac:dyDescent="0.3"/>
    <row r="899" s="1" customFormat="1" ht="12.75" customHeight="1" x14ac:dyDescent="0.3"/>
    <row r="900" s="1" customFormat="1" ht="12.75" customHeight="1" x14ac:dyDescent="0.3"/>
    <row r="901" s="1" customFormat="1" ht="12.75" customHeight="1" x14ac:dyDescent="0.3"/>
    <row r="902" s="1" customFormat="1" ht="12.75" customHeight="1" x14ac:dyDescent="0.3"/>
    <row r="903" s="1" customFormat="1" ht="12.75" customHeight="1" x14ac:dyDescent="0.3"/>
    <row r="904" s="1" customFormat="1" ht="12.75" customHeight="1" x14ac:dyDescent="0.3"/>
    <row r="905" s="1" customFormat="1" ht="12.75" customHeight="1" x14ac:dyDescent="0.3"/>
    <row r="906" s="1" customFormat="1" ht="12.75" customHeight="1" x14ac:dyDescent="0.3"/>
    <row r="907" s="1" customFormat="1" ht="12.75" customHeight="1" x14ac:dyDescent="0.3"/>
    <row r="908" s="1" customFormat="1" ht="12.75" customHeight="1" x14ac:dyDescent="0.3"/>
    <row r="909" s="1" customFormat="1" ht="12.75" customHeight="1" x14ac:dyDescent="0.3"/>
    <row r="910" s="1" customFormat="1" ht="12.75" customHeight="1" x14ac:dyDescent="0.3"/>
    <row r="911" s="1" customFormat="1" ht="12.75" customHeight="1" x14ac:dyDescent="0.3"/>
    <row r="912" s="1" customFormat="1" ht="12.75" customHeight="1" x14ac:dyDescent="0.3"/>
    <row r="913" s="1" customFormat="1" ht="12.75" customHeight="1" x14ac:dyDescent="0.3"/>
    <row r="914" s="1" customFormat="1" ht="12.75" customHeight="1" x14ac:dyDescent="0.3"/>
    <row r="915" s="1" customFormat="1" ht="12.75" customHeight="1" x14ac:dyDescent="0.3"/>
    <row r="916" s="1" customFormat="1" ht="12.75" customHeight="1" x14ac:dyDescent="0.3"/>
    <row r="917" s="1" customFormat="1" ht="12.75" customHeight="1" x14ac:dyDescent="0.3"/>
    <row r="918" s="1" customFormat="1" ht="12.75" customHeight="1" x14ac:dyDescent="0.3"/>
    <row r="919" s="1" customFormat="1" ht="12.75" customHeight="1" x14ac:dyDescent="0.3"/>
    <row r="920" s="1" customFormat="1" ht="12.75" customHeight="1" x14ac:dyDescent="0.3"/>
    <row r="921" s="1" customFormat="1" ht="12.75" customHeight="1" x14ac:dyDescent="0.3"/>
    <row r="922" s="1" customFormat="1" ht="12.75" customHeight="1" x14ac:dyDescent="0.3"/>
    <row r="923" s="1" customFormat="1" ht="12.75" customHeight="1" x14ac:dyDescent="0.3"/>
    <row r="924" s="1" customFormat="1" ht="12.75" customHeight="1" x14ac:dyDescent="0.3"/>
    <row r="925" s="1" customFormat="1" ht="12.75" customHeight="1" x14ac:dyDescent="0.3"/>
    <row r="926" s="1" customFormat="1" ht="12.75" customHeight="1" x14ac:dyDescent="0.3"/>
    <row r="927" s="1" customFormat="1" ht="12.75" customHeight="1" x14ac:dyDescent="0.3"/>
    <row r="928" s="1" customFormat="1" ht="12.75" customHeight="1" x14ac:dyDescent="0.3"/>
    <row r="929" s="1" customFormat="1" ht="12.75" customHeight="1" x14ac:dyDescent="0.3"/>
    <row r="930" s="1" customFormat="1" ht="12.75" customHeight="1" x14ac:dyDescent="0.3"/>
    <row r="931" s="1" customFormat="1" ht="12.75" customHeight="1" x14ac:dyDescent="0.3"/>
    <row r="932" s="1" customFormat="1" ht="12.75" customHeight="1" x14ac:dyDescent="0.3"/>
    <row r="933" s="1" customFormat="1" ht="12.75" customHeight="1" x14ac:dyDescent="0.3"/>
    <row r="934" s="1" customFormat="1" ht="12.75" customHeight="1" x14ac:dyDescent="0.3"/>
    <row r="935" s="1" customFormat="1" ht="12.75" customHeight="1" x14ac:dyDescent="0.3"/>
    <row r="936" s="1" customFormat="1" ht="12.75" customHeight="1" x14ac:dyDescent="0.3"/>
    <row r="937" s="1" customFormat="1" ht="12.75" customHeight="1" x14ac:dyDescent="0.3"/>
    <row r="938" s="1" customFormat="1" ht="12.75" customHeight="1" x14ac:dyDescent="0.3"/>
    <row r="939" s="1" customFormat="1" ht="12.75" customHeight="1" x14ac:dyDescent="0.3"/>
    <row r="940" s="1" customFormat="1" ht="12.75" customHeight="1" x14ac:dyDescent="0.3"/>
    <row r="941" s="1" customFormat="1" ht="12.75" customHeight="1" x14ac:dyDescent="0.3"/>
    <row r="942" s="1" customFormat="1" ht="12.75" customHeight="1" x14ac:dyDescent="0.3"/>
    <row r="943" s="1" customFormat="1" ht="12.75" customHeight="1" x14ac:dyDescent="0.3"/>
    <row r="944" s="1" customFormat="1" ht="12.75" customHeight="1" x14ac:dyDescent="0.3"/>
    <row r="945" s="1" customFormat="1" ht="12.75" customHeight="1" x14ac:dyDescent="0.3"/>
    <row r="946" s="1" customFormat="1" ht="12.75" customHeight="1" x14ac:dyDescent="0.3"/>
    <row r="947" s="1" customFormat="1" ht="12.75" customHeight="1" x14ac:dyDescent="0.3"/>
    <row r="948" s="1" customFormat="1" ht="12.75" customHeight="1" x14ac:dyDescent="0.3"/>
    <row r="949" s="1" customFormat="1" ht="12.75" customHeight="1" x14ac:dyDescent="0.3"/>
    <row r="950" s="1" customFormat="1" ht="12.75" customHeight="1" x14ac:dyDescent="0.3"/>
    <row r="951" s="1" customFormat="1" ht="12.75" customHeight="1" x14ac:dyDescent="0.3"/>
    <row r="952" s="1" customFormat="1" ht="12.75" customHeight="1" x14ac:dyDescent="0.3"/>
    <row r="953" s="1" customFormat="1" ht="12.75" customHeight="1" x14ac:dyDescent="0.3"/>
    <row r="954" s="1" customFormat="1" ht="12.75" customHeight="1" x14ac:dyDescent="0.3"/>
    <row r="955" s="1" customFormat="1" ht="12.75" customHeight="1" x14ac:dyDescent="0.3"/>
    <row r="956" s="1" customFormat="1" ht="12.75" customHeight="1" x14ac:dyDescent="0.3"/>
    <row r="957" s="1" customFormat="1" ht="12.75" customHeight="1" x14ac:dyDescent="0.3"/>
    <row r="958" s="1" customFormat="1" ht="12.75" customHeight="1" x14ac:dyDescent="0.3"/>
    <row r="959" s="1" customFormat="1" ht="12.75" customHeight="1" x14ac:dyDescent="0.3"/>
    <row r="960" s="1" customFormat="1" ht="12.75" customHeight="1" x14ac:dyDescent="0.3"/>
    <row r="961" s="1" customFormat="1" ht="12.75" customHeight="1" x14ac:dyDescent="0.3"/>
    <row r="962" s="1" customFormat="1" ht="12.75" customHeight="1" x14ac:dyDescent="0.3"/>
    <row r="963" s="1" customFormat="1" ht="12.75" customHeight="1" x14ac:dyDescent="0.3"/>
    <row r="964" s="1" customFormat="1" ht="12.75" customHeight="1" x14ac:dyDescent="0.3"/>
    <row r="965" s="1" customFormat="1" ht="12.75" customHeight="1" x14ac:dyDescent="0.3"/>
    <row r="966" s="1" customFormat="1" ht="12.75" customHeight="1" x14ac:dyDescent="0.3"/>
    <row r="967" s="1" customFormat="1" ht="12.75" customHeight="1" x14ac:dyDescent="0.3"/>
    <row r="968" s="1" customFormat="1" ht="12.75" customHeight="1" x14ac:dyDescent="0.3"/>
    <row r="969" s="1" customFormat="1" ht="12.75" customHeight="1" x14ac:dyDescent="0.3"/>
    <row r="970" s="1" customFormat="1" ht="12.75" customHeight="1" x14ac:dyDescent="0.3"/>
    <row r="971" s="1" customFormat="1" ht="12.75" customHeight="1" x14ac:dyDescent="0.3"/>
    <row r="972" s="1" customFormat="1" ht="12.75" customHeight="1" x14ac:dyDescent="0.3"/>
    <row r="973" s="1" customFormat="1" ht="12.75" customHeight="1" x14ac:dyDescent="0.3"/>
    <row r="974" s="1" customFormat="1" ht="12.75" customHeight="1" x14ac:dyDescent="0.3"/>
    <row r="975" s="1" customFormat="1" ht="12.75" customHeight="1" x14ac:dyDescent="0.3"/>
    <row r="976" s="1" customFormat="1" ht="12.75" customHeight="1" x14ac:dyDescent="0.3"/>
    <row r="977" s="1" customFormat="1" ht="12.75" customHeight="1" x14ac:dyDescent="0.3"/>
    <row r="978" s="1" customFormat="1" ht="12.75" customHeight="1" x14ac:dyDescent="0.3"/>
    <row r="979" s="1" customFormat="1" ht="12.75" customHeight="1" x14ac:dyDescent="0.3"/>
    <row r="980" s="1" customFormat="1" ht="12.75" customHeight="1" x14ac:dyDescent="0.3"/>
    <row r="981" s="1" customFormat="1" ht="12.75" customHeight="1" x14ac:dyDescent="0.3"/>
    <row r="982" s="1" customFormat="1" ht="12.75" customHeight="1" x14ac:dyDescent="0.3"/>
    <row r="983" s="1" customFormat="1" ht="12.75" customHeight="1" x14ac:dyDescent="0.3"/>
    <row r="984" s="1" customFormat="1" ht="12.75" customHeight="1" x14ac:dyDescent="0.3"/>
    <row r="985" s="1" customFormat="1" ht="12.75" customHeight="1" x14ac:dyDescent="0.3"/>
    <row r="986" s="1" customFormat="1" ht="12.75" customHeight="1" x14ac:dyDescent="0.3"/>
    <row r="987" s="1" customFormat="1" ht="12.75" customHeight="1" x14ac:dyDescent="0.3"/>
    <row r="988" s="1" customFormat="1" ht="12.75" customHeight="1" x14ac:dyDescent="0.3"/>
    <row r="989" s="1" customFormat="1" ht="12.75" customHeight="1" x14ac:dyDescent="0.3"/>
    <row r="990" s="1" customFormat="1" ht="12.75" customHeight="1" x14ac:dyDescent="0.3"/>
    <row r="991" s="1" customFormat="1" ht="12.75" customHeight="1" x14ac:dyDescent="0.3"/>
    <row r="992" s="1" customFormat="1" ht="12.75" customHeight="1" x14ac:dyDescent="0.3"/>
    <row r="993" s="1" customFormat="1" ht="12.75" customHeight="1" x14ac:dyDescent="0.3"/>
    <row r="994" s="1" customFormat="1" ht="12.75" customHeight="1" x14ac:dyDescent="0.3"/>
    <row r="995" s="1" customFormat="1" ht="12.75" customHeight="1" x14ac:dyDescent="0.3"/>
    <row r="996" s="1" customFormat="1" ht="12.75" customHeight="1" x14ac:dyDescent="0.3"/>
    <row r="997" s="1" customFormat="1" ht="12.75" customHeight="1" x14ac:dyDescent="0.3"/>
    <row r="998" s="1" customFormat="1" ht="12.75" customHeight="1" x14ac:dyDescent="0.3"/>
    <row r="999" s="1" customFormat="1" ht="12.75" customHeight="1" x14ac:dyDescent="0.3"/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BE190-C747-47FF-860B-BD6007A170E5}">
  <dimension ref="A1:M999"/>
  <sheetViews>
    <sheetView topLeftCell="A8" workbookViewId="0"/>
  </sheetViews>
  <sheetFormatPr baseColWidth="10" defaultColWidth="12.6328125" defaultRowHeight="15" customHeight="1" x14ac:dyDescent="0.3"/>
  <cols>
    <col min="1" max="1" width="15.7265625" style="1" customWidth="1"/>
    <col min="2" max="7" width="10.6328125" style="1" customWidth="1"/>
    <col min="8" max="8" width="11.36328125" style="1" customWidth="1"/>
    <col min="9" max="25" width="10.6328125" style="1" customWidth="1"/>
    <col min="26" max="16384" width="12.6328125" style="1"/>
  </cols>
  <sheetData>
    <row r="1" spans="1:13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2" customHeight="1" x14ac:dyDescent="0.3">
      <c r="A2" s="1" t="s">
        <v>12</v>
      </c>
      <c r="B2" s="1" t="s">
        <v>13</v>
      </c>
      <c r="E2" s="1">
        <v>1</v>
      </c>
      <c r="H2" s="2" t="s">
        <v>14</v>
      </c>
      <c r="I2" s="3">
        <f t="shared" ref="I2:L2" si="0">SUM(C22+C37+C55+C65+C66+C96+C105+C113+C128+C146+C150)</f>
        <v>8</v>
      </c>
      <c r="J2" s="3">
        <f t="shared" si="0"/>
        <v>1</v>
      </c>
      <c r="K2" s="3">
        <f t="shared" si="0"/>
        <v>2</v>
      </c>
      <c r="L2" s="3">
        <f t="shared" si="0"/>
        <v>0</v>
      </c>
      <c r="M2" s="3">
        <f t="shared" ref="M2:M13" si="1">SUM(I2:L2)</f>
        <v>11</v>
      </c>
    </row>
    <row r="3" spans="1:13" ht="12" customHeight="1" x14ac:dyDescent="0.3">
      <c r="A3" s="1" t="s">
        <v>15</v>
      </c>
      <c r="B3" s="1" t="s">
        <v>16</v>
      </c>
      <c r="C3" s="1">
        <v>1</v>
      </c>
      <c r="H3" s="2" t="s">
        <v>17</v>
      </c>
      <c r="I3" s="3">
        <f t="shared" ref="I3:L3" si="2">SUM(C6+C32+C50+C52+C58+C69+C76+C94+C115+C122+C123+C152)</f>
        <v>11</v>
      </c>
      <c r="J3" s="3">
        <f t="shared" si="2"/>
        <v>1</v>
      </c>
      <c r="K3" s="3">
        <f t="shared" si="2"/>
        <v>0</v>
      </c>
      <c r="L3" s="3">
        <f t="shared" si="2"/>
        <v>0</v>
      </c>
      <c r="M3" s="3">
        <f t="shared" si="1"/>
        <v>12</v>
      </c>
    </row>
    <row r="4" spans="1:13" ht="12" customHeight="1" x14ac:dyDescent="0.3">
      <c r="A4" s="1" t="s">
        <v>18</v>
      </c>
      <c r="B4" s="1" t="s">
        <v>13</v>
      </c>
      <c r="D4" s="1">
        <v>1</v>
      </c>
      <c r="H4" s="2" t="s">
        <v>19</v>
      </c>
      <c r="I4" s="3">
        <f t="shared" ref="I4:L4" si="3">SUM(C26+C14+C27+C62+C68+C124+C138+C142+C153+C155)</f>
        <v>10</v>
      </c>
      <c r="J4" s="3">
        <f t="shared" si="3"/>
        <v>0</v>
      </c>
      <c r="K4" s="3">
        <f t="shared" si="3"/>
        <v>0</v>
      </c>
      <c r="L4" s="3">
        <f t="shared" si="3"/>
        <v>0</v>
      </c>
      <c r="M4" s="3">
        <f t="shared" si="1"/>
        <v>10</v>
      </c>
    </row>
    <row r="5" spans="1:13" ht="12" customHeight="1" x14ac:dyDescent="0.3">
      <c r="A5" s="1" t="s">
        <v>20</v>
      </c>
      <c r="B5" s="1" t="s">
        <v>21</v>
      </c>
      <c r="D5" s="1">
        <v>1</v>
      </c>
      <c r="H5" s="2" t="s">
        <v>22</v>
      </c>
      <c r="I5" s="3">
        <f t="shared" ref="I5:L5" si="4">SUM(C5+C36+C56+C63+C73+C85+C87+C95+C135)</f>
        <v>0</v>
      </c>
      <c r="J5" s="3">
        <f t="shared" si="4"/>
        <v>7</v>
      </c>
      <c r="K5" s="3">
        <f t="shared" si="4"/>
        <v>0</v>
      </c>
      <c r="L5" s="3">
        <f t="shared" si="4"/>
        <v>2</v>
      </c>
      <c r="M5" s="3">
        <f t="shared" si="1"/>
        <v>9</v>
      </c>
    </row>
    <row r="6" spans="1:13" ht="12" customHeight="1" x14ac:dyDescent="0.3">
      <c r="A6" s="1" t="s">
        <v>23</v>
      </c>
      <c r="B6" s="1" t="s">
        <v>24</v>
      </c>
      <c r="C6" s="1">
        <v>1</v>
      </c>
      <c r="H6" s="2" t="s">
        <v>25</v>
      </c>
      <c r="I6" s="3">
        <f t="shared" ref="I6:L6" si="5">SUM(C12+C15+C18+C28+C41+C59+C78+C64+C82+C83+C86+C106+C119+C143+C148+C154)</f>
        <v>3</v>
      </c>
      <c r="J6" s="3">
        <f t="shared" si="5"/>
        <v>11</v>
      </c>
      <c r="K6" s="3">
        <f t="shared" si="5"/>
        <v>2</v>
      </c>
      <c r="L6" s="3">
        <f t="shared" si="5"/>
        <v>0</v>
      </c>
      <c r="M6" s="3">
        <f t="shared" si="1"/>
        <v>16</v>
      </c>
    </row>
    <row r="7" spans="1:13" ht="12" customHeight="1" x14ac:dyDescent="0.3">
      <c r="A7" s="1" t="s">
        <v>26</v>
      </c>
      <c r="B7" s="1" t="s">
        <v>27</v>
      </c>
      <c r="E7" s="1">
        <v>1</v>
      </c>
      <c r="H7" s="2" t="s">
        <v>28</v>
      </c>
      <c r="I7" s="3">
        <f t="shared" ref="I7:L7" si="6">SUM(C3+C20+C46+C49+C54+C89+C90+C102+C112+C114+C129+C141)</f>
        <v>9</v>
      </c>
      <c r="J7" s="3">
        <f t="shared" si="6"/>
        <v>2</v>
      </c>
      <c r="K7" s="3">
        <f t="shared" si="6"/>
        <v>1</v>
      </c>
      <c r="L7" s="3">
        <f t="shared" si="6"/>
        <v>0</v>
      </c>
      <c r="M7" s="3">
        <f t="shared" si="1"/>
        <v>12</v>
      </c>
    </row>
    <row r="8" spans="1:13" ht="12" customHeight="1" x14ac:dyDescent="0.3">
      <c r="A8" s="1" t="s">
        <v>29</v>
      </c>
      <c r="B8" s="1" t="s">
        <v>30</v>
      </c>
      <c r="D8" s="1">
        <v>1</v>
      </c>
      <c r="H8" s="2" t="s">
        <v>27</v>
      </c>
      <c r="I8" s="3">
        <f t="shared" ref="I8:L8" si="7">SUM(C7+C30+C29+C44+C51+C60+C72+C79+C101+C99+C107+C111+C117+C140+C144)</f>
        <v>0</v>
      </c>
      <c r="J8" s="3">
        <f t="shared" si="7"/>
        <v>13</v>
      </c>
      <c r="K8" s="3">
        <f t="shared" si="7"/>
        <v>2</v>
      </c>
      <c r="L8" s="3">
        <f t="shared" si="7"/>
        <v>0</v>
      </c>
      <c r="M8" s="3">
        <f t="shared" si="1"/>
        <v>15</v>
      </c>
    </row>
    <row r="9" spans="1:13" ht="12" customHeight="1" x14ac:dyDescent="0.3">
      <c r="A9" s="1" t="s">
        <v>31</v>
      </c>
      <c r="B9" s="1" t="s">
        <v>13</v>
      </c>
      <c r="C9" s="1">
        <v>1</v>
      </c>
      <c r="H9" s="2" t="s">
        <v>13</v>
      </c>
      <c r="I9" s="3">
        <f t="shared" ref="I9:J9" si="8">SUM(C4+C9+C17+C19+C2+C48+C92+C120+C126+C127+C130+C133+C151)</f>
        <v>2</v>
      </c>
      <c r="J9" s="3">
        <f t="shared" si="8"/>
        <v>9</v>
      </c>
      <c r="K9" s="3">
        <f>SUM(D4+D9+D17+D19+D2+D48+D92+D120+D126+D127+D130+D133+D151)</f>
        <v>9</v>
      </c>
      <c r="L9" s="3">
        <f>SUM(F4+F9+F17+F19+F2+F48+F92+F120+F126+F127+F130+F133+F151)</f>
        <v>0</v>
      </c>
      <c r="M9" s="3">
        <f t="shared" si="1"/>
        <v>20</v>
      </c>
    </row>
    <row r="10" spans="1:13" ht="12" customHeight="1" x14ac:dyDescent="0.3">
      <c r="A10" s="1" t="s">
        <v>32</v>
      </c>
      <c r="B10" s="1" t="s">
        <v>33</v>
      </c>
      <c r="C10" s="1">
        <v>1</v>
      </c>
      <c r="H10" s="2" t="s">
        <v>30</v>
      </c>
      <c r="I10" s="3">
        <f t="shared" ref="I10:L10" si="9">SUM(C8+C13+C16+C25+C31+C35+C43+C45+C70+C71+C75+C81+C88+C93+C98+C100+C104+C118+C136+C137+C156)</f>
        <v>0</v>
      </c>
      <c r="J10" s="3">
        <f t="shared" si="9"/>
        <v>19</v>
      </c>
      <c r="K10" s="3">
        <f t="shared" si="9"/>
        <v>2</v>
      </c>
      <c r="L10" s="3">
        <f t="shared" si="9"/>
        <v>0</v>
      </c>
      <c r="M10" s="3">
        <f t="shared" si="1"/>
        <v>21</v>
      </c>
    </row>
    <row r="11" spans="1:13" ht="12" customHeight="1" x14ac:dyDescent="0.3">
      <c r="A11" s="1" t="s">
        <v>34</v>
      </c>
      <c r="B11" s="1" t="s">
        <v>33</v>
      </c>
      <c r="C11" s="1">
        <v>1</v>
      </c>
      <c r="H11" s="2" t="s">
        <v>35</v>
      </c>
      <c r="I11" s="3">
        <f t="shared" ref="I11:L11" si="10">SUM(C38+C42+C47+C53+C74+C77+C80+C91+C97+C103+C108+C116+C131+C145+C147)</f>
        <v>1</v>
      </c>
      <c r="J11" s="3">
        <f t="shared" si="10"/>
        <v>6</v>
      </c>
      <c r="K11" s="3">
        <f t="shared" si="10"/>
        <v>8</v>
      </c>
      <c r="L11" s="3">
        <f t="shared" si="10"/>
        <v>0</v>
      </c>
      <c r="M11" s="3">
        <f t="shared" si="1"/>
        <v>15</v>
      </c>
    </row>
    <row r="12" spans="1:13" ht="12" customHeight="1" x14ac:dyDescent="0.3">
      <c r="A12" s="1" t="s">
        <v>36</v>
      </c>
      <c r="B12" s="1" t="s">
        <v>37</v>
      </c>
      <c r="C12" s="1">
        <v>1</v>
      </c>
      <c r="H12" s="2" t="s">
        <v>38</v>
      </c>
      <c r="I12" s="3">
        <f t="shared" ref="I12:L12" si="11">SUM(C21+C24+C34+C40+C67+C84+C132)</f>
        <v>0</v>
      </c>
      <c r="J12" s="3">
        <f t="shared" si="11"/>
        <v>6</v>
      </c>
      <c r="K12" s="3">
        <f t="shared" si="11"/>
        <v>1</v>
      </c>
      <c r="L12" s="3">
        <f t="shared" si="11"/>
        <v>0</v>
      </c>
      <c r="M12" s="3">
        <f t="shared" si="1"/>
        <v>7</v>
      </c>
    </row>
    <row r="13" spans="1:13" ht="12" customHeight="1" x14ac:dyDescent="0.3">
      <c r="A13" s="1" t="s">
        <v>39</v>
      </c>
      <c r="B13" s="1" t="s">
        <v>30</v>
      </c>
      <c r="D13" s="1">
        <v>1</v>
      </c>
      <c r="H13" s="2" t="s">
        <v>33</v>
      </c>
      <c r="I13" s="3">
        <f t="shared" ref="I13:L13" si="12">SUM(C10+C11+C57+C125+C149)</f>
        <v>4</v>
      </c>
      <c r="J13" s="3">
        <f t="shared" si="12"/>
        <v>1</v>
      </c>
      <c r="K13" s="3">
        <f t="shared" si="12"/>
        <v>0</v>
      </c>
      <c r="L13" s="3">
        <f t="shared" si="12"/>
        <v>0</v>
      </c>
      <c r="M13" s="3">
        <f t="shared" si="1"/>
        <v>5</v>
      </c>
    </row>
    <row r="14" spans="1:13" ht="12" customHeight="1" x14ac:dyDescent="0.3">
      <c r="A14" s="1" t="s">
        <v>40</v>
      </c>
      <c r="B14" s="1" t="s">
        <v>19</v>
      </c>
      <c r="C14" s="1">
        <v>1</v>
      </c>
      <c r="I14" s="4"/>
      <c r="J14" s="4"/>
      <c r="K14" s="4"/>
      <c r="L14" s="4"/>
    </row>
    <row r="15" spans="1:13" ht="12" customHeight="1" x14ac:dyDescent="0.3">
      <c r="A15" s="1" t="s">
        <v>41</v>
      </c>
      <c r="B15" s="1" t="s">
        <v>42</v>
      </c>
      <c r="C15" s="1">
        <v>1</v>
      </c>
      <c r="I15" s="4"/>
      <c r="J15" s="4"/>
      <c r="K15" s="4"/>
      <c r="L15" s="4"/>
    </row>
    <row r="16" spans="1:13" ht="12" customHeight="1" x14ac:dyDescent="0.3">
      <c r="A16" s="1" t="s">
        <v>43</v>
      </c>
      <c r="B16" s="1" t="s">
        <v>30</v>
      </c>
      <c r="D16" s="1">
        <v>1</v>
      </c>
      <c r="I16" s="4"/>
      <c r="J16" s="4"/>
      <c r="K16" s="4"/>
      <c r="L16" s="4"/>
    </row>
    <row r="17" spans="1:12" ht="12" customHeight="1" x14ac:dyDescent="0.3">
      <c r="A17" s="1" t="s">
        <v>44</v>
      </c>
      <c r="B17" s="1" t="s">
        <v>13</v>
      </c>
      <c r="D17" s="1">
        <v>1</v>
      </c>
      <c r="I17" s="4"/>
      <c r="J17" s="4"/>
      <c r="K17" s="4"/>
      <c r="L17" s="4"/>
    </row>
    <row r="18" spans="1:12" ht="12" customHeight="1" x14ac:dyDescent="0.3">
      <c r="A18" s="1" t="s">
        <v>45</v>
      </c>
      <c r="B18" s="1" t="s">
        <v>37</v>
      </c>
      <c r="D18" s="1">
        <v>1</v>
      </c>
      <c r="I18" s="4"/>
      <c r="J18" s="4"/>
      <c r="K18" s="4"/>
      <c r="L18" s="4"/>
    </row>
    <row r="19" spans="1:12" ht="12" customHeight="1" x14ac:dyDescent="0.3">
      <c r="A19" s="1" t="s">
        <v>46</v>
      </c>
      <c r="B19" s="1" t="s">
        <v>13</v>
      </c>
      <c r="D19" s="1">
        <v>1</v>
      </c>
    </row>
    <row r="20" spans="1:12" ht="12" customHeight="1" x14ac:dyDescent="0.3">
      <c r="A20" s="1" t="s">
        <v>47</v>
      </c>
      <c r="B20" s="1" t="s">
        <v>16</v>
      </c>
      <c r="C20" s="1">
        <v>1</v>
      </c>
    </row>
    <row r="21" spans="1:12" ht="12" customHeight="1" x14ac:dyDescent="0.3">
      <c r="A21" s="1" t="s">
        <v>48</v>
      </c>
      <c r="B21" s="1" t="s">
        <v>38</v>
      </c>
      <c r="D21" s="1">
        <v>1</v>
      </c>
    </row>
    <row r="22" spans="1:12" ht="12" customHeight="1" x14ac:dyDescent="0.3">
      <c r="A22" s="1" t="s">
        <v>49</v>
      </c>
      <c r="B22" s="1" t="s">
        <v>14</v>
      </c>
      <c r="C22" s="1">
        <v>1</v>
      </c>
    </row>
    <row r="23" spans="1:12" ht="12" customHeight="1" x14ac:dyDescent="0.3">
      <c r="A23" s="1" t="s">
        <v>50</v>
      </c>
      <c r="B23" s="1" t="s">
        <v>13</v>
      </c>
      <c r="D23" s="1">
        <v>1</v>
      </c>
    </row>
    <row r="24" spans="1:12" ht="12" customHeight="1" x14ac:dyDescent="0.3">
      <c r="A24" s="1" t="s">
        <v>51</v>
      </c>
      <c r="B24" s="1" t="s">
        <v>38</v>
      </c>
      <c r="E24" s="1">
        <v>1</v>
      </c>
    </row>
    <row r="25" spans="1:12" ht="12" customHeight="1" x14ac:dyDescent="0.3">
      <c r="A25" s="1" t="s">
        <v>52</v>
      </c>
      <c r="B25" s="1" t="s">
        <v>30</v>
      </c>
      <c r="D25" s="1">
        <v>1</v>
      </c>
    </row>
    <row r="26" spans="1:12" ht="12" customHeight="1" x14ac:dyDescent="0.3">
      <c r="A26" s="1" t="s">
        <v>53</v>
      </c>
      <c r="B26" s="1" t="s">
        <v>19</v>
      </c>
      <c r="C26" s="1">
        <v>1</v>
      </c>
    </row>
    <row r="27" spans="1:12" ht="12" customHeight="1" x14ac:dyDescent="0.3">
      <c r="A27" s="1" t="s">
        <v>54</v>
      </c>
      <c r="B27" s="1" t="s">
        <v>19</v>
      </c>
      <c r="C27" s="1">
        <v>1</v>
      </c>
    </row>
    <row r="28" spans="1:12" ht="12" customHeight="1" x14ac:dyDescent="0.3">
      <c r="A28" s="1" t="s">
        <v>55</v>
      </c>
      <c r="B28" s="1" t="s">
        <v>37</v>
      </c>
      <c r="D28" s="1">
        <v>1</v>
      </c>
    </row>
    <row r="29" spans="1:12" ht="12" customHeight="1" x14ac:dyDescent="0.3">
      <c r="A29" s="1" t="s">
        <v>56</v>
      </c>
      <c r="B29" s="1" t="s">
        <v>27</v>
      </c>
      <c r="D29" s="1">
        <v>1</v>
      </c>
    </row>
    <row r="30" spans="1:12" ht="12" customHeight="1" x14ac:dyDescent="0.3">
      <c r="A30" s="1" t="s">
        <v>57</v>
      </c>
      <c r="B30" s="1" t="s">
        <v>27</v>
      </c>
      <c r="D30" s="1">
        <v>1</v>
      </c>
    </row>
    <row r="31" spans="1:12" ht="12" customHeight="1" x14ac:dyDescent="0.3">
      <c r="A31" s="1" t="s">
        <v>58</v>
      </c>
      <c r="B31" s="1" t="s">
        <v>30</v>
      </c>
      <c r="D31" s="1">
        <v>1</v>
      </c>
    </row>
    <row r="32" spans="1:12" ht="12" customHeight="1" x14ac:dyDescent="0.3">
      <c r="A32" s="1" t="s">
        <v>59</v>
      </c>
      <c r="B32" s="1" t="s">
        <v>24</v>
      </c>
      <c r="C32" s="1">
        <v>1</v>
      </c>
    </row>
    <row r="33" spans="1:12" ht="12" customHeight="1" x14ac:dyDescent="0.3">
      <c r="A33" s="1" t="s">
        <v>60</v>
      </c>
      <c r="B33" s="1" t="s">
        <v>27</v>
      </c>
      <c r="D33" s="1">
        <v>1</v>
      </c>
    </row>
    <row r="34" spans="1:12" ht="12" customHeight="1" x14ac:dyDescent="0.3">
      <c r="A34" s="1" t="s">
        <v>61</v>
      </c>
      <c r="B34" s="1" t="s">
        <v>38</v>
      </c>
      <c r="D34" s="1">
        <v>1</v>
      </c>
    </row>
    <row r="35" spans="1:12" ht="12" customHeight="1" x14ac:dyDescent="0.3">
      <c r="A35" s="1" t="s">
        <v>62</v>
      </c>
      <c r="B35" s="1" t="s">
        <v>30</v>
      </c>
      <c r="D35" s="1">
        <v>1</v>
      </c>
    </row>
    <row r="36" spans="1:12" ht="12" customHeight="1" x14ac:dyDescent="0.3">
      <c r="A36" s="1" t="s">
        <v>63</v>
      </c>
      <c r="B36" s="1" t="s">
        <v>21</v>
      </c>
      <c r="D36" s="1">
        <v>1</v>
      </c>
    </row>
    <row r="37" spans="1:12" ht="12" customHeight="1" x14ac:dyDescent="0.3">
      <c r="A37" s="1" t="s">
        <v>64</v>
      </c>
      <c r="B37" s="1" t="s">
        <v>14</v>
      </c>
      <c r="C37" s="1">
        <v>1</v>
      </c>
    </row>
    <row r="38" spans="1:12" ht="12" customHeight="1" x14ac:dyDescent="0.3">
      <c r="A38" s="1" t="s">
        <v>65</v>
      </c>
      <c r="B38" s="1" t="s">
        <v>66</v>
      </c>
      <c r="E38" s="1">
        <v>1</v>
      </c>
    </row>
    <row r="39" spans="1:12" ht="12" customHeight="1" x14ac:dyDescent="0.3">
      <c r="A39" s="1" t="s">
        <v>67</v>
      </c>
      <c r="B39" s="1" t="s">
        <v>16</v>
      </c>
      <c r="C39" s="1">
        <v>1</v>
      </c>
    </row>
    <row r="40" spans="1:12" ht="12" customHeight="1" x14ac:dyDescent="0.3">
      <c r="A40" s="1" t="s">
        <v>68</v>
      </c>
      <c r="B40" s="1" t="s">
        <v>38</v>
      </c>
      <c r="D40" s="1">
        <v>1</v>
      </c>
    </row>
    <row r="41" spans="1:12" ht="12" customHeight="1" x14ac:dyDescent="0.3">
      <c r="A41" s="1" t="s">
        <v>69</v>
      </c>
      <c r="B41" s="1" t="s">
        <v>37</v>
      </c>
      <c r="D41" s="1">
        <v>1</v>
      </c>
    </row>
    <row r="42" spans="1:12" ht="12" customHeight="1" x14ac:dyDescent="0.3">
      <c r="A42" s="1" t="s">
        <v>70</v>
      </c>
      <c r="B42" s="1" t="s">
        <v>66</v>
      </c>
      <c r="D42" s="1">
        <v>1</v>
      </c>
    </row>
    <row r="43" spans="1:12" ht="12" customHeight="1" x14ac:dyDescent="0.3">
      <c r="A43" s="1" t="s">
        <v>71</v>
      </c>
      <c r="B43" s="1" t="s">
        <v>30</v>
      </c>
      <c r="D43" s="1">
        <v>1</v>
      </c>
    </row>
    <row r="44" spans="1:12" ht="12" customHeight="1" x14ac:dyDescent="0.3">
      <c r="A44" s="1" t="s">
        <v>72</v>
      </c>
      <c r="B44" s="1" t="s">
        <v>27</v>
      </c>
      <c r="D44" s="1">
        <v>1</v>
      </c>
    </row>
    <row r="45" spans="1:12" ht="12" customHeight="1" x14ac:dyDescent="0.3">
      <c r="A45" s="1" t="s">
        <v>73</v>
      </c>
      <c r="B45" s="1" t="s">
        <v>30</v>
      </c>
      <c r="D45" s="1">
        <v>1</v>
      </c>
      <c r="H45" s="1" t="s">
        <v>6</v>
      </c>
      <c r="I45" s="1" t="s">
        <v>7</v>
      </c>
      <c r="J45" s="1" t="s">
        <v>8</v>
      </c>
      <c r="K45" s="1" t="s">
        <v>9</v>
      </c>
      <c r="L45" s="1" t="s">
        <v>10</v>
      </c>
    </row>
    <row r="46" spans="1:12" ht="12" customHeight="1" x14ac:dyDescent="0.3">
      <c r="A46" s="1" t="s">
        <v>74</v>
      </c>
      <c r="B46" s="1" t="s">
        <v>16</v>
      </c>
      <c r="E46" s="1">
        <v>1</v>
      </c>
      <c r="H46" s="2" t="s">
        <v>14</v>
      </c>
      <c r="I46" s="4">
        <f t="shared" ref="I46:I57" si="13">I2/M2</f>
        <v>0.72727272727272729</v>
      </c>
      <c r="J46" s="4">
        <f t="shared" ref="J46:J57" si="14">J2/M2</f>
        <v>9.0909090909090912E-2</v>
      </c>
      <c r="K46" s="4">
        <f t="shared" ref="K46:K57" si="15">K2/M2</f>
        <v>0.18181818181818182</v>
      </c>
      <c r="L46" s="4">
        <f t="shared" ref="L46:L57" si="16">L2/M2</f>
        <v>0</v>
      </c>
    </row>
    <row r="47" spans="1:12" ht="12" customHeight="1" x14ac:dyDescent="0.3">
      <c r="A47" s="1" t="s">
        <v>75</v>
      </c>
      <c r="B47" s="1" t="s">
        <v>66</v>
      </c>
      <c r="E47" s="1">
        <v>1</v>
      </c>
      <c r="H47" s="2" t="s">
        <v>17</v>
      </c>
      <c r="I47" s="4">
        <f t="shared" si="13"/>
        <v>0.91666666666666663</v>
      </c>
      <c r="J47" s="4">
        <f t="shared" si="14"/>
        <v>8.3333333333333329E-2</v>
      </c>
      <c r="K47" s="4">
        <f t="shared" si="15"/>
        <v>0</v>
      </c>
      <c r="L47" s="4">
        <f t="shared" si="16"/>
        <v>0</v>
      </c>
    </row>
    <row r="48" spans="1:12" ht="12" customHeight="1" x14ac:dyDescent="0.3">
      <c r="A48" s="1" t="s">
        <v>76</v>
      </c>
      <c r="B48" s="1" t="s">
        <v>13</v>
      </c>
      <c r="E48" s="1">
        <v>1</v>
      </c>
      <c r="H48" s="2" t="s">
        <v>19</v>
      </c>
      <c r="I48" s="4">
        <f t="shared" si="13"/>
        <v>1</v>
      </c>
      <c r="J48" s="4">
        <f t="shared" si="14"/>
        <v>0</v>
      </c>
      <c r="K48" s="4">
        <f t="shared" si="15"/>
        <v>0</v>
      </c>
      <c r="L48" s="4">
        <f t="shared" si="16"/>
        <v>0</v>
      </c>
    </row>
    <row r="49" spans="1:12" ht="12" customHeight="1" x14ac:dyDescent="0.3">
      <c r="A49" s="1" t="s">
        <v>77</v>
      </c>
      <c r="B49" s="1" t="s">
        <v>16</v>
      </c>
      <c r="D49" s="1">
        <v>1</v>
      </c>
      <c r="H49" s="2" t="s">
        <v>22</v>
      </c>
      <c r="I49" s="4">
        <f t="shared" si="13"/>
        <v>0</v>
      </c>
      <c r="J49" s="4">
        <f t="shared" si="14"/>
        <v>0.77777777777777779</v>
      </c>
      <c r="K49" s="4">
        <f t="shared" si="15"/>
        <v>0</v>
      </c>
      <c r="L49" s="4">
        <f t="shared" si="16"/>
        <v>0.22222222222222221</v>
      </c>
    </row>
    <row r="50" spans="1:12" ht="12" customHeight="1" x14ac:dyDescent="0.3">
      <c r="A50" s="1" t="s">
        <v>78</v>
      </c>
      <c r="B50" s="1" t="s">
        <v>24</v>
      </c>
      <c r="C50" s="1">
        <v>1</v>
      </c>
      <c r="H50" s="2" t="s">
        <v>25</v>
      </c>
      <c r="I50" s="4">
        <f t="shared" si="13"/>
        <v>0.1875</v>
      </c>
      <c r="J50" s="4">
        <f t="shared" si="14"/>
        <v>0.6875</v>
      </c>
      <c r="K50" s="4">
        <f t="shared" si="15"/>
        <v>0.125</v>
      </c>
      <c r="L50" s="4">
        <f t="shared" si="16"/>
        <v>0</v>
      </c>
    </row>
    <row r="51" spans="1:12" ht="12" customHeight="1" x14ac:dyDescent="0.3">
      <c r="A51" s="1" t="s">
        <v>79</v>
      </c>
      <c r="B51" s="1" t="s">
        <v>27</v>
      </c>
      <c r="D51" s="1">
        <v>1</v>
      </c>
      <c r="H51" s="2" t="s">
        <v>28</v>
      </c>
      <c r="I51" s="4">
        <f t="shared" si="13"/>
        <v>0.75</v>
      </c>
      <c r="J51" s="4">
        <f t="shared" si="14"/>
        <v>0.16666666666666666</v>
      </c>
      <c r="K51" s="4">
        <f t="shared" si="15"/>
        <v>8.3333333333333329E-2</v>
      </c>
      <c r="L51" s="4">
        <f t="shared" si="16"/>
        <v>0</v>
      </c>
    </row>
    <row r="52" spans="1:12" ht="12" customHeight="1" x14ac:dyDescent="0.3">
      <c r="A52" s="1" t="s">
        <v>80</v>
      </c>
      <c r="B52" s="1" t="s">
        <v>24</v>
      </c>
      <c r="D52" s="1">
        <v>1</v>
      </c>
      <c r="H52" s="2" t="s">
        <v>27</v>
      </c>
      <c r="I52" s="4">
        <f t="shared" si="13"/>
        <v>0</v>
      </c>
      <c r="J52" s="4">
        <f t="shared" si="14"/>
        <v>0.8666666666666667</v>
      </c>
      <c r="K52" s="4">
        <f t="shared" si="15"/>
        <v>0.13333333333333333</v>
      </c>
      <c r="L52" s="4">
        <f t="shared" si="16"/>
        <v>0</v>
      </c>
    </row>
    <row r="53" spans="1:12" ht="12" customHeight="1" x14ac:dyDescent="0.3">
      <c r="A53" s="1" t="s">
        <v>81</v>
      </c>
      <c r="B53" s="1" t="s">
        <v>66</v>
      </c>
      <c r="D53" s="1">
        <v>1</v>
      </c>
      <c r="H53" s="2" t="s">
        <v>13</v>
      </c>
      <c r="I53" s="4">
        <f t="shared" si="13"/>
        <v>0.1</v>
      </c>
      <c r="J53" s="4">
        <f t="shared" si="14"/>
        <v>0.45</v>
      </c>
      <c r="K53" s="4">
        <f t="shared" si="15"/>
        <v>0.45</v>
      </c>
      <c r="L53" s="4">
        <f t="shared" si="16"/>
        <v>0</v>
      </c>
    </row>
    <row r="54" spans="1:12" ht="12" customHeight="1" x14ac:dyDescent="0.3">
      <c r="A54" s="1" t="s">
        <v>82</v>
      </c>
      <c r="B54" s="1" t="s">
        <v>16</v>
      </c>
      <c r="C54" s="1">
        <v>1</v>
      </c>
      <c r="H54" s="2" t="s">
        <v>30</v>
      </c>
      <c r="I54" s="4">
        <f t="shared" si="13"/>
        <v>0</v>
      </c>
      <c r="J54" s="4">
        <f t="shared" si="14"/>
        <v>0.90476190476190477</v>
      </c>
      <c r="K54" s="4">
        <f t="shared" si="15"/>
        <v>9.5238095238095233E-2</v>
      </c>
      <c r="L54" s="4">
        <f t="shared" si="16"/>
        <v>0</v>
      </c>
    </row>
    <row r="55" spans="1:12" ht="12" customHeight="1" x14ac:dyDescent="0.3">
      <c r="A55" s="1" t="s">
        <v>83</v>
      </c>
      <c r="B55" s="1" t="s">
        <v>14</v>
      </c>
      <c r="C55" s="1">
        <v>1</v>
      </c>
      <c r="H55" s="2" t="s">
        <v>35</v>
      </c>
      <c r="I55" s="4">
        <f t="shared" si="13"/>
        <v>6.6666666666666666E-2</v>
      </c>
      <c r="J55" s="4">
        <f t="shared" si="14"/>
        <v>0.4</v>
      </c>
      <c r="K55" s="4">
        <f t="shared" si="15"/>
        <v>0.53333333333333333</v>
      </c>
      <c r="L55" s="4">
        <f t="shared" si="16"/>
        <v>0</v>
      </c>
    </row>
    <row r="56" spans="1:12" ht="12" customHeight="1" x14ac:dyDescent="0.3">
      <c r="A56" s="1" t="s">
        <v>84</v>
      </c>
      <c r="B56" s="1" t="s">
        <v>21</v>
      </c>
      <c r="D56" s="1">
        <v>1</v>
      </c>
      <c r="H56" s="2" t="s">
        <v>38</v>
      </c>
      <c r="I56" s="4">
        <f t="shared" si="13"/>
        <v>0</v>
      </c>
      <c r="J56" s="4">
        <f t="shared" si="14"/>
        <v>0.8571428571428571</v>
      </c>
      <c r="K56" s="4">
        <f t="shared" si="15"/>
        <v>0.14285714285714285</v>
      </c>
      <c r="L56" s="4">
        <f t="shared" si="16"/>
        <v>0</v>
      </c>
    </row>
    <row r="57" spans="1:12" ht="12" customHeight="1" x14ac:dyDescent="0.3">
      <c r="A57" s="1" t="s">
        <v>85</v>
      </c>
      <c r="B57" s="1" t="s">
        <v>33</v>
      </c>
      <c r="C57" s="1">
        <v>1</v>
      </c>
      <c r="H57" s="2" t="s">
        <v>33</v>
      </c>
      <c r="I57" s="4">
        <f t="shared" si="13"/>
        <v>0.8</v>
      </c>
      <c r="J57" s="4">
        <f t="shared" si="14"/>
        <v>0.2</v>
      </c>
      <c r="K57" s="4">
        <f t="shared" si="15"/>
        <v>0</v>
      </c>
      <c r="L57" s="4">
        <f t="shared" si="16"/>
        <v>0</v>
      </c>
    </row>
    <row r="58" spans="1:12" ht="12" customHeight="1" x14ac:dyDescent="0.3">
      <c r="A58" s="1" t="s">
        <v>86</v>
      </c>
      <c r="B58" s="1" t="s">
        <v>24</v>
      </c>
      <c r="C58" s="1">
        <v>1</v>
      </c>
    </row>
    <row r="59" spans="1:12" ht="12" customHeight="1" x14ac:dyDescent="0.3">
      <c r="A59" s="1" t="s">
        <v>87</v>
      </c>
      <c r="B59" s="1" t="s">
        <v>37</v>
      </c>
      <c r="E59" s="1">
        <v>1</v>
      </c>
    </row>
    <row r="60" spans="1:12" ht="12" customHeight="1" x14ac:dyDescent="0.3">
      <c r="A60" s="1" t="s">
        <v>88</v>
      </c>
      <c r="B60" s="1" t="s">
        <v>27</v>
      </c>
      <c r="D60" s="1">
        <v>1</v>
      </c>
    </row>
    <row r="61" spans="1:12" ht="12" customHeight="1" x14ac:dyDescent="0.3">
      <c r="A61" s="1" t="s">
        <v>89</v>
      </c>
      <c r="B61" s="1" t="s">
        <v>13</v>
      </c>
      <c r="C61" s="1">
        <v>1</v>
      </c>
    </row>
    <row r="62" spans="1:12" ht="12" customHeight="1" x14ac:dyDescent="0.3">
      <c r="A62" s="1" t="s">
        <v>90</v>
      </c>
      <c r="B62" s="1" t="s">
        <v>19</v>
      </c>
      <c r="C62" s="1">
        <v>1</v>
      </c>
    </row>
    <row r="63" spans="1:12" ht="12" customHeight="1" x14ac:dyDescent="0.3">
      <c r="A63" s="1" t="s">
        <v>91</v>
      </c>
      <c r="B63" s="1" t="s">
        <v>21</v>
      </c>
      <c r="F63" s="1">
        <v>1</v>
      </c>
    </row>
    <row r="64" spans="1:12" ht="12" customHeight="1" x14ac:dyDescent="0.3">
      <c r="A64" s="1" t="s">
        <v>92</v>
      </c>
      <c r="B64" s="1" t="s">
        <v>42</v>
      </c>
      <c r="D64" s="1">
        <v>1</v>
      </c>
    </row>
    <row r="65" spans="1:6" ht="12" customHeight="1" x14ac:dyDescent="0.3">
      <c r="A65" s="1" t="s">
        <v>93</v>
      </c>
      <c r="B65" s="1" t="s">
        <v>14</v>
      </c>
      <c r="C65" s="1">
        <v>1</v>
      </c>
    </row>
    <row r="66" spans="1:6" ht="12" customHeight="1" x14ac:dyDescent="0.3">
      <c r="A66" s="1" t="s">
        <v>94</v>
      </c>
      <c r="B66" s="1" t="s">
        <v>14</v>
      </c>
      <c r="E66" s="1">
        <v>1</v>
      </c>
    </row>
    <row r="67" spans="1:6" ht="12" customHeight="1" x14ac:dyDescent="0.3">
      <c r="A67" s="1" t="s">
        <v>95</v>
      </c>
      <c r="B67" s="1" t="s">
        <v>38</v>
      </c>
      <c r="D67" s="1">
        <v>1</v>
      </c>
    </row>
    <row r="68" spans="1:6" ht="12" customHeight="1" x14ac:dyDescent="0.3">
      <c r="A68" s="1" t="s">
        <v>96</v>
      </c>
      <c r="B68" s="1" t="s">
        <v>19</v>
      </c>
      <c r="C68" s="1">
        <v>1</v>
      </c>
    </row>
    <row r="69" spans="1:6" ht="12" customHeight="1" x14ac:dyDescent="0.3">
      <c r="A69" s="1" t="s">
        <v>97</v>
      </c>
      <c r="B69" s="1" t="s">
        <v>24</v>
      </c>
      <c r="C69" s="1">
        <v>1</v>
      </c>
    </row>
    <row r="70" spans="1:6" ht="12" customHeight="1" x14ac:dyDescent="0.3">
      <c r="A70" s="1" t="s">
        <v>98</v>
      </c>
      <c r="B70" s="1" t="s">
        <v>30</v>
      </c>
      <c r="D70" s="1">
        <v>1</v>
      </c>
    </row>
    <row r="71" spans="1:6" ht="12" customHeight="1" x14ac:dyDescent="0.3">
      <c r="A71" s="1" t="s">
        <v>99</v>
      </c>
      <c r="B71" s="1" t="s">
        <v>30</v>
      </c>
      <c r="D71" s="1">
        <v>1</v>
      </c>
    </row>
    <row r="72" spans="1:6" ht="12" customHeight="1" x14ac:dyDescent="0.3">
      <c r="A72" s="1" t="s">
        <v>100</v>
      </c>
      <c r="B72" s="1" t="s">
        <v>27</v>
      </c>
      <c r="D72" s="1">
        <v>1</v>
      </c>
    </row>
    <row r="73" spans="1:6" ht="12" customHeight="1" x14ac:dyDescent="0.3">
      <c r="A73" s="1" t="s">
        <v>101</v>
      </c>
      <c r="B73" s="1" t="s">
        <v>21</v>
      </c>
      <c r="F73" s="1">
        <v>1</v>
      </c>
    </row>
    <row r="74" spans="1:6" ht="12" customHeight="1" x14ac:dyDescent="0.3">
      <c r="A74" s="1" t="s">
        <v>102</v>
      </c>
      <c r="B74" s="1" t="s">
        <v>66</v>
      </c>
      <c r="D74" s="1">
        <v>1</v>
      </c>
    </row>
    <row r="75" spans="1:6" ht="12" customHeight="1" x14ac:dyDescent="0.3">
      <c r="A75" s="1" t="s">
        <v>103</v>
      </c>
      <c r="B75" s="1" t="s">
        <v>30</v>
      </c>
      <c r="E75" s="1">
        <v>1</v>
      </c>
    </row>
    <row r="76" spans="1:6" ht="12" customHeight="1" x14ac:dyDescent="0.3">
      <c r="A76" s="1" t="s">
        <v>104</v>
      </c>
      <c r="B76" s="1" t="s">
        <v>24</v>
      </c>
      <c r="C76" s="1">
        <v>1</v>
      </c>
    </row>
    <row r="77" spans="1:6" ht="12" customHeight="1" x14ac:dyDescent="0.3">
      <c r="A77" s="1" t="s">
        <v>105</v>
      </c>
      <c r="B77" s="1" t="s">
        <v>66</v>
      </c>
      <c r="E77" s="1">
        <v>1</v>
      </c>
    </row>
    <row r="78" spans="1:6" ht="12" customHeight="1" x14ac:dyDescent="0.3">
      <c r="A78" s="1" t="s">
        <v>106</v>
      </c>
      <c r="B78" s="1" t="s">
        <v>42</v>
      </c>
      <c r="C78" s="1">
        <v>1</v>
      </c>
    </row>
    <row r="79" spans="1:6" ht="12" customHeight="1" x14ac:dyDescent="0.3">
      <c r="A79" s="1" t="s">
        <v>107</v>
      </c>
      <c r="B79" s="1" t="s">
        <v>27</v>
      </c>
      <c r="D79" s="1">
        <v>1</v>
      </c>
    </row>
    <row r="80" spans="1:6" ht="12" customHeight="1" x14ac:dyDescent="0.3">
      <c r="A80" s="1" t="s">
        <v>108</v>
      </c>
      <c r="B80" s="1" t="s">
        <v>66</v>
      </c>
      <c r="E80" s="1">
        <v>1</v>
      </c>
    </row>
    <row r="81" spans="1:4" ht="12" customHeight="1" x14ac:dyDescent="0.3">
      <c r="A81" s="1" t="s">
        <v>109</v>
      </c>
      <c r="B81" s="1" t="s">
        <v>30</v>
      </c>
      <c r="D81" s="1">
        <v>1</v>
      </c>
    </row>
    <row r="82" spans="1:4" ht="12" customHeight="1" x14ac:dyDescent="0.3">
      <c r="A82" s="1" t="s">
        <v>110</v>
      </c>
      <c r="B82" s="1" t="s">
        <v>37</v>
      </c>
      <c r="D82" s="1">
        <v>1</v>
      </c>
    </row>
    <row r="83" spans="1:4" ht="12" customHeight="1" x14ac:dyDescent="0.3">
      <c r="A83" s="1" t="s">
        <v>111</v>
      </c>
      <c r="B83" s="1" t="s">
        <v>37</v>
      </c>
      <c r="D83" s="1">
        <v>1</v>
      </c>
    </row>
    <row r="84" spans="1:4" ht="12" customHeight="1" x14ac:dyDescent="0.3">
      <c r="A84" s="1" t="s">
        <v>112</v>
      </c>
      <c r="B84" s="1" t="s">
        <v>38</v>
      </c>
      <c r="D84" s="1">
        <v>1</v>
      </c>
    </row>
    <row r="85" spans="1:4" ht="12" customHeight="1" x14ac:dyDescent="0.3">
      <c r="A85" s="1" t="s">
        <v>113</v>
      </c>
      <c r="B85" s="1" t="s">
        <v>21</v>
      </c>
      <c r="D85" s="1">
        <v>1</v>
      </c>
    </row>
    <row r="86" spans="1:4" ht="12" customHeight="1" x14ac:dyDescent="0.3">
      <c r="A86" s="1" t="s">
        <v>114</v>
      </c>
      <c r="B86" s="1" t="s">
        <v>42</v>
      </c>
      <c r="D86" s="1">
        <v>1</v>
      </c>
    </row>
    <row r="87" spans="1:4" ht="12" customHeight="1" x14ac:dyDescent="0.3">
      <c r="A87" s="1" t="s">
        <v>115</v>
      </c>
      <c r="B87" s="1" t="s">
        <v>21</v>
      </c>
      <c r="D87" s="1">
        <v>1</v>
      </c>
    </row>
    <row r="88" spans="1:4" ht="12" customHeight="1" x14ac:dyDescent="0.3">
      <c r="A88" s="1" t="s">
        <v>116</v>
      </c>
      <c r="B88" s="1" t="s">
        <v>30</v>
      </c>
      <c r="D88" s="1">
        <v>1</v>
      </c>
    </row>
    <row r="89" spans="1:4" ht="12" customHeight="1" x14ac:dyDescent="0.3">
      <c r="A89" s="1" t="s">
        <v>117</v>
      </c>
      <c r="B89" s="1" t="s">
        <v>16</v>
      </c>
      <c r="C89" s="1">
        <v>1</v>
      </c>
    </row>
    <row r="90" spans="1:4" ht="12" customHeight="1" x14ac:dyDescent="0.3">
      <c r="A90" s="1" t="s">
        <v>118</v>
      </c>
      <c r="B90" s="1" t="s">
        <v>16</v>
      </c>
      <c r="C90" s="1">
        <v>1</v>
      </c>
    </row>
    <row r="91" spans="1:4" ht="12" customHeight="1" x14ac:dyDescent="0.3">
      <c r="A91" s="1" t="s">
        <v>119</v>
      </c>
      <c r="B91" s="1" t="s">
        <v>66</v>
      </c>
      <c r="D91" s="1">
        <v>1</v>
      </c>
    </row>
    <row r="92" spans="1:4" ht="12" customHeight="1" x14ac:dyDescent="0.3">
      <c r="A92" s="1" t="s">
        <v>120</v>
      </c>
      <c r="B92" s="1" t="s">
        <v>13</v>
      </c>
      <c r="C92" s="1">
        <v>1</v>
      </c>
    </row>
    <row r="93" spans="1:4" ht="12" customHeight="1" x14ac:dyDescent="0.3">
      <c r="A93" s="1" t="s">
        <v>121</v>
      </c>
      <c r="B93" s="1" t="s">
        <v>30</v>
      </c>
      <c r="D93" s="1">
        <v>1</v>
      </c>
    </row>
    <row r="94" spans="1:4" ht="12" customHeight="1" x14ac:dyDescent="0.3">
      <c r="A94" s="1" t="s">
        <v>122</v>
      </c>
      <c r="B94" s="1" t="s">
        <v>24</v>
      </c>
      <c r="C94" s="1">
        <v>1</v>
      </c>
    </row>
    <row r="95" spans="1:4" ht="12" customHeight="1" x14ac:dyDescent="0.3">
      <c r="A95" s="1" t="s">
        <v>123</v>
      </c>
      <c r="B95" s="1" t="s">
        <v>21</v>
      </c>
      <c r="D95" s="1">
        <v>1</v>
      </c>
    </row>
    <row r="96" spans="1:4" ht="12" customHeight="1" x14ac:dyDescent="0.3">
      <c r="A96" s="1" t="s">
        <v>124</v>
      </c>
      <c r="B96" s="1" t="s">
        <v>14</v>
      </c>
      <c r="C96" s="1">
        <v>1</v>
      </c>
    </row>
    <row r="97" spans="1:5" ht="12" customHeight="1" x14ac:dyDescent="0.3">
      <c r="A97" s="1" t="s">
        <v>125</v>
      </c>
      <c r="B97" s="1" t="s">
        <v>66</v>
      </c>
      <c r="E97" s="1">
        <v>1</v>
      </c>
    </row>
    <row r="98" spans="1:5" ht="12" customHeight="1" x14ac:dyDescent="0.3">
      <c r="A98" s="1" t="s">
        <v>126</v>
      </c>
      <c r="B98" s="1" t="s">
        <v>30</v>
      </c>
      <c r="D98" s="1">
        <v>1</v>
      </c>
    </row>
    <row r="99" spans="1:5" ht="12" customHeight="1" x14ac:dyDescent="0.3">
      <c r="A99" s="1" t="s">
        <v>127</v>
      </c>
      <c r="B99" s="1" t="s">
        <v>27</v>
      </c>
      <c r="D99" s="1">
        <v>1</v>
      </c>
    </row>
    <row r="100" spans="1:5" ht="12" customHeight="1" x14ac:dyDescent="0.3">
      <c r="A100" s="1" t="s">
        <v>128</v>
      </c>
      <c r="B100" s="1" t="s">
        <v>30</v>
      </c>
      <c r="D100" s="1">
        <v>1</v>
      </c>
    </row>
    <row r="101" spans="1:5" ht="12" customHeight="1" x14ac:dyDescent="0.3">
      <c r="A101" s="1" t="s">
        <v>129</v>
      </c>
      <c r="B101" s="1" t="s">
        <v>27</v>
      </c>
      <c r="D101" s="1">
        <v>1</v>
      </c>
    </row>
    <row r="102" spans="1:5" ht="12" customHeight="1" x14ac:dyDescent="0.3">
      <c r="A102" s="1" t="s">
        <v>130</v>
      </c>
      <c r="B102" s="1" t="s">
        <v>16</v>
      </c>
      <c r="C102" s="1">
        <v>1</v>
      </c>
    </row>
    <row r="103" spans="1:5" ht="12" customHeight="1" x14ac:dyDescent="0.3">
      <c r="A103" s="1" t="s">
        <v>131</v>
      </c>
      <c r="B103" s="1" t="s">
        <v>66</v>
      </c>
      <c r="E103" s="1">
        <v>1</v>
      </c>
    </row>
    <row r="104" spans="1:5" ht="12" customHeight="1" x14ac:dyDescent="0.3">
      <c r="A104" s="1" t="s">
        <v>132</v>
      </c>
      <c r="B104" s="1" t="s">
        <v>30</v>
      </c>
      <c r="D104" s="1">
        <v>1</v>
      </c>
    </row>
    <row r="105" spans="1:5" ht="12" customHeight="1" x14ac:dyDescent="0.3">
      <c r="A105" s="1" t="s">
        <v>133</v>
      </c>
      <c r="B105" s="1" t="s">
        <v>14</v>
      </c>
      <c r="C105" s="1">
        <v>1</v>
      </c>
    </row>
    <row r="106" spans="1:5" ht="12" customHeight="1" x14ac:dyDescent="0.3">
      <c r="A106" s="1" t="s">
        <v>134</v>
      </c>
      <c r="B106" s="1" t="s">
        <v>42</v>
      </c>
      <c r="D106" s="1">
        <v>1</v>
      </c>
    </row>
    <row r="107" spans="1:5" ht="12" customHeight="1" x14ac:dyDescent="0.3">
      <c r="A107" s="1" t="s">
        <v>135</v>
      </c>
      <c r="B107" s="1" t="s">
        <v>27</v>
      </c>
      <c r="D107" s="1">
        <v>1</v>
      </c>
    </row>
    <row r="108" spans="1:5" ht="12" customHeight="1" x14ac:dyDescent="0.3">
      <c r="A108" s="1" t="s">
        <v>136</v>
      </c>
      <c r="B108" s="1" t="s">
        <v>66</v>
      </c>
      <c r="E108" s="1">
        <v>1</v>
      </c>
    </row>
    <row r="109" spans="1:5" ht="12" customHeight="1" x14ac:dyDescent="0.3">
      <c r="A109" s="1" t="s">
        <v>137</v>
      </c>
      <c r="B109" s="1" t="s">
        <v>13</v>
      </c>
      <c r="D109" s="1">
        <v>1</v>
      </c>
    </row>
    <row r="110" spans="1:5" ht="12" customHeight="1" x14ac:dyDescent="0.3">
      <c r="A110" s="1" t="s">
        <v>138</v>
      </c>
      <c r="B110" s="1" t="s">
        <v>42</v>
      </c>
      <c r="D110" s="1">
        <v>1</v>
      </c>
    </row>
    <row r="111" spans="1:5" ht="12" customHeight="1" x14ac:dyDescent="0.3">
      <c r="A111" s="1" t="s">
        <v>139</v>
      </c>
      <c r="B111" s="1" t="s">
        <v>27</v>
      </c>
      <c r="E111" s="1">
        <v>1</v>
      </c>
    </row>
    <row r="112" spans="1:5" ht="12" customHeight="1" x14ac:dyDescent="0.3">
      <c r="A112" s="1" t="s">
        <v>140</v>
      </c>
      <c r="B112" s="1" t="s">
        <v>16</v>
      </c>
      <c r="C112" s="1">
        <v>1</v>
      </c>
    </row>
    <row r="113" spans="1:6" ht="12" customHeight="1" x14ac:dyDescent="0.3">
      <c r="A113" s="1" t="s">
        <v>141</v>
      </c>
      <c r="B113" s="1" t="s">
        <v>14</v>
      </c>
      <c r="E113" s="1">
        <v>1</v>
      </c>
    </row>
    <row r="114" spans="1:6" ht="12" customHeight="1" x14ac:dyDescent="0.3">
      <c r="A114" s="1" t="s">
        <v>142</v>
      </c>
      <c r="B114" s="1" t="s">
        <v>16</v>
      </c>
      <c r="D114" s="1">
        <v>1</v>
      </c>
    </row>
    <row r="115" spans="1:6" ht="12" customHeight="1" x14ac:dyDescent="0.3">
      <c r="A115" s="1" t="s">
        <v>143</v>
      </c>
      <c r="B115" s="1" t="s">
        <v>24</v>
      </c>
      <c r="C115" s="1">
        <v>1</v>
      </c>
    </row>
    <row r="116" spans="1:6" ht="12" customHeight="1" x14ac:dyDescent="0.3">
      <c r="A116" s="1" t="s">
        <v>144</v>
      </c>
      <c r="B116" s="1" t="s">
        <v>66</v>
      </c>
      <c r="D116" s="1">
        <v>1</v>
      </c>
    </row>
    <row r="117" spans="1:6" ht="12" customHeight="1" x14ac:dyDescent="0.3">
      <c r="A117" s="1" t="s">
        <v>145</v>
      </c>
      <c r="B117" s="1" t="s">
        <v>27</v>
      </c>
      <c r="D117" s="1">
        <v>1</v>
      </c>
    </row>
    <row r="118" spans="1:6" ht="12" customHeight="1" x14ac:dyDescent="0.3">
      <c r="A118" s="1" t="s">
        <v>146</v>
      </c>
      <c r="B118" s="1" t="s">
        <v>30</v>
      </c>
      <c r="E118" s="1">
        <v>1</v>
      </c>
    </row>
    <row r="119" spans="1:6" ht="12" customHeight="1" x14ac:dyDescent="0.3">
      <c r="A119" s="1" t="s">
        <v>147</v>
      </c>
      <c r="B119" s="1" t="s">
        <v>42</v>
      </c>
      <c r="D119" s="1">
        <v>1</v>
      </c>
    </row>
    <row r="120" spans="1:6" ht="12" customHeight="1" x14ac:dyDescent="0.3">
      <c r="A120" s="1" t="s">
        <v>148</v>
      </c>
      <c r="B120" s="1" t="s">
        <v>13</v>
      </c>
      <c r="D120" s="1">
        <v>1</v>
      </c>
    </row>
    <row r="121" spans="1:6" ht="12" customHeight="1" x14ac:dyDescent="0.3">
      <c r="A121" s="1" t="s">
        <v>149</v>
      </c>
      <c r="B121" s="1" t="s">
        <v>150</v>
      </c>
      <c r="F121" s="1">
        <v>1</v>
      </c>
    </row>
    <row r="122" spans="1:6" ht="12" customHeight="1" x14ac:dyDescent="0.3">
      <c r="A122" s="1" t="s">
        <v>151</v>
      </c>
      <c r="B122" s="1" t="s">
        <v>24</v>
      </c>
      <c r="C122" s="1">
        <v>1</v>
      </c>
    </row>
    <row r="123" spans="1:6" ht="12" customHeight="1" x14ac:dyDescent="0.3">
      <c r="A123" s="1" t="s">
        <v>152</v>
      </c>
      <c r="B123" s="1" t="s">
        <v>24</v>
      </c>
      <c r="C123" s="1">
        <v>1</v>
      </c>
    </row>
    <row r="124" spans="1:6" ht="12" customHeight="1" x14ac:dyDescent="0.3">
      <c r="A124" s="1" t="s">
        <v>153</v>
      </c>
      <c r="B124" s="1" t="s">
        <v>19</v>
      </c>
      <c r="C124" s="1">
        <v>1</v>
      </c>
    </row>
    <row r="125" spans="1:6" ht="12" customHeight="1" x14ac:dyDescent="0.3">
      <c r="A125" s="1" t="s">
        <v>154</v>
      </c>
      <c r="B125" s="1" t="s">
        <v>33</v>
      </c>
      <c r="C125" s="1">
        <v>1</v>
      </c>
    </row>
    <row r="126" spans="1:6" ht="12" customHeight="1" x14ac:dyDescent="0.3">
      <c r="A126" s="1" t="s">
        <v>155</v>
      </c>
      <c r="B126" s="1" t="s">
        <v>13</v>
      </c>
      <c r="D126" s="1">
        <v>1</v>
      </c>
    </row>
    <row r="127" spans="1:6" ht="12" customHeight="1" x14ac:dyDescent="0.3">
      <c r="A127" s="1" t="s">
        <v>156</v>
      </c>
      <c r="B127" s="1" t="s">
        <v>13</v>
      </c>
      <c r="D127" s="1">
        <v>1</v>
      </c>
    </row>
    <row r="128" spans="1:6" ht="12" customHeight="1" x14ac:dyDescent="0.3">
      <c r="A128" s="1" t="s">
        <v>157</v>
      </c>
      <c r="B128" s="1" t="s">
        <v>14</v>
      </c>
      <c r="D128" s="1">
        <v>1</v>
      </c>
    </row>
    <row r="129" spans="1:5" ht="12" customHeight="1" x14ac:dyDescent="0.3">
      <c r="A129" s="1" t="s">
        <v>158</v>
      </c>
      <c r="B129" s="1" t="s">
        <v>16</v>
      </c>
      <c r="C129" s="1">
        <v>1</v>
      </c>
    </row>
    <row r="130" spans="1:5" ht="12" customHeight="1" x14ac:dyDescent="0.3">
      <c r="A130" s="1" t="s">
        <v>159</v>
      </c>
      <c r="B130" s="1" t="s">
        <v>13</v>
      </c>
      <c r="D130" s="1">
        <v>1</v>
      </c>
    </row>
    <row r="131" spans="1:5" ht="12" customHeight="1" x14ac:dyDescent="0.3">
      <c r="A131" s="1" t="s">
        <v>160</v>
      </c>
      <c r="B131" s="1" t="s">
        <v>66</v>
      </c>
      <c r="C131" s="1">
        <v>1</v>
      </c>
    </row>
    <row r="132" spans="1:5" ht="12" customHeight="1" x14ac:dyDescent="0.3">
      <c r="A132" s="1" t="s">
        <v>161</v>
      </c>
      <c r="B132" s="1" t="s">
        <v>38</v>
      </c>
      <c r="D132" s="1">
        <v>1</v>
      </c>
    </row>
    <row r="133" spans="1:5" ht="12" customHeight="1" x14ac:dyDescent="0.3">
      <c r="A133" s="1" t="s">
        <v>162</v>
      </c>
      <c r="B133" s="1" t="s">
        <v>13</v>
      </c>
      <c r="D133" s="1">
        <v>1</v>
      </c>
    </row>
    <row r="134" spans="1:5" ht="12" customHeight="1" x14ac:dyDescent="0.3">
      <c r="A134" s="1" t="s">
        <v>163</v>
      </c>
      <c r="B134" s="1" t="s">
        <v>66</v>
      </c>
      <c r="D134" s="1">
        <v>1</v>
      </c>
    </row>
    <row r="135" spans="1:5" ht="12" customHeight="1" x14ac:dyDescent="0.3">
      <c r="A135" s="1" t="s">
        <v>164</v>
      </c>
      <c r="B135" s="1" t="s">
        <v>21</v>
      </c>
      <c r="D135" s="1">
        <v>1</v>
      </c>
    </row>
    <row r="136" spans="1:5" ht="12" customHeight="1" x14ac:dyDescent="0.3">
      <c r="A136" s="1" t="s">
        <v>165</v>
      </c>
      <c r="B136" s="1" t="s">
        <v>30</v>
      </c>
      <c r="D136" s="1">
        <v>1</v>
      </c>
    </row>
    <row r="137" spans="1:5" ht="12" customHeight="1" x14ac:dyDescent="0.3">
      <c r="A137" s="1" t="s">
        <v>166</v>
      </c>
      <c r="B137" s="1" t="s">
        <v>30</v>
      </c>
      <c r="D137" s="1">
        <v>1</v>
      </c>
    </row>
    <row r="138" spans="1:5" ht="12" customHeight="1" x14ac:dyDescent="0.3">
      <c r="A138" s="1" t="s">
        <v>167</v>
      </c>
      <c r="B138" s="1" t="s">
        <v>19</v>
      </c>
      <c r="C138" s="1">
        <v>1</v>
      </c>
    </row>
    <row r="139" spans="1:5" ht="12" customHeight="1" x14ac:dyDescent="0.3">
      <c r="A139" s="1" t="s">
        <v>168</v>
      </c>
      <c r="B139" s="1" t="s">
        <v>13</v>
      </c>
      <c r="D139" s="1">
        <v>1</v>
      </c>
    </row>
    <row r="140" spans="1:5" ht="12" customHeight="1" x14ac:dyDescent="0.3">
      <c r="A140" s="1" t="s">
        <v>169</v>
      </c>
      <c r="B140" s="1" t="s">
        <v>27</v>
      </c>
      <c r="D140" s="1">
        <v>1</v>
      </c>
    </row>
    <row r="141" spans="1:5" ht="12" customHeight="1" x14ac:dyDescent="0.3">
      <c r="A141" s="1" t="s">
        <v>170</v>
      </c>
      <c r="B141" s="1" t="s">
        <v>16</v>
      </c>
      <c r="C141" s="1">
        <v>1</v>
      </c>
    </row>
    <row r="142" spans="1:5" ht="12" customHeight="1" x14ac:dyDescent="0.3">
      <c r="A142" s="1" t="s">
        <v>171</v>
      </c>
      <c r="B142" s="1" t="s">
        <v>19</v>
      </c>
      <c r="C142" s="1">
        <v>1</v>
      </c>
    </row>
    <row r="143" spans="1:5" ht="12" customHeight="1" x14ac:dyDescent="0.3">
      <c r="A143" s="1" t="s">
        <v>172</v>
      </c>
      <c r="B143" s="1" t="s">
        <v>37</v>
      </c>
      <c r="E143" s="1">
        <v>1</v>
      </c>
    </row>
    <row r="144" spans="1:5" ht="12" customHeight="1" x14ac:dyDescent="0.3">
      <c r="A144" s="1" t="s">
        <v>173</v>
      </c>
      <c r="B144" s="1" t="s">
        <v>27</v>
      </c>
      <c r="D144" s="1">
        <v>1</v>
      </c>
    </row>
    <row r="145" spans="1:5" ht="12" customHeight="1" x14ac:dyDescent="0.3">
      <c r="A145" s="1" t="s">
        <v>174</v>
      </c>
      <c r="B145" s="1" t="s">
        <v>66</v>
      </c>
      <c r="D145" s="1">
        <v>1</v>
      </c>
    </row>
    <row r="146" spans="1:5" ht="12" customHeight="1" x14ac:dyDescent="0.3">
      <c r="A146" s="1" t="s">
        <v>175</v>
      </c>
      <c r="B146" s="1" t="s">
        <v>14</v>
      </c>
      <c r="C146" s="1">
        <v>1</v>
      </c>
    </row>
    <row r="147" spans="1:5" ht="12" customHeight="1" x14ac:dyDescent="0.3">
      <c r="A147" s="1" t="s">
        <v>176</v>
      </c>
      <c r="B147" s="1" t="s">
        <v>66</v>
      </c>
      <c r="E147" s="1">
        <v>1</v>
      </c>
    </row>
    <row r="148" spans="1:5" ht="12" customHeight="1" x14ac:dyDescent="0.3">
      <c r="A148" s="1" t="s">
        <v>177</v>
      </c>
      <c r="B148" s="1" t="s">
        <v>42</v>
      </c>
      <c r="D148" s="1">
        <v>1</v>
      </c>
    </row>
    <row r="149" spans="1:5" ht="12" customHeight="1" x14ac:dyDescent="0.3">
      <c r="A149" s="1" t="s">
        <v>178</v>
      </c>
      <c r="B149" s="1" t="s">
        <v>33</v>
      </c>
      <c r="D149" s="1">
        <v>1</v>
      </c>
    </row>
    <row r="150" spans="1:5" ht="12" customHeight="1" x14ac:dyDescent="0.3">
      <c r="A150" s="1" t="s">
        <v>179</v>
      </c>
      <c r="B150" s="1" t="s">
        <v>14</v>
      </c>
      <c r="C150" s="1">
        <v>1</v>
      </c>
    </row>
    <row r="151" spans="1:5" ht="12" customHeight="1" x14ac:dyDescent="0.3">
      <c r="A151" s="1" t="s">
        <v>180</v>
      </c>
      <c r="B151" s="1" t="s">
        <v>13</v>
      </c>
      <c r="D151" s="1">
        <v>1</v>
      </c>
    </row>
    <row r="152" spans="1:5" ht="12" customHeight="1" x14ac:dyDescent="0.3">
      <c r="A152" s="1" t="s">
        <v>181</v>
      </c>
      <c r="B152" s="1" t="s">
        <v>24</v>
      </c>
      <c r="C152" s="1">
        <v>1</v>
      </c>
    </row>
    <row r="153" spans="1:5" ht="12" customHeight="1" x14ac:dyDescent="0.3">
      <c r="A153" s="1" t="s">
        <v>182</v>
      </c>
      <c r="B153" s="1" t="s">
        <v>19</v>
      </c>
      <c r="C153" s="1">
        <v>1</v>
      </c>
    </row>
    <row r="154" spans="1:5" ht="12" customHeight="1" x14ac:dyDescent="0.3">
      <c r="A154" s="1" t="s">
        <v>183</v>
      </c>
      <c r="B154" s="1" t="s">
        <v>42</v>
      </c>
      <c r="D154" s="1">
        <v>1</v>
      </c>
    </row>
    <row r="155" spans="1:5" ht="12" customHeight="1" x14ac:dyDescent="0.3">
      <c r="A155" s="1" t="s">
        <v>184</v>
      </c>
      <c r="B155" s="1" t="s">
        <v>19</v>
      </c>
      <c r="C155" s="1">
        <v>1</v>
      </c>
    </row>
    <row r="156" spans="1:5" ht="12" customHeight="1" x14ac:dyDescent="0.3">
      <c r="A156" s="1" t="s">
        <v>185</v>
      </c>
      <c r="B156" s="1" t="s">
        <v>30</v>
      </c>
      <c r="D156" s="1">
        <v>1</v>
      </c>
    </row>
    <row r="157" spans="1:5" ht="12" customHeight="1" x14ac:dyDescent="0.3"/>
    <row r="158" spans="1:5" ht="12" customHeight="1" x14ac:dyDescent="0.3"/>
    <row r="159" spans="1:5" ht="12" customHeight="1" x14ac:dyDescent="0.3"/>
    <row r="160" spans="1:5" ht="12" customHeight="1" x14ac:dyDescent="0.3"/>
    <row r="161" s="1" customFormat="1" ht="12" customHeight="1" x14ac:dyDescent="0.3"/>
    <row r="162" s="1" customFormat="1" ht="12" customHeight="1" x14ac:dyDescent="0.3"/>
    <row r="163" s="1" customFormat="1" ht="12" customHeight="1" x14ac:dyDescent="0.3"/>
    <row r="164" s="1" customFormat="1" ht="12" customHeight="1" x14ac:dyDescent="0.3"/>
    <row r="165" s="1" customFormat="1" ht="12" customHeight="1" x14ac:dyDescent="0.3"/>
    <row r="166" s="1" customFormat="1" ht="12" customHeight="1" x14ac:dyDescent="0.3"/>
    <row r="167" s="1" customFormat="1" ht="12" customHeight="1" x14ac:dyDescent="0.3"/>
    <row r="168" s="1" customFormat="1" ht="12" customHeight="1" x14ac:dyDescent="0.3"/>
    <row r="169" s="1" customFormat="1" ht="12" customHeight="1" x14ac:dyDescent="0.3"/>
    <row r="170" s="1" customFormat="1" ht="12" customHeight="1" x14ac:dyDescent="0.3"/>
    <row r="171" s="1" customFormat="1" ht="12" customHeight="1" x14ac:dyDescent="0.3"/>
    <row r="172" s="1" customFormat="1" ht="12" customHeight="1" x14ac:dyDescent="0.3"/>
    <row r="173" s="1" customFormat="1" ht="12" customHeight="1" x14ac:dyDescent="0.3"/>
    <row r="174" s="1" customFormat="1" ht="12" customHeight="1" x14ac:dyDescent="0.3"/>
    <row r="175" s="1" customFormat="1" ht="12" customHeight="1" x14ac:dyDescent="0.3"/>
    <row r="176" s="1" customFormat="1" ht="12" customHeight="1" x14ac:dyDescent="0.3"/>
    <row r="177" s="1" customFormat="1" ht="12" customHeight="1" x14ac:dyDescent="0.3"/>
    <row r="178" s="1" customFormat="1" ht="12" customHeight="1" x14ac:dyDescent="0.3"/>
    <row r="179" s="1" customFormat="1" ht="12" customHeight="1" x14ac:dyDescent="0.3"/>
    <row r="180" s="1" customFormat="1" ht="12" customHeight="1" x14ac:dyDescent="0.3"/>
    <row r="181" s="1" customFormat="1" ht="12" customHeight="1" x14ac:dyDescent="0.3"/>
    <row r="182" s="1" customFormat="1" ht="12" customHeight="1" x14ac:dyDescent="0.3"/>
    <row r="183" s="1" customFormat="1" ht="12" customHeight="1" x14ac:dyDescent="0.3"/>
    <row r="184" s="1" customFormat="1" ht="12" customHeight="1" x14ac:dyDescent="0.3"/>
    <row r="185" s="1" customFormat="1" ht="12" customHeight="1" x14ac:dyDescent="0.3"/>
    <row r="186" s="1" customFormat="1" ht="12" customHeight="1" x14ac:dyDescent="0.3"/>
    <row r="187" s="1" customFormat="1" ht="12" customHeight="1" x14ac:dyDescent="0.3"/>
    <row r="188" s="1" customFormat="1" ht="12" customHeight="1" x14ac:dyDescent="0.3"/>
    <row r="189" s="1" customFormat="1" ht="12" customHeight="1" x14ac:dyDescent="0.3"/>
    <row r="190" s="1" customFormat="1" ht="12" customHeight="1" x14ac:dyDescent="0.3"/>
    <row r="191" s="1" customFormat="1" ht="12" customHeight="1" x14ac:dyDescent="0.3"/>
    <row r="192" s="1" customFormat="1" ht="12" customHeight="1" x14ac:dyDescent="0.3"/>
    <row r="193" s="1" customFormat="1" ht="12" customHeight="1" x14ac:dyDescent="0.3"/>
    <row r="194" s="1" customFormat="1" ht="12" customHeight="1" x14ac:dyDescent="0.3"/>
    <row r="195" s="1" customFormat="1" ht="12" customHeight="1" x14ac:dyDescent="0.3"/>
    <row r="196" s="1" customFormat="1" ht="12" customHeight="1" x14ac:dyDescent="0.3"/>
    <row r="197" s="1" customFormat="1" ht="12" customHeight="1" x14ac:dyDescent="0.3"/>
    <row r="198" s="1" customFormat="1" ht="12" customHeight="1" x14ac:dyDescent="0.3"/>
    <row r="199" s="1" customFormat="1" ht="12" customHeight="1" x14ac:dyDescent="0.3"/>
    <row r="200" s="1" customFormat="1" ht="12" customHeight="1" x14ac:dyDescent="0.3"/>
    <row r="201" s="1" customFormat="1" ht="12" customHeight="1" x14ac:dyDescent="0.3"/>
    <row r="202" s="1" customFormat="1" ht="12" customHeight="1" x14ac:dyDescent="0.3"/>
    <row r="203" s="1" customFormat="1" ht="12" customHeight="1" x14ac:dyDescent="0.3"/>
    <row r="204" s="1" customFormat="1" ht="12" customHeight="1" x14ac:dyDescent="0.3"/>
    <row r="205" s="1" customFormat="1" ht="12" customHeight="1" x14ac:dyDescent="0.3"/>
    <row r="206" s="1" customFormat="1" ht="12" customHeight="1" x14ac:dyDescent="0.3"/>
    <row r="207" s="1" customFormat="1" ht="12" customHeight="1" x14ac:dyDescent="0.3"/>
    <row r="208" s="1" customFormat="1" ht="12" customHeight="1" x14ac:dyDescent="0.3"/>
    <row r="209" s="1" customFormat="1" ht="12" customHeight="1" x14ac:dyDescent="0.3"/>
    <row r="210" s="1" customFormat="1" ht="12" customHeight="1" x14ac:dyDescent="0.3"/>
    <row r="211" s="1" customFormat="1" ht="12" customHeight="1" x14ac:dyDescent="0.3"/>
    <row r="212" s="1" customFormat="1" ht="12" customHeight="1" x14ac:dyDescent="0.3"/>
    <row r="213" s="1" customFormat="1" ht="12" customHeight="1" x14ac:dyDescent="0.3"/>
    <row r="214" s="1" customFormat="1" ht="12" customHeight="1" x14ac:dyDescent="0.3"/>
    <row r="215" s="1" customFormat="1" ht="12" customHeight="1" x14ac:dyDescent="0.3"/>
    <row r="216" s="1" customFormat="1" ht="12" customHeight="1" x14ac:dyDescent="0.3"/>
    <row r="217" s="1" customFormat="1" ht="12" customHeight="1" x14ac:dyDescent="0.3"/>
    <row r="218" s="1" customFormat="1" ht="12" customHeight="1" x14ac:dyDescent="0.3"/>
    <row r="219" s="1" customFormat="1" ht="12" customHeight="1" x14ac:dyDescent="0.3"/>
    <row r="220" s="1" customFormat="1" ht="12" customHeight="1" x14ac:dyDescent="0.3"/>
    <row r="221" s="1" customFormat="1" ht="12" customHeight="1" x14ac:dyDescent="0.3"/>
    <row r="222" s="1" customFormat="1" ht="12" customHeight="1" x14ac:dyDescent="0.3"/>
    <row r="223" s="1" customFormat="1" ht="12" customHeight="1" x14ac:dyDescent="0.3"/>
    <row r="224" s="1" customFormat="1" ht="12" customHeight="1" x14ac:dyDescent="0.3"/>
    <row r="225" s="1" customFormat="1" ht="12" customHeight="1" x14ac:dyDescent="0.3"/>
    <row r="226" s="1" customFormat="1" ht="12" customHeight="1" x14ac:dyDescent="0.3"/>
    <row r="227" s="1" customFormat="1" ht="12" customHeight="1" x14ac:dyDescent="0.3"/>
    <row r="228" s="1" customFormat="1" ht="12" customHeight="1" x14ac:dyDescent="0.3"/>
    <row r="229" s="1" customFormat="1" ht="12" customHeight="1" x14ac:dyDescent="0.3"/>
    <row r="230" s="1" customFormat="1" ht="12" customHeight="1" x14ac:dyDescent="0.3"/>
    <row r="231" s="1" customFormat="1" ht="12" customHeight="1" x14ac:dyDescent="0.3"/>
    <row r="232" s="1" customFormat="1" ht="12" customHeight="1" x14ac:dyDescent="0.3"/>
    <row r="233" s="1" customFormat="1" ht="12" customHeight="1" x14ac:dyDescent="0.3"/>
    <row r="234" s="1" customFormat="1" ht="12" customHeight="1" x14ac:dyDescent="0.3"/>
    <row r="235" s="1" customFormat="1" ht="12" customHeight="1" x14ac:dyDescent="0.3"/>
    <row r="236" s="1" customFormat="1" ht="12" customHeight="1" x14ac:dyDescent="0.3"/>
    <row r="237" s="1" customFormat="1" ht="12" customHeight="1" x14ac:dyDescent="0.3"/>
    <row r="238" s="1" customFormat="1" ht="12" customHeight="1" x14ac:dyDescent="0.3"/>
    <row r="239" s="1" customFormat="1" ht="12" customHeight="1" x14ac:dyDescent="0.3"/>
    <row r="240" s="1" customFormat="1" ht="12" customHeight="1" x14ac:dyDescent="0.3"/>
    <row r="241" s="1" customFormat="1" ht="12" customHeight="1" x14ac:dyDescent="0.3"/>
    <row r="242" s="1" customFormat="1" ht="12" customHeight="1" x14ac:dyDescent="0.3"/>
    <row r="243" s="1" customFormat="1" ht="12" customHeight="1" x14ac:dyDescent="0.3"/>
    <row r="244" s="1" customFormat="1" ht="12" customHeight="1" x14ac:dyDescent="0.3"/>
    <row r="245" s="1" customFormat="1" ht="12" customHeight="1" x14ac:dyDescent="0.3"/>
    <row r="246" s="1" customFormat="1" ht="12" customHeight="1" x14ac:dyDescent="0.3"/>
    <row r="247" s="1" customFormat="1" ht="12" customHeight="1" x14ac:dyDescent="0.3"/>
    <row r="248" s="1" customFormat="1" ht="12" customHeight="1" x14ac:dyDescent="0.3"/>
    <row r="249" s="1" customFormat="1" ht="12" customHeight="1" x14ac:dyDescent="0.3"/>
    <row r="250" s="1" customFormat="1" ht="12" customHeight="1" x14ac:dyDescent="0.3"/>
    <row r="251" s="1" customFormat="1" ht="12" customHeight="1" x14ac:dyDescent="0.3"/>
    <row r="252" s="1" customFormat="1" ht="12" customHeight="1" x14ac:dyDescent="0.3"/>
    <row r="253" s="1" customFormat="1" ht="12" customHeight="1" x14ac:dyDescent="0.3"/>
    <row r="254" s="1" customFormat="1" ht="12" customHeight="1" x14ac:dyDescent="0.3"/>
    <row r="255" s="1" customFormat="1" ht="12" customHeight="1" x14ac:dyDescent="0.3"/>
    <row r="256" s="1" customFormat="1" ht="12" customHeight="1" x14ac:dyDescent="0.3"/>
    <row r="257" s="1" customFormat="1" ht="12" customHeight="1" x14ac:dyDescent="0.3"/>
    <row r="258" s="1" customFormat="1" ht="12" customHeight="1" x14ac:dyDescent="0.3"/>
    <row r="259" s="1" customFormat="1" ht="12" customHeight="1" x14ac:dyDescent="0.3"/>
    <row r="260" s="1" customFormat="1" ht="12" customHeight="1" x14ac:dyDescent="0.3"/>
    <row r="261" s="1" customFormat="1" ht="12" customHeight="1" x14ac:dyDescent="0.3"/>
    <row r="262" s="1" customFormat="1" ht="12" customHeight="1" x14ac:dyDescent="0.3"/>
    <row r="263" s="1" customFormat="1" ht="12" customHeight="1" x14ac:dyDescent="0.3"/>
    <row r="264" s="1" customFormat="1" ht="12" customHeight="1" x14ac:dyDescent="0.3"/>
    <row r="265" s="1" customFormat="1" ht="12" customHeight="1" x14ac:dyDescent="0.3"/>
    <row r="266" s="1" customFormat="1" ht="12" customHeight="1" x14ac:dyDescent="0.3"/>
    <row r="267" s="1" customFormat="1" ht="12" customHeight="1" x14ac:dyDescent="0.3"/>
    <row r="268" s="1" customFormat="1" ht="12" customHeight="1" x14ac:dyDescent="0.3"/>
    <row r="269" s="1" customFormat="1" ht="12" customHeight="1" x14ac:dyDescent="0.3"/>
    <row r="270" s="1" customFormat="1" ht="12" customHeight="1" x14ac:dyDescent="0.3"/>
    <row r="271" s="1" customFormat="1" ht="12" customHeight="1" x14ac:dyDescent="0.3"/>
    <row r="272" s="1" customFormat="1" ht="12" customHeight="1" x14ac:dyDescent="0.3"/>
    <row r="273" s="1" customFormat="1" ht="12" customHeight="1" x14ac:dyDescent="0.3"/>
    <row r="274" s="1" customFormat="1" ht="12" customHeight="1" x14ac:dyDescent="0.3"/>
    <row r="275" s="1" customFormat="1" ht="12" customHeight="1" x14ac:dyDescent="0.3"/>
    <row r="276" s="1" customFormat="1" ht="12" customHeight="1" x14ac:dyDescent="0.3"/>
    <row r="277" s="1" customFormat="1" ht="12" customHeight="1" x14ac:dyDescent="0.3"/>
    <row r="278" s="1" customFormat="1" ht="12" customHeight="1" x14ac:dyDescent="0.3"/>
    <row r="279" s="1" customFormat="1" ht="12" customHeight="1" x14ac:dyDescent="0.3"/>
    <row r="280" s="1" customFormat="1" ht="12" customHeight="1" x14ac:dyDescent="0.3"/>
    <row r="281" s="1" customFormat="1" ht="12" customHeight="1" x14ac:dyDescent="0.3"/>
    <row r="282" s="1" customFormat="1" ht="12" customHeight="1" x14ac:dyDescent="0.3"/>
    <row r="283" s="1" customFormat="1" ht="12" customHeight="1" x14ac:dyDescent="0.3"/>
    <row r="284" s="1" customFormat="1" ht="12" customHeight="1" x14ac:dyDescent="0.3"/>
    <row r="285" s="1" customFormat="1" ht="12" customHeight="1" x14ac:dyDescent="0.3"/>
    <row r="286" s="1" customFormat="1" ht="12" customHeight="1" x14ac:dyDescent="0.3"/>
    <row r="287" s="1" customFormat="1" ht="12" customHeight="1" x14ac:dyDescent="0.3"/>
    <row r="288" s="1" customFormat="1" ht="12" customHeight="1" x14ac:dyDescent="0.3"/>
    <row r="289" s="1" customFormat="1" ht="12" customHeight="1" x14ac:dyDescent="0.3"/>
    <row r="290" s="1" customFormat="1" ht="12" customHeight="1" x14ac:dyDescent="0.3"/>
    <row r="291" s="1" customFormat="1" ht="12" customHeight="1" x14ac:dyDescent="0.3"/>
    <row r="292" s="1" customFormat="1" ht="12" customHeight="1" x14ac:dyDescent="0.3"/>
    <row r="293" s="1" customFormat="1" ht="12" customHeight="1" x14ac:dyDescent="0.3"/>
    <row r="294" s="1" customFormat="1" ht="12" customHeight="1" x14ac:dyDescent="0.3"/>
    <row r="295" s="1" customFormat="1" ht="12" customHeight="1" x14ac:dyDescent="0.3"/>
    <row r="296" s="1" customFormat="1" ht="12" customHeight="1" x14ac:dyDescent="0.3"/>
    <row r="297" s="1" customFormat="1" ht="12" customHeight="1" x14ac:dyDescent="0.3"/>
    <row r="298" s="1" customFormat="1" ht="12" customHeight="1" x14ac:dyDescent="0.3"/>
    <row r="299" s="1" customFormat="1" ht="12" customHeight="1" x14ac:dyDescent="0.3"/>
    <row r="300" s="1" customFormat="1" ht="12" customHeight="1" x14ac:dyDescent="0.3"/>
    <row r="301" s="1" customFormat="1" ht="12" customHeight="1" x14ac:dyDescent="0.3"/>
    <row r="302" s="1" customFormat="1" ht="12" customHeight="1" x14ac:dyDescent="0.3"/>
    <row r="303" s="1" customFormat="1" ht="12" customHeight="1" x14ac:dyDescent="0.3"/>
    <row r="304" s="1" customFormat="1" ht="12" customHeight="1" x14ac:dyDescent="0.3"/>
    <row r="305" s="1" customFormat="1" ht="12" customHeight="1" x14ac:dyDescent="0.3"/>
    <row r="306" s="1" customFormat="1" ht="12" customHeight="1" x14ac:dyDescent="0.3"/>
    <row r="307" s="1" customFormat="1" ht="12" customHeight="1" x14ac:dyDescent="0.3"/>
    <row r="308" s="1" customFormat="1" ht="12" customHeight="1" x14ac:dyDescent="0.3"/>
    <row r="309" s="1" customFormat="1" ht="12" customHeight="1" x14ac:dyDescent="0.3"/>
    <row r="310" s="1" customFormat="1" ht="12" customHeight="1" x14ac:dyDescent="0.3"/>
    <row r="311" s="1" customFormat="1" ht="12" customHeight="1" x14ac:dyDescent="0.3"/>
    <row r="312" s="1" customFormat="1" ht="12" customHeight="1" x14ac:dyDescent="0.3"/>
    <row r="313" s="1" customFormat="1" ht="12" customHeight="1" x14ac:dyDescent="0.3"/>
    <row r="314" s="1" customFormat="1" ht="12" customHeight="1" x14ac:dyDescent="0.3"/>
    <row r="315" s="1" customFormat="1" ht="12" customHeight="1" x14ac:dyDescent="0.3"/>
    <row r="316" s="1" customFormat="1" ht="12" customHeight="1" x14ac:dyDescent="0.3"/>
    <row r="317" s="1" customFormat="1" ht="12" customHeight="1" x14ac:dyDescent="0.3"/>
    <row r="318" s="1" customFormat="1" ht="12" customHeight="1" x14ac:dyDescent="0.3"/>
    <row r="319" s="1" customFormat="1" ht="12" customHeight="1" x14ac:dyDescent="0.3"/>
    <row r="320" s="1" customFormat="1" ht="12" customHeight="1" x14ac:dyDescent="0.3"/>
    <row r="321" s="1" customFormat="1" ht="12" customHeight="1" x14ac:dyDescent="0.3"/>
    <row r="322" s="1" customFormat="1" ht="12" customHeight="1" x14ac:dyDescent="0.3"/>
    <row r="323" s="1" customFormat="1" ht="12" customHeight="1" x14ac:dyDescent="0.3"/>
    <row r="324" s="1" customFormat="1" ht="12" customHeight="1" x14ac:dyDescent="0.3"/>
    <row r="325" s="1" customFormat="1" ht="12" customHeight="1" x14ac:dyDescent="0.3"/>
    <row r="326" s="1" customFormat="1" ht="12" customHeight="1" x14ac:dyDescent="0.3"/>
    <row r="327" s="1" customFormat="1" ht="12" customHeight="1" x14ac:dyDescent="0.3"/>
    <row r="328" s="1" customFormat="1" ht="12" customHeight="1" x14ac:dyDescent="0.3"/>
    <row r="329" s="1" customFormat="1" ht="12" customHeight="1" x14ac:dyDescent="0.3"/>
    <row r="330" s="1" customFormat="1" ht="12" customHeight="1" x14ac:dyDescent="0.3"/>
    <row r="331" s="1" customFormat="1" ht="12" customHeight="1" x14ac:dyDescent="0.3"/>
    <row r="332" s="1" customFormat="1" ht="12" customHeight="1" x14ac:dyDescent="0.3"/>
    <row r="333" s="1" customFormat="1" ht="12" customHeight="1" x14ac:dyDescent="0.3"/>
    <row r="334" s="1" customFormat="1" ht="12" customHeight="1" x14ac:dyDescent="0.3"/>
    <row r="335" s="1" customFormat="1" ht="12" customHeight="1" x14ac:dyDescent="0.3"/>
    <row r="336" s="1" customFormat="1" ht="12" customHeight="1" x14ac:dyDescent="0.3"/>
    <row r="337" s="1" customFormat="1" ht="12" customHeight="1" x14ac:dyDescent="0.3"/>
    <row r="338" s="1" customFormat="1" ht="12" customHeight="1" x14ac:dyDescent="0.3"/>
    <row r="339" s="1" customFormat="1" ht="12" customHeight="1" x14ac:dyDescent="0.3"/>
    <row r="340" s="1" customFormat="1" ht="12" customHeight="1" x14ac:dyDescent="0.3"/>
    <row r="341" s="1" customFormat="1" ht="12" customHeight="1" x14ac:dyDescent="0.3"/>
    <row r="342" s="1" customFormat="1" ht="12" customHeight="1" x14ac:dyDescent="0.3"/>
    <row r="343" s="1" customFormat="1" ht="12" customHeight="1" x14ac:dyDescent="0.3"/>
    <row r="344" s="1" customFormat="1" ht="12" customHeight="1" x14ac:dyDescent="0.3"/>
    <row r="345" s="1" customFormat="1" ht="12" customHeight="1" x14ac:dyDescent="0.3"/>
    <row r="346" s="1" customFormat="1" ht="12" customHeight="1" x14ac:dyDescent="0.3"/>
    <row r="347" s="1" customFormat="1" ht="12" customHeight="1" x14ac:dyDescent="0.3"/>
    <row r="348" s="1" customFormat="1" ht="12" customHeight="1" x14ac:dyDescent="0.3"/>
    <row r="349" s="1" customFormat="1" ht="12" customHeight="1" x14ac:dyDescent="0.3"/>
    <row r="350" s="1" customFormat="1" ht="12" customHeight="1" x14ac:dyDescent="0.3"/>
    <row r="351" s="1" customFormat="1" ht="12" customHeight="1" x14ac:dyDescent="0.3"/>
    <row r="352" s="1" customFormat="1" ht="12" customHeight="1" x14ac:dyDescent="0.3"/>
    <row r="353" s="1" customFormat="1" ht="12" customHeight="1" x14ac:dyDescent="0.3"/>
    <row r="354" s="1" customFormat="1" ht="12" customHeight="1" x14ac:dyDescent="0.3"/>
    <row r="355" s="1" customFormat="1" ht="12" customHeight="1" x14ac:dyDescent="0.3"/>
    <row r="356" s="1" customFormat="1" ht="12" customHeight="1" x14ac:dyDescent="0.3"/>
    <row r="357" s="1" customFormat="1" ht="12" customHeight="1" x14ac:dyDescent="0.3"/>
    <row r="358" s="1" customFormat="1" ht="12" customHeight="1" x14ac:dyDescent="0.3"/>
    <row r="359" s="1" customFormat="1" ht="12" customHeight="1" x14ac:dyDescent="0.3"/>
    <row r="360" s="1" customFormat="1" ht="12" customHeight="1" x14ac:dyDescent="0.3"/>
    <row r="361" s="1" customFormat="1" ht="12" customHeight="1" x14ac:dyDescent="0.3"/>
    <row r="362" s="1" customFormat="1" ht="12" customHeight="1" x14ac:dyDescent="0.3"/>
    <row r="363" s="1" customFormat="1" ht="12" customHeight="1" x14ac:dyDescent="0.3"/>
    <row r="364" s="1" customFormat="1" ht="12" customHeight="1" x14ac:dyDescent="0.3"/>
    <row r="365" s="1" customFormat="1" ht="12" customHeight="1" x14ac:dyDescent="0.3"/>
    <row r="366" s="1" customFormat="1" ht="12" customHeight="1" x14ac:dyDescent="0.3"/>
    <row r="367" s="1" customFormat="1" ht="12" customHeight="1" x14ac:dyDescent="0.3"/>
    <row r="368" s="1" customFormat="1" ht="12" customHeight="1" x14ac:dyDescent="0.3"/>
    <row r="369" s="1" customFormat="1" ht="12" customHeight="1" x14ac:dyDescent="0.3"/>
    <row r="370" s="1" customFormat="1" ht="12" customHeight="1" x14ac:dyDescent="0.3"/>
    <row r="371" s="1" customFormat="1" ht="12" customHeight="1" x14ac:dyDescent="0.3"/>
    <row r="372" s="1" customFormat="1" ht="12" customHeight="1" x14ac:dyDescent="0.3"/>
    <row r="373" s="1" customFormat="1" ht="12" customHeight="1" x14ac:dyDescent="0.3"/>
    <row r="374" s="1" customFormat="1" ht="12" customHeight="1" x14ac:dyDescent="0.3"/>
    <row r="375" s="1" customFormat="1" ht="12" customHeight="1" x14ac:dyDescent="0.3"/>
    <row r="376" s="1" customFormat="1" ht="12" customHeight="1" x14ac:dyDescent="0.3"/>
    <row r="377" s="1" customFormat="1" ht="12" customHeight="1" x14ac:dyDescent="0.3"/>
    <row r="378" s="1" customFormat="1" ht="12" customHeight="1" x14ac:dyDescent="0.3"/>
    <row r="379" s="1" customFormat="1" ht="12" customHeight="1" x14ac:dyDescent="0.3"/>
    <row r="380" s="1" customFormat="1" ht="12" customHeight="1" x14ac:dyDescent="0.3"/>
    <row r="381" s="1" customFormat="1" ht="12" customHeight="1" x14ac:dyDescent="0.3"/>
    <row r="382" s="1" customFormat="1" ht="12" customHeight="1" x14ac:dyDescent="0.3"/>
    <row r="383" s="1" customFormat="1" ht="12" customHeight="1" x14ac:dyDescent="0.3"/>
    <row r="384" s="1" customFormat="1" ht="12" customHeight="1" x14ac:dyDescent="0.3"/>
    <row r="385" s="1" customFormat="1" ht="12" customHeight="1" x14ac:dyDescent="0.3"/>
    <row r="386" s="1" customFormat="1" ht="12" customHeight="1" x14ac:dyDescent="0.3"/>
    <row r="387" s="1" customFormat="1" ht="12" customHeight="1" x14ac:dyDescent="0.3"/>
    <row r="388" s="1" customFormat="1" ht="12" customHeight="1" x14ac:dyDescent="0.3"/>
    <row r="389" s="1" customFormat="1" ht="12" customHeight="1" x14ac:dyDescent="0.3"/>
    <row r="390" s="1" customFormat="1" ht="12" customHeight="1" x14ac:dyDescent="0.3"/>
    <row r="391" s="1" customFormat="1" ht="12" customHeight="1" x14ac:dyDescent="0.3"/>
    <row r="392" s="1" customFormat="1" ht="12" customHeight="1" x14ac:dyDescent="0.3"/>
    <row r="393" s="1" customFormat="1" ht="12" customHeight="1" x14ac:dyDescent="0.3"/>
    <row r="394" s="1" customFormat="1" ht="12" customHeight="1" x14ac:dyDescent="0.3"/>
    <row r="395" s="1" customFormat="1" ht="12" customHeight="1" x14ac:dyDescent="0.3"/>
    <row r="396" s="1" customFormat="1" ht="12" customHeight="1" x14ac:dyDescent="0.3"/>
    <row r="397" s="1" customFormat="1" ht="12" customHeight="1" x14ac:dyDescent="0.3"/>
    <row r="398" s="1" customFormat="1" ht="12" customHeight="1" x14ac:dyDescent="0.3"/>
    <row r="399" s="1" customFormat="1" ht="12" customHeight="1" x14ac:dyDescent="0.3"/>
    <row r="400" s="1" customFormat="1" ht="12" customHeight="1" x14ac:dyDescent="0.3"/>
    <row r="401" s="1" customFormat="1" ht="12" customHeight="1" x14ac:dyDescent="0.3"/>
    <row r="402" s="1" customFormat="1" ht="12" customHeight="1" x14ac:dyDescent="0.3"/>
    <row r="403" s="1" customFormat="1" ht="12" customHeight="1" x14ac:dyDescent="0.3"/>
    <row r="404" s="1" customFormat="1" ht="12" customHeight="1" x14ac:dyDescent="0.3"/>
    <row r="405" s="1" customFormat="1" ht="12" customHeight="1" x14ac:dyDescent="0.3"/>
    <row r="406" s="1" customFormat="1" ht="12" customHeight="1" x14ac:dyDescent="0.3"/>
    <row r="407" s="1" customFormat="1" ht="12" customHeight="1" x14ac:dyDescent="0.3"/>
    <row r="408" s="1" customFormat="1" ht="12" customHeight="1" x14ac:dyDescent="0.3"/>
    <row r="409" s="1" customFormat="1" ht="12" customHeight="1" x14ac:dyDescent="0.3"/>
    <row r="410" s="1" customFormat="1" ht="12" customHeight="1" x14ac:dyDescent="0.3"/>
    <row r="411" s="1" customFormat="1" ht="12" customHeight="1" x14ac:dyDescent="0.3"/>
    <row r="412" s="1" customFormat="1" ht="12" customHeight="1" x14ac:dyDescent="0.3"/>
    <row r="413" s="1" customFormat="1" ht="12" customHeight="1" x14ac:dyDescent="0.3"/>
    <row r="414" s="1" customFormat="1" ht="12" customHeight="1" x14ac:dyDescent="0.3"/>
    <row r="415" s="1" customFormat="1" ht="12" customHeight="1" x14ac:dyDescent="0.3"/>
    <row r="416" s="1" customFormat="1" ht="12" customHeight="1" x14ac:dyDescent="0.3"/>
    <row r="417" s="1" customFormat="1" ht="12" customHeight="1" x14ac:dyDescent="0.3"/>
    <row r="418" s="1" customFormat="1" ht="12" customHeight="1" x14ac:dyDescent="0.3"/>
    <row r="419" s="1" customFormat="1" ht="12" customHeight="1" x14ac:dyDescent="0.3"/>
    <row r="420" s="1" customFormat="1" ht="12" customHeight="1" x14ac:dyDescent="0.3"/>
    <row r="421" s="1" customFormat="1" ht="12" customHeight="1" x14ac:dyDescent="0.3"/>
    <row r="422" s="1" customFormat="1" ht="12" customHeight="1" x14ac:dyDescent="0.3"/>
    <row r="423" s="1" customFormat="1" ht="12" customHeight="1" x14ac:dyDescent="0.3"/>
    <row r="424" s="1" customFormat="1" ht="12" customHeight="1" x14ac:dyDescent="0.3"/>
    <row r="425" s="1" customFormat="1" ht="12" customHeight="1" x14ac:dyDescent="0.3"/>
    <row r="426" s="1" customFormat="1" ht="12" customHeight="1" x14ac:dyDescent="0.3"/>
    <row r="427" s="1" customFormat="1" ht="12" customHeight="1" x14ac:dyDescent="0.3"/>
    <row r="428" s="1" customFormat="1" ht="12" customHeight="1" x14ac:dyDescent="0.3"/>
    <row r="429" s="1" customFormat="1" ht="12" customHeight="1" x14ac:dyDescent="0.3"/>
    <row r="430" s="1" customFormat="1" ht="12" customHeight="1" x14ac:dyDescent="0.3"/>
    <row r="431" s="1" customFormat="1" ht="12" customHeight="1" x14ac:dyDescent="0.3"/>
    <row r="432" s="1" customFormat="1" ht="12" customHeight="1" x14ac:dyDescent="0.3"/>
    <row r="433" s="1" customFormat="1" ht="12" customHeight="1" x14ac:dyDescent="0.3"/>
    <row r="434" s="1" customFormat="1" ht="12" customHeight="1" x14ac:dyDescent="0.3"/>
    <row r="435" s="1" customFormat="1" ht="12" customHeight="1" x14ac:dyDescent="0.3"/>
    <row r="436" s="1" customFormat="1" ht="12" customHeight="1" x14ac:dyDescent="0.3"/>
    <row r="437" s="1" customFormat="1" ht="12" customHeight="1" x14ac:dyDescent="0.3"/>
    <row r="438" s="1" customFormat="1" ht="12" customHeight="1" x14ac:dyDescent="0.3"/>
    <row r="439" s="1" customFormat="1" ht="12" customHeight="1" x14ac:dyDescent="0.3"/>
    <row r="440" s="1" customFormat="1" ht="12" customHeight="1" x14ac:dyDescent="0.3"/>
    <row r="441" s="1" customFormat="1" ht="12" customHeight="1" x14ac:dyDescent="0.3"/>
    <row r="442" s="1" customFormat="1" ht="12" customHeight="1" x14ac:dyDescent="0.3"/>
    <row r="443" s="1" customFormat="1" ht="12" customHeight="1" x14ac:dyDescent="0.3"/>
    <row r="444" s="1" customFormat="1" ht="12" customHeight="1" x14ac:dyDescent="0.3"/>
    <row r="445" s="1" customFormat="1" ht="12" customHeight="1" x14ac:dyDescent="0.3"/>
    <row r="446" s="1" customFormat="1" ht="12" customHeight="1" x14ac:dyDescent="0.3"/>
    <row r="447" s="1" customFormat="1" ht="12" customHeight="1" x14ac:dyDescent="0.3"/>
    <row r="448" s="1" customFormat="1" ht="12" customHeight="1" x14ac:dyDescent="0.3"/>
    <row r="449" s="1" customFormat="1" ht="12" customHeight="1" x14ac:dyDescent="0.3"/>
    <row r="450" s="1" customFormat="1" ht="12" customHeight="1" x14ac:dyDescent="0.3"/>
    <row r="451" s="1" customFormat="1" ht="12" customHeight="1" x14ac:dyDescent="0.3"/>
    <row r="452" s="1" customFormat="1" ht="12" customHeight="1" x14ac:dyDescent="0.3"/>
    <row r="453" s="1" customFormat="1" ht="12" customHeight="1" x14ac:dyDescent="0.3"/>
    <row r="454" s="1" customFormat="1" ht="12" customHeight="1" x14ac:dyDescent="0.3"/>
    <row r="455" s="1" customFormat="1" ht="12" customHeight="1" x14ac:dyDescent="0.3"/>
    <row r="456" s="1" customFormat="1" ht="12" customHeight="1" x14ac:dyDescent="0.3"/>
    <row r="457" s="1" customFormat="1" ht="12" customHeight="1" x14ac:dyDescent="0.3"/>
    <row r="458" s="1" customFormat="1" ht="12" customHeight="1" x14ac:dyDescent="0.3"/>
    <row r="459" s="1" customFormat="1" ht="12" customHeight="1" x14ac:dyDescent="0.3"/>
    <row r="460" s="1" customFormat="1" ht="12" customHeight="1" x14ac:dyDescent="0.3"/>
    <row r="461" s="1" customFormat="1" ht="12" customHeight="1" x14ac:dyDescent="0.3"/>
    <row r="462" s="1" customFormat="1" ht="12" customHeight="1" x14ac:dyDescent="0.3"/>
    <row r="463" s="1" customFormat="1" ht="12" customHeight="1" x14ac:dyDescent="0.3"/>
    <row r="464" s="1" customFormat="1" ht="12" customHeight="1" x14ac:dyDescent="0.3"/>
    <row r="465" s="1" customFormat="1" ht="12" customHeight="1" x14ac:dyDescent="0.3"/>
    <row r="466" s="1" customFormat="1" ht="12" customHeight="1" x14ac:dyDescent="0.3"/>
    <row r="467" s="1" customFormat="1" ht="12" customHeight="1" x14ac:dyDescent="0.3"/>
    <row r="468" s="1" customFormat="1" ht="12" customHeight="1" x14ac:dyDescent="0.3"/>
    <row r="469" s="1" customFormat="1" ht="12" customHeight="1" x14ac:dyDescent="0.3"/>
    <row r="470" s="1" customFormat="1" ht="12" customHeight="1" x14ac:dyDescent="0.3"/>
    <row r="471" s="1" customFormat="1" ht="12" customHeight="1" x14ac:dyDescent="0.3"/>
    <row r="472" s="1" customFormat="1" ht="12" customHeight="1" x14ac:dyDescent="0.3"/>
    <row r="473" s="1" customFormat="1" ht="12" customHeight="1" x14ac:dyDescent="0.3"/>
    <row r="474" s="1" customFormat="1" ht="12" customHeight="1" x14ac:dyDescent="0.3"/>
    <row r="475" s="1" customFormat="1" ht="12" customHeight="1" x14ac:dyDescent="0.3"/>
    <row r="476" s="1" customFormat="1" ht="12" customHeight="1" x14ac:dyDescent="0.3"/>
    <row r="477" s="1" customFormat="1" ht="12" customHeight="1" x14ac:dyDescent="0.3"/>
    <row r="478" s="1" customFormat="1" ht="12" customHeight="1" x14ac:dyDescent="0.3"/>
    <row r="479" s="1" customFormat="1" ht="12" customHeight="1" x14ac:dyDescent="0.3"/>
    <row r="480" s="1" customFormat="1" ht="12" customHeight="1" x14ac:dyDescent="0.3"/>
    <row r="481" s="1" customFormat="1" ht="12" customHeight="1" x14ac:dyDescent="0.3"/>
    <row r="482" s="1" customFormat="1" ht="12" customHeight="1" x14ac:dyDescent="0.3"/>
    <row r="483" s="1" customFormat="1" ht="12" customHeight="1" x14ac:dyDescent="0.3"/>
    <row r="484" s="1" customFormat="1" ht="12" customHeight="1" x14ac:dyDescent="0.3"/>
    <row r="485" s="1" customFormat="1" ht="12" customHeight="1" x14ac:dyDescent="0.3"/>
    <row r="486" s="1" customFormat="1" ht="12" customHeight="1" x14ac:dyDescent="0.3"/>
    <row r="487" s="1" customFormat="1" ht="12" customHeight="1" x14ac:dyDescent="0.3"/>
    <row r="488" s="1" customFormat="1" ht="12" customHeight="1" x14ac:dyDescent="0.3"/>
    <row r="489" s="1" customFormat="1" ht="12" customHeight="1" x14ac:dyDescent="0.3"/>
    <row r="490" s="1" customFormat="1" ht="12" customHeight="1" x14ac:dyDescent="0.3"/>
    <row r="491" s="1" customFormat="1" ht="12" customHeight="1" x14ac:dyDescent="0.3"/>
    <row r="492" s="1" customFormat="1" ht="12" customHeight="1" x14ac:dyDescent="0.3"/>
    <row r="493" s="1" customFormat="1" ht="12" customHeight="1" x14ac:dyDescent="0.3"/>
    <row r="494" s="1" customFormat="1" ht="12" customHeight="1" x14ac:dyDescent="0.3"/>
    <row r="495" s="1" customFormat="1" ht="12" customHeight="1" x14ac:dyDescent="0.3"/>
    <row r="496" s="1" customFormat="1" ht="12" customHeight="1" x14ac:dyDescent="0.3"/>
    <row r="497" s="1" customFormat="1" ht="12" customHeight="1" x14ac:dyDescent="0.3"/>
    <row r="498" s="1" customFormat="1" ht="12" customHeight="1" x14ac:dyDescent="0.3"/>
    <row r="499" s="1" customFormat="1" ht="12" customHeight="1" x14ac:dyDescent="0.3"/>
    <row r="500" s="1" customFormat="1" ht="12" customHeight="1" x14ac:dyDescent="0.3"/>
    <row r="501" s="1" customFormat="1" ht="12" customHeight="1" x14ac:dyDescent="0.3"/>
    <row r="502" s="1" customFormat="1" ht="12" customHeight="1" x14ac:dyDescent="0.3"/>
    <row r="503" s="1" customFormat="1" ht="12" customHeight="1" x14ac:dyDescent="0.3"/>
    <row r="504" s="1" customFormat="1" ht="12" customHeight="1" x14ac:dyDescent="0.3"/>
    <row r="505" s="1" customFormat="1" ht="12" customHeight="1" x14ac:dyDescent="0.3"/>
    <row r="506" s="1" customFormat="1" ht="12" customHeight="1" x14ac:dyDescent="0.3"/>
    <row r="507" s="1" customFormat="1" ht="12" customHeight="1" x14ac:dyDescent="0.3"/>
    <row r="508" s="1" customFormat="1" ht="12" customHeight="1" x14ac:dyDescent="0.3"/>
    <row r="509" s="1" customFormat="1" ht="12" customHeight="1" x14ac:dyDescent="0.3"/>
    <row r="510" s="1" customFormat="1" ht="12" customHeight="1" x14ac:dyDescent="0.3"/>
    <row r="511" s="1" customFormat="1" ht="12" customHeight="1" x14ac:dyDescent="0.3"/>
    <row r="512" s="1" customFormat="1" ht="12" customHeight="1" x14ac:dyDescent="0.3"/>
    <row r="513" s="1" customFormat="1" ht="12" customHeight="1" x14ac:dyDescent="0.3"/>
    <row r="514" s="1" customFormat="1" ht="12" customHeight="1" x14ac:dyDescent="0.3"/>
    <row r="515" s="1" customFormat="1" ht="12" customHeight="1" x14ac:dyDescent="0.3"/>
    <row r="516" s="1" customFormat="1" ht="12" customHeight="1" x14ac:dyDescent="0.3"/>
    <row r="517" s="1" customFormat="1" ht="12" customHeight="1" x14ac:dyDescent="0.3"/>
    <row r="518" s="1" customFormat="1" ht="12" customHeight="1" x14ac:dyDescent="0.3"/>
    <row r="519" s="1" customFormat="1" ht="12" customHeight="1" x14ac:dyDescent="0.3"/>
    <row r="520" s="1" customFormat="1" ht="12" customHeight="1" x14ac:dyDescent="0.3"/>
    <row r="521" s="1" customFormat="1" ht="12" customHeight="1" x14ac:dyDescent="0.3"/>
    <row r="522" s="1" customFormat="1" ht="12" customHeight="1" x14ac:dyDescent="0.3"/>
    <row r="523" s="1" customFormat="1" ht="12" customHeight="1" x14ac:dyDescent="0.3"/>
    <row r="524" s="1" customFormat="1" ht="12" customHeight="1" x14ac:dyDescent="0.3"/>
    <row r="525" s="1" customFormat="1" ht="12" customHeight="1" x14ac:dyDescent="0.3"/>
    <row r="526" s="1" customFormat="1" ht="12" customHeight="1" x14ac:dyDescent="0.3"/>
    <row r="527" s="1" customFormat="1" ht="12" customHeight="1" x14ac:dyDescent="0.3"/>
    <row r="528" s="1" customFormat="1" ht="12" customHeight="1" x14ac:dyDescent="0.3"/>
    <row r="529" s="1" customFormat="1" ht="12" customHeight="1" x14ac:dyDescent="0.3"/>
    <row r="530" s="1" customFormat="1" ht="12" customHeight="1" x14ac:dyDescent="0.3"/>
    <row r="531" s="1" customFormat="1" ht="12" customHeight="1" x14ac:dyDescent="0.3"/>
    <row r="532" s="1" customFormat="1" ht="12" customHeight="1" x14ac:dyDescent="0.3"/>
    <row r="533" s="1" customFormat="1" ht="12" customHeight="1" x14ac:dyDescent="0.3"/>
    <row r="534" s="1" customFormat="1" ht="12" customHeight="1" x14ac:dyDescent="0.3"/>
    <row r="535" s="1" customFormat="1" ht="12" customHeight="1" x14ac:dyDescent="0.3"/>
    <row r="536" s="1" customFormat="1" ht="12" customHeight="1" x14ac:dyDescent="0.3"/>
    <row r="537" s="1" customFormat="1" ht="12" customHeight="1" x14ac:dyDescent="0.3"/>
    <row r="538" s="1" customFormat="1" ht="12" customHeight="1" x14ac:dyDescent="0.3"/>
    <row r="539" s="1" customFormat="1" ht="12" customHeight="1" x14ac:dyDescent="0.3"/>
    <row r="540" s="1" customFormat="1" ht="12" customHeight="1" x14ac:dyDescent="0.3"/>
    <row r="541" s="1" customFormat="1" ht="12" customHeight="1" x14ac:dyDescent="0.3"/>
    <row r="542" s="1" customFormat="1" ht="12" customHeight="1" x14ac:dyDescent="0.3"/>
    <row r="543" s="1" customFormat="1" ht="12" customHeight="1" x14ac:dyDescent="0.3"/>
    <row r="544" s="1" customFormat="1" ht="12" customHeight="1" x14ac:dyDescent="0.3"/>
    <row r="545" s="1" customFormat="1" ht="12" customHeight="1" x14ac:dyDescent="0.3"/>
    <row r="546" s="1" customFormat="1" ht="12" customHeight="1" x14ac:dyDescent="0.3"/>
    <row r="547" s="1" customFormat="1" ht="12" customHeight="1" x14ac:dyDescent="0.3"/>
    <row r="548" s="1" customFormat="1" ht="12" customHeight="1" x14ac:dyDescent="0.3"/>
    <row r="549" s="1" customFormat="1" ht="12" customHeight="1" x14ac:dyDescent="0.3"/>
    <row r="550" s="1" customFormat="1" ht="12" customHeight="1" x14ac:dyDescent="0.3"/>
    <row r="551" s="1" customFormat="1" ht="12" customHeight="1" x14ac:dyDescent="0.3"/>
    <row r="552" s="1" customFormat="1" ht="12" customHeight="1" x14ac:dyDescent="0.3"/>
    <row r="553" s="1" customFormat="1" ht="12" customHeight="1" x14ac:dyDescent="0.3"/>
    <row r="554" s="1" customFormat="1" ht="12" customHeight="1" x14ac:dyDescent="0.3"/>
    <row r="555" s="1" customFormat="1" ht="12" customHeight="1" x14ac:dyDescent="0.3"/>
    <row r="556" s="1" customFormat="1" ht="12" customHeight="1" x14ac:dyDescent="0.3"/>
    <row r="557" s="1" customFormat="1" ht="12" customHeight="1" x14ac:dyDescent="0.3"/>
    <row r="558" s="1" customFormat="1" ht="12" customHeight="1" x14ac:dyDescent="0.3"/>
    <row r="559" s="1" customFormat="1" ht="12" customHeight="1" x14ac:dyDescent="0.3"/>
    <row r="560" s="1" customFormat="1" ht="12" customHeight="1" x14ac:dyDescent="0.3"/>
    <row r="561" s="1" customFormat="1" ht="12" customHeight="1" x14ac:dyDescent="0.3"/>
    <row r="562" s="1" customFormat="1" ht="12" customHeight="1" x14ac:dyDescent="0.3"/>
    <row r="563" s="1" customFormat="1" ht="12" customHeight="1" x14ac:dyDescent="0.3"/>
    <row r="564" s="1" customFormat="1" ht="12" customHeight="1" x14ac:dyDescent="0.3"/>
    <row r="565" s="1" customFormat="1" ht="12" customHeight="1" x14ac:dyDescent="0.3"/>
    <row r="566" s="1" customFormat="1" ht="12" customHeight="1" x14ac:dyDescent="0.3"/>
    <row r="567" s="1" customFormat="1" ht="12" customHeight="1" x14ac:dyDescent="0.3"/>
    <row r="568" s="1" customFormat="1" ht="12" customHeight="1" x14ac:dyDescent="0.3"/>
    <row r="569" s="1" customFormat="1" ht="12" customHeight="1" x14ac:dyDescent="0.3"/>
    <row r="570" s="1" customFormat="1" ht="12" customHeight="1" x14ac:dyDescent="0.3"/>
    <row r="571" s="1" customFormat="1" ht="12" customHeight="1" x14ac:dyDescent="0.3"/>
    <row r="572" s="1" customFormat="1" ht="12" customHeight="1" x14ac:dyDescent="0.3"/>
    <row r="573" s="1" customFormat="1" ht="12" customHeight="1" x14ac:dyDescent="0.3"/>
    <row r="574" s="1" customFormat="1" ht="12" customHeight="1" x14ac:dyDescent="0.3"/>
    <row r="575" s="1" customFormat="1" ht="12" customHeight="1" x14ac:dyDescent="0.3"/>
    <row r="576" s="1" customFormat="1" ht="12" customHeight="1" x14ac:dyDescent="0.3"/>
    <row r="577" s="1" customFormat="1" ht="12" customHeight="1" x14ac:dyDescent="0.3"/>
    <row r="578" s="1" customFormat="1" ht="12" customHeight="1" x14ac:dyDescent="0.3"/>
    <row r="579" s="1" customFormat="1" ht="12" customHeight="1" x14ac:dyDescent="0.3"/>
    <row r="580" s="1" customFormat="1" ht="12" customHeight="1" x14ac:dyDescent="0.3"/>
    <row r="581" s="1" customFormat="1" ht="12" customHeight="1" x14ac:dyDescent="0.3"/>
    <row r="582" s="1" customFormat="1" ht="12" customHeight="1" x14ac:dyDescent="0.3"/>
    <row r="583" s="1" customFormat="1" ht="12" customHeight="1" x14ac:dyDescent="0.3"/>
    <row r="584" s="1" customFormat="1" ht="12" customHeight="1" x14ac:dyDescent="0.3"/>
    <row r="585" s="1" customFormat="1" ht="12" customHeight="1" x14ac:dyDescent="0.3"/>
    <row r="586" s="1" customFormat="1" ht="12" customHeight="1" x14ac:dyDescent="0.3"/>
    <row r="587" s="1" customFormat="1" ht="12" customHeight="1" x14ac:dyDescent="0.3"/>
    <row r="588" s="1" customFormat="1" ht="12" customHeight="1" x14ac:dyDescent="0.3"/>
    <row r="589" s="1" customFormat="1" ht="12" customHeight="1" x14ac:dyDescent="0.3"/>
    <row r="590" s="1" customFormat="1" ht="12" customHeight="1" x14ac:dyDescent="0.3"/>
    <row r="591" s="1" customFormat="1" ht="12" customHeight="1" x14ac:dyDescent="0.3"/>
    <row r="592" s="1" customFormat="1" ht="12" customHeight="1" x14ac:dyDescent="0.3"/>
    <row r="593" s="1" customFormat="1" ht="12" customHeight="1" x14ac:dyDescent="0.3"/>
    <row r="594" s="1" customFormat="1" ht="12" customHeight="1" x14ac:dyDescent="0.3"/>
    <row r="595" s="1" customFormat="1" ht="12" customHeight="1" x14ac:dyDescent="0.3"/>
    <row r="596" s="1" customFormat="1" ht="12" customHeight="1" x14ac:dyDescent="0.3"/>
    <row r="597" s="1" customFormat="1" ht="12" customHeight="1" x14ac:dyDescent="0.3"/>
    <row r="598" s="1" customFormat="1" ht="12" customHeight="1" x14ac:dyDescent="0.3"/>
    <row r="599" s="1" customFormat="1" ht="12" customHeight="1" x14ac:dyDescent="0.3"/>
    <row r="600" s="1" customFormat="1" ht="12" customHeight="1" x14ac:dyDescent="0.3"/>
    <row r="601" s="1" customFormat="1" ht="12" customHeight="1" x14ac:dyDescent="0.3"/>
    <row r="602" s="1" customFormat="1" ht="12" customHeight="1" x14ac:dyDescent="0.3"/>
    <row r="603" s="1" customFormat="1" ht="12" customHeight="1" x14ac:dyDescent="0.3"/>
    <row r="604" s="1" customFormat="1" ht="12" customHeight="1" x14ac:dyDescent="0.3"/>
    <row r="605" s="1" customFormat="1" ht="12" customHeight="1" x14ac:dyDescent="0.3"/>
    <row r="606" s="1" customFormat="1" ht="12" customHeight="1" x14ac:dyDescent="0.3"/>
    <row r="607" s="1" customFormat="1" ht="12" customHeight="1" x14ac:dyDescent="0.3"/>
    <row r="608" s="1" customFormat="1" ht="12" customHeight="1" x14ac:dyDescent="0.3"/>
    <row r="609" s="1" customFormat="1" ht="12" customHeight="1" x14ac:dyDescent="0.3"/>
    <row r="610" s="1" customFormat="1" ht="12" customHeight="1" x14ac:dyDescent="0.3"/>
    <row r="611" s="1" customFormat="1" ht="12" customHeight="1" x14ac:dyDescent="0.3"/>
    <row r="612" s="1" customFormat="1" ht="12" customHeight="1" x14ac:dyDescent="0.3"/>
    <row r="613" s="1" customFormat="1" ht="12" customHeight="1" x14ac:dyDescent="0.3"/>
    <row r="614" s="1" customFormat="1" ht="12" customHeight="1" x14ac:dyDescent="0.3"/>
    <row r="615" s="1" customFormat="1" ht="12" customHeight="1" x14ac:dyDescent="0.3"/>
    <row r="616" s="1" customFormat="1" ht="12" customHeight="1" x14ac:dyDescent="0.3"/>
    <row r="617" s="1" customFormat="1" ht="12" customHeight="1" x14ac:dyDescent="0.3"/>
    <row r="618" s="1" customFormat="1" ht="12" customHeight="1" x14ac:dyDescent="0.3"/>
    <row r="619" s="1" customFormat="1" ht="12" customHeight="1" x14ac:dyDescent="0.3"/>
    <row r="620" s="1" customFormat="1" ht="12" customHeight="1" x14ac:dyDescent="0.3"/>
    <row r="621" s="1" customFormat="1" ht="12" customHeight="1" x14ac:dyDescent="0.3"/>
    <row r="622" s="1" customFormat="1" ht="12" customHeight="1" x14ac:dyDescent="0.3"/>
    <row r="623" s="1" customFormat="1" ht="12" customHeight="1" x14ac:dyDescent="0.3"/>
    <row r="624" s="1" customFormat="1" ht="12" customHeight="1" x14ac:dyDescent="0.3"/>
    <row r="625" s="1" customFormat="1" ht="12" customHeight="1" x14ac:dyDescent="0.3"/>
    <row r="626" s="1" customFormat="1" ht="12" customHeight="1" x14ac:dyDescent="0.3"/>
    <row r="627" s="1" customFormat="1" ht="12" customHeight="1" x14ac:dyDescent="0.3"/>
    <row r="628" s="1" customFormat="1" ht="12" customHeight="1" x14ac:dyDescent="0.3"/>
    <row r="629" s="1" customFormat="1" ht="12" customHeight="1" x14ac:dyDescent="0.3"/>
    <row r="630" s="1" customFormat="1" ht="12" customHeight="1" x14ac:dyDescent="0.3"/>
    <row r="631" s="1" customFormat="1" ht="12" customHeight="1" x14ac:dyDescent="0.3"/>
    <row r="632" s="1" customFormat="1" ht="12" customHeight="1" x14ac:dyDescent="0.3"/>
    <row r="633" s="1" customFormat="1" ht="12" customHeight="1" x14ac:dyDescent="0.3"/>
    <row r="634" s="1" customFormat="1" ht="12" customHeight="1" x14ac:dyDescent="0.3"/>
    <row r="635" s="1" customFormat="1" ht="12" customHeight="1" x14ac:dyDescent="0.3"/>
    <row r="636" s="1" customFormat="1" ht="12" customHeight="1" x14ac:dyDescent="0.3"/>
    <row r="637" s="1" customFormat="1" ht="12" customHeight="1" x14ac:dyDescent="0.3"/>
    <row r="638" s="1" customFormat="1" ht="12" customHeight="1" x14ac:dyDescent="0.3"/>
    <row r="639" s="1" customFormat="1" ht="12" customHeight="1" x14ac:dyDescent="0.3"/>
    <row r="640" s="1" customFormat="1" ht="12" customHeight="1" x14ac:dyDescent="0.3"/>
    <row r="641" s="1" customFormat="1" ht="12" customHeight="1" x14ac:dyDescent="0.3"/>
    <row r="642" s="1" customFormat="1" ht="12" customHeight="1" x14ac:dyDescent="0.3"/>
    <row r="643" s="1" customFormat="1" ht="12" customHeight="1" x14ac:dyDescent="0.3"/>
    <row r="644" s="1" customFormat="1" ht="12" customHeight="1" x14ac:dyDescent="0.3"/>
    <row r="645" s="1" customFormat="1" ht="12" customHeight="1" x14ac:dyDescent="0.3"/>
    <row r="646" s="1" customFormat="1" ht="12" customHeight="1" x14ac:dyDescent="0.3"/>
    <row r="647" s="1" customFormat="1" ht="12" customHeight="1" x14ac:dyDescent="0.3"/>
    <row r="648" s="1" customFormat="1" ht="12" customHeight="1" x14ac:dyDescent="0.3"/>
    <row r="649" s="1" customFormat="1" ht="12" customHeight="1" x14ac:dyDescent="0.3"/>
    <row r="650" s="1" customFormat="1" ht="12" customHeight="1" x14ac:dyDescent="0.3"/>
    <row r="651" s="1" customFormat="1" ht="12" customHeight="1" x14ac:dyDescent="0.3"/>
    <row r="652" s="1" customFormat="1" ht="12" customHeight="1" x14ac:dyDescent="0.3"/>
    <row r="653" s="1" customFormat="1" ht="12" customHeight="1" x14ac:dyDescent="0.3"/>
    <row r="654" s="1" customFormat="1" ht="12" customHeight="1" x14ac:dyDescent="0.3"/>
    <row r="655" s="1" customFormat="1" ht="12" customHeight="1" x14ac:dyDescent="0.3"/>
    <row r="656" s="1" customFormat="1" ht="12" customHeight="1" x14ac:dyDescent="0.3"/>
    <row r="657" s="1" customFormat="1" ht="12" customHeight="1" x14ac:dyDescent="0.3"/>
    <row r="658" s="1" customFormat="1" ht="12" customHeight="1" x14ac:dyDescent="0.3"/>
    <row r="659" s="1" customFormat="1" ht="12" customHeight="1" x14ac:dyDescent="0.3"/>
    <row r="660" s="1" customFormat="1" ht="12" customHeight="1" x14ac:dyDescent="0.3"/>
    <row r="661" s="1" customFormat="1" ht="12" customHeight="1" x14ac:dyDescent="0.3"/>
    <row r="662" s="1" customFormat="1" ht="12" customHeight="1" x14ac:dyDescent="0.3"/>
    <row r="663" s="1" customFormat="1" ht="12" customHeight="1" x14ac:dyDescent="0.3"/>
    <row r="664" s="1" customFormat="1" ht="12" customHeight="1" x14ac:dyDescent="0.3"/>
    <row r="665" s="1" customFormat="1" ht="12" customHeight="1" x14ac:dyDescent="0.3"/>
    <row r="666" s="1" customFormat="1" ht="12" customHeight="1" x14ac:dyDescent="0.3"/>
    <row r="667" s="1" customFormat="1" ht="12" customHeight="1" x14ac:dyDescent="0.3"/>
    <row r="668" s="1" customFormat="1" ht="12" customHeight="1" x14ac:dyDescent="0.3"/>
    <row r="669" s="1" customFormat="1" ht="12" customHeight="1" x14ac:dyDescent="0.3"/>
    <row r="670" s="1" customFormat="1" ht="12" customHeight="1" x14ac:dyDescent="0.3"/>
    <row r="671" s="1" customFormat="1" ht="12" customHeight="1" x14ac:dyDescent="0.3"/>
    <row r="672" s="1" customFormat="1" ht="12" customHeight="1" x14ac:dyDescent="0.3"/>
    <row r="673" s="1" customFormat="1" ht="12" customHeight="1" x14ac:dyDescent="0.3"/>
    <row r="674" s="1" customFormat="1" ht="12" customHeight="1" x14ac:dyDescent="0.3"/>
    <row r="675" s="1" customFormat="1" ht="12" customHeight="1" x14ac:dyDescent="0.3"/>
    <row r="676" s="1" customFormat="1" ht="12" customHeight="1" x14ac:dyDescent="0.3"/>
    <row r="677" s="1" customFormat="1" ht="12" customHeight="1" x14ac:dyDescent="0.3"/>
    <row r="678" s="1" customFormat="1" ht="12" customHeight="1" x14ac:dyDescent="0.3"/>
    <row r="679" s="1" customFormat="1" ht="12" customHeight="1" x14ac:dyDescent="0.3"/>
    <row r="680" s="1" customFormat="1" ht="12" customHeight="1" x14ac:dyDescent="0.3"/>
    <row r="681" s="1" customFormat="1" ht="12" customHeight="1" x14ac:dyDescent="0.3"/>
    <row r="682" s="1" customFormat="1" ht="12" customHeight="1" x14ac:dyDescent="0.3"/>
    <row r="683" s="1" customFormat="1" ht="12" customHeight="1" x14ac:dyDescent="0.3"/>
    <row r="684" s="1" customFormat="1" ht="12" customHeight="1" x14ac:dyDescent="0.3"/>
    <row r="685" s="1" customFormat="1" ht="12" customHeight="1" x14ac:dyDescent="0.3"/>
    <row r="686" s="1" customFormat="1" ht="12" customHeight="1" x14ac:dyDescent="0.3"/>
    <row r="687" s="1" customFormat="1" ht="12" customHeight="1" x14ac:dyDescent="0.3"/>
    <row r="688" s="1" customFormat="1" ht="12" customHeight="1" x14ac:dyDescent="0.3"/>
    <row r="689" s="1" customFormat="1" ht="12" customHeight="1" x14ac:dyDescent="0.3"/>
    <row r="690" s="1" customFormat="1" ht="12" customHeight="1" x14ac:dyDescent="0.3"/>
    <row r="691" s="1" customFormat="1" ht="12" customHeight="1" x14ac:dyDescent="0.3"/>
    <row r="692" s="1" customFormat="1" ht="12" customHeight="1" x14ac:dyDescent="0.3"/>
    <row r="693" s="1" customFormat="1" ht="12" customHeight="1" x14ac:dyDescent="0.3"/>
    <row r="694" s="1" customFormat="1" ht="12" customHeight="1" x14ac:dyDescent="0.3"/>
    <row r="695" s="1" customFormat="1" ht="12" customHeight="1" x14ac:dyDescent="0.3"/>
    <row r="696" s="1" customFormat="1" ht="12" customHeight="1" x14ac:dyDescent="0.3"/>
    <row r="697" s="1" customFormat="1" ht="12" customHeight="1" x14ac:dyDescent="0.3"/>
    <row r="698" s="1" customFormat="1" ht="12" customHeight="1" x14ac:dyDescent="0.3"/>
    <row r="699" s="1" customFormat="1" ht="12" customHeight="1" x14ac:dyDescent="0.3"/>
    <row r="700" s="1" customFormat="1" ht="12" customHeight="1" x14ac:dyDescent="0.3"/>
    <row r="701" s="1" customFormat="1" ht="12" customHeight="1" x14ac:dyDescent="0.3"/>
    <row r="702" s="1" customFormat="1" ht="12" customHeight="1" x14ac:dyDescent="0.3"/>
    <row r="703" s="1" customFormat="1" ht="12" customHeight="1" x14ac:dyDescent="0.3"/>
    <row r="704" s="1" customFormat="1" ht="12" customHeight="1" x14ac:dyDescent="0.3"/>
    <row r="705" s="1" customFormat="1" ht="12" customHeight="1" x14ac:dyDescent="0.3"/>
    <row r="706" s="1" customFormat="1" ht="12" customHeight="1" x14ac:dyDescent="0.3"/>
    <row r="707" s="1" customFormat="1" ht="12" customHeight="1" x14ac:dyDescent="0.3"/>
    <row r="708" s="1" customFormat="1" ht="12" customHeight="1" x14ac:dyDescent="0.3"/>
    <row r="709" s="1" customFormat="1" ht="12" customHeight="1" x14ac:dyDescent="0.3"/>
    <row r="710" s="1" customFormat="1" ht="12" customHeight="1" x14ac:dyDescent="0.3"/>
    <row r="711" s="1" customFormat="1" ht="12" customHeight="1" x14ac:dyDescent="0.3"/>
    <row r="712" s="1" customFormat="1" ht="12" customHeight="1" x14ac:dyDescent="0.3"/>
    <row r="713" s="1" customFormat="1" ht="12" customHeight="1" x14ac:dyDescent="0.3"/>
    <row r="714" s="1" customFormat="1" ht="12" customHeight="1" x14ac:dyDescent="0.3"/>
    <row r="715" s="1" customFormat="1" ht="12" customHeight="1" x14ac:dyDescent="0.3"/>
    <row r="716" s="1" customFormat="1" ht="12" customHeight="1" x14ac:dyDescent="0.3"/>
    <row r="717" s="1" customFormat="1" ht="12" customHeight="1" x14ac:dyDescent="0.3"/>
    <row r="718" s="1" customFormat="1" ht="12" customHeight="1" x14ac:dyDescent="0.3"/>
    <row r="719" s="1" customFormat="1" ht="12" customHeight="1" x14ac:dyDescent="0.3"/>
    <row r="720" s="1" customFormat="1" ht="12" customHeight="1" x14ac:dyDescent="0.3"/>
    <row r="721" s="1" customFormat="1" ht="12" customHeight="1" x14ac:dyDescent="0.3"/>
    <row r="722" s="1" customFormat="1" ht="12" customHeight="1" x14ac:dyDescent="0.3"/>
    <row r="723" s="1" customFormat="1" ht="12" customHeight="1" x14ac:dyDescent="0.3"/>
    <row r="724" s="1" customFormat="1" ht="12" customHeight="1" x14ac:dyDescent="0.3"/>
    <row r="725" s="1" customFormat="1" ht="12" customHeight="1" x14ac:dyDescent="0.3"/>
    <row r="726" s="1" customFormat="1" ht="12" customHeight="1" x14ac:dyDescent="0.3"/>
    <row r="727" s="1" customFormat="1" ht="12" customHeight="1" x14ac:dyDescent="0.3"/>
    <row r="728" s="1" customFormat="1" ht="12" customHeight="1" x14ac:dyDescent="0.3"/>
    <row r="729" s="1" customFormat="1" ht="12" customHeight="1" x14ac:dyDescent="0.3"/>
    <row r="730" s="1" customFormat="1" ht="12" customHeight="1" x14ac:dyDescent="0.3"/>
    <row r="731" s="1" customFormat="1" ht="12" customHeight="1" x14ac:dyDescent="0.3"/>
    <row r="732" s="1" customFormat="1" ht="12" customHeight="1" x14ac:dyDescent="0.3"/>
    <row r="733" s="1" customFormat="1" ht="12" customHeight="1" x14ac:dyDescent="0.3"/>
    <row r="734" s="1" customFormat="1" ht="12" customHeight="1" x14ac:dyDescent="0.3"/>
    <row r="735" s="1" customFormat="1" ht="12" customHeight="1" x14ac:dyDescent="0.3"/>
    <row r="736" s="1" customFormat="1" ht="12" customHeight="1" x14ac:dyDescent="0.3"/>
    <row r="737" s="1" customFormat="1" ht="12" customHeight="1" x14ac:dyDescent="0.3"/>
    <row r="738" s="1" customFormat="1" ht="12" customHeight="1" x14ac:dyDescent="0.3"/>
    <row r="739" s="1" customFormat="1" ht="12" customHeight="1" x14ac:dyDescent="0.3"/>
    <row r="740" s="1" customFormat="1" ht="12" customHeight="1" x14ac:dyDescent="0.3"/>
    <row r="741" s="1" customFormat="1" ht="12" customHeight="1" x14ac:dyDescent="0.3"/>
    <row r="742" s="1" customFormat="1" ht="12" customHeight="1" x14ac:dyDescent="0.3"/>
    <row r="743" s="1" customFormat="1" ht="12" customHeight="1" x14ac:dyDescent="0.3"/>
    <row r="744" s="1" customFormat="1" ht="12" customHeight="1" x14ac:dyDescent="0.3"/>
    <row r="745" s="1" customFormat="1" ht="12" customHeight="1" x14ac:dyDescent="0.3"/>
    <row r="746" s="1" customFormat="1" ht="12" customHeight="1" x14ac:dyDescent="0.3"/>
    <row r="747" s="1" customFormat="1" ht="12" customHeight="1" x14ac:dyDescent="0.3"/>
    <row r="748" s="1" customFormat="1" ht="12" customHeight="1" x14ac:dyDescent="0.3"/>
    <row r="749" s="1" customFormat="1" ht="12" customHeight="1" x14ac:dyDescent="0.3"/>
    <row r="750" s="1" customFormat="1" ht="12" customHeight="1" x14ac:dyDescent="0.3"/>
    <row r="751" s="1" customFormat="1" ht="12" customHeight="1" x14ac:dyDescent="0.3"/>
    <row r="752" s="1" customFormat="1" ht="12" customHeight="1" x14ac:dyDescent="0.3"/>
    <row r="753" s="1" customFormat="1" ht="12" customHeight="1" x14ac:dyDescent="0.3"/>
    <row r="754" s="1" customFormat="1" ht="12" customHeight="1" x14ac:dyDescent="0.3"/>
    <row r="755" s="1" customFormat="1" ht="12" customHeight="1" x14ac:dyDescent="0.3"/>
    <row r="756" s="1" customFormat="1" ht="12" customHeight="1" x14ac:dyDescent="0.3"/>
    <row r="757" s="1" customFormat="1" ht="12" customHeight="1" x14ac:dyDescent="0.3"/>
    <row r="758" s="1" customFormat="1" ht="12" customHeight="1" x14ac:dyDescent="0.3"/>
    <row r="759" s="1" customFormat="1" ht="12" customHeight="1" x14ac:dyDescent="0.3"/>
    <row r="760" s="1" customFormat="1" ht="12" customHeight="1" x14ac:dyDescent="0.3"/>
    <row r="761" s="1" customFormat="1" ht="12" customHeight="1" x14ac:dyDescent="0.3"/>
    <row r="762" s="1" customFormat="1" ht="12" customHeight="1" x14ac:dyDescent="0.3"/>
    <row r="763" s="1" customFormat="1" ht="12" customHeight="1" x14ac:dyDescent="0.3"/>
    <row r="764" s="1" customFormat="1" ht="12" customHeight="1" x14ac:dyDescent="0.3"/>
    <row r="765" s="1" customFormat="1" ht="12" customHeight="1" x14ac:dyDescent="0.3"/>
    <row r="766" s="1" customFormat="1" ht="12" customHeight="1" x14ac:dyDescent="0.3"/>
    <row r="767" s="1" customFormat="1" ht="12" customHeight="1" x14ac:dyDescent="0.3"/>
    <row r="768" s="1" customFormat="1" ht="12" customHeight="1" x14ac:dyDescent="0.3"/>
    <row r="769" s="1" customFormat="1" ht="12" customHeight="1" x14ac:dyDescent="0.3"/>
    <row r="770" s="1" customFormat="1" ht="12" customHeight="1" x14ac:dyDescent="0.3"/>
    <row r="771" s="1" customFormat="1" ht="12" customHeight="1" x14ac:dyDescent="0.3"/>
    <row r="772" s="1" customFormat="1" ht="12" customHeight="1" x14ac:dyDescent="0.3"/>
    <row r="773" s="1" customFormat="1" ht="12" customHeight="1" x14ac:dyDescent="0.3"/>
    <row r="774" s="1" customFormat="1" ht="12" customHeight="1" x14ac:dyDescent="0.3"/>
    <row r="775" s="1" customFormat="1" ht="12" customHeight="1" x14ac:dyDescent="0.3"/>
    <row r="776" s="1" customFormat="1" ht="12" customHeight="1" x14ac:dyDescent="0.3"/>
    <row r="777" s="1" customFormat="1" ht="12" customHeight="1" x14ac:dyDescent="0.3"/>
    <row r="778" s="1" customFormat="1" ht="12" customHeight="1" x14ac:dyDescent="0.3"/>
    <row r="779" s="1" customFormat="1" ht="12" customHeight="1" x14ac:dyDescent="0.3"/>
    <row r="780" s="1" customFormat="1" ht="12" customHeight="1" x14ac:dyDescent="0.3"/>
    <row r="781" s="1" customFormat="1" ht="12" customHeight="1" x14ac:dyDescent="0.3"/>
    <row r="782" s="1" customFormat="1" ht="12" customHeight="1" x14ac:dyDescent="0.3"/>
    <row r="783" s="1" customFormat="1" ht="12" customHeight="1" x14ac:dyDescent="0.3"/>
    <row r="784" s="1" customFormat="1" ht="12" customHeight="1" x14ac:dyDescent="0.3"/>
    <row r="785" s="1" customFormat="1" ht="12" customHeight="1" x14ac:dyDescent="0.3"/>
    <row r="786" s="1" customFormat="1" ht="12" customHeight="1" x14ac:dyDescent="0.3"/>
    <row r="787" s="1" customFormat="1" ht="12" customHeight="1" x14ac:dyDescent="0.3"/>
    <row r="788" s="1" customFormat="1" ht="12" customHeight="1" x14ac:dyDescent="0.3"/>
    <row r="789" s="1" customFormat="1" ht="12" customHeight="1" x14ac:dyDescent="0.3"/>
    <row r="790" s="1" customFormat="1" ht="12" customHeight="1" x14ac:dyDescent="0.3"/>
    <row r="791" s="1" customFormat="1" ht="12" customHeight="1" x14ac:dyDescent="0.3"/>
    <row r="792" s="1" customFormat="1" ht="12" customHeight="1" x14ac:dyDescent="0.3"/>
    <row r="793" s="1" customFormat="1" ht="12" customHeight="1" x14ac:dyDescent="0.3"/>
    <row r="794" s="1" customFormat="1" ht="12" customHeight="1" x14ac:dyDescent="0.3"/>
    <row r="795" s="1" customFormat="1" ht="12" customHeight="1" x14ac:dyDescent="0.3"/>
    <row r="796" s="1" customFormat="1" ht="12" customHeight="1" x14ac:dyDescent="0.3"/>
    <row r="797" s="1" customFormat="1" ht="12" customHeight="1" x14ac:dyDescent="0.3"/>
    <row r="798" s="1" customFormat="1" ht="12" customHeight="1" x14ac:dyDescent="0.3"/>
    <row r="799" s="1" customFormat="1" ht="12" customHeight="1" x14ac:dyDescent="0.3"/>
    <row r="800" s="1" customFormat="1" ht="12" customHeight="1" x14ac:dyDescent="0.3"/>
    <row r="801" s="1" customFormat="1" ht="12" customHeight="1" x14ac:dyDescent="0.3"/>
    <row r="802" s="1" customFormat="1" ht="12" customHeight="1" x14ac:dyDescent="0.3"/>
    <row r="803" s="1" customFormat="1" ht="12" customHeight="1" x14ac:dyDescent="0.3"/>
    <row r="804" s="1" customFormat="1" ht="12" customHeight="1" x14ac:dyDescent="0.3"/>
    <row r="805" s="1" customFormat="1" ht="12" customHeight="1" x14ac:dyDescent="0.3"/>
    <row r="806" s="1" customFormat="1" ht="12" customHeight="1" x14ac:dyDescent="0.3"/>
    <row r="807" s="1" customFormat="1" ht="12" customHeight="1" x14ac:dyDescent="0.3"/>
    <row r="808" s="1" customFormat="1" ht="12" customHeight="1" x14ac:dyDescent="0.3"/>
    <row r="809" s="1" customFormat="1" ht="12" customHeight="1" x14ac:dyDescent="0.3"/>
    <row r="810" s="1" customFormat="1" ht="12" customHeight="1" x14ac:dyDescent="0.3"/>
    <row r="811" s="1" customFormat="1" ht="12" customHeight="1" x14ac:dyDescent="0.3"/>
    <row r="812" s="1" customFormat="1" ht="12" customHeight="1" x14ac:dyDescent="0.3"/>
    <row r="813" s="1" customFormat="1" ht="12" customHeight="1" x14ac:dyDescent="0.3"/>
    <row r="814" s="1" customFormat="1" ht="12" customHeight="1" x14ac:dyDescent="0.3"/>
    <row r="815" s="1" customFormat="1" ht="12" customHeight="1" x14ac:dyDescent="0.3"/>
    <row r="816" s="1" customFormat="1" ht="12" customHeight="1" x14ac:dyDescent="0.3"/>
    <row r="817" s="1" customFormat="1" ht="12" customHeight="1" x14ac:dyDescent="0.3"/>
    <row r="818" s="1" customFormat="1" ht="12" customHeight="1" x14ac:dyDescent="0.3"/>
    <row r="819" s="1" customFormat="1" ht="12" customHeight="1" x14ac:dyDescent="0.3"/>
    <row r="820" s="1" customFormat="1" ht="12" customHeight="1" x14ac:dyDescent="0.3"/>
    <row r="821" s="1" customFormat="1" ht="12" customHeight="1" x14ac:dyDescent="0.3"/>
    <row r="822" s="1" customFormat="1" ht="12" customHeight="1" x14ac:dyDescent="0.3"/>
    <row r="823" s="1" customFormat="1" ht="12" customHeight="1" x14ac:dyDescent="0.3"/>
    <row r="824" s="1" customFormat="1" ht="12" customHeight="1" x14ac:dyDescent="0.3"/>
    <row r="825" s="1" customFormat="1" ht="12" customHeight="1" x14ac:dyDescent="0.3"/>
    <row r="826" s="1" customFormat="1" ht="12" customHeight="1" x14ac:dyDescent="0.3"/>
    <row r="827" s="1" customFormat="1" ht="12" customHeight="1" x14ac:dyDescent="0.3"/>
    <row r="828" s="1" customFormat="1" ht="12" customHeight="1" x14ac:dyDescent="0.3"/>
    <row r="829" s="1" customFormat="1" ht="12" customHeight="1" x14ac:dyDescent="0.3"/>
    <row r="830" s="1" customFormat="1" ht="12" customHeight="1" x14ac:dyDescent="0.3"/>
    <row r="831" s="1" customFormat="1" ht="12" customHeight="1" x14ac:dyDescent="0.3"/>
    <row r="832" s="1" customFormat="1" ht="12" customHeight="1" x14ac:dyDescent="0.3"/>
    <row r="833" s="1" customFormat="1" ht="12" customHeight="1" x14ac:dyDescent="0.3"/>
    <row r="834" s="1" customFormat="1" ht="12" customHeight="1" x14ac:dyDescent="0.3"/>
    <row r="835" s="1" customFormat="1" ht="12" customHeight="1" x14ac:dyDescent="0.3"/>
    <row r="836" s="1" customFormat="1" ht="12" customHeight="1" x14ac:dyDescent="0.3"/>
    <row r="837" s="1" customFormat="1" ht="12" customHeight="1" x14ac:dyDescent="0.3"/>
    <row r="838" s="1" customFormat="1" ht="12" customHeight="1" x14ac:dyDescent="0.3"/>
    <row r="839" s="1" customFormat="1" ht="12" customHeight="1" x14ac:dyDescent="0.3"/>
    <row r="840" s="1" customFormat="1" ht="12" customHeight="1" x14ac:dyDescent="0.3"/>
    <row r="841" s="1" customFormat="1" ht="12" customHeight="1" x14ac:dyDescent="0.3"/>
    <row r="842" s="1" customFormat="1" ht="12" customHeight="1" x14ac:dyDescent="0.3"/>
    <row r="843" s="1" customFormat="1" ht="12" customHeight="1" x14ac:dyDescent="0.3"/>
    <row r="844" s="1" customFormat="1" ht="12" customHeight="1" x14ac:dyDescent="0.3"/>
    <row r="845" s="1" customFormat="1" ht="12" customHeight="1" x14ac:dyDescent="0.3"/>
    <row r="846" s="1" customFormat="1" ht="12" customHeight="1" x14ac:dyDescent="0.3"/>
    <row r="847" s="1" customFormat="1" ht="12" customHeight="1" x14ac:dyDescent="0.3"/>
    <row r="848" s="1" customFormat="1" ht="12" customHeight="1" x14ac:dyDescent="0.3"/>
    <row r="849" s="1" customFormat="1" ht="12" customHeight="1" x14ac:dyDescent="0.3"/>
    <row r="850" s="1" customFormat="1" ht="12" customHeight="1" x14ac:dyDescent="0.3"/>
    <row r="851" s="1" customFormat="1" ht="12" customHeight="1" x14ac:dyDescent="0.3"/>
    <row r="852" s="1" customFormat="1" ht="12" customHeight="1" x14ac:dyDescent="0.3"/>
    <row r="853" s="1" customFormat="1" ht="12" customHeight="1" x14ac:dyDescent="0.3"/>
    <row r="854" s="1" customFormat="1" ht="12" customHeight="1" x14ac:dyDescent="0.3"/>
    <row r="855" s="1" customFormat="1" ht="12" customHeight="1" x14ac:dyDescent="0.3"/>
    <row r="856" s="1" customFormat="1" ht="12" customHeight="1" x14ac:dyDescent="0.3"/>
    <row r="857" s="1" customFormat="1" ht="12" customHeight="1" x14ac:dyDescent="0.3"/>
    <row r="858" s="1" customFormat="1" ht="12" customHeight="1" x14ac:dyDescent="0.3"/>
    <row r="859" s="1" customFormat="1" ht="12" customHeight="1" x14ac:dyDescent="0.3"/>
    <row r="860" s="1" customFormat="1" ht="12" customHeight="1" x14ac:dyDescent="0.3"/>
    <row r="861" s="1" customFormat="1" ht="12" customHeight="1" x14ac:dyDescent="0.3"/>
    <row r="862" s="1" customFormat="1" ht="12" customHeight="1" x14ac:dyDescent="0.3"/>
    <row r="863" s="1" customFormat="1" ht="12" customHeight="1" x14ac:dyDescent="0.3"/>
    <row r="864" s="1" customFormat="1" ht="12" customHeight="1" x14ac:dyDescent="0.3"/>
    <row r="865" s="1" customFormat="1" ht="12" customHeight="1" x14ac:dyDescent="0.3"/>
    <row r="866" s="1" customFormat="1" ht="12" customHeight="1" x14ac:dyDescent="0.3"/>
    <row r="867" s="1" customFormat="1" ht="12" customHeight="1" x14ac:dyDescent="0.3"/>
    <row r="868" s="1" customFormat="1" ht="12" customHeight="1" x14ac:dyDescent="0.3"/>
    <row r="869" s="1" customFormat="1" ht="12" customHeight="1" x14ac:dyDescent="0.3"/>
    <row r="870" s="1" customFormat="1" ht="12" customHeight="1" x14ac:dyDescent="0.3"/>
    <row r="871" s="1" customFormat="1" ht="12" customHeight="1" x14ac:dyDescent="0.3"/>
    <row r="872" s="1" customFormat="1" ht="12" customHeight="1" x14ac:dyDescent="0.3"/>
    <row r="873" s="1" customFormat="1" ht="12" customHeight="1" x14ac:dyDescent="0.3"/>
    <row r="874" s="1" customFormat="1" ht="12" customHeight="1" x14ac:dyDescent="0.3"/>
    <row r="875" s="1" customFormat="1" ht="12" customHeight="1" x14ac:dyDescent="0.3"/>
    <row r="876" s="1" customFormat="1" ht="12" customHeight="1" x14ac:dyDescent="0.3"/>
    <row r="877" s="1" customFormat="1" ht="12" customHeight="1" x14ac:dyDescent="0.3"/>
    <row r="878" s="1" customFormat="1" ht="12" customHeight="1" x14ac:dyDescent="0.3"/>
    <row r="879" s="1" customFormat="1" ht="12" customHeight="1" x14ac:dyDescent="0.3"/>
    <row r="880" s="1" customFormat="1" ht="12" customHeight="1" x14ac:dyDescent="0.3"/>
    <row r="881" s="1" customFormat="1" ht="12" customHeight="1" x14ac:dyDescent="0.3"/>
    <row r="882" s="1" customFormat="1" ht="12" customHeight="1" x14ac:dyDescent="0.3"/>
    <row r="883" s="1" customFormat="1" ht="12" customHeight="1" x14ac:dyDescent="0.3"/>
    <row r="884" s="1" customFormat="1" ht="12" customHeight="1" x14ac:dyDescent="0.3"/>
    <row r="885" s="1" customFormat="1" ht="12" customHeight="1" x14ac:dyDescent="0.3"/>
    <row r="886" s="1" customFormat="1" ht="12" customHeight="1" x14ac:dyDescent="0.3"/>
    <row r="887" s="1" customFormat="1" ht="12" customHeight="1" x14ac:dyDescent="0.3"/>
    <row r="888" s="1" customFormat="1" ht="12" customHeight="1" x14ac:dyDescent="0.3"/>
    <row r="889" s="1" customFormat="1" ht="12" customHeight="1" x14ac:dyDescent="0.3"/>
    <row r="890" s="1" customFormat="1" ht="12" customHeight="1" x14ac:dyDescent="0.3"/>
    <row r="891" s="1" customFormat="1" ht="12" customHeight="1" x14ac:dyDescent="0.3"/>
    <row r="892" s="1" customFormat="1" ht="12" customHeight="1" x14ac:dyDescent="0.3"/>
    <row r="893" s="1" customFormat="1" ht="12" customHeight="1" x14ac:dyDescent="0.3"/>
    <row r="894" s="1" customFormat="1" ht="12" customHeight="1" x14ac:dyDescent="0.3"/>
    <row r="895" s="1" customFormat="1" ht="12" customHeight="1" x14ac:dyDescent="0.3"/>
    <row r="896" s="1" customFormat="1" ht="12" customHeight="1" x14ac:dyDescent="0.3"/>
    <row r="897" s="1" customFormat="1" ht="12" customHeight="1" x14ac:dyDescent="0.3"/>
    <row r="898" s="1" customFormat="1" ht="12" customHeight="1" x14ac:dyDescent="0.3"/>
    <row r="899" s="1" customFormat="1" ht="12" customHeight="1" x14ac:dyDescent="0.3"/>
    <row r="900" s="1" customFormat="1" ht="12" customHeight="1" x14ac:dyDescent="0.3"/>
    <row r="901" s="1" customFormat="1" ht="12" customHeight="1" x14ac:dyDescent="0.3"/>
    <row r="902" s="1" customFormat="1" ht="12" customHeight="1" x14ac:dyDescent="0.3"/>
    <row r="903" s="1" customFormat="1" ht="12" customHeight="1" x14ac:dyDescent="0.3"/>
    <row r="904" s="1" customFormat="1" ht="12" customHeight="1" x14ac:dyDescent="0.3"/>
    <row r="905" s="1" customFormat="1" ht="12" customHeight="1" x14ac:dyDescent="0.3"/>
    <row r="906" s="1" customFormat="1" ht="12" customHeight="1" x14ac:dyDescent="0.3"/>
    <row r="907" s="1" customFormat="1" ht="12" customHeight="1" x14ac:dyDescent="0.3"/>
    <row r="908" s="1" customFormat="1" ht="12" customHeight="1" x14ac:dyDescent="0.3"/>
    <row r="909" s="1" customFormat="1" ht="12" customHeight="1" x14ac:dyDescent="0.3"/>
    <row r="910" s="1" customFormat="1" ht="12" customHeight="1" x14ac:dyDescent="0.3"/>
    <row r="911" s="1" customFormat="1" ht="12" customHeight="1" x14ac:dyDescent="0.3"/>
    <row r="912" s="1" customFormat="1" ht="12" customHeight="1" x14ac:dyDescent="0.3"/>
    <row r="913" s="1" customFormat="1" ht="12" customHeight="1" x14ac:dyDescent="0.3"/>
    <row r="914" s="1" customFormat="1" ht="12" customHeight="1" x14ac:dyDescent="0.3"/>
    <row r="915" s="1" customFormat="1" ht="12" customHeight="1" x14ac:dyDescent="0.3"/>
    <row r="916" s="1" customFormat="1" ht="12" customHeight="1" x14ac:dyDescent="0.3"/>
    <row r="917" s="1" customFormat="1" ht="12" customHeight="1" x14ac:dyDescent="0.3"/>
    <row r="918" s="1" customFormat="1" ht="12" customHeight="1" x14ac:dyDescent="0.3"/>
    <row r="919" s="1" customFormat="1" ht="12" customHeight="1" x14ac:dyDescent="0.3"/>
    <row r="920" s="1" customFormat="1" ht="12" customHeight="1" x14ac:dyDescent="0.3"/>
    <row r="921" s="1" customFormat="1" ht="12" customHeight="1" x14ac:dyDescent="0.3"/>
    <row r="922" s="1" customFormat="1" ht="12" customHeight="1" x14ac:dyDescent="0.3"/>
    <row r="923" s="1" customFormat="1" ht="12" customHeight="1" x14ac:dyDescent="0.3"/>
    <row r="924" s="1" customFormat="1" ht="12" customHeight="1" x14ac:dyDescent="0.3"/>
    <row r="925" s="1" customFormat="1" ht="12" customHeight="1" x14ac:dyDescent="0.3"/>
    <row r="926" s="1" customFormat="1" ht="12" customHeight="1" x14ac:dyDescent="0.3"/>
    <row r="927" s="1" customFormat="1" ht="12" customHeight="1" x14ac:dyDescent="0.3"/>
    <row r="928" s="1" customFormat="1" ht="12" customHeight="1" x14ac:dyDescent="0.3"/>
    <row r="929" s="1" customFormat="1" ht="12" customHeight="1" x14ac:dyDescent="0.3"/>
    <row r="930" s="1" customFormat="1" ht="12" customHeight="1" x14ac:dyDescent="0.3"/>
    <row r="931" s="1" customFormat="1" ht="12" customHeight="1" x14ac:dyDescent="0.3"/>
    <row r="932" s="1" customFormat="1" ht="12" customHeight="1" x14ac:dyDescent="0.3"/>
    <row r="933" s="1" customFormat="1" ht="12" customHeight="1" x14ac:dyDescent="0.3"/>
    <row r="934" s="1" customFormat="1" ht="12" customHeight="1" x14ac:dyDescent="0.3"/>
    <row r="935" s="1" customFormat="1" ht="12" customHeight="1" x14ac:dyDescent="0.3"/>
    <row r="936" s="1" customFormat="1" ht="12" customHeight="1" x14ac:dyDescent="0.3"/>
    <row r="937" s="1" customFormat="1" ht="12" customHeight="1" x14ac:dyDescent="0.3"/>
    <row r="938" s="1" customFormat="1" ht="12" customHeight="1" x14ac:dyDescent="0.3"/>
    <row r="939" s="1" customFormat="1" ht="12" customHeight="1" x14ac:dyDescent="0.3"/>
    <row r="940" s="1" customFormat="1" ht="12" customHeight="1" x14ac:dyDescent="0.3"/>
    <row r="941" s="1" customFormat="1" ht="12" customHeight="1" x14ac:dyDescent="0.3"/>
    <row r="942" s="1" customFormat="1" ht="12" customHeight="1" x14ac:dyDescent="0.3"/>
    <row r="943" s="1" customFormat="1" ht="12" customHeight="1" x14ac:dyDescent="0.3"/>
    <row r="944" s="1" customFormat="1" ht="12" customHeight="1" x14ac:dyDescent="0.3"/>
    <row r="945" s="1" customFormat="1" ht="12" customHeight="1" x14ac:dyDescent="0.3"/>
    <row r="946" s="1" customFormat="1" ht="12" customHeight="1" x14ac:dyDescent="0.3"/>
    <row r="947" s="1" customFormat="1" ht="12" customHeight="1" x14ac:dyDescent="0.3"/>
    <row r="948" s="1" customFormat="1" ht="12" customHeight="1" x14ac:dyDescent="0.3"/>
    <row r="949" s="1" customFormat="1" ht="12" customHeight="1" x14ac:dyDescent="0.3"/>
    <row r="950" s="1" customFormat="1" ht="12" customHeight="1" x14ac:dyDescent="0.3"/>
    <row r="951" s="1" customFormat="1" ht="12" customHeight="1" x14ac:dyDescent="0.3"/>
    <row r="952" s="1" customFormat="1" ht="12" customHeight="1" x14ac:dyDescent="0.3"/>
    <row r="953" s="1" customFormat="1" ht="12" customHeight="1" x14ac:dyDescent="0.3"/>
    <row r="954" s="1" customFormat="1" ht="12" customHeight="1" x14ac:dyDescent="0.3"/>
    <row r="955" s="1" customFormat="1" ht="12" customHeight="1" x14ac:dyDescent="0.3"/>
    <row r="956" s="1" customFormat="1" ht="12" customHeight="1" x14ac:dyDescent="0.3"/>
    <row r="957" s="1" customFormat="1" ht="12" customHeight="1" x14ac:dyDescent="0.3"/>
    <row r="958" s="1" customFormat="1" ht="12" customHeight="1" x14ac:dyDescent="0.3"/>
    <row r="959" s="1" customFormat="1" ht="12" customHeight="1" x14ac:dyDescent="0.3"/>
    <row r="960" s="1" customFormat="1" ht="12" customHeight="1" x14ac:dyDescent="0.3"/>
    <row r="961" s="1" customFormat="1" ht="12" customHeight="1" x14ac:dyDescent="0.3"/>
    <row r="962" s="1" customFormat="1" ht="12" customHeight="1" x14ac:dyDescent="0.3"/>
    <row r="963" s="1" customFormat="1" ht="12" customHeight="1" x14ac:dyDescent="0.3"/>
    <row r="964" s="1" customFormat="1" ht="12" customHeight="1" x14ac:dyDescent="0.3"/>
    <row r="965" s="1" customFormat="1" ht="12" customHeight="1" x14ac:dyDescent="0.3"/>
    <row r="966" s="1" customFormat="1" ht="12" customHeight="1" x14ac:dyDescent="0.3"/>
    <row r="967" s="1" customFormat="1" ht="12" customHeight="1" x14ac:dyDescent="0.3"/>
    <row r="968" s="1" customFormat="1" ht="12" customHeight="1" x14ac:dyDescent="0.3"/>
    <row r="969" s="1" customFormat="1" ht="12" customHeight="1" x14ac:dyDescent="0.3"/>
    <row r="970" s="1" customFormat="1" ht="12" customHeight="1" x14ac:dyDescent="0.3"/>
    <row r="971" s="1" customFormat="1" ht="12" customHeight="1" x14ac:dyDescent="0.3"/>
    <row r="972" s="1" customFormat="1" ht="12" customHeight="1" x14ac:dyDescent="0.3"/>
    <row r="973" s="1" customFormat="1" ht="12" customHeight="1" x14ac:dyDescent="0.3"/>
    <row r="974" s="1" customFormat="1" ht="12" customHeight="1" x14ac:dyDescent="0.3"/>
    <row r="975" s="1" customFormat="1" ht="12" customHeight="1" x14ac:dyDescent="0.3"/>
    <row r="976" s="1" customFormat="1" ht="12" customHeight="1" x14ac:dyDescent="0.3"/>
    <row r="977" s="1" customFormat="1" ht="12" customHeight="1" x14ac:dyDescent="0.3"/>
    <row r="978" s="1" customFormat="1" ht="12" customHeight="1" x14ac:dyDescent="0.3"/>
    <row r="979" s="1" customFormat="1" ht="12" customHeight="1" x14ac:dyDescent="0.3"/>
    <row r="980" s="1" customFormat="1" ht="12" customHeight="1" x14ac:dyDescent="0.3"/>
    <row r="981" s="1" customFormat="1" ht="12" customHeight="1" x14ac:dyDescent="0.3"/>
    <row r="982" s="1" customFormat="1" ht="12" customHeight="1" x14ac:dyDescent="0.3"/>
    <row r="983" s="1" customFormat="1" ht="12" customHeight="1" x14ac:dyDescent="0.3"/>
    <row r="984" s="1" customFormat="1" ht="12" customHeight="1" x14ac:dyDescent="0.3"/>
    <row r="985" s="1" customFormat="1" ht="12" customHeight="1" x14ac:dyDescent="0.3"/>
    <row r="986" s="1" customFormat="1" ht="12" customHeight="1" x14ac:dyDescent="0.3"/>
    <row r="987" s="1" customFormat="1" ht="12" customHeight="1" x14ac:dyDescent="0.3"/>
    <row r="988" s="1" customFormat="1" ht="12" customHeight="1" x14ac:dyDescent="0.3"/>
    <row r="989" s="1" customFormat="1" ht="12" customHeight="1" x14ac:dyDescent="0.3"/>
    <row r="990" s="1" customFormat="1" ht="12" customHeight="1" x14ac:dyDescent="0.3"/>
    <row r="991" s="1" customFormat="1" ht="12" customHeight="1" x14ac:dyDescent="0.3"/>
    <row r="992" s="1" customFormat="1" ht="12" customHeight="1" x14ac:dyDescent="0.3"/>
    <row r="993" s="1" customFormat="1" ht="12" customHeight="1" x14ac:dyDescent="0.3"/>
    <row r="994" s="1" customFormat="1" ht="12" customHeight="1" x14ac:dyDescent="0.3"/>
    <row r="995" s="1" customFormat="1" ht="12" customHeight="1" x14ac:dyDescent="0.3"/>
    <row r="996" s="1" customFormat="1" ht="12" customHeight="1" x14ac:dyDescent="0.3"/>
    <row r="997" s="1" customFormat="1" ht="12" customHeight="1" x14ac:dyDescent="0.3"/>
    <row r="998" s="1" customFormat="1" ht="12" customHeight="1" x14ac:dyDescent="0.3"/>
    <row r="999" s="1" customFormat="1" ht="12" customHeight="1" x14ac:dyDescent="0.3"/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84500-32FC-4346-A339-54BEE7317130}">
  <dimension ref="A1:M999"/>
  <sheetViews>
    <sheetView workbookViewId="0">
      <selection sqref="A1:XFD1048576"/>
    </sheetView>
  </sheetViews>
  <sheetFormatPr baseColWidth="10" defaultColWidth="12.6328125" defaultRowHeight="15" customHeight="1" x14ac:dyDescent="0.3"/>
  <cols>
    <col min="1" max="1" width="15.7265625" style="1" customWidth="1"/>
    <col min="2" max="7" width="10.6328125" style="1" customWidth="1"/>
    <col min="8" max="8" width="11.36328125" style="1" customWidth="1"/>
    <col min="9" max="25" width="10.6328125" style="1" customWidth="1"/>
    <col min="26" max="16384" width="12.6328125" style="1"/>
  </cols>
  <sheetData>
    <row r="1" spans="1:13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4.25" customHeight="1" x14ac:dyDescent="0.3">
      <c r="A2" s="1" t="s">
        <v>12</v>
      </c>
      <c r="B2" s="1" t="s">
        <v>13</v>
      </c>
      <c r="E2" s="1">
        <v>1</v>
      </c>
      <c r="H2" s="2" t="s">
        <v>14</v>
      </c>
      <c r="I2" s="3">
        <f t="shared" ref="I2:L2" si="0">SUM(C22+C37+C55+C65+C66+C96+C105+C113+C128+C146+C150)</f>
        <v>11</v>
      </c>
      <c r="J2" s="3">
        <f t="shared" si="0"/>
        <v>0</v>
      </c>
      <c r="K2" s="3">
        <f t="shared" si="0"/>
        <v>0</v>
      </c>
      <c r="L2" s="3">
        <f t="shared" si="0"/>
        <v>0</v>
      </c>
      <c r="M2" s="3">
        <f t="shared" ref="M2:M13" si="1">SUM(I2:L2)</f>
        <v>11</v>
      </c>
    </row>
    <row r="3" spans="1:13" ht="14.25" customHeight="1" x14ac:dyDescent="0.3">
      <c r="A3" s="1" t="s">
        <v>15</v>
      </c>
      <c r="B3" s="1" t="s">
        <v>16</v>
      </c>
      <c r="C3" s="1">
        <v>1</v>
      </c>
      <c r="H3" s="2" t="s">
        <v>17</v>
      </c>
      <c r="I3" s="3">
        <f t="shared" ref="I3:L3" si="2">SUM(C6+C32+C50+C52+C58+C69+C76+C94+C115+C122+C123+C152)</f>
        <v>12</v>
      </c>
      <c r="J3" s="3">
        <f t="shared" si="2"/>
        <v>0</v>
      </c>
      <c r="K3" s="3">
        <f t="shared" si="2"/>
        <v>0</v>
      </c>
      <c r="L3" s="3">
        <f t="shared" si="2"/>
        <v>0</v>
      </c>
      <c r="M3" s="3">
        <f t="shared" si="1"/>
        <v>12</v>
      </c>
    </row>
    <row r="4" spans="1:13" ht="14.25" customHeight="1" x14ac:dyDescent="0.3">
      <c r="A4" s="1" t="s">
        <v>18</v>
      </c>
      <c r="B4" s="1" t="s">
        <v>13</v>
      </c>
      <c r="D4" s="1">
        <v>1</v>
      </c>
      <c r="H4" s="2" t="s">
        <v>19</v>
      </c>
      <c r="I4" s="3">
        <f t="shared" ref="I4:L4" si="3">SUM(C26+C14+C27+C62+C68+C124+C138+C142+C153+C155)</f>
        <v>10</v>
      </c>
      <c r="J4" s="3">
        <f t="shared" si="3"/>
        <v>0</v>
      </c>
      <c r="K4" s="3">
        <f t="shared" si="3"/>
        <v>0</v>
      </c>
      <c r="L4" s="3">
        <f t="shared" si="3"/>
        <v>0</v>
      </c>
      <c r="M4" s="3">
        <f t="shared" si="1"/>
        <v>10</v>
      </c>
    </row>
    <row r="5" spans="1:13" ht="14.25" customHeight="1" x14ac:dyDescent="0.3">
      <c r="A5" s="1" t="s">
        <v>20</v>
      </c>
      <c r="B5" s="1" t="s">
        <v>21</v>
      </c>
      <c r="D5" s="1">
        <v>1</v>
      </c>
      <c r="H5" s="2" t="s">
        <v>22</v>
      </c>
      <c r="I5" s="3">
        <f t="shared" ref="I5:L5" si="4">SUM(C5+C36+C56+C63+C73+C85+C87+C95+C135)</f>
        <v>0</v>
      </c>
      <c r="J5" s="3">
        <f t="shared" si="4"/>
        <v>8</v>
      </c>
      <c r="K5" s="3">
        <f t="shared" si="4"/>
        <v>0</v>
      </c>
      <c r="L5" s="3">
        <f t="shared" si="4"/>
        <v>1</v>
      </c>
      <c r="M5" s="3">
        <f t="shared" si="1"/>
        <v>9</v>
      </c>
    </row>
    <row r="6" spans="1:13" ht="14.25" customHeight="1" x14ac:dyDescent="0.3">
      <c r="A6" s="1" t="s">
        <v>23</v>
      </c>
      <c r="B6" s="1" t="s">
        <v>24</v>
      </c>
      <c r="C6" s="1">
        <v>1</v>
      </c>
      <c r="H6" s="2" t="s">
        <v>25</v>
      </c>
      <c r="I6" s="3">
        <f t="shared" ref="I6:L6" si="5">SUM(C12+C15+C18+C28+C41+C59+C78+C64+C82+C83+C86+C106+C119+C143+C148+C154)</f>
        <v>15</v>
      </c>
      <c r="J6" s="3">
        <f t="shared" si="5"/>
        <v>0</v>
      </c>
      <c r="K6" s="3">
        <f t="shared" si="5"/>
        <v>0</v>
      </c>
      <c r="L6" s="3">
        <f t="shared" si="5"/>
        <v>1</v>
      </c>
      <c r="M6" s="3">
        <f t="shared" si="1"/>
        <v>16</v>
      </c>
    </row>
    <row r="7" spans="1:13" ht="14.25" customHeight="1" x14ac:dyDescent="0.3">
      <c r="A7" s="1" t="s">
        <v>26</v>
      </c>
      <c r="B7" s="1" t="s">
        <v>27</v>
      </c>
      <c r="D7" s="1">
        <v>1</v>
      </c>
      <c r="H7" s="2" t="s">
        <v>28</v>
      </c>
      <c r="I7" s="3">
        <f t="shared" ref="I7:L7" si="6">SUM(C3+C20+C46+C49+C54+C89+C90+C102+C112+C114+C129+C141)</f>
        <v>10</v>
      </c>
      <c r="J7" s="3">
        <f t="shared" si="6"/>
        <v>0</v>
      </c>
      <c r="K7" s="3">
        <f t="shared" si="6"/>
        <v>2</v>
      </c>
      <c r="L7" s="3">
        <f t="shared" si="6"/>
        <v>0</v>
      </c>
      <c r="M7" s="3">
        <f t="shared" si="1"/>
        <v>12</v>
      </c>
    </row>
    <row r="8" spans="1:13" ht="14.25" customHeight="1" x14ac:dyDescent="0.3">
      <c r="A8" s="1" t="s">
        <v>29</v>
      </c>
      <c r="B8" s="1" t="s">
        <v>30</v>
      </c>
      <c r="D8" s="1">
        <v>1</v>
      </c>
      <c r="H8" s="2" t="s">
        <v>27</v>
      </c>
      <c r="I8" s="3">
        <f t="shared" ref="I8:L8" si="7">SUM(C7+C30+C29+C44+C51+C60+C72+C79+C101+C99+C107+C111+C117+C140+C144)</f>
        <v>1</v>
      </c>
      <c r="J8" s="3">
        <f t="shared" si="7"/>
        <v>13</v>
      </c>
      <c r="K8" s="3">
        <f t="shared" si="7"/>
        <v>1</v>
      </c>
      <c r="L8" s="3">
        <f t="shared" si="7"/>
        <v>0</v>
      </c>
      <c r="M8" s="3">
        <f t="shared" si="1"/>
        <v>15</v>
      </c>
    </row>
    <row r="9" spans="1:13" ht="14.25" customHeight="1" x14ac:dyDescent="0.3">
      <c r="A9" s="1" t="s">
        <v>31</v>
      </c>
      <c r="B9" s="1" t="s">
        <v>13</v>
      </c>
      <c r="D9" s="1">
        <v>1</v>
      </c>
      <c r="H9" s="2" t="s">
        <v>13</v>
      </c>
      <c r="I9" s="3">
        <f t="shared" ref="I9:J9" si="8">SUM(C4+C9+C17+C19+C2+C48+C92+C120+C126+C127+C130+C133+C151)</f>
        <v>2</v>
      </c>
      <c r="J9" s="3">
        <f t="shared" si="8"/>
        <v>9</v>
      </c>
      <c r="K9" s="3">
        <f>SUM(D4+D9+D17+D19+D2+D48+D92+D120+D126+D127+D130+D133+D151)</f>
        <v>9</v>
      </c>
      <c r="L9" s="3">
        <f>SUM(F4+F9+F17+F19+F2+F48+F92+F120+F126+F127+F130+F133+F151)</f>
        <v>0</v>
      </c>
      <c r="M9" s="3">
        <f t="shared" si="1"/>
        <v>20</v>
      </c>
    </row>
    <row r="10" spans="1:13" ht="14.25" customHeight="1" x14ac:dyDescent="0.3">
      <c r="A10" s="1" t="s">
        <v>32</v>
      </c>
      <c r="B10" s="1" t="s">
        <v>33</v>
      </c>
      <c r="C10" s="1">
        <v>1</v>
      </c>
      <c r="H10" s="2" t="s">
        <v>30</v>
      </c>
      <c r="I10" s="3">
        <f t="shared" ref="I10:L10" si="9">SUM(C8+C13+C16+C25+C31+C35+C43+C45+C70+C71+C75+C81+C88+C93+C98+C100+C104+C118+C136+C137+C156)</f>
        <v>0</v>
      </c>
      <c r="J10" s="3">
        <f t="shared" si="9"/>
        <v>21</v>
      </c>
      <c r="K10" s="3">
        <f t="shared" si="9"/>
        <v>0</v>
      </c>
      <c r="L10" s="3">
        <f t="shared" si="9"/>
        <v>0</v>
      </c>
      <c r="M10" s="3">
        <f t="shared" si="1"/>
        <v>21</v>
      </c>
    </row>
    <row r="11" spans="1:13" ht="14.25" customHeight="1" x14ac:dyDescent="0.3">
      <c r="A11" s="1" t="s">
        <v>34</v>
      </c>
      <c r="B11" s="1" t="s">
        <v>33</v>
      </c>
      <c r="C11" s="1">
        <v>1</v>
      </c>
      <c r="H11" s="2" t="s">
        <v>35</v>
      </c>
      <c r="I11" s="3">
        <f t="shared" ref="I11:L11" si="10">SUM(C38+C42+C47+C53+C74+C77+C80+C91+C97+C103+C108+C116+C131+C145+C147)</f>
        <v>0</v>
      </c>
      <c r="J11" s="3">
        <f t="shared" si="10"/>
        <v>14</v>
      </c>
      <c r="K11" s="3">
        <f t="shared" si="10"/>
        <v>1</v>
      </c>
      <c r="L11" s="3">
        <f t="shared" si="10"/>
        <v>0</v>
      </c>
      <c r="M11" s="3">
        <f t="shared" si="1"/>
        <v>15</v>
      </c>
    </row>
    <row r="12" spans="1:13" ht="14.25" customHeight="1" x14ac:dyDescent="0.3">
      <c r="A12" s="1" t="s">
        <v>36</v>
      </c>
      <c r="B12" s="1" t="s">
        <v>37</v>
      </c>
      <c r="C12" s="1">
        <v>1</v>
      </c>
      <c r="H12" s="2" t="s">
        <v>38</v>
      </c>
      <c r="I12" s="3">
        <f t="shared" ref="I12:L12" si="11">SUM(C21+C24+C34+C40+C67+C84+C132)</f>
        <v>0</v>
      </c>
      <c r="J12" s="3">
        <f t="shared" si="11"/>
        <v>3</v>
      </c>
      <c r="K12" s="3">
        <f t="shared" si="11"/>
        <v>3</v>
      </c>
      <c r="L12" s="3">
        <f t="shared" si="11"/>
        <v>1</v>
      </c>
      <c r="M12" s="3">
        <f t="shared" si="1"/>
        <v>7</v>
      </c>
    </row>
    <row r="13" spans="1:13" ht="14.25" customHeight="1" x14ac:dyDescent="0.3">
      <c r="A13" s="1" t="s">
        <v>39</v>
      </c>
      <c r="B13" s="1" t="s">
        <v>30</v>
      </c>
      <c r="D13" s="1">
        <v>1</v>
      </c>
      <c r="H13" s="2" t="s">
        <v>33</v>
      </c>
      <c r="I13" s="3">
        <f t="shared" ref="I13:L13" si="12">SUM(C10+C11+C57+C125+C149)</f>
        <v>3</v>
      </c>
      <c r="J13" s="3">
        <f t="shared" si="12"/>
        <v>2</v>
      </c>
      <c r="K13" s="3">
        <f t="shared" si="12"/>
        <v>0</v>
      </c>
      <c r="L13" s="3">
        <f t="shared" si="12"/>
        <v>0</v>
      </c>
      <c r="M13" s="3">
        <f t="shared" si="1"/>
        <v>5</v>
      </c>
    </row>
    <row r="14" spans="1:13" ht="14.25" customHeight="1" x14ac:dyDescent="0.3">
      <c r="A14" s="1" t="s">
        <v>40</v>
      </c>
      <c r="B14" s="1" t="s">
        <v>19</v>
      </c>
      <c r="C14" s="1">
        <v>1</v>
      </c>
      <c r="I14" s="4"/>
      <c r="J14" s="4"/>
      <c r="K14" s="4"/>
      <c r="L14" s="4"/>
    </row>
    <row r="15" spans="1:13" ht="14.25" customHeight="1" x14ac:dyDescent="0.3">
      <c r="A15" s="1" t="s">
        <v>41</v>
      </c>
      <c r="B15" s="1" t="s">
        <v>42</v>
      </c>
      <c r="C15" s="1">
        <v>1</v>
      </c>
      <c r="I15" s="4"/>
      <c r="J15" s="4"/>
      <c r="K15" s="4"/>
      <c r="L15" s="4"/>
    </row>
    <row r="16" spans="1:13" ht="14.25" customHeight="1" x14ac:dyDescent="0.3">
      <c r="A16" s="1" t="s">
        <v>43</v>
      </c>
      <c r="B16" s="1" t="s">
        <v>30</v>
      </c>
      <c r="D16" s="1">
        <v>1</v>
      </c>
      <c r="I16" s="4"/>
      <c r="J16" s="4"/>
      <c r="K16" s="4"/>
      <c r="L16" s="4"/>
    </row>
    <row r="17" spans="1:12" ht="14.25" customHeight="1" x14ac:dyDescent="0.3">
      <c r="A17" s="1" t="s">
        <v>44</v>
      </c>
      <c r="B17" s="1" t="s">
        <v>13</v>
      </c>
      <c r="D17" s="1">
        <v>1</v>
      </c>
      <c r="I17" s="4"/>
      <c r="J17" s="4"/>
      <c r="K17" s="4"/>
      <c r="L17" s="4"/>
    </row>
    <row r="18" spans="1:12" ht="14.25" customHeight="1" x14ac:dyDescent="0.3">
      <c r="A18" s="1" t="s">
        <v>45</v>
      </c>
      <c r="B18" s="1" t="s">
        <v>37</v>
      </c>
      <c r="C18" s="1">
        <v>1</v>
      </c>
      <c r="I18" s="4"/>
      <c r="J18" s="4"/>
      <c r="K18" s="4"/>
      <c r="L18" s="4"/>
    </row>
    <row r="19" spans="1:12" ht="14.25" customHeight="1" x14ac:dyDescent="0.3">
      <c r="A19" s="1" t="s">
        <v>46</v>
      </c>
      <c r="B19" s="1" t="s">
        <v>13</v>
      </c>
      <c r="D19" s="1">
        <v>1</v>
      </c>
    </row>
    <row r="20" spans="1:12" ht="14.25" customHeight="1" x14ac:dyDescent="0.3">
      <c r="A20" s="1" t="s">
        <v>47</v>
      </c>
      <c r="B20" s="1" t="s">
        <v>16</v>
      </c>
      <c r="C20" s="1">
        <v>1</v>
      </c>
    </row>
    <row r="21" spans="1:12" ht="14.25" customHeight="1" x14ac:dyDescent="0.3">
      <c r="A21" s="1" t="s">
        <v>48</v>
      </c>
      <c r="B21" s="1" t="s">
        <v>38</v>
      </c>
      <c r="F21" s="1">
        <v>1</v>
      </c>
    </row>
    <row r="22" spans="1:12" ht="14.25" customHeight="1" x14ac:dyDescent="0.3">
      <c r="A22" s="1" t="s">
        <v>49</v>
      </c>
      <c r="B22" s="1" t="s">
        <v>14</v>
      </c>
      <c r="C22" s="1">
        <v>1</v>
      </c>
    </row>
    <row r="23" spans="1:12" ht="14.25" customHeight="1" x14ac:dyDescent="0.3">
      <c r="A23" s="1" t="s">
        <v>50</v>
      </c>
      <c r="B23" s="1" t="s">
        <v>13</v>
      </c>
      <c r="D23" s="1">
        <v>1</v>
      </c>
    </row>
    <row r="24" spans="1:12" ht="14.25" customHeight="1" x14ac:dyDescent="0.3">
      <c r="A24" s="1" t="s">
        <v>51</v>
      </c>
      <c r="B24" s="1" t="s">
        <v>38</v>
      </c>
      <c r="E24" s="1">
        <v>1</v>
      </c>
    </row>
    <row r="25" spans="1:12" ht="14.25" customHeight="1" x14ac:dyDescent="0.3">
      <c r="A25" s="1" t="s">
        <v>52</v>
      </c>
      <c r="B25" s="1" t="s">
        <v>30</v>
      </c>
      <c r="D25" s="1">
        <v>1</v>
      </c>
    </row>
    <row r="26" spans="1:12" ht="14.25" customHeight="1" x14ac:dyDescent="0.3">
      <c r="A26" s="1" t="s">
        <v>53</v>
      </c>
      <c r="B26" s="1" t="s">
        <v>19</v>
      </c>
      <c r="C26" s="1">
        <v>1</v>
      </c>
    </row>
    <row r="27" spans="1:12" ht="14.25" customHeight="1" x14ac:dyDescent="0.3">
      <c r="A27" s="1" t="s">
        <v>54</v>
      </c>
      <c r="B27" s="1" t="s">
        <v>19</v>
      </c>
      <c r="C27" s="1">
        <v>1</v>
      </c>
    </row>
    <row r="28" spans="1:12" ht="14.25" customHeight="1" x14ac:dyDescent="0.3">
      <c r="A28" s="1" t="s">
        <v>55</v>
      </c>
      <c r="B28" s="1" t="s">
        <v>37</v>
      </c>
      <c r="F28" s="1">
        <v>1</v>
      </c>
    </row>
    <row r="29" spans="1:12" ht="14.25" customHeight="1" x14ac:dyDescent="0.3">
      <c r="A29" s="1" t="s">
        <v>56</v>
      </c>
      <c r="B29" s="1" t="s">
        <v>27</v>
      </c>
      <c r="D29" s="1">
        <v>1</v>
      </c>
    </row>
    <row r="30" spans="1:12" ht="14.25" customHeight="1" x14ac:dyDescent="0.3">
      <c r="A30" s="1" t="s">
        <v>57</v>
      </c>
      <c r="B30" s="1" t="s">
        <v>27</v>
      </c>
      <c r="D30" s="1">
        <v>1</v>
      </c>
    </row>
    <row r="31" spans="1:12" ht="14.25" customHeight="1" x14ac:dyDescent="0.3">
      <c r="A31" s="1" t="s">
        <v>58</v>
      </c>
      <c r="B31" s="1" t="s">
        <v>30</v>
      </c>
      <c r="D31" s="1">
        <v>1</v>
      </c>
    </row>
    <row r="32" spans="1:12" ht="14.25" customHeight="1" x14ac:dyDescent="0.3">
      <c r="A32" s="1" t="s">
        <v>59</v>
      </c>
      <c r="B32" s="1" t="s">
        <v>24</v>
      </c>
      <c r="C32" s="1">
        <v>1</v>
      </c>
    </row>
    <row r="33" spans="1:12" ht="14.25" customHeight="1" x14ac:dyDescent="0.3">
      <c r="A33" s="1" t="s">
        <v>60</v>
      </c>
      <c r="B33" s="1" t="s">
        <v>27</v>
      </c>
      <c r="D33" s="1">
        <v>1</v>
      </c>
    </row>
    <row r="34" spans="1:12" ht="14.25" customHeight="1" x14ac:dyDescent="0.3">
      <c r="A34" s="1" t="s">
        <v>61</v>
      </c>
      <c r="B34" s="1" t="s">
        <v>38</v>
      </c>
      <c r="D34" s="1">
        <v>1</v>
      </c>
    </row>
    <row r="35" spans="1:12" ht="14.25" customHeight="1" x14ac:dyDescent="0.3">
      <c r="A35" s="1" t="s">
        <v>62</v>
      </c>
      <c r="B35" s="1" t="s">
        <v>30</v>
      </c>
      <c r="D35" s="1">
        <v>1</v>
      </c>
    </row>
    <row r="36" spans="1:12" ht="14.25" customHeight="1" x14ac:dyDescent="0.3">
      <c r="A36" s="1" t="s">
        <v>63</v>
      </c>
      <c r="B36" s="1" t="s">
        <v>21</v>
      </c>
      <c r="D36" s="1">
        <v>1</v>
      </c>
    </row>
    <row r="37" spans="1:12" ht="14.25" customHeight="1" x14ac:dyDescent="0.3">
      <c r="A37" s="1" t="s">
        <v>64</v>
      </c>
      <c r="B37" s="1" t="s">
        <v>14</v>
      </c>
      <c r="C37" s="1">
        <v>1</v>
      </c>
    </row>
    <row r="38" spans="1:12" ht="14.25" customHeight="1" x14ac:dyDescent="0.3">
      <c r="A38" s="1" t="s">
        <v>65</v>
      </c>
      <c r="B38" s="1" t="s">
        <v>66</v>
      </c>
      <c r="D38" s="1">
        <v>1</v>
      </c>
    </row>
    <row r="39" spans="1:12" ht="14.25" customHeight="1" x14ac:dyDescent="0.3">
      <c r="A39" s="1" t="s">
        <v>67</v>
      </c>
      <c r="B39" s="1" t="s">
        <v>16</v>
      </c>
      <c r="C39" s="1">
        <v>1</v>
      </c>
    </row>
    <row r="40" spans="1:12" ht="14.25" customHeight="1" x14ac:dyDescent="0.3">
      <c r="A40" s="1" t="s">
        <v>68</v>
      </c>
      <c r="B40" s="1" t="s">
        <v>38</v>
      </c>
      <c r="E40" s="1">
        <v>1</v>
      </c>
    </row>
    <row r="41" spans="1:12" ht="14.25" customHeight="1" x14ac:dyDescent="0.3">
      <c r="A41" s="1" t="s">
        <v>69</v>
      </c>
      <c r="B41" s="1" t="s">
        <v>37</v>
      </c>
      <c r="C41" s="1">
        <v>1</v>
      </c>
    </row>
    <row r="42" spans="1:12" ht="14.25" customHeight="1" x14ac:dyDescent="0.3">
      <c r="A42" s="1" t="s">
        <v>70</v>
      </c>
      <c r="B42" s="1" t="s">
        <v>66</v>
      </c>
      <c r="D42" s="1">
        <v>1</v>
      </c>
    </row>
    <row r="43" spans="1:12" ht="14.25" customHeight="1" x14ac:dyDescent="0.3">
      <c r="A43" s="1" t="s">
        <v>71</v>
      </c>
      <c r="B43" s="1" t="s">
        <v>30</v>
      </c>
      <c r="D43" s="1">
        <v>1</v>
      </c>
    </row>
    <row r="44" spans="1:12" ht="14.25" customHeight="1" x14ac:dyDescent="0.3">
      <c r="A44" s="1" t="s">
        <v>72</v>
      </c>
      <c r="B44" s="1" t="s">
        <v>27</v>
      </c>
      <c r="D44" s="1">
        <v>1</v>
      </c>
    </row>
    <row r="45" spans="1:12" ht="14.25" customHeight="1" x14ac:dyDescent="0.3">
      <c r="A45" s="1" t="s">
        <v>73</v>
      </c>
      <c r="B45" s="1" t="s">
        <v>30</v>
      </c>
      <c r="D45" s="1">
        <v>1</v>
      </c>
      <c r="H45" s="1" t="s">
        <v>6</v>
      </c>
      <c r="I45" s="1" t="s">
        <v>7</v>
      </c>
      <c r="J45" s="1" t="s">
        <v>8</v>
      </c>
      <c r="K45" s="1" t="s">
        <v>9</v>
      </c>
      <c r="L45" s="1" t="s">
        <v>10</v>
      </c>
    </row>
    <row r="46" spans="1:12" ht="14.25" customHeight="1" x14ac:dyDescent="0.3">
      <c r="A46" s="1" t="s">
        <v>74</v>
      </c>
      <c r="B46" s="1" t="s">
        <v>16</v>
      </c>
      <c r="C46" s="1">
        <v>1</v>
      </c>
      <c r="H46" s="2" t="s">
        <v>14</v>
      </c>
      <c r="I46" s="4">
        <f t="shared" ref="I46:I57" si="13">I2/M2</f>
        <v>1</v>
      </c>
      <c r="J46" s="4">
        <f t="shared" ref="J46:J57" si="14">J2/M2</f>
        <v>0</v>
      </c>
      <c r="K46" s="4">
        <f t="shared" ref="K46:K57" si="15">K2/M2</f>
        <v>0</v>
      </c>
      <c r="L46" s="4">
        <f t="shared" ref="L46:L57" si="16">L2/M2</f>
        <v>0</v>
      </c>
    </row>
    <row r="47" spans="1:12" ht="14.25" customHeight="1" x14ac:dyDescent="0.3">
      <c r="A47" s="1" t="s">
        <v>75</v>
      </c>
      <c r="B47" s="1" t="s">
        <v>66</v>
      </c>
      <c r="D47" s="1">
        <v>1</v>
      </c>
      <c r="H47" s="2" t="s">
        <v>17</v>
      </c>
      <c r="I47" s="4">
        <f t="shared" si="13"/>
        <v>1</v>
      </c>
      <c r="J47" s="4">
        <f t="shared" si="14"/>
        <v>0</v>
      </c>
      <c r="K47" s="4">
        <f t="shared" si="15"/>
        <v>0</v>
      </c>
      <c r="L47" s="4">
        <f t="shared" si="16"/>
        <v>0</v>
      </c>
    </row>
    <row r="48" spans="1:12" ht="14.25" customHeight="1" x14ac:dyDescent="0.3">
      <c r="A48" s="1" t="s">
        <v>76</v>
      </c>
      <c r="B48" s="1" t="s">
        <v>13</v>
      </c>
      <c r="E48" s="1">
        <v>1</v>
      </c>
      <c r="H48" s="2" t="s">
        <v>19</v>
      </c>
      <c r="I48" s="4">
        <f t="shared" si="13"/>
        <v>1</v>
      </c>
      <c r="J48" s="4">
        <f t="shared" si="14"/>
        <v>0</v>
      </c>
      <c r="K48" s="4">
        <f t="shared" si="15"/>
        <v>0</v>
      </c>
      <c r="L48" s="4">
        <f t="shared" si="16"/>
        <v>0</v>
      </c>
    </row>
    <row r="49" spans="1:12" ht="14.25" customHeight="1" x14ac:dyDescent="0.3">
      <c r="A49" s="1" t="s">
        <v>77</v>
      </c>
      <c r="B49" s="1" t="s">
        <v>16</v>
      </c>
      <c r="C49" s="1">
        <v>1</v>
      </c>
      <c r="H49" s="2" t="s">
        <v>22</v>
      </c>
      <c r="I49" s="4">
        <f t="shared" si="13"/>
        <v>0</v>
      </c>
      <c r="J49" s="4">
        <f t="shared" si="14"/>
        <v>0.88888888888888884</v>
      </c>
      <c r="K49" s="4">
        <f t="shared" si="15"/>
        <v>0</v>
      </c>
      <c r="L49" s="4">
        <f t="shared" si="16"/>
        <v>0.1111111111111111</v>
      </c>
    </row>
    <row r="50" spans="1:12" ht="14.25" customHeight="1" x14ac:dyDescent="0.3">
      <c r="A50" s="1" t="s">
        <v>78</v>
      </c>
      <c r="B50" s="1" t="s">
        <v>24</v>
      </c>
      <c r="C50" s="1">
        <v>1</v>
      </c>
      <c r="H50" s="2" t="s">
        <v>25</v>
      </c>
      <c r="I50" s="4">
        <f t="shared" si="13"/>
        <v>0.9375</v>
      </c>
      <c r="J50" s="4">
        <f t="shared" si="14"/>
        <v>0</v>
      </c>
      <c r="K50" s="4">
        <f t="shared" si="15"/>
        <v>0</v>
      </c>
      <c r="L50" s="4">
        <f t="shared" si="16"/>
        <v>6.25E-2</v>
      </c>
    </row>
    <row r="51" spans="1:12" ht="14.25" customHeight="1" x14ac:dyDescent="0.3">
      <c r="A51" s="1" t="s">
        <v>79</v>
      </c>
      <c r="B51" s="1" t="s">
        <v>27</v>
      </c>
      <c r="D51" s="1">
        <v>1</v>
      </c>
      <c r="H51" s="2" t="s">
        <v>28</v>
      </c>
      <c r="I51" s="4">
        <f t="shared" si="13"/>
        <v>0.83333333333333337</v>
      </c>
      <c r="J51" s="4">
        <f t="shared" si="14"/>
        <v>0</v>
      </c>
      <c r="K51" s="4">
        <f t="shared" si="15"/>
        <v>0.16666666666666666</v>
      </c>
      <c r="L51" s="4">
        <f t="shared" si="16"/>
        <v>0</v>
      </c>
    </row>
    <row r="52" spans="1:12" ht="14.25" customHeight="1" x14ac:dyDescent="0.3">
      <c r="A52" s="1" t="s">
        <v>80</v>
      </c>
      <c r="B52" s="1" t="s">
        <v>24</v>
      </c>
      <c r="C52" s="1">
        <v>1</v>
      </c>
      <c r="H52" s="2" t="s">
        <v>27</v>
      </c>
      <c r="I52" s="4">
        <f t="shared" si="13"/>
        <v>6.6666666666666666E-2</v>
      </c>
      <c r="J52" s="4">
        <f t="shared" si="14"/>
        <v>0.8666666666666667</v>
      </c>
      <c r="K52" s="4">
        <f t="shared" si="15"/>
        <v>6.6666666666666666E-2</v>
      </c>
      <c r="L52" s="4">
        <f t="shared" si="16"/>
        <v>0</v>
      </c>
    </row>
    <row r="53" spans="1:12" ht="14.25" customHeight="1" x14ac:dyDescent="0.3">
      <c r="A53" s="1" t="s">
        <v>81</v>
      </c>
      <c r="B53" s="1" t="s">
        <v>66</v>
      </c>
      <c r="D53" s="1">
        <v>1</v>
      </c>
      <c r="H53" s="2" t="s">
        <v>13</v>
      </c>
      <c r="I53" s="4">
        <f t="shared" si="13"/>
        <v>0.1</v>
      </c>
      <c r="J53" s="4">
        <f t="shared" si="14"/>
        <v>0.45</v>
      </c>
      <c r="K53" s="4">
        <f t="shared" si="15"/>
        <v>0.45</v>
      </c>
      <c r="L53" s="4">
        <f t="shared" si="16"/>
        <v>0</v>
      </c>
    </row>
    <row r="54" spans="1:12" ht="14.25" customHeight="1" x14ac:dyDescent="0.3">
      <c r="A54" s="1" t="s">
        <v>82</v>
      </c>
      <c r="B54" s="1" t="s">
        <v>16</v>
      </c>
      <c r="E54" s="1">
        <v>1</v>
      </c>
      <c r="H54" s="2" t="s">
        <v>30</v>
      </c>
      <c r="I54" s="4">
        <f t="shared" si="13"/>
        <v>0</v>
      </c>
      <c r="J54" s="4">
        <f t="shared" si="14"/>
        <v>1</v>
      </c>
      <c r="K54" s="4">
        <f t="shared" si="15"/>
        <v>0</v>
      </c>
      <c r="L54" s="4">
        <f t="shared" si="16"/>
        <v>0</v>
      </c>
    </row>
    <row r="55" spans="1:12" ht="14.25" customHeight="1" x14ac:dyDescent="0.3">
      <c r="A55" s="1" t="s">
        <v>83</v>
      </c>
      <c r="B55" s="1" t="s">
        <v>14</v>
      </c>
      <c r="C55" s="1">
        <v>1</v>
      </c>
      <c r="H55" s="2" t="s">
        <v>35</v>
      </c>
      <c r="I55" s="4">
        <f t="shared" si="13"/>
        <v>0</v>
      </c>
      <c r="J55" s="4">
        <f t="shared" si="14"/>
        <v>0.93333333333333335</v>
      </c>
      <c r="K55" s="4">
        <f t="shared" si="15"/>
        <v>6.6666666666666666E-2</v>
      </c>
      <c r="L55" s="4">
        <f t="shared" si="16"/>
        <v>0</v>
      </c>
    </row>
    <row r="56" spans="1:12" ht="14.25" customHeight="1" x14ac:dyDescent="0.3">
      <c r="A56" s="1" t="s">
        <v>84</v>
      </c>
      <c r="B56" s="1" t="s">
        <v>21</v>
      </c>
      <c r="D56" s="1">
        <v>1</v>
      </c>
      <c r="H56" s="2" t="s">
        <v>38</v>
      </c>
      <c r="I56" s="4">
        <f t="shared" si="13"/>
        <v>0</v>
      </c>
      <c r="J56" s="4">
        <f t="shared" si="14"/>
        <v>0.42857142857142855</v>
      </c>
      <c r="K56" s="4">
        <f t="shared" si="15"/>
        <v>0.42857142857142855</v>
      </c>
      <c r="L56" s="4">
        <f t="shared" si="16"/>
        <v>0.14285714285714285</v>
      </c>
    </row>
    <row r="57" spans="1:12" ht="14.25" customHeight="1" x14ac:dyDescent="0.3">
      <c r="A57" s="1" t="s">
        <v>85</v>
      </c>
      <c r="B57" s="1" t="s">
        <v>33</v>
      </c>
      <c r="D57" s="1">
        <v>1</v>
      </c>
      <c r="H57" s="2" t="s">
        <v>33</v>
      </c>
      <c r="I57" s="4">
        <f t="shared" si="13"/>
        <v>0.6</v>
      </c>
      <c r="J57" s="4">
        <f t="shared" si="14"/>
        <v>0.4</v>
      </c>
      <c r="K57" s="4">
        <f t="shared" si="15"/>
        <v>0</v>
      </c>
      <c r="L57" s="4">
        <f t="shared" si="16"/>
        <v>0</v>
      </c>
    </row>
    <row r="58" spans="1:12" ht="14.25" customHeight="1" x14ac:dyDescent="0.3">
      <c r="A58" s="1" t="s">
        <v>86</v>
      </c>
      <c r="B58" s="1" t="s">
        <v>24</v>
      </c>
      <c r="C58" s="1">
        <v>1</v>
      </c>
    </row>
    <row r="59" spans="1:12" ht="14.25" customHeight="1" x14ac:dyDescent="0.3">
      <c r="A59" s="1" t="s">
        <v>87</v>
      </c>
      <c r="B59" s="1" t="s">
        <v>37</v>
      </c>
      <c r="C59" s="1">
        <v>1</v>
      </c>
    </row>
    <row r="60" spans="1:12" ht="14.25" customHeight="1" x14ac:dyDescent="0.3">
      <c r="A60" s="1" t="s">
        <v>88</v>
      </c>
      <c r="B60" s="1" t="s">
        <v>27</v>
      </c>
      <c r="C60" s="1">
        <v>1</v>
      </c>
    </row>
    <row r="61" spans="1:12" ht="14.25" customHeight="1" x14ac:dyDescent="0.3">
      <c r="A61" s="1" t="s">
        <v>89</v>
      </c>
      <c r="B61" s="1" t="s">
        <v>13</v>
      </c>
      <c r="C61" s="1">
        <v>1</v>
      </c>
    </row>
    <row r="62" spans="1:12" ht="14.25" customHeight="1" x14ac:dyDescent="0.3">
      <c r="A62" s="1" t="s">
        <v>90</v>
      </c>
      <c r="B62" s="1" t="s">
        <v>19</v>
      </c>
      <c r="C62" s="1">
        <v>1</v>
      </c>
    </row>
    <row r="63" spans="1:12" ht="14.25" customHeight="1" x14ac:dyDescent="0.3">
      <c r="A63" s="1" t="s">
        <v>91</v>
      </c>
      <c r="B63" s="1" t="s">
        <v>21</v>
      </c>
      <c r="F63" s="1">
        <v>1</v>
      </c>
    </row>
    <row r="64" spans="1:12" ht="14.25" customHeight="1" x14ac:dyDescent="0.3">
      <c r="A64" s="1" t="s">
        <v>92</v>
      </c>
      <c r="B64" s="1" t="s">
        <v>42</v>
      </c>
      <c r="C64" s="1">
        <v>1</v>
      </c>
    </row>
    <row r="65" spans="1:4" ht="14.25" customHeight="1" x14ac:dyDescent="0.3">
      <c r="A65" s="1" t="s">
        <v>93</v>
      </c>
      <c r="B65" s="1" t="s">
        <v>14</v>
      </c>
      <c r="C65" s="1">
        <v>1</v>
      </c>
    </row>
    <row r="66" spans="1:4" ht="14.25" customHeight="1" x14ac:dyDescent="0.3">
      <c r="A66" s="1" t="s">
        <v>94</v>
      </c>
      <c r="B66" s="1" t="s">
        <v>14</v>
      </c>
      <c r="C66" s="1">
        <v>1</v>
      </c>
    </row>
    <row r="67" spans="1:4" ht="14.25" customHeight="1" x14ac:dyDescent="0.3">
      <c r="A67" s="1" t="s">
        <v>95</v>
      </c>
      <c r="B67" s="1" t="s">
        <v>38</v>
      </c>
      <c r="D67" s="1">
        <v>1</v>
      </c>
    </row>
    <row r="68" spans="1:4" ht="14.25" customHeight="1" x14ac:dyDescent="0.3">
      <c r="A68" s="1" t="s">
        <v>96</v>
      </c>
      <c r="B68" s="1" t="s">
        <v>19</v>
      </c>
      <c r="C68" s="1">
        <v>1</v>
      </c>
    </row>
    <row r="69" spans="1:4" ht="14.25" customHeight="1" x14ac:dyDescent="0.3">
      <c r="A69" s="1" t="s">
        <v>97</v>
      </c>
      <c r="B69" s="1" t="s">
        <v>24</v>
      </c>
      <c r="C69" s="1">
        <v>1</v>
      </c>
    </row>
    <row r="70" spans="1:4" ht="14.25" customHeight="1" x14ac:dyDescent="0.3">
      <c r="A70" s="1" t="s">
        <v>98</v>
      </c>
      <c r="B70" s="1" t="s">
        <v>30</v>
      </c>
      <c r="D70" s="1">
        <v>1</v>
      </c>
    </row>
    <row r="71" spans="1:4" ht="14.25" customHeight="1" x14ac:dyDescent="0.3">
      <c r="A71" s="1" t="s">
        <v>99</v>
      </c>
      <c r="B71" s="1" t="s">
        <v>30</v>
      </c>
      <c r="D71" s="1">
        <v>1</v>
      </c>
    </row>
    <row r="72" spans="1:4" ht="14.25" customHeight="1" x14ac:dyDescent="0.3">
      <c r="A72" s="1" t="s">
        <v>100</v>
      </c>
      <c r="B72" s="1" t="s">
        <v>27</v>
      </c>
      <c r="D72" s="1">
        <v>1</v>
      </c>
    </row>
    <row r="73" spans="1:4" ht="14.25" customHeight="1" x14ac:dyDescent="0.3">
      <c r="A73" s="1" t="s">
        <v>101</v>
      </c>
      <c r="B73" s="1" t="s">
        <v>21</v>
      </c>
      <c r="D73" s="1">
        <v>1</v>
      </c>
    </row>
    <row r="74" spans="1:4" ht="14.25" customHeight="1" x14ac:dyDescent="0.3">
      <c r="A74" s="1" t="s">
        <v>102</v>
      </c>
      <c r="B74" s="1" t="s">
        <v>66</v>
      </c>
      <c r="D74" s="1">
        <v>1</v>
      </c>
    </row>
    <row r="75" spans="1:4" ht="14.25" customHeight="1" x14ac:dyDescent="0.3">
      <c r="A75" s="1" t="s">
        <v>103</v>
      </c>
      <c r="B75" s="1" t="s">
        <v>30</v>
      </c>
      <c r="D75" s="1">
        <v>1</v>
      </c>
    </row>
    <row r="76" spans="1:4" ht="14.25" customHeight="1" x14ac:dyDescent="0.3">
      <c r="A76" s="1" t="s">
        <v>104</v>
      </c>
      <c r="B76" s="1" t="s">
        <v>24</v>
      </c>
      <c r="C76" s="1">
        <v>1</v>
      </c>
    </row>
    <row r="77" spans="1:4" ht="14.25" customHeight="1" x14ac:dyDescent="0.3">
      <c r="A77" s="1" t="s">
        <v>105</v>
      </c>
      <c r="B77" s="1" t="s">
        <v>66</v>
      </c>
      <c r="D77" s="1">
        <v>1</v>
      </c>
    </row>
    <row r="78" spans="1:4" ht="14.25" customHeight="1" x14ac:dyDescent="0.3">
      <c r="A78" s="1" t="s">
        <v>106</v>
      </c>
      <c r="B78" s="1" t="s">
        <v>42</v>
      </c>
      <c r="C78" s="1">
        <v>1</v>
      </c>
    </row>
    <row r="79" spans="1:4" ht="14.25" customHeight="1" x14ac:dyDescent="0.3">
      <c r="A79" s="1" t="s">
        <v>107</v>
      </c>
      <c r="B79" s="1" t="s">
        <v>27</v>
      </c>
      <c r="D79" s="1">
        <v>1</v>
      </c>
    </row>
    <row r="80" spans="1:4" ht="14.25" customHeight="1" x14ac:dyDescent="0.3">
      <c r="A80" s="1" t="s">
        <v>108</v>
      </c>
      <c r="B80" s="1" t="s">
        <v>66</v>
      </c>
      <c r="D80" s="1">
        <v>1</v>
      </c>
    </row>
    <row r="81" spans="1:5" ht="14.25" customHeight="1" x14ac:dyDescent="0.3">
      <c r="A81" s="1" t="s">
        <v>109</v>
      </c>
      <c r="B81" s="1" t="s">
        <v>30</v>
      </c>
      <c r="D81" s="1">
        <v>1</v>
      </c>
    </row>
    <row r="82" spans="1:5" ht="14.25" customHeight="1" x14ac:dyDescent="0.3">
      <c r="A82" s="1" t="s">
        <v>110</v>
      </c>
      <c r="B82" s="1" t="s">
        <v>37</v>
      </c>
      <c r="C82" s="1">
        <v>1</v>
      </c>
    </row>
    <row r="83" spans="1:5" ht="14.25" customHeight="1" x14ac:dyDescent="0.3">
      <c r="A83" s="1" t="s">
        <v>111</v>
      </c>
      <c r="B83" s="1" t="s">
        <v>37</v>
      </c>
      <c r="C83" s="1">
        <v>1</v>
      </c>
    </row>
    <row r="84" spans="1:5" ht="14.25" customHeight="1" x14ac:dyDescent="0.3">
      <c r="A84" s="1" t="s">
        <v>112</v>
      </c>
      <c r="B84" s="1" t="s">
        <v>38</v>
      </c>
      <c r="E84" s="1">
        <v>1</v>
      </c>
    </row>
    <row r="85" spans="1:5" ht="14.25" customHeight="1" x14ac:dyDescent="0.3">
      <c r="A85" s="1" t="s">
        <v>113</v>
      </c>
      <c r="B85" s="1" t="s">
        <v>21</v>
      </c>
      <c r="D85" s="1">
        <v>1</v>
      </c>
    </row>
    <row r="86" spans="1:5" ht="14.25" customHeight="1" x14ac:dyDescent="0.3">
      <c r="A86" s="1" t="s">
        <v>114</v>
      </c>
      <c r="B86" s="1" t="s">
        <v>42</v>
      </c>
      <c r="C86" s="1">
        <v>1</v>
      </c>
    </row>
    <row r="87" spans="1:5" ht="14.25" customHeight="1" x14ac:dyDescent="0.3">
      <c r="A87" s="1" t="s">
        <v>115</v>
      </c>
      <c r="B87" s="1" t="s">
        <v>21</v>
      </c>
      <c r="D87" s="1">
        <v>1</v>
      </c>
    </row>
    <row r="88" spans="1:5" ht="14.25" customHeight="1" x14ac:dyDescent="0.3">
      <c r="A88" s="1" t="s">
        <v>116</v>
      </c>
      <c r="B88" s="1" t="s">
        <v>30</v>
      </c>
      <c r="D88" s="1">
        <v>1</v>
      </c>
    </row>
    <row r="89" spans="1:5" ht="14.25" customHeight="1" x14ac:dyDescent="0.3">
      <c r="A89" s="1" t="s">
        <v>117</v>
      </c>
      <c r="B89" s="1" t="s">
        <v>16</v>
      </c>
      <c r="C89" s="1">
        <v>1</v>
      </c>
    </row>
    <row r="90" spans="1:5" ht="14.25" customHeight="1" x14ac:dyDescent="0.3">
      <c r="A90" s="1" t="s">
        <v>118</v>
      </c>
      <c r="B90" s="1" t="s">
        <v>16</v>
      </c>
      <c r="C90" s="1">
        <v>1</v>
      </c>
    </row>
    <row r="91" spans="1:5" ht="14.25" customHeight="1" x14ac:dyDescent="0.3">
      <c r="A91" s="1" t="s">
        <v>119</v>
      </c>
      <c r="B91" s="1" t="s">
        <v>66</v>
      </c>
      <c r="D91" s="1">
        <v>1</v>
      </c>
    </row>
    <row r="92" spans="1:5" ht="14.25" customHeight="1" x14ac:dyDescent="0.3">
      <c r="A92" s="1" t="s">
        <v>120</v>
      </c>
      <c r="B92" s="1" t="s">
        <v>13</v>
      </c>
      <c r="C92" s="1">
        <v>1</v>
      </c>
    </row>
    <row r="93" spans="1:5" ht="14.25" customHeight="1" x14ac:dyDescent="0.3">
      <c r="A93" s="1" t="s">
        <v>121</v>
      </c>
      <c r="B93" s="1" t="s">
        <v>30</v>
      </c>
      <c r="D93" s="1">
        <v>1</v>
      </c>
    </row>
    <row r="94" spans="1:5" ht="14.25" customHeight="1" x14ac:dyDescent="0.3">
      <c r="A94" s="1" t="s">
        <v>122</v>
      </c>
      <c r="B94" s="1" t="s">
        <v>24</v>
      </c>
      <c r="C94" s="1">
        <v>1</v>
      </c>
    </row>
    <row r="95" spans="1:5" ht="14.25" customHeight="1" x14ac:dyDescent="0.3">
      <c r="A95" s="1" t="s">
        <v>123</v>
      </c>
      <c r="B95" s="1" t="s">
        <v>21</v>
      </c>
      <c r="D95" s="1">
        <v>1</v>
      </c>
    </row>
    <row r="96" spans="1:5" ht="14.25" customHeight="1" x14ac:dyDescent="0.3">
      <c r="A96" s="1" t="s">
        <v>124</v>
      </c>
      <c r="B96" s="1" t="s">
        <v>14</v>
      </c>
      <c r="C96" s="1">
        <v>1</v>
      </c>
    </row>
    <row r="97" spans="1:5" ht="14.25" customHeight="1" x14ac:dyDescent="0.3">
      <c r="A97" s="1" t="s">
        <v>125</v>
      </c>
      <c r="B97" s="1" t="s">
        <v>66</v>
      </c>
      <c r="D97" s="1">
        <v>1</v>
      </c>
    </row>
    <row r="98" spans="1:5" ht="14.25" customHeight="1" x14ac:dyDescent="0.3">
      <c r="A98" s="1" t="s">
        <v>126</v>
      </c>
      <c r="B98" s="1" t="s">
        <v>30</v>
      </c>
      <c r="D98" s="1">
        <v>1</v>
      </c>
    </row>
    <row r="99" spans="1:5" ht="14.25" customHeight="1" x14ac:dyDescent="0.3">
      <c r="A99" s="1" t="s">
        <v>127</v>
      </c>
      <c r="B99" s="1" t="s">
        <v>27</v>
      </c>
      <c r="D99" s="1">
        <v>1</v>
      </c>
    </row>
    <row r="100" spans="1:5" ht="14.25" customHeight="1" x14ac:dyDescent="0.3">
      <c r="A100" s="1" t="s">
        <v>128</v>
      </c>
      <c r="B100" s="1" t="s">
        <v>30</v>
      </c>
      <c r="D100" s="1">
        <v>1</v>
      </c>
    </row>
    <row r="101" spans="1:5" ht="14.25" customHeight="1" x14ac:dyDescent="0.3">
      <c r="A101" s="1" t="s">
        <v>129</v>
      </c>
      <c r="B101" s="1" t="s">
        <v>27</v>
      </c>
      <c r="D101" s="1">
        <v>1</v>
      </c>
    </row>
    <row r="102" spans="1:5" ht="14.25" customHeight="1" x14ac:dyDescent="0.3">
      <c r="A102" s="1" t="s">
        <v>130</v>
      </c>
      <c r="B102" s="1" t="s">
        <v>16</v>
      </c>
      <c r="C102" s="1">
        <v>1</v>
      </c>
    </row>
    <row r="103" spans="1:5" ht="14.25" customHeight="1" x14ac:dyDescent="0.3">
      <c r="A103" s="1" t="s">
        <v>131</v>
      </c>
      <c r="B103" s="1" t="s">
        <v>66</v>
      </c>
      <c r="D103" s="1">
        <v>1</v>
      </c>
    </row>
    <row r="104" spans="1:5" ht="14.25" customHeight="1" x14ac:dyDescent="0.3">
      <c r="A104" s="1" t="s">
        <v>132</v>
      </c>
      <c r="B104" s="1" t="s">
        <v>30</v>
      </c>
      <c r="D104" s="1">
        <v>1</v>
      </c>
    </row>
    <row r="105" spans="1:5" ht="14.25" customHeight="1" x14ac:dyDescent="0.3">
      <c r="A105" s="1" t="s">
        <v>133</v>
      </c>
      <c r="B105" s="1" t="s">
        <v>14</v>
      </c>
      <c r="C105" s="1">
        <v>1</v>
      </c>
    </row>
    <row r="106" spans="1:5" ht="14.25" customHeight="1" x14ac:dyDescent="0.3">
      <c r="A106" s="1" t="s">
        <v>134</v>
      </c>
      <c r="B106" s="1" t="s">
        <v>42</v>
      </c>
      <c r="C106" s="1">
        <v>1</v>
      </c>
    </row>
    <row r="107" spans="1:5" ht="14.25" customHeight="1" x14ac:dyDescent="0.3">
      <c r="A107" s="1" t="s">
        <v>135</v>
      </c>
      <c r="B107" s="1" t="s">
        <v>27</v>
      </c>
      <c r="D107" s="1">
        <v>1</v>
      </c>
    </row>
    <row r="108" spans="1:5" ht="14.25" customHeight="1" x14ac:dyDescent="0.3">
      <c r="A108" s="1" t="s">
        <v>136</v>
      </c>
      <c r="B108" s="1" t="s">
        <v>66</v>
      </c>
      <c r="D108" s="1">
        <v>1</v>
      </c>
    </row>
    <row r="109" spans="1:5" ht="14.25" customHeight="1" x14ac:dyDescent="0.3">
      <c r="A109" s="1" t="s">
        <v>137</v>
      </c>
      <c r="B109" s="1" t="s">
        <v>13</v>
      </c>
      <c r="D109" s="1">
        <v>1</v>
      </c>
    </row>
    <row r="110" spans="1:5" ht="14.25" customHeight="1" x14ac:dyDescent="0.3">
      <c r="A110" s="1" t="s">
        <v>138</v>
      </c>
      <c r="B110" s="1" t="s">
        <v>42</v>
      </c>
      <c r="C110" s="1">
        <v>1</v>
      </c>
    </row>
    <row r="111" spans="1:5" ht="14.25" customHeight="1" x14ac:dyDescent="0.3">
      <c r="A111" s="1" t="s">
        <v>139</v>
      </c>
      <c r="B111" s="1" t="s">
        <v>27</v>
      </c>
      <c r="E111" s="1">
        <v>1</v>
      </c>
    </row>
    <row r="112" spans="1:5" ht="14.25" customHeight="1" x14ac:dyDescent="0.3">
      <c r="A112" s="1" t="s">
        <v>140</v>
      </c>
      <c r="B112" s="1" t="s">
        <v>16</v>
      </c>
      <c r="E112" s="1">
        <v>1</v>
      </c>
    </row>
    <row r="113" spans="1:6" ht="14.25" customHeight="1" x14ac:dyDescent="0.3">
      <c r="A113" s="1" t="s">
        <v>141</v>
      </c>
      <c r="B113" s="1" t="s">
        <v>14</v>
      </c>
      <c r="C113" s="1">
        <v>1</v>
      </c>
    </row>
    <row r="114" spans="1:6" ht="14.25" customHeight="1" x14ac:dyDescent="0.3">
      <c r="A114" s="1" t="s">
        <v>142</v>
      </c>
      <c r="B114" s="1" t="s">
        <v>16</v>
      </c>
      <c r="C114" s="1">
        <v>1</v>
      </c>
    </row>
    <row r="115" spans="1:6" ht="14.25" customHeight="1" x14ac:dyDescent="0.3">
      <c r="A115" s="1" t="s">
        <v>143</v>
      </c>
      <c r="B115" s="1" t="s">
        <v>24</v>
      </c>
      <c r="C115" s="1">
        <v>1</v>
      </c>
    </row>
    <row r="116" spans="1:6" ht="14.25" customHeight="1" x14ac:dyDescent="0.3">
      <c r="A116" s="1" t="s">
        <v>144</v>
      </c>
      <c r="B116" s="1" t="s">
        <v>66</v>
      </c>
      <c r="D116" s="1">
        <v>1</v>
      </c>
    </row>
    <row r="117" spans="1:6" ht="14.25" customHeight="1" x14ac:dyDescent="0.3">
      <c r="A117" s="1" t="s">
        <v>145</v>
      </c>
      <c r="B117" s="1" t="s">
        <v>27</v>
      </c>
      <c r="D117" s="1">
        <v>1</v>
      </c>
    </row>
    <row r="118" spans="1:6" ht="14.25" customHeight="1" x14ac:dyDescent="0.3">
      <c r="A118" s="1" t="s">
        <v>146</v>
      </c>
      <c r="B118" s="1" t="s">
        <v>30</v>
      </c>
      <c r="D118" s="1">
        <v>1</v>
      </c>
    </row>
    <row r="119" spans="1:6" ht="14.25" customHeight="1" x14ac:dyDescent="0.3">
      <c r="A119" s="1" t="s">
        <v>147</v>
      </c>
      <c r="B119" s="1" t="s">
        <v>42</v>
      </c>
      <c r="C119" s="1">
        <v>1</v>
      </c>
    </row>
    <row r="120" spans="1:6" ht="14.25" customHeight="1" x14ac:dyDescent="0.3">
      <c r="A120" s="1" t="s">
        <v>148</v>
      </c>
      <c r="B120" s="1" t="s">
        <v>13</v>
      </c>
      <c r="D120" s="1">
        <v>1</v>
      </c>
    </row>
    <row r="121" spans="1:6" ht="14.25" customHeight="1" x14ac:dyDescent="0.3">
      <c r="A121" s="1" t="s">
        <v>149</v>
      </c>
      <c r="B121" s="1" t="s">
        <v>150</v>
      </c>
      <c r="F121" s="1">
        <v>1</v>
      </c>
    </row>
    <row r="122" spans="1:6" ht="14.25" customHeight="1" x14ac:dyDescent="0.3">
      <c r="A122" s="1" t="s">
        <v>151</v>
      </c>
      <c r="B122" s="1" t="s">
        <v>24</v>
      </c>
      <c r="C122" s="1">
        <v>1</v>
      </c>
    </row>
    <row r="123" spans="1:6" ht="14.25" customHeight="1" x14ac:dyDescent="0.3">
      <c r="A123" s="1" t="s">
        <v>152</v>
      </c>
      <c r="B123" s="1" t="s">
        <v>24</v>
      </c>
      <c r="C123" s="1">
        <v>1</v>
      </c>
    </row>
    <row r="124" spans="1:6" ht="14.25" customHeight="1" x14ac:dyDescent="0.3">
      <c r="A124" s="1" t="s">
        <v>153</v>
      </c>
      <c r="B124" s="1" t="s">
        <v>19</v>
      </c>
      <c r="C124" s="1">
        <v>1</v>
      </c>
    </row>
    <row r="125" spans="1:6" ht="14.25" customHeight="1" x14ac:dyDescent="0.3">
      <c r="A125" s="1" t="s">
        <v>154</v>
      </c>
      <c r="B125" s="1" t="s">
        <v>33</v>
      </c>
      <c r="C125" s="1">
        <v>1</v>
      </c>
    </row>
    <row r="126" spans="1:6" ht="14.25" customHeight="1" x14ac:dyDescent="0.3">
      <c r="A126" s="1" t="s">
        <v>155</v>
      </c>
      <c r="B126" s="1" t="s">
        <v>13</v>
      </c>
      <c r="D126" s="1">
        <v>1</v>
      </c>
    </row>
    <row r="127" spans="1:6" ht="14.25" customHeight="1" x14ac:dyDescent="0.3">
      <c r="A127" s="1" t="s">
        <v>156</v>
      </c>
      <c r="B127" s="1" t="s">
        <v>13</v>
      </c>
      <c r="D127" s="1">
        <v>1</v>
      </c>
    </row>
    <row r="128" spans="1:6" ht="14.25" customHeight="1" x14ac:dyDescent="0.3">
      <c r="A128" s="1" t="s">
        <v>157</v>
      </c>
      <c r="B128" s="1" t="s">
        <v>14</v>
      </c>
      <c r="C128" s="1">
        <v>1</v>
      </c>
    </row>
    <row r="129" spans="1:5" ht="14.25" customHeight="1" x14ac:dyDescent="0.3">
      <c r="A129" s="1" t="s">
        <v>158</v>
      </c>
      <c r="B129" s="1" t="s">
        <v>16</v>
      </c>
      <c r="C129" s="1">
        <v>1</v>
      </c>
    </row>
    <row r="130" spans="1:5" ht="14.25" customHeight="1" x14ac:dyDescent="0.3">
      <c r="A130" s="1" t="s">
        <v>159</v>
      </c>
      <c r="B130" s="1" t="s">
        <v>13</v>
      </c>
      <c r="C130" s="1">
        <v>1</v>
      </c>
    </row>
    <row r="131" spans="1:5" ht="14.25" customHeight="1" x14ac:dyDescent="0.3">
      <c r="A131" s="1" t="s">
        <v>160</v>
      </c>
      <c r="B131" s="1" t="s">
        <v>66</v>
      </c>
      <c r="E131" s="1">
        <v>1</v>
      </c>
    </row>
    <row r="132" spans="1:5" ht="14.25" customHeight="1" x14ac:dyDescent="0.3">
      <c r="A132" s="1" t="s">
        <v>161</v>
      </c>
      <c r="B132" s="1" t="s">
        <v>38</v>
      </c>
      <c r="D132" s="1">
        <v>1</v>
      </c>
    </row>
    <row r="133" spans="1:5" ht="14.25" customHeight="1" x14ac:dyDescent="0.3">
      <c r="A133" s="1" t="s">
        <v>162</v>
      </c>
      <c r="B133" s="1" t="s">
        <v>13</v>
      </c>
      <c r="D133" s="1">
        <v>1</v>
      </c>
    </row>
    <row r="134" spans="1:5" ht="14.25" customHeight="1" x14ac:dyDescent="0.3">
      <c r="A134" s="1" t="s">
        <v>163</v>
      </c>
      <c r="B134" s="1" t="s">
        <v>66</v>
      </c>
      <c r="D134" s="1">
        <v>1</v>
      </c>
    </row>
    <row r="135" spans="1:5" ht="14.25" customHeight="1" x14ac:dyDescent="0.3">
      <c r="A135" s="1" t="s">
        <v>164</v>
      </c>
      <c r="B135" s="1" t="s">
        <v>21</v>
      </c>
      <c r="D135" s="1">
        <v>1</v>
      </c>
    </row>
    <row r="136" spans="1:5" ht="14.25" customHeight="1" x14ac:dyDescent="0.3">
      <c r="A136" s="1" t="s">
        <v>165</v>
      </c>
      <c r="B136" s="1" t="s">
        <v>30</v>
      </c>
      <c r="D136" s="1">
        <v>1</v>
      </c>
    </row>
    <row r="137" spans="1:5" ht="14.25" customHeight="1" x14ac:dyDescent="0.3">
      <c r="A137" s="1" t="s">
        <v>166</v>
      </c>
      <c r="B137" s="1" t="s">
        <v>30</v>
      </c>
      <c r="D137" s="1">
        <v>1</v>
      </c>
    </row>
    <row r="138" spans="1:5" ht="14.25" customHeight="1" x14ac:dyDescent="0.3">
      <c r="A138" s="1" t="s">
        <v>167</v>
      </c>
      <c r="B138" s="1" t="s">
        <v>19</v>
      </c>
      <c r="C138" s="1">
        <v>1</v>
      </c>
    </row>
    <row r="139" spans="1:5" ht="14.25" customHeight="1" x14ac:dyDescent="0.3">
      <c r="A139" s="1" t="s">
        <v>168</v>
      </c>
      <c r="B139" s="1" t="s">
        <v>13</v>
      </c>
      <c r="D139" s="1">
        <v>1</v>
      </c>
    </row>
    <row r="140" spans="1:5" ht="14.25" customHeight="1" x14ac:dyDescent="0.3">
      <c r="A140" s="1" t="s">
        <v>169</v>
      </c>
      <c r="B140" s="1" t="s">
        <v>27</v>
      </c>
      <c r="D140" s="1">
        <v>1</v>
      </c>
    </row>
    <row r="141" spans="1:5" ht="14.25" customHeight="1" x14ac:dyDescent="0.3">
      <c r="A141" s="1" t="s">
        <v>170</v>
      </c>
      <c r="B141" s="1" t="s">
        <v>16</v>
      </c>
      <c r="C141" s="1">
        <v>1</v>
      </c>
    </row>
    <row r="142" spans="1:5" ht="14.25" customHeight="1" x14ac:dyDescent="0.3">
      <c r="A142" s="1" t="s">
        <v>171</v>
      </c>
      <c r="B142" s="1" t="s">
        <v>19</v>
      </c>
      <c r="C142" s="1">
        <v>1</v>
      </c>
    </row>
    <row r="143" spans="1:5" ht="14.25" customHeight="1" x14ac:dyDescent="0.3">
      <c r="A143" s="1" t="s">
        <v>172</v>
      </c>
      <c r="B143" s="1" t="s">
        <v>37</v>
      </c>
      <c r="C143" s="1">
        <v>1</v>
      </c>
    </row>
    <row r="144" spans="1:5" ht="14.25" customHeight="1" x14ac:dyDescent="0.3">
      <c r="A144" s="1" t="s">
        <v>173</v>
      </c>
      <c r="B144" s="1" t="s">
        <v>27</v>
      </c>
      <c r="D144" s="1">
        <v>1</v>
      </c>
    </row>
    <row r="145" spans="1:4" ht="14.25" customHeight="1" x14ac:dyDescent="0.3">
      <c r="A145" s="1" t="s">
        <v>174</v>
      </c>
      <c r="B145" s="1" t="s">
        <v>66</v>
      </c>
      <c r="D145" s="1">
        <v>1</v>
      </c>
    </row>
    <row r="146" spans="1:4" ht="14.25" customHeight="1" x14ac:dyDescent="0.3">
      <c r="A146" s="1" t="s">
        <v>175</v>
      </c>
      <c r="B146" s="1" t="s">
        <v>14</v>
      </c>
      <c r="C146" s="1">
        <v>1</v>
      </c>
    </row>
    <row r="147" spans="1:4" ht="14.25" customHeight="1" x14ac:dyDescent="0.3">
      <c r="A147" s="1" t="s">
        <v>176</v>
      </c>
      <c r="B147" s="1" t="s">
        <v>66</v>
      </c>
      <c r="D147" s="1">
        <v>1</v>
      </c>
    </row>
    <row r="148" spans="1:4" ht="14.25" customHeight="1" x14ac:dyDescent="0.3">
      <c r="A148" s="1" t="s">
        <v>177</v>
      </c>
      <c r="B148" s="1" t="s">
        <v>42</v>
      </c>
      <c r="C148" s="1">
        <v>1</v>
      </c>
    </row>
    <row r="149" spans="1:4" ht="14.25" customHeight="1" x14ac:dyDescent="0.3">
      <c r="A149" s="1" t="s">
        <v>178</v>
      </c>
      <c r="B149" s="1" t="s">
        <v>33</v>
      </c>
      <c r="D149" s="1">
        <v>1</v>
      </c>
    </row>
    <row r="150" spans="1:4" ht="14.25" customHeight="1" x14ac:dyDescent="0.3">
      <c r="A150" s="1" t="s">
        <v>179</v>
      </c>
      <c r="B150" s="1" t="s">
        <v>14</v>
      </c>
      <c r="C150" s="1">
        <v>1</v>
      </c>
    </row>
    <row r="151" spans="1:4" ht="14.25" customHeight="1" x14ac:dyDescent="0.3">
      <c r="A151" s="1" t="s">
        <v>180</v>
      </c>
      <c r="B151" s="1" t="s">
        <v>13</v>
      </c>
      <c r="D151" s="1">
        <v>1</v>
      </c>
    </row>
    <row r="152" spans="1:4" ht="14.25" customHeight="1" x14ac:dyDescent="0.3">
      <c r="A152" s="1" t="s">
        <v>181</v>
      </c>
      <c r="B152" s="1" t="s">
        <v>24</v>
      </c>
      <c r="C152" s="1">
        <v>1</v>
      </c>
    </row>
    <row r="153" spans="1:4" ht="14.25" customHeight="1" x14ac:dyDescent="0.3">
      <c r="A153" s="1" t="s">
        <v>182</v>
      </c>
      <c r="B153" s="1" t="s">
        <v>19</v>
      </c>
      <c r="C153" s="1">
        <v>1</v>
      </c>
    </row>
    <row r="154" spans="1:4" ht="14.25" customHeight="1" x14ac:dyDescent="0.3">
      <c r="A154" s="1" t="s">
        <v>183</v>
      </c>
      <c r="B154" s="1" t="s">
        <v>42</v>
      </c>
      <c r="C154" s="1">
        <v>1</v>
      </c>
    </row>
    <row r="155" spans="1:4" ht="14.25" customHeight="1" x14ac:dyDescent="0.3">
      <c r="A155" s="1" t="s">
        <v>184</v>
      </c>
      <c r="B155" s="1" t="s">
        <v>19</v>
      </c>
      <c r="C155" s="1">
        <v>1</v>
      </c>
    </row>
    <row r="156" spans="1:4" ht="14.25" customHeight="1" x14ac:dyDescent="0.3">
      <c r="A156" s="1" t="s">
        <v>185</v>
      </c>
      <c r="B156" s="1" t="s">
        <v>30</v>
      </c>
      <c r="D156" s="1">
        <v>1</v>
      </c>
    </row>
    <row r="157" spans="1:4" ht="14.25" customHeight="1" x14ac:dyDescent="0.3"/>
    <row r="158" spans="1:4" ht="14.25" customHeight="1" x14ac:dyDescent="0.3"/>
    <row r="159" spans="1:4" ht="14.25" customHeight="1" x14ac:dyDescent="0.3"/>
    <row r="160" spans="1:4" ht="14.25" customHeight="1" x14ac:dyDescent="0.3"/>
    <row r="161" s="1" customFormat="1" ht="14.25" customHeight="1" x14ac:dyDescent="0.3"/>
    <row r="162" s="1" customFormat="1" ht="14.25" customHeight="1" x14ac:dyDescent="0.3"/>
    <row r="163" s="1" customFormat="1" ht="14.25" customHeight="1" x14ac:dyDescent="0.3"/>
    <row r="164" s="1" customFormat="1" ht="14.25" customHeight="1" x14ac:dyDescent="0.3"/>
    <row r="165" s="1" customFormat="1" ht="14.25" customHeight="1" x14ac:dyDescent="0.3"/>
    <row r="166" s="1" customFormat="1" ht="14.25" customHeight="1" x14ac:dyDescent="0.3"/>
    <row r="167" s="1" customFormat="1" ht="14.25" customHeight="1" x14ac:dyDescent="0.3"/>
    <row r="168" s="1" customFormat="1" ht="14.25" customHeight="1" x14ac:dyDescent="0.3"/>
    <row r="169" s="1" customFormat="1" ht="14.25" customHeight="1" x14ac:dyDescent="0.3"/>
    <row r="170" s="1" customFormat="1" ht="14.25" customHeight="1" x14ac:dyDescent="0.3"/>
    <row r="171" s="1" customFormat="1" ht="14.25" customHeight="1" x14ac:dyDescent="0.3"/>
    <row r="172" s="1" customFormat="1" ht="14.25" customHeight="1" x14ac:dyDescent="0.3"/>
    <row r="173" s="1" customFormat="1" ht="14.25" customHeight="1" x14ac:dyDescent="0.3"/>
    <row r="174" s="1" customFormat="1" ht="14.25" customHeight="1" x14ac:dyDescent="0.3"/>
    <row r="175" s="1" customFormat="1" ht="14.25" customHeight="1" x14ac:dyDescent="0.3"/>
    <row r="176" s="1" customFormat="1" ht="14.25" customHeight="1" x14ac:dyDescent="0.3"/>
    <row r="177" s="1" customFormat="1" ht="14.25" customHeight="1" x14ac:dyDescent="0.3"/>
    <row r="178" s="1" customFormat="1" ht="14.25" customHeight="1" x14ac:dyDescent="0.3"/>
    <row r="179" s="1" customFormat="1" ht="14.25" customHeight="1" x14ac:dyDescent="0.3"/>
    <row r="180" s="1" customFormat="1" ht="14.25" customHeight="1" x14ac:dyDescent="0.3"/>
    <row r="181" s="1" customFormat="1" ht="14.25" customHeight="1" x14ac:dyDescent="0.3"/>
    <row r="182" s="1" customFormat="1" ht="14.25" customHeight="1" x14ac:dyDescent="0.3"/>
    <row r="183" s="1" customFormat="1" ht="14.25" customHeight="1" x14ac:dyDescent="0.3"/>
    <row r="184" s="1" customFormat="1" ht="14.25" customHeight="1" x14ac:dyDescent="0.3"/>
    <row r="185" s="1" customFormat="1" ht="14.25" customHeight="1" x14ac:dyDescent="0.3"/>
    <row r="186" s="1" customFormat="1" ht="14.25" customHeight="1" x14ac:dyDescent="0.3"/>
    <row r="187" s="1" customFormat="1" ht="14.25" customHeight="1" x14ac:dyDescent="0.3"/>
    <row r="188" s="1" customFormat="1" ht="14.25" customHeight="1" x14ac:dyDescent="0.3"/>
    <row r="189" s="1" customFormat="1" ht="14.25" customHeight="1" x14ac:dyDescent="0.3"/>
    <row r="190" s="1" customFormat="1" ht="14.25" customHeight="1" x14ac:dyDescent="0.3"/>
    <row r="191" s="1" customFormat="1" ht="14.25" customHeight="1" x14ac:dyDescent="0.3"/>
    <row r="192" s="1" customFormat="1" ht="14.25" customHeight="1" x14ac:dyDescent="0.3"/>
    <row r="193" s="1" customFormat="1" ht="14.25" customHeight="1" x14ac:dyDescent="0.3"/>
    <row r="194" s="1" customFormat="1" ht="14.25" customHeight="1" x14ac:dyDescent="0.3"/>
    <row r="195" s="1" customFormat="1" ht="14.25" customHeight="1" x14ac:dyDescent="0.3"/>
    <row r="196" s="1" customFormat="1" ht="14.25" customHeight="1" x14ac:dyDescent="0.3"/>
    <row r="197" s="1" customFormat="1" ht="14.25" customHeight="1" x14ac:dyDescent="0.3"/>
    <row r="198" s="1" customFormat="1" ht="14.25" customHeight="1" x14ac:dyDescent="0.3"/>
    <row r="199" s="1" customFormat="1" ht="14.25" customHeight="1" x14ac:dyDescent="0.3"/>
    <row r="200" s="1" customFormat="1" ht="14.25" customHeight="1" x14ac:dyDescent="0.3"/>
    <row r="201" s="1" customFormat="1" ht="14.25" customHeight="1" x14ac:dyDescent="0.3"/>
    <row r="202" s="1" customFormat="1" ht="14.25" customHeight="1" x14ac:dyDescent="0.3"/>
    <row r="203" s="1" customFormat="1" ht="14.25" customHeight="1" x14ac:dyDescent="0.3"/>
    <row r="204" s="1" customFormat="1" ht="14.25" customHeight="1" x14ac:dyDescent="0.3"/>
    <row r="205" s="1" customFormat="1" ht="14.25" customHeight="1" x14ac:dyDescent="0.3"/>
    <row r="206" s="1" customFormat="1" ht="14.25" customHeight="1" x14ac:dyDescent="0.3"/>
    <row r="207" s="1" customFormat="1" ht="14.25" customHeight="1" x14ac:dyDescent="0.3"/>
    <row r="208" s="1" customFormat="1" ht="14.25" customHeight="1" x14ac:dyDescent="0.3"/>
    <row r="209" s="1" customFormat="1" ht="14.25" customHeight="1" x14ac:dyDescent="0.3"/>
    <row r="210" s="1" customFormat="1" ht="14.25" customHeight="1" x14ac:dyDescent="0.3"/>
    <row r="211" s="1" customFormat="1" ht="14.25" customHeight="1" x14ac:dyDescent="0.3"/>
    <row r="212" s="1" customFormat="1" ht="14.25" customHeight="1" x14ac:dyDescent="0.3"/>
    <row r="213" s="1" customFormat="1" ht="14.25" customHeight="1" x14ac:dyDescent="0.3"/>
    <row r="214" s="1" customFormat="1" ht="14.25" customHeight="1" x14ac:dyDescent="0.3"/>
    <row r="215" s="1" customFormat="1" ht="14.25" customHeight="1" x14ac:dyDescent="0.3"/>
    <row r="216" s="1" customFormat="1" ht="14.25" customHeight="1" x14ac:dyDescent="0.3"/>
    <row r="217" s="1" customFormat="1" ht="14.25" customHeight="1" x14ac:dyDescent="0.3"/>
    <row r="218" s="1" customFormat="1" ht="14.25" customHeight="1" x14ac:dyDescent="0.3"/>
    <row r="219" s="1" customFormat="1" ht="14.25" customHeight="1" x14ac:dyDescent="0.3"/>
    <row r="220" s="1" customFormat="1" ht="14.25" customHeight="1" x14ac:dyDescent="0.3"/>
    <row r="221" s="1" customFormat="1" ht="14.25" customHeight="1" x14ac:dyDescent="0.3"/>
    <row r="222" s="1" customFormat="1" ht="14.25" customHeight="1" x14ac:dyDescent="0.3"/>
    <row r="223" s="1" customFormat="1" ht="14.25" customHeight="1" x14ac:dyDescent="0.3"/>
    <row r="224" s="1" customFormat="1" ht="14.25" customHeight="1" x14ac:dyDescent="0.3"/>
    <row r="225" s="1" customFormat="1" ht="14.25" customHeight="1" x14ac:dyDescent="0.3"/>
    <row r="226" s="1" customFormat="1" ht="14.25" customHeight="1" x14ac:dyDescent="0.3"/>
    <row r="227" s="1" customFormat="1" ht="14.25" customHeight="1" x14ac:dyDescent="0.3"/>
    <row r="228" s="1" customFormat="1" ht="14.25" customHeight="1" x14ac:dyDescent="0.3"/>
    <row r="229" s="1" customFormat="1" ht="14.25" customHeight="1" x14ac:dyDescent="0.3"/>
    <row r="230" s="1" customFormat="1" ht="14.25" customHeight="1" x14ac:dyDescent="0.3"/>
    <row r="231" s="1" customFormat="1" ht="14.25" customHeight="1" x14ac:dyDescent="0.3"/>
    <row r="232" s="1" customFormat="1" ht="14.25" customHeight="1" x14ac:dyDescent="0.3"/>
    <row r="233" s="1" customFormat="1" ht="14.25" customHeight="1" x14ac:dyDescent="0.3"/>
    <row r="234" s="1" customFormat="1" ht="14.25" customHeight="1" x14ac:dyDescent="0.3"/>
    <row r="235" s="1" customFormat="1" ht="14.25" customHeight="1" x14ac:dyDescent="0.3"/>
    <row r="236" s="1" customFormat="1" ht="14.25" customHeight="1" x14ac:dyDescent="0.3"/>
    <row r="237" s="1" customFormat="1" ht="14.25" customHeight="1" x14ac:dyDescent="0.3"/>
    <row r="238" s="1" customFormat="1" ht="14.25" customHeight="1" x14ac:dyDescent="0.3"/>
    <row r="239" s="1" customFormat="1" ht="14.25" customHeight="1" x14ac:dyDescent="0.3"/>
    <row r="240" s="1" customFormat="1" ht="14.25" customHeight="1" x14ac:dyDescent="0.3"/>
    <row r="241" s="1" customFormat="1" ht="14.25" customHeight="1" x14ac:dyDescent="0.3"/>
    <row r="242" s="1" customFormat="1" ht="14.25" customHeight="1" x14ac:dyDescent="0.3"/>
    <row r="243" s="1" customFormat="1" ht="14.25" customHeight="1" x14ac:dyDescent="0.3"/>
    <row r="244" s="1" customFormat="1" ht="14.25" customHeight="1" x14ac:dyDescent="0.3"/>
    <row r="245" s="1" customFormat="1" ht="14.25" customHeight="1" x14ac:dyDescent="0.3"/>
    <row r="246" s="1" customFormat="1" ht="14.25" customHeight="1" x14ac:dyDescent="0.3"/>
    <row r="247" s="1" customFormat="1" ht="14.25" customHeight="1" x14ac:dyDescent="0.3"/>
    <row r="248" s="1" customFormat="1" ht="14.25" customHeight="1" x14ac:dyDescent="0.3"/>
    <row r="249" s="1" customFormat="1" ht="14.25" customHeight="1" x14ac:dyDescent="0.3"/>
    <row r="250" s="1" customFormat="1" ht="14.25" customHeight="1" x14ac:dyDescent="0.3"/>
    <row r="251" s="1" customFormat="1" ht="14.25" customHeight="1" x14ac:dyDescent="0.3"/>
    <row r="252" s="1" customFormat="1" ht="14.25" customHeight="1" x14ac:dyDescent="0.3"/>
    <row r="253" s="1" customFormat="1" ht="14.25" customHeight="1" x14ac:dyDescent="0.3"/>
    <row r="254" s="1" customFormat="1" ht="14.25" customHeight="1" x14ac:dyDescent="0.3"/>
    <row r="255" s="1" customFormat="1" ht="14.25" customHeight="1" x14ac:dyDescent="0.3"/>
    <row r="256" s="1" customFormat="1" ht="14.25" customHeight="1" x14ac:dyDescent="0.3"/>
    <row r="257" s="1" customFormat="1" ht="14.25" customHeight="1" x14ac:dyDescent="0.3"/>
    <row r="258" s="1" customFormat="1" ht="14.25" customHeight="1" x14ac:dyDescent="0.3"/>
    <row r="259" s="1" customFormat="1" ht="14.25" customHeight="1" x14ac:dyDescent="0.3"/>
    <row r="260" s="1" customFormat="1" ht="14.25" customHeight="1" x14ac:dyDescent="0.3"/>
    <row r="261" s="1" customFormat="1" ht="14.25" customHeight="1" x14ac:dyDescent="0.3"/>
    <row r="262" s="1" customFormat="1" ht="14.25" customHeight="1" x14ac:dyDescent="0.3"/>
    <row r="263" s="1" customFormat="1" ht="14.25" customHeight="1" x14ac:dyDescent="0.3"/>
    <row r="264" s="1" customFormat="1" ht="14.25" customHeight="1" x14ac:dyDescent="0.3"/>
    <row r="265" s="1" customFormat="1" ht="14.25" customHeight="1" x14ac:dyDescent="0.3"/>
    <row r="266" s="1" customFormat="1" ht="14.25" customHeight="1" x14ac:dyDescent="0.3"/>
    <row r="267" s="1" customFormat="1" ht="14.25" customHeight="1" x14ac:dyDescent="0.3"/>
    <row r="268" s="1" customFormat="1" ht="14.25" customHeight="1" x14ac:dyDescent="0.3"/>
    <row r="269" s="1" customFormat="1" ht="14.25" customHeight="1" x14ac:dyDescent="0.3"/>
    <row r="270" s="1" customFormat="1" ht="14.25" customHeight="1" x14ac:dyDescent="0.3"/>
    <row r="271" s="1" customFormat="1" ht="14.25" customHeight="1" x14ac:dyDescent="0.3"/>
    <row r="272" s="1" customFormat="1" ht="14.25" customHeight="1" x14ac:dyDescent="0.3"/>
    <row r="273" s="1" customFormat="1" ht="14.25" customHeight="1" x14ac:dyDescent="0.3"/>
    <row r="274" s="1" customFormat="1" ht="14.25" customHeight="1" x14ac:dyDescent="0.3"/>
    <row r="275" s="1" customFormat="1" ht="14.25" customHeight="1" x14ac:dyDescent="0.3"/>
    <row r="276" s="1" customFormat="1" ht="14.25" customHeight="1" x14ac:dyDescent="0.3"/>
    <row r="277" s="1" customFormat="1" ht="14.25" customHeight="1" x14ac:dyDescent="0.3"/>
    <row r="278" s="1" customFormat="1" ht="14.25" customHeight="1" x14ac:dyDescent="0.3"/>
    <row r="279" s="1" customFormat="1" ht="14.25" customHeight="1" x14ac:dyDescent="0.3"/>
    <row r="280" s="1" customFormat="1" ht="14.25" customHeight="1" x14ac:dyDescent="0.3"/>
    <row r="281" s="1" customFormat="1" ht="14.25" customHeight="1" x14ac:dyDescent="0.3"/>
    <row r="282" s="1" customFormat="1" ht="14.25" customHeight="1" x14ac:dyDescent="0.3"/>
    <row r="283" s="1" customFormat="1" ht="14.25" customHeight="1" x14ac:dyDescent="0.3"/>
    <row r="284" s="1" customFormat="1" ht="14.25" customHeight="1" x14ac:dyDescent="0.3"/>
    <row r="285" s="1" customFormat="1" ht="14.25" customHeight="1" x14ac:dyDescent="0.3"/>
    <row r="286" s="1" customFormat="1" ht="14.25" customHeight="1" x14ac:dyDescent="0.3"/>
    <row r="287" s="1" customFormat="1" ht="14.25" customHeight="1" x14ac:dyDescent="0.3"/>
    <row r="288" s="1" customFormat="1" ht="14.25" customHeight="1" x14ac:dyDescent="0.3"/>
    <row r="289" s="1" customFormat="1" ht="14.25" customHeight="1" x14ac:dyDescent="0.3"/>
    <row r="290" s="1" customFormat="1" ht="14.25" customHeight="1" x14ac:dyDescent="0.3"/>
    <row r="291" s="1" customFormat="1" ht="14.25" customHeight="1" x14ac:dyDescent="0.3"/>
    <row r="292" s="1" customFormat="1" ht="14.25" customHeight="1" x14ac:dyDescent="0.3"/>
    <row r="293" s="1" customFormat="1" ht="14.25" customHeight="1" x14ac:dyDescent="0.3"/>
    <row r="294" s="1" customFormat="1" ht="14.25" customHeight="1" x14ac:dyDescent="0.3"/>
    <row r="295" s="1" customFormat="1" ht="14.25" customHeight="1" x14ac:dyDescent="0.3"/>
    <row r="296" s="1" customFormat="1" ht="14.25" customHeight="1" x14ac:dyDescent="0.3"/>
    <row r="297" s="1" customFormat="1" ht="14.25" customHeight="1" x14ac:dyDescent="0.3"/>
    <row r="298" s="1" customFormat="1" ht="14.25" customHeight="1" x14ac:dyDescent="0.3"/>
    <row r="299" s="1" customFormat="1" ht="14.25" customHeight="1" x14ac:dyDescent="0.3"/>
    <row r="300" s="1" customFormat="1" ht="14.25" customHeight="1" x14ac:dyDescent="0.3"/>
    <row r="301" s="1" customFormat="1" ht="14.25" customHeight="1" x14ac:dyDescent="0.3"/>
    <row r="302" s="1" customFormat="1" ht="14.25" customHeight="1" x14ac:dyDescent="0.3"/>
    <row r="303" s="1" customFormat="1" ht="14.25" customHeight="1" x14ac:dyDescent="0.3"/>
    <row r="304" s="1" customFormat="1" ht="14.25" customHeight="1" x14ac:dyDescent="0.3"/>
    <row r="305" s="1" customFormat="1" ht="14.25" customHeight="1" x14ac:dyDescent="0.3"/>
    <row r="306" s="1" customFormat="1" ht="14.25" customHeight="1" x14ac:dyDescent="0.3"/>
    <row r="307" s="1" customFormat="1" ht="14.25" customHeight="1" x14ac:dyDescent="0.3"/>
    <row r="308" s="1" customFormat="1" ht="14.25" customHeight="1" x14ac:dyDescent="0.3"/>
    <row r="309" s="1" customFormat="1" ht="14.25" customHeight="1" x14ac:dyDescent="0.3"/>
    <row r="310" s="1" customFormat="1" ht="14.25" customHeight="1" x14ac:dyDescent="0.3"/>
    <row r="311" s="1" customFormat="1" ht="14.25" customHeight="1" x14ac:dyDescent="0.3"/>
    <row r="312" s="1" customFormat="1" ht="14.25" customHeight="1" x14ac:dyDescent="0.3"/>
    <row r="313" s="1" customFormat="1" ht="14.25" customHeight="1" x14ac:dyDescent="0.3"/>
    <row r="314" s="1" customFormat="1" ht="14.25" customHeight="1" x14ac:dyDescent="0.3"/>
    <row r="315" s="1" customFormat="1" ht="14.25" customHeight="1" x14ac:dyDescent="0.3"/>
    <row r="316" s="1" customFormat="1" ht="14.25" customHeight="1" x14ac:dyDescent="0.3"/>
    <row r="317" s="1" customFormat="1" ht="14.25" customHeight="1" x14ac:dyDescent="0.3"/>
    <row r="318" s="1" customFormat="1" ht="14.25" customHeight="1" x14ac:dyDescent="0.3"/>
    <row r="319" s="1" customFormat="1" ht="14.25" customHeight="1" x14ac:dyDescent="0.3"/>
    <row r="320" s="1" customFormat="1" ht="14.25" customHeight="1" x14ac:dyDescent="0.3"/>
    <row r="321" s="1" customFormat="1" ht="14.25" customHeight="1" x14ac:dyDescent="0.3"/>
    <row r="322" s="1" customFormat="1" ht="14.25" customHeight="1" x14ac:dyDescent="0.3"/>
    <row r="323" s="1" customFormat="1" ht="14.25" customHeight="1" x14ac:dyDescent="0.3"/>
    <row r="324" s="1" customFormat="1" ht="14.25" customHeight="1" x14ac:dyDescent="0.3"/>
    <row r="325" s="1" customFormat="1" ht="14.25" customHeight="1" x14ac:dyDescent="0.3"/>
    <row r="326" s="1" customFormat="1" ht="14.25" customHeight="1" x14ac:dyDescent="0.3"/>
    <row r="327" s="1" customFormat="1" ht="14.25" customHeight="1" x14ac:dyDescent="0.3"/>
    <row r="328" s="1" customFormat="1" ht="14.25" customHeight="1" x14ac:dyDescent="0.3"/>
    <row r="329" s="1" customFormat="1" ht="14.25" customHeight="1" x14ac:dyDescent="0.3"/>
    <row r="330" s="1" customFormat="1" ht="14.25" customHeight="1" x14ac:dyDescent="0.3"/>
    <row r="331" s="1" customFormat="1" ht="14.25" customHeight="1" x14ac:dyDescent="0.3"/>
    <row r="332" s="1" customFormat="1" ht="14.25" customHeight="1" x14ac:dyDescent="0.3"/>
    <row r="333" s="1" customFormat="1" ht="14.25" customHeight="1" x14ac:dyDescent="0.3"/>
    <row r="334" s="1" customFormat="1" ht="14.25" customHeight="1" x14ac:dyDescent="0.3"/>
    <row r="335" s="1" customFormat="1" ht="14.25" customHeight="1" x14ac:dyDescent="0.3"/>
    <row r="336" s="1" customFormat="1" ht="14.25" customHeight="1" x14ac:dyDescent="0.3"/>
    <row r="337" s="1" customFormat="1" ht="14.25" customHeight="1" x14ac:dyDescent="0.3"/>
    <row r="338" s="1" customFormat="1" ht="14.25" customHeight="1" x14ac:dyDescent="0.3"/>
    <row r="339" s="1" customFormat="1" ht="14.25" customHeight="1" x14ac:dyDescent="0.3"/>
    <row r="340" s="1" customFormat="1" ht="14.25" customHeight="1" x14ac:dyDescent="0.3"/>
    <row r="341" s="1" customFormat="1" ht="14.25" customHeight="1" x14ac:dyDescent="0.3"/>
    <row r="342" s="1" customFormat="1" ht="14.25" customHeight="1" x14ac:dyDescent="0.3"/>
    <row r="343" s="1" customFormat="1" ht="14.25" customHeight="1" x14ac:dyDescent="0.3"/>
    <row r="344" s="1" customFormat="1" ht="14.25" customHeight="1" x14ac:dyDescent="0.3"/>
    <row r="345" s="1" customFormat="1" ht="14.25" customHeight="1" x14ac:dyDescent="0.3"/>
    <row r="346" s="1" customFormat="1" ht="14.25" customHeight="1" x14ac:dyDescent="0.3"/>
    <row r="347" s="1" customFormat="1" ht="14.25" customHeight="1" x14ac:dyDescent="0.3"/>
    <row r="348" s="1" customFormat="1" ht="14.25" customHeight="1" x14ac:dyDescent="0.3"/>
    <row r="349" s="1" customFormat="1" ht="14.25" customHeight="1" x14ac:dyDescent="0.3"/>
    <row r="350" s="1" customFormat="1" ht="14.25" customHeight="1" x14ac:dyDescent="0.3"/>
    <row r="351" s="1" customFormat="1" ht="14.25" customHeight="1" x14ac:dyDescent="0.3"/>
    <row r="352" s="1" customFormat="1" ht="14.25" customHeight="1" x14ac:dyDescent="0.3"/>
    <row r="353" s="1" customFormat="1" ht="14.25" customHeight="1" x14ac:dyDescent="0.3"/>
    <row r="354" s="1" customFormat="1" ht="14.25" customHeight="1" x14ac:dyDescent="0.3"/>
    <row r="355" s="1" customFormat="1" ht="14.25" customHeight="1" x14ac:dyDescent="0.3"/>
    <row r="356" s="1" customFormat="1" ht="14.25" customHeight="1" x14ac:dyDescent="0.3"/>
    <row r="357" s="1" customFormat="1" ht="14.25" customHeight="1" x14ac:dyDescent="0.3"/>
    <row r="358" s="1" customFormat="1" ht="14.25" customHeight="1" x14ac:dyDescent="0.3"/>
    <row r="359" s="1" customFormat="1" ht="14.25" customHeight="1" x14ac:dyDescent="0.3"/>
    <row r="360" s="1" customFormat="1" ht="14.25" customHeight="1" x14ac:dyDescent="0.3"/>
    <row r="361" s="1" customFormat="1" ht="14.25" customHeight="1" x14ac:dyDescent="0.3"/>
    <row r="362" s="1" customFormat="1" ht="14.25" customHeight="1" x14ac:dyDescent="0.3"/>
    <row r="363" s="1" customFormat="1" ht="14.25" customHeight="1" x14ac:dyDescent="0.3"/>
    <row r="364" s="1" customFormat="1" ht="14.25" customHeight="1" x14ac:dyDescent="0.3"/>
    <row r="365" s="1" customFormat="1" ht="14.25" customHeight="1" x14ac:dyDescent="0.3"/>
    <row r="366" s="1" customFormat="1" ht="14.25" customHeight="1" x14ac:dyDescent="0.3"/>
    <row r="367" s="1" customFormat="1" ht="14.25" customHeight="1" x14ac:dyDescent="0.3"/>
    <row r="368" s="1" customFormat="1" ht="14.25" customHeight="1" x14ac:dyDescent="0.3"/>
    <row r="369" s="1" customFormat="1" ht="14.25" customHeight="1" x14ac:dyDescent="0.3"/>
    <row r="370" s="1" customFormat="1" ht="14.25" customHeight="1" x14ac:dyDescent="0.3"/>
    <row r="371" s="1" customFormat="1" ht="14.25" customHeight="1" x14ac:dyDescent="0.3"/>
    <row r="372" s="1" customFormat="1" ht="14.25" customHeight="1" x14ac:dyDescent="0.3"/>
    <row r="373" s="1" customFormat="1" ht="14.25" customHeight="1" x14ac:dyDescent="0.3"/>
    <row r="374" s="1" customFormat="1" ht="14.25" customHeight="1" x14ac:dyDescent="0.3"/>
    <row r="375" s="1" customFormat="1" ht="14.25" customHeight="1" x14ac:dyDescent="0.3"/>
    <row r="376" s="1" customFormat="1" ht="14.25" customHeight="1" x14ac:dyDescent="0.3"/>
    <row r="377" s="1" customFormat="1" ht="14.25" customHeight="1" x14ac:dyDescent="0.3"/>
    <row r="378" s="1" customFormat="1" ht="14.25" customHeight="1" x14ac:dyDescent="0.3"/>
    <row r="379" s="1" customFormat="1" ht="14.25" customHeight="1" x14ac:dyDescent="0.3"/>
    <row r="380" s="1" customFormat="1" ht="14.25" customHeight="1" x14ac:dyDescent="0.3"/>
    <row r="381" s="1" customFormat="1" ht="14.25" customHeight="1" x14ac:dyDescent="0.3"/>
    <row r="382" s="1" customFormat="1" ht="14.25" customHeight="1" x14ac:dyDescent="0.3"/>
    <row r="383" s="1" customFormat="1" ht="14.25" customHeight="1" x14ac:dyDescent="0.3"/>
    <row r="384" s="1" customFormat="1" ht="14.25" customHeight="1" x14ac:dyDescent="0.3"/>
    <row r="385" s="1" customFormat="1" ht="14.25" customHeight="1" x14ac:dyDescent="0.3"/>
    <row r="386" s="1" customFormat="1" ht="14.25" customHeight="1" x14ac:dyDescent="0.3"/>
    <row r="387" s="1" customFormat="1" ht="14.25" customHeight="1" x14ac:dyDescent="0.3"/>
    <row r="388" s="1" customFormat="1" ht="14.25" customHeight="1" x14ac:dyDescent="0.3"/>
    <row r="389" s="1" customFormat="1" ht="14.25" customHeight="1" x14ac:dyDescent="0.3"/>
    <row r="390" s="1" customFormat="1" ht="14.25" customHeight="1" x14ac:dyDescent="0.3"/>
    <row r="391" s="1" customFormat="1" ht="14.25" customHeight="1" x14ac:dyDescent="0.3"/>
    <row r="392" s="1" customFormat="1" ht="14.25" customHeight="1" x14ac:dyDescent="0.3"/>
    <row r="393" s="1" customFormat="1" ht="14.25" customHeight="1" x14ac:dyDescent="0.3"/>
    <row r="394" s="1" customFormat="1" ht="14.25" customHeight="1" x14ac:dyDescent="0.3"/>
    <row r="395" s="1" customFormat="1" ht="14.25" customHeight="1" x14ac:dyDescent="0.3"/>
    <row r="396" s="1" customFormat="1" ht="14.25" customHeight="1" x14ac:dyDescent="0.3"/>
    <row r="397" s="1" customFormat="1" ht="14.25" customHeight="1" x14ac:dyDescent="0.3"/>
    <row r="398" s="1" customFormat="1" ht="14.25" customHeight="1" x14ac:dyDescent="0.3"/>
    <row r="399" s="1" customFormat="1" ht="14.25" customHeight="1" x14ac:dyDescent="0.3"/>
    <row r="400" s="1" customFormat="1" ht="14.25" customHeight="1" x14ac:dyDescent="0.3"/>
    <row r="401" s="1" customFormat="1" ht="14.25" customHeight="1" x14ac:dyDescent="0.3"/>
    <row r="402" s="1" customFormat="1" ht="14.25" customHeight="1" x14ac:dyDescent="0.3"/>
    <row r="403" s="1" customFormat="1" ht="14.25" customHeight="1" x14ac:dyDescent="0.3"/>
    <row r="404" s="1" customFormat="1" ht="14.25" customHeight="1" x14ac:dyDescent="0.3"/>
    <row r="405" s="1" customFormat="1" ht="14.25" customHeight="1" x14ac:dyDescent="0.3"/>
    <row r="406" s="1" customFormat="1" ht="14.25" customHeight="1" x14ac:dyDescent="0.3"/>
    <row r="407" s="1" customFormat="1" ht="14.25" customHeight="1" x14ac:dyDescent="0.3"/>
    <row r="408" s="1" customFormat="1" ht="14.25" customHeight="1" x14ac:dyDescent="0.3"/>
    <row r="409" s="1" customFormat="1" ht="14.25" customHeight="1" x14ac:dyDescent="0.3"/>
    <row r="410" s="1" customFormat="1" ht="14.25" customHeight="1" x14ac:dyDescent="0.3"/>
    <row r="411" s="1" customFormat="1" ht="14.25" customHeight="1" x14ac:dyDescent="0.3"/>
    <row r="412" s="1" customFormat="1" ht="14.25" customHeight="1" x14ac:dyDescent="0.3"/>
    <row r="413" s="1" customFormat="1" ht="14.25" customHeight="1" x14ac:dyDescent="0.3"/>
    <row r="414" s="1" customFormat="1" ht="14.25" customHeight="1" x14ac:dyDescent="0.3"/>
    <row r="415" s="1" customFormat="1" ht="14.25" customHeight="1" x14ac:dyDescent="0.3"/>
    <row r="416" s="1" customFormat="1" ht="14.25" customHeight="1" x14ac:dyDescent="0.3"/>
    <row r="417" s="1" customFormat="1" ht="14.25" customHeight="1" x14ac:dyDescent="0.3"/>
    <row r="418" s="1" customFormat="1" ht="14.25" customHeight="1" x14ac:dyDescent="0.3"/>
    <row r="419" s="1" customFormat="1" ht="14.25" customHeight="1" x14ac:dyDescent="0.3"/>
    <row r="420" s="1" customFormat="1" ht="14.25" customHeight="1" x14ac:dyDescent="0.3"/>
    <row r="421" s="1" customFormat="1" ht="14.25" customHeight="1" x14ac:dyDescent="0.3"/>
    <row r="422" s="1" customFormat="1" ht="14.25" customHeight="1" x14ac:dyDescent="0.3"/>
    <row r="423" s="1" customFormat="1" ht="14.25" customHeight="1" x14ac:dyDescent="0.3"/>
    <row r="424" s="1" customFormat="1" ht="14.25" customHeight="1" x14ac:dyDescent="0.3"/>
    <row r="425" s="1" customFormat="1" ht="14.25" customHeight="1" x14ac:dyDescent="0.3"/>
    <row r="426" s="1" customFormat="1" ht="14.25" customHeight="1" x14ac:dyDescent="0.3"/>
    <row r="427" s="1" customFormat="1" ht="14.25" customHeight="1" x14ac:dyDescent="0.3"/>
    <row r="428" s="1" customFormat="1" ht="14.25" customHeight="1" x14ac:dyDescent="0.3"/>
    <row r="429" s="1" customFormat="1" ht="14.25" customHeight="1" x14ac:dyDescent="0.3"/>
    <row r="430" s="1" customFormat="1" ht="14.25" customHeight="1" x14ac:dyDescent="0.3"/>
    <row r="431" s="1" customFormat="1" ht="14.25" customHeight="1" x14ac:dyDescent="0.3"/>
    <row r="432" s="1" customFormat="1" ht="14.25" customHeight="1" x14ac:dyDescent="0.3"/>
    <row r="433" s="1" customFormat="1" ht="14.25" customHeight="1" x14ac:dyDescent="0.3"/>
    <row r="434" s="1" customFormat="1" ht="14.25" customHeight="1" x14ac:dyDescent="0.3"/>
    <row r="435" s="1" customFormat="1" ht="14.25" customHeight="1" x14ac:dyDescent="0.3"/>
    <row r="436" s="1" customFormat="1" ht="14.25" customHeight="1" x14ac:dyDescent="0.3"/>
    <row r="437" s="1" customFormat="1" ht="14.25" customHeight="1" x14ac:dyDescent="0.3"/>
    <row r="438" s="1" customFormat="1" ht="14.25" customHeight="1" x14ac:dyDescent="0.3"/>
    <row r="439" s="1" customFormat="1" ht="14.25" customHeight="1" x14ac:dyDescent="0.3"/>
    <row r="440" s="1" customFormat="1" ht="14.25" customHeight="1" x14ac:dyDescent="0.3"/>
    <row r="441" s="1" customFormat="1" ht="14.25" customHeight="1" x14ac:dyDescent="0.3"/>
    <row r="442" s="1" customFormat="1" ht="14.25" customHeight="1" x14ac:dyDescent="0.3"/>
    <row r="443" s="1" customFormat="1" ht="14.25" customHeight="1" x14ac:dyDescent="0.3"/>
    <row r="444" s="1" customFormat="1" ht="14.25" customHeight="1" x14ac:dyDescent="0.3"/>
    <row r="445" s="1" customFormat="1" ht="14.25" customHeight="1" x14ac:dyDescent="0.3"/>
    <row r="446" s="1" customFormat="1" ht="14.25" customHeight="1" x14ac:dyDescent="0.3"/>
    <row r="447" s="1" customFormat="1" ht="14.25" customHeight="1" x14ac:dyDescent="0.3"/>
    <row r="448" s="1" customFormat="1" ht="14.25" customHeight="1" x14ac:dyDescent="0.3"/>
    <row r="449" s="1" customFormat="1" ht="14.25" customHeight="1" x14ac:dyDescent="0.3"/>
    <row r="450" s="1" customFormat="1" ht="14.25" customHeight="1" x14ac:dyDescent="0.3"/>
    <row r="451" s="1" customFormat="1" ht="14.25" customHeight="1" x14ac:dyDescent="0.3"/>
    <row r="452" s="1" customFormat="1" ht="14.25" customHeight="1" x14ac:dyDescent="0.3"/>
    <row r="453" s="1" customFormat="1" ht="14.25" customHeight="1" x14ac:dyDescent="0.3"/>
    <row r="454" s="1" customFormat="1" ht="14.25" customHeight="1" x14ac:dyDescent="0.3"/>
    <row r="455" s="1" customFormat="1" ht="14.25" customHeight="1" x14ac:dyDescent="0.3"/>
    <row r="456" s="1" customFormat="1" ht="14.25" customHeight="1" x14ac:dyDescent="0.3"/>
    <row r="457" s="1" customFormat="1" ht="14.25" customHeight="1" x14ac:dyDescent="0.3"/>
    <row r="458" s="1" customFormat="1" ht="14.25" customHeight="1" x14ac:dyDescent="0.3"/>
    <row r="459" s="1" customFormat="1" ht="14.25" customHeight="1" x14ac:dyDescent="0.3"/>
    <row r="460" s="1" customFormat="1" ht="14.25" customHeight="1" x14ac:dyDescent="0.3"/>
    <row r="461" s="1" customFormat="1" ht="14.25" customHeight="1" x14ac:dyDescent="0.3"/>
    <row r="462" s="1" customFormat="1" ht="14.25" customHeight="1" x14ac:dyDescent="0.3"/>
    <row r="463" s="1" customFormat="1" ht="14.25" customHeight="1" x14ac:dyDescent="0.3"/>
    <row r="464" s="1" customFormat="1" ht="14.25" customHeight="1" x14ac:dyDescent="0.3"/>
    <row r="465" s="1" customFormat="1" ht="14.25" customHeight="1" x14ac:dyDescent="0.3"/>
    <row r="466" s="1" customFormat="1" ht="14.25" customHeight="1" x14ac:dyDescent="0.3"/>
    <row r="467" s="1" customFormat="1" ht="14.25" customHeight="1" x14ac:dyDescent="0.3"/>
    <row r="468" s="1" customFormat="1" ht="14.25" customHeight="1" x14ac:dyDescent="0.3"/>
    <row r="469" s="1" customFormat="1" ht="14.25" customHeight="1" x14ac:dyDescent="0.3"/>
    <row r="470" s="1" customFormat="1" ht="14.25" customHeight="1" x14ac:dyDescent="0.3"/>
    <row r="471" s="1" customFormat="1" ht="14.25" customHeight="1" x14ac:dyDescent="0.3"/>
    <row r="472" s="1" customFormat="1" ht="14.25" customHeight="1" x14ac:dyDescent="0.3"/>
    <row r="473" s="1" customFormat="1" ht="14.25" customHeight="1" x14ac:dyDescent="0.3"/>
    <row r="474" s="1" customFormat="1" ht="14.25" customHeight="1" x14ac:dyDescent="0.3"/>
    <row r="475" s="1" customFormat="1" ht="14.25" customHeight="1" x14ac:dyDescent="0.3"/>
    <row r="476" s="1" customFormat="1" ht="14.25" customHeight="1" x14ac:dyDescent="0.3"/>
    <row r="477" s="1" customFormat="1" ht="14.25" customHeight="1" x14ac:dyDescent="0.3"/>
    <row r="478" s="1" customFormat="1" ht="14.25" customHeight="1" x14ac:dyDescent="0.3"/>
    <row r="479" s="1" customFormat="1" ht="14.25" customHeight="1" x14ac:dyDescent="0.3"/>
    <row r="480" s="1" customFormat="1" ht="14.25" customHeight="1" x14ac:dyDescent="0.3"/>
    <row r="481" s="1" customFormat="1" ht="14.25" customHeight="1" x14ac:dyDescent="0.3"/>
    <row r="482" s="1" customFormat="1" ht="14.25" customHeight="1" x14ac:dyDescent="0.3"/>
    <row r="483" s="1" customFormat="1" ht="14.25" customHeight="1" x14ac:dyDescent="0.3"/>
    <row r="484" s="1" customFormat="1" ht="14.25" customHeight="1" x14ac:dyDescent="0.3"/>
    <row r="485" s="1" customFormat="1" ht="14.25" customHeight="1" x14ac:dyDescent="0.3"/>
    <row r="486" s="1" customFormat="1" ht="14.25" customHeight="1" x14ac:dyDescent="0.3"/>
    <row r="487" s="1" customFormat="1" ht="14.25" customHeight="1" x14ac:dyDescent="0.3"/>
    <row r="488" s="1" customFormat="1" ht="14.25" customHeight="1" x14ac:dyDescent="0.3"/>
    <row r="489" s="1" customFormat="1" ht="14.25" customHeight="1" x14ac:dyDescent="0.3"/>
    <row r="490" s="1" customFormat="1" ht="14.25" customHeight="1" x14ac:dyDescent="0.3"/>
    <row r="491" s="1" customFormat="1" ht="14.25" customHeight="1" x14ac:dyDescent="0.3"/>
    <row r="492" s="1" customFormat="1" ht="14.25" customHeight="1" x14ac:dyDescent="0.3"/>
    <row r="493" s="1" customFormat="1" ht="14.25" customHeight="1" x14ac:dyDescent="0.3"/>
    <row r="494" s="1" customFormat="1" ht="14.25" customHeight="1" x14ac:dyDescent="0.3"/>
    <row r="495" s="1" customFormat="1" ht="14.25" customHeight="1" x14ac:dyDescent="0.3"/>
    <row r="496" s="1" customFormat="1" ht="14.25" customHeight="1" x14ac:dyDescent="0.3"/>
    <row r="497" s="1" customFormat="1" ht="14.25" customHeight="1" x14ac:dyDescent="0.3"/>
    <row r="498" s="1" customFormat="1" ht="14.25" customHeight="1" x14ac:dyDescent="0.3"/>
    <row r="499" s="1" customFormat="1" ht="14.25" customHeight="1" x14ac:dyDescent="0.3"/>
    <row r="500" s="1" customFormat="1" ht="14.25" customHeight="1" x14ac:dyDescent="0.3"/>
    <row r="501" s="1" customFormat="1" ht="14.25" customHeight="1" x14ac:dyDescent="0.3"/>
    <row r="502" s="1" customFormat="1" ht="14.25" customHeight="1" x14ac:dyDescent="0.3"/>
    <row r="503" s="1" customFormat="1" ht="14.25" customHeight="1" x14ac:dyDescent="0.3"/>
    <row r="504" s="1" customFormat="1" ht="14.25" customHeight="1" x14ac:dyDescent="0.3"/>
    <row r="505" s="1" customFormat="1" ht="14.25" customHeight="1" x14ac:dyDescent="0.3"/>
    <row r="506" s="1" customFormat="1" ht="14.25" customHeight="1" x14ac:dyDescent="0.3"/>
    <row r="507" s="1" customFormat="1" ht="14.25" customHeight="1" x14ac:dyDescent="0.3"/>
    <row r="508" s="1" customFormat="1" ht="14.25" customHeight="1" x14ac:dyDescent="0.3"/>
    <row r="509" s="1" customFormat="1" ht="14.25" customHeight="1" x14ac:dyDescent="0.3"/>
    <row r="510" s="1" customFormat="1" ht="14.25" customHeight="1" x14ac:dyDescent="0.3"/>
    <row r="511" s="1" customFormat="1" ht="14.25" customHeight="1" x14ac:dyDescent="0.3"/>
    <row r="512" s="1" customFormat="1" ht="14.25" customHeight="1" x14ac:dyDescent="0.3"/>
    <row r="513" s="1" customFormat="1" ht="14.25" customHeight="1" x14ac:dyDescent="0.3"/>
    <row r="514" s="1" customFormat="1" ht="14.25" customHeight="1" x14ac:dyDescent="0.3"/>
    <row r="515" s="1" customFormat="1" ht="14.25" customHeight="1" x14ac:dyDescent="0.3"/>
    <row r="516" s="1" customFormat="1" ht="14.25" customHeight="1" x14ac:dyDescent="0.3"/>
    <row r="517" s="1" customFormat="1" ht="14.25" customHeight="1" x14ac:dyDescent="0.3"/>
    <row r="518" s="1" customFormat="1" ht="14.25" customHeight="1" x14ac:dyDescent="0.3"/>
    <row r="519" s="1" customFormat="1" ht="14.25" customHeight="1" x14ac:dyDescent="0.3"/>
    <row r="520" s="1" customFormat="1" ht="14.25" customHeight="1" x14ac:dyDescent="0.3"/>
    <row r="521" s="1" customFormat="1" ht="14.25" customHeight="1" x14ac:dyDescent="0.3"/>
    <row r="522" s="1" customFormat="1" ht="14.25" customHeight="1" x14ac:dyDescent="0.3"/>
    <row r="523" s="1" customFormat="1" ht="14.25" customHeight="1" x14ac:dyDescent="0.3"/>
    <row r="524" s="1" customFormat="1" ht="14.25" customHeight="1" x14ac:dyDescent="0.3"/>
    <row r="525" s="1" customFormat="1" ht="14.25" customHeight="1" x14ac:dyDescent="0.3"/>
    <row r="526" s="1" customFormat="1" ht="14.25" customHeight="1" x14ac:dyDescent="0.3"/>
    <row r="527" s="1" customFormat="1" ht="14.25" customHeight="1" x14ac:dyDescent="0.3"/>
    <row r="528" s="1" customFormat="1" ht="14.25" customHeight="1" x14ac:dyDescent="0.3"/>
    <row r="529" s="1" customFormat="1" ht="14.25" customHeight="1" x14ac:dyDescent="0.3"/>
    <row r="530" s="1" customFormat="1" ht="14.25" customHeight="1" x14ac:dyDescent="0.3"/>
    <row r="531" s="1" customFormat="1" ht="14.25" customHeight="1" x14ac:dyDescent="0.3"/>
    <row r="532" s="1" customFormat="1" ht="14.25" customHeight="1" x14ac:dyDescent="0.3"/>
    <row r="533" s="1" customFormat="1" ht="14.25" customHeight="1" x14ac:dyDescent="0.3"/>
    <row r="534" s="1" customFormat="1" ht="14.25" customHeight="1" x14ac:dyDescent="0.3"/>
    <row r="535" s="1" customFormat="1" ht="14.25" customHeight="1" x14ac:dyDescent="0.3"/>
    <row r="536" s="1" customFormat="1" ht="14.25" customHeight="1" x14ac:dyDescent="0.3"/>
    <row r="537" s="1" customFormat="1" ht="14.25" customHeight="1" x14ac:dyDescent="0.3"/>
    <row r="538" s="1" customFormat="1" ht="14.25" customHeight="1" x14ac:dyDescent="0.3"/>
    <row r="539" s="1" customFormat="1" ht="14.25" customHeight="1" x14ac:dyDescent="0.3"/>
    <row r="540" s="1" customFormat="1" ht="14.25" customHeight="1" x14ac:dyDescent="0.3"/>
    <row r="541" s="1" customFormat="1" ht="14.25" customHeight="1" x14ac:dyDescent="0.3"/>
    <row r="542" s="1" customFormat="1" ht="14.25" customHeight="1" x14ac:dyDescent="0.3"/>
    <row r="543" s="1" customFormat="1" ht="14.25" customHeight="1" x14ac:dyDescent="0.3"/>
    <row r="544" s="1" customFormat="1" ht="14.25" customHeight="1" x14ac:dyDescent="0.3"/>
    <row r="545" s="1" customFormat="1" ht="14.25" customHeight="1" x14ac:dyDescent="0.3"/>
    <row r="546" s="1" customFormat="1" ht="14.25" customHeight="1" x14ac:dyDescent="0.3"/>
    <row r="547" s="1" customFormat="1" ht="14.25" customHeight="1" x14ac:dyDescent="0.3"/>
    <row r="548" s="1" customFormat="1" ht="14.25" customHeight="1" x14ac:dyDescent="0.3"/>
    <row r="549" s="1" customFormat="1" ht="14.25" customHeight="1" x14ac:dyDescent="0.3"/>
    <row r="550" s="1" customFormat="1" ht="14.25" customHeight="1" x14ac:dyDescent="0.3"/>
    <row r="551" s="1" customFormat="1" ht="14.25" customHeight="1" x14ac:dyDescent="0.3"/>
    <row r="552" s="1" customFormat="1" ht="14.25" customHeight="1" x14ac:dyDescent="0.3"/>
    <row r="553" s="1" customFormat="1" ht="14.25" customHeight="1" x14ac:dyDescent="0.3"/>
    <row r="554" s="1" customFormat="1" ht="14.25" customHeight="1" x14ac:dyDescent="0.3"/>
    <row r="555" s="1" customFormat="1" ht="14.25" customHeight="1" x14ac:dyDescent="0.3"/>
    <row r="556" s="1" customFormat="1" ht="14.25" customHeight="1" x14ac:dyDescent="0.3"/>
    <row r="557" s="1" customFormat="1" ht="14.25" customHeight="1" x14ac:dyDescent="0.3"/>
    <row r="558" s="1" customFormat="1" ht="14.25" customHeight="1" x14ac:dyDescent="0.3"/>
    <row r="559" s="1" customFormat="1" ht="14.25" customHeight="1" x14ac:dyDescent="0.3"/>
    <row r="560" s="1" customFormat="1" ht="14.25" customHeight="1" x14ac:dyDescent="0.3"/>
    <row r="561" s="1" customFormat="1" ht="14.25" customHeight="1" x14ac:dyDescent="0.3"/>
    <row r="562" s="1" customFormat="1" ht="14.25" customHeight="1" x14ac:dyDescent="0.3"/>
    <row r="563" s="1" customFormat="1" ht="14.25" customHeight="1" x14ac:dyDescent="0.3"/>
    <row r="564" s="1" customFormat="1" ht="14.25" customHeight="1" x14ac:dyDescent="0.3"/>
    <row r="565" s="1" customFormat="1" ht="14.25" customHeight="1" x14ac:dyDescent="0.3"/>
    <row r="566" s="1" customFormat="1" ht="14.25" customHeight="1" x14ac:dyDescent="0.3"/>
    <row r="567" s="1" customFormat="1" ht="14.25" customHeight="1" x14ac:dyDescent="0.3"/>
    <row r="568" s="1" customFormat="1" ht="14.25" customHeight="1" x14ac:dyDescent="0.3"/>
    <row r="569" s="1" customFormat="1" ht="14.25" customHeight="1" x14ac:dyDescent="0.3"/>
    <row r="570" s="1" customFormat="1" ht="14.25" customHeight="1" x14ac:dyDescent="0.3"/>
    <row r="571" s="1" customFormat="1" ht="14.25" customHeight="1" x14ac:dyDescent="0.3"/>
    <row r="572" s="1" customFormat="1" ht="14.25" customHeight="1" x14ac:dyDescent="0.3"/>
    <row r="573" s="1" customFormat="1" ht="14.25" customHeight="1" x14ac:dyDescent="0.3"/>
    <row r="574" s="1" customFormat="1" ht="14.25" customHeight="1" x14ac:dyDescent="0.3"/>
    <row r="575" s="1" customFormat="1" ht="14.25" customHeight="1" x14ac:dyDescent="0.3"/>
    <row r="576" s="1" customFormat="1" ht="14.25" customHeight="1" x14ac:dyDescent="0.3"/>
    <row r="577" s="1" customFormat="1" ht="14.25" customHeight="1" x14ac:dyDescent="0.3"/>
    <row r="578" s="1" customFormat="1" ht="14.25" customHeight="1" x14ac:dyDescent="0.3"/>
    <row r="579" s="1" customFormat="1" ht="14.25" customHeight="1" x14ac:dyDescent="0.3"/>
    <row r="580" s="1" customFormat="1" ht="14.25" customHeight="1" x14ac:dyDescent="0.3"/>
    <row r="581" s="1" customFormat="1" ht="14.25" customHeight="1" x14ac:dyDescent="0.3"/>
    <row r="582" s="1" customFormat="1" ht="14.25" customHeight="1" x14ac:dyDescent="0.3"/>
    <row r="583" s="1" customFormat="1" ht="14.25" customHeight="1" x14ac:dyDescent="0.3"/>
    <row r="584" s="1" customFormat="1" ht="14.25" customHeight="1" x14ac:dyDescent="0.3"/>
    <row r="585" s="1" customFormat="1" ht="14.25" customHeight="1" x14ac:dyDescent="0.3"/>
    <row r="586" s="1" customFormat="1" ht="14.25" customHeight="1" x14ac:dyDescent="0.3"/>
    <row r="587" s="1" customFormat="1" ht="14.25" customHeight="1" x14ac:dyDescent="0.3"/>
    <row r="588" s="1" customFormat="1" ht="14.25" customHeight="1" x14ac:dyDescent="0.3"/>
    <row r="589" s="1" customFormat="1" ht="14.25" customHeight="1" x14ac:dyDescent="0.3"/>
    <row r="590" s="1" customFormat="1" ht="14.25" customHeight="1" x14ac:dyDescent="0.3"/>
    <row r="591" s="1" customFormat="1" ht="14.25" customHeight="1" x14ac:dyDescent="0.3"/>
    <row r="592" s="1" customFormat="1" ht="14.25" customHeight="1" x14ac:dyDescent="0.3"/>
    <row r="593" s="1" customFormat="1" ht="14.25" customHeight="1" x14ac:dyDescent="0.3"/>
    <row r="594" s="1" customFormat="1" ht="14.25" customHeight="1" x14ac:dyDescent="0.3"/>
    <row r="595" s="1" customFormat="1" ht="14.25" customHeight="1" x14ac:dyDescent="0.3"/>
    <row r="596" s="1" customFormat="1" ht="14.25" customHeight="1" x14ac:dyDescent="0.3"/>
    <row r="597" s="1" customFormat="1" ht="14.25" customHeight="1" x14ac:dyDescent="0.3"/>
    <row r="598" s="1" customFormat="1" ht="14.25" customHeight="1" x14ac:dyDescent="0.3"/>
    <row r="599" s="1" customFormat="1" ht="14.25" customHeight="1" x14ac:dyDescent="0.3"/>
    <row r="600" s="1" customFormat="1" ht="14.25" customHeight="1" x14ac:dyDescent="0.3"/>
    <row r="601" s="1" customFormat="1" ht="14.25" customHeight="1" x14ac:dyDescent="0.3"/>
    <row r="602" s="1" customFormat="1" ht="14.25" customHeight="1" x14ac:dyDescent="0.3"/>
    <row r="603" s="1" customFormat="1" ht="14.25" customHeight="1" x14ac:dyDescent="0.3"/>
    <row r="604" s="1" customFormat="1" ht="14.25" customHeight="1" x14ac:dyDescent="0.3"/>
    <row r="605" s="1" customFormat="1" ht="14.25" customHeight="1" x14ac:dyDescent="0.3"/>
    <row r="606" s="1" customFormat="1" ht="14.25" customHeight="1" x14ac:dyDescent="0.3"/>
    <row r="607" s="1" customFormat="1" ht="14.25" customHeight="1" x14ac:dyDescent="0.3"/>
    <row r="608" s="1" customFormat="1" ht="14.25" customHeight="1" x14ac:dyDescent="0.3"/>
    <row r="609" s="1" customFormat="1" ht="14.25" customHeight="1" x14ac:dyDescent="0.3"/>
    <row r="610" s="1" customFormat="1" ht="14.25" customHeight="1" x14ac:dyDescent="0.3"/>
    <row r="611" s="1" customFormat="1" ht="14.25" customHeight="1" x14ac:dyDescent="0.3"/>
    <row r="612" s="1" customFormat="1" ht="14.25" customHeight="1" x14ac:dyDescent="0.3"/>
    <row r="613" s="1" customFormat="1" ht="14.25" customHeight="1" x14ac:dyDescent="0.3"/>
    <row r="614" s="1" customFormat="1" ht="14.25" customHeight="1" x14ac:dyDescent="0.3"/>
    <row r="615" s="1" customFormat="1" ht="14.25" customHeight="1" x14ac:dyDescent="0.3"/>
    <row r="616" s="1" customFormat="1" ht="14.25" customHeight="1" x14ac:dyDescent="0.3"/>
    <row r="617" s="1" customFormat="1" ht="14.25" customHeight="1" x14ac:dyDescent="0.3"/>
    <row r="618" s="1" customFormat="1" ht="14.25" customHeight="1" x14ac:dyDescent="0.3"/>
    <row r="619" s="1" customFormat="1" ht="14.25" customHeight="1" x14ac:dyDescent="0.3"/>
    <row r="620" s="1" customFormat="1" ht="14.25" customHeight="1" x14ac:dyDescent="0.3"/>
    <row r="621" s="1" customFormat="1" ht="14.25" customHeight="1" x14ac:dyDescent="0.3"/>
    <row r="622" s="1" customFormat="1" ht="14.25" customHeight="1" x14ac:dyDescent="0.3"/>
    <row r="623" s="1" customFormat="1" ht="14.25" customHeight="1" x14ac:dyDescent="0.3"/>
    <row r="624" s="1" customFormat="1" ht="14.25" customHeight="1" x14ac:dyDescent="0.3"/>
    <row r="625" s="1" customFormat="1" ht="14.25" customHeight="1" x14ac:dyDescent="0.3"/>
    <row r="626" s="1" customFormat="1" ht="14.25" customHeight="1" x14ac:dyDescent="0.3"/>
    <row r="627" s="1" customFormat="1" ht="14.25" customHeight="1" x14ac:dyDescent="0.3"/>
    <row r="628" s="1" customFormat="1" ht="14.25" customHeight="1" x14ac:dyDescent="0.3"/>
    <row r="629" s="1" customFormat="1" ht="14.25" customHeight="1" x14ac:dyDescent="0.3"/>
    <row r="630" s="1" customFormat="1" ht="14.25" customHeight="1" x14ac:dyDescent="0.3"/>
    <row r="631" s="1" customFormat="1" ht="14.25" customHeight="1" x14ac:dyDescent="0.3"/>
    <row r="632" s="1" customFormat="1" ht="14.25" customHeight="1" x14ac:dyDescent="0.3"/>
    <row r="633" s="1" customFormat="1" ht="14.25" customHeight="1" x14ac:dyDescent="0.3"/>
    <row r="634" s="1" customFormat="1" ht="14.25" customHeight="1" x14ac:dyDescent="0.3"/>
    <row r="635" s="1" customFormat="1" ht="14.25" customHeight="1" x14ac:dyDescent="0.3"/>
    <row r="636" s="1" customFormat="1" ht="14.25" customHeight="1" x14ac:dyDescent="0.3"/>
    <row r="637" s="1" customFormat="1" ht="14.25" customHeight="1" x14ac:dyDescent="0.3"/>
    <row r="638" s="1" customFormat="1" ht="14.25" customHeight="1" x14ac:dyDescent="0.3"/>
    <row r="639" s="1" customFormat="1" ht="14.25" customHeight="1" x14ac:dyDescent="0.3"/>
    <row r="640" s="1" customFormat="1" ht="14.25" customHeight="1" x14ac:dyDescent="0.3"/>
    <row r="641" s="1" customFormat="1" ht="14.25" customHeight="1" x14ac:dyDescent="0.3"/>
    <row r="642" s="1" customFormat="1" ht="14.25" customHeight="1" x14ac:dyDescent="0.3"/>
    <row r="643" s="1" customFormat="1" ht="14.25" customHeight="1" x14ac:dyDescent="0.3"/>
    <row r="644" s="1" customFormat="1" ht="14.25" customHeight="1" x14ac:dyDescent="0.3"/>
    <row r="645" s="1" customFormat="1" ht="14.25" customHeight="1" x14ac:dyDescent="0.3"/>
    <row r="646" s="1" customFormat="1" ht="14.25" customHeight="1" x14ac:dyDescent="0.3"/>
    <row r="647" s="1" customFormat="1" ht="14.25" customHeight="1" x14ac:dyDescent="0.3"/>
    <row r="648" s="1" customFormat="1" ht="14.25" customHeight="1" x14ac:dyDescent="0.3"/>
    <row r="649" s="1" customFormat="1" ht="14.25" customHeight="1" x14ac:dyDescent="0.3"/>
    <row r="650" s="1" customFormat="1" ht="14.25" customHeight="1" x14ac:dyDescent="0.3"/>
    <row r="651" s="1" customFormat="1" ht="14.25" customHeight="1" x14ac:dyDescent="0.3"/>
    <row r="652" s="1" customFormat="1" ht="14.25" customHeight="1" x14ac:dyDescent="0.3"/>
    <row r="653" s="1" customFormat="1" ht="14.25" customHeight="1" x14ac:dyDescent="0.3"/>
    <row r="654" s="1" customFormat="1" ht="14.25" customHeight="1" x14ac:dyDescent="0.3"/>
    <row r="655" s="1" customFormat="1" ht="14.25" customHeight="1" x14ac:dyDescent="0.3"/>
    <row r="656" s="1" customFormat="1" ht="14.25" customHeight="1" x14ac:dyDescent="0.3"/>
    <row r="657" s="1" customFormat="1" ht="14.25" customHeight="1" x14ac:dyDescent="0.3"/>
    <row r="658" s="1" customFormat="1" ht="14.25" customHeight="1" x14ac:dyDescent="0.3"/>
    <row r="659" s="1" customFormat="1" ht="14.25" customHeight="1" x14ac:dyDescent="0.3"/>
    <row r="660" s="1" customFormat="1" ht="14.25" customHeight="1" x14ac:dyDescent="0.3"/>
    <row r="661" s="1" customFormat="1" ht="14.25" customHeight="1" x14ac:dyDescent="0.3"/>
    <row r="662" s="1" customFormat="1" ht="14.25" customHeight="1" x14ac:dyDescent="0.3"/>
    <row r="663" s="1" customFormat="1" ht="14.25" customHeight="1" x14ac:dyDescent="0.3"/>
    <row r="664" s="1" customFormat="1" ht="14.25" customHeight="1" x14ac:dyDescent="0.3"/>
    <row r="665" s="1" customFormat="1" ht="14.25" customHeight="1" x14ac:dyDescent="0.3"/>
    <row r="666" s="1" customFormat="1" ht="14.25" customHeight="1" x14ac:dyDescent="0.3"/>
    <row r="667" s="1" customFormat="1" ht="14.25" customHeight="1" x14ac:dyDescent="0.3"/>
    <row r="668" s="1" customFormat="1" ht="14.25" customHeight="1" x14ac:dyDescent="0.3"/>
    <row r="669" s="1" customFormat="1" ht="14.25" customHeight="1" x14ac:dyDescent="0.3"/>
    <row r="670" s="1" customFormat="1" ht="14.25" customHeight="1" x14ac:dyDescent="0.3"/>
    <row r="671" s="1" customFormat="1" ht="14.25" customHeight="1" x14ac:dyDescent="0.3"/>
    <row r="672" s="1" customFormat="1" ht="14.25" customHeight="1" x14ac:dyDescent="0.3"/>
    <row r="673" s="1" customFormat="1" ht="14.25" customHeight="1" x14ac:dyDescent="0.3"/>
    <row r="674" s="1" customFormat="1" ht="14.25" customHeight="1" x14ac:dyDescent="0.3"/>
    <row r="675" s="1" customFormat="1" ht="14.25" customHeight="1" x14ac:dyDescent="0.3"/>
    <row r="676" s="1" customFormat="1" ht="14.25" customHeight="1" x14ac:dyDescent="0.3"/>
    <row r="677" s="1" customFormat="1" ht="14.25" customHeight="1" x14ac:dyDescent="0.3"/>
    <row r="678" s="1" customFormat="1" ht="14.25" customHeight="1" x14ac:dyDescent="0.3"/>
    <row r="679" s="1" customFormat="1" ht="14.25" customHeight="1" x14ac:dyDescent="0.3"/>
    <row r="680" s="1" customFormat="1" ht="14.25" customHeight="1" x14ac:dyDescent="0.3"/>
    <row r="681" s="1" customFormat="1" ht="14.25" customHeight="1" x14ac:dyDescent="0.3"/>
    <row r="682" s="1" customFormat="1" ht="14.25" customHeight="1" x14ac:dyDescent="0.3"/>
    <row r="683" s="1" customFormat="1" ht="14.25" customHeight="1" x14ac:dyDescent="0.3"/>
    <row r="684" s="1" customFormat="1" ht="14.25" customHeight="1" x14ac:dyDescent="0.3"/>
    <row r="685" s="1" customFormat="1" ht="14.25" customHeight="1" x14ac:dyDescent="0.3"/>
    <row r="686" s="1" customFormat="1" ht="14.25" customHeight="1" x14ac:dyDescent="0.3"/>
    <row r="687" s="1" customFormat="1" ht="14.25" customHeight="1" x14ac:dyDescent="0.3"/>
    <row r="688" s="1" customFormat="1" ht="14.25" customHeight="1" x14ac:dyDescent="0.3"/>
    <row r="689" s="1" customFormat="1" ht="14.25" customHeight="1" x14ac:dyDescent="0.3"/>
    <row r="690" s="1" customFormat="1" ht="14.25" customHeight="1" x14ac:dyDescent="0.3"/>
    <row r="691" s="1" customFormat="1" ht="14.25" customHeight="1" x14ac:dyDescent="0.3"/>
    <row r="692" s="1" customFormat="1" ht="14.25" customHeight="1" x14ac:dyDescent="0.3"/>
    <row r="693" s="1" customFormat="1" ht="14.25" customHeight="1" x14ac:dyDescent="0.3"/>
    <row r="694" s="1" customFormat="1" ht="14.25" customHeight="1" x14ac:dyDescent="0.3"/>
    <row r="695" s="1" customFormat="1" ht="14.25" customHeight="1" x14ac:dyDescent="0.3"/>
    <row r="696" s="1" customFormat="1" ht="14.25" customHeight="1" x14ac:dyDescent="0.3"/>
    <row r="697" s="1" customFormat="1" ht="14.25" customHeight="1" x14ac:dyDescent="0.3"/>
    <row r="698" s="1" customFormat="1" ht="14.25" customHeight="1" x14ac:dyDescent="0.3"/>
    <row r="699" s="1" customFormat="1" ht="14.25" customHeight="1" x14ac:dyDescent="0.3"/>
    <row r="700" s="1" customFormat="1" ht="14.25" customHeight="1" x14ac:dyDescent="0.3"/>
    <row r="701" s="1" customFormat="1" ht="14.25" customHeight="1" x14ac:dyDescent="0.3"/>
    <row r="702" s="1" customFormat="1" ht="14.25" customHeight="1" x14ac:dyDescent="0.3"/>
    <row r="703" s="1" customFormat="1" ht="14.25" customHeight="1" x14ac:dyDescent="0.3"/>
    <row r="704" s="1" customFormat="1" ht="14.25" customHeight="1" x14ac:dyDescent="0.3"/>
    <row r="705" s="1" customFormat="1" ht="14.25" customHeight="1" x14ac:dyDescent="0.3"/>
    <row r="706" s="1" customFormat="1" ht="14.25" customHeight="1" x14ac:dyDescent="0.3"/>
    <row r="707" s="1" customFormat="1" ht="14.25" customHeight="1" x14ac:dyDescent="0.3"/>
    <row r="708" s="1" customFormat="1" ht="14.25" customHeight="1" x14ac:dyDescent="0.3"/>
    <row r="709" s="1" customFormat="1" ht="14.25" customHeight="1" x14ac:dyDescent="0.3"/>
    <row r="710" s="1" customFormat="1" ht="14.25" customHeight="1" x14ac:dyDescent="0.3"/>
    <row r="711" s="1" customFormat="1" ht="14.25" customHeight="1" x14ac:dyDescent="0.3"/>
    <row r="712" s="1" customFormat="1" ht="14.25" customHeight="1" x14ac:dyDescent="0.3"/>
    <row r="713" s="1" customFormat="1" ht="14.25" customHeight="1" x14ac:dyDescent="0.3"/>
    <row r="714" s="1" customFormat="1" ht="14.25" customHeight="1" x14ac:dyDescent="0.3"/>
    <row r="715" s="1" customFormat="1" ht="14.25" customHeight="1" x14ac:dyDescent="0.3"/>
    <row r="716" s="1" customFormat="1" ht="14.25" customHeight="1" x14ac:dyDescent="0.3"/>
    <row r="717" s="1" customFormat="1" ht="14.25" customHeight="1" x14ac:dyDescent="0.3"/>
    <row r="718" s="1" customFormat="1" ht="14.25" customHeight="1" x14ac:dyDescent="0.3"/>
    <row r="719" s="1" customFormat="1" ht="14.25" customHeight="1" x14ac:dyDescent="0.3"/>
    <row r="720" s="1" customFormat="1" ht="14.25" customHeight="1" x14ac:dyDescent="0.3"/>
    <row r="721" s="1" customFormat="1" ht="14.25" customHeight="1" x14ac:dyDescent="0.3"/>
    <row r="722" s="1" customFormat="1" ht="14.25" customHeight="1" x14ac:dyDescent="0.3"/>
    <row r="723" s="1" customFormat="1" ht="14.25" customHeight="1" x14ac:dyDescent="0.3"/>
    <row r="724" s="1" customFormat="1" ht="14.25" customHeight="1" x14ac:dyDescent="0.3"/>
    <row r="725" s="1" customFormat="1" ht="14.25" customHeight="1" x14ac:dyDescent="0.3"/>
    <row r="726" s="1" customFormat="1" ht="14.25" customHeight="1" x14ac:dyDescent="0.3"/>
    <row r="727" s="1" customFormat="1" ht="14.25" customHeight="1" x14ac:dyDescent="0.3"/>
    <row r="728" s="1" customFormat="1" ht="14.25" customHeight="1" x14ac:dyDescent="0.3"/>
    <row r="729" s="1" customFormat="1" ht="14.25" customHeight="1" x14ac:dyDescent="0.3"/>
    <row r="730" s="1" customFormat="1" ht="14.25" customHeight="1" x14ac:dyDescent="0.3"/>
    <row r="731" s="1" customFormat="1" ht="14.25" customHeight="1" x14ac:dyDescent="0.3"/>
    <row r="732" s="1" customFormat="1" ht="14.25" customHeight="1" x14ac:dyDescent="0.3"/>
    <row r="733" s="1" customFormat="1" ht="14.25" customHeight="1" x14ac:dyDescent="0.3"/>
    <row r="734" s="1" customFormat="1" ht="14.25" customHeight="1" x14ac:dyDescent="0.3"/>
    <row r="735" s="1" customFormat="1" ht="14.25" customHeight="1" x14ac:dyDescent="0.3"/>
    <row r="736" s="1" customFormat="1" ht="14.25" customHeight="1" x14ac:dyDescent="0.3"/>
    <row r="737" s="1" customFormat="1" ht="14.25" customHeight="1" x14ac:dyDescent="0.3"/>
    <row r="738" s="1" customFormat="1" ht="14.25" customHeight="1" x14ac:dyDescent="0.3"/>
    <row r="739" s="1" customFormat="1" ht="14.25" customHeight="1" x14ac:dyDescent="0.3"/>
    <row r="740" s="1" customFormat="1" ht="14.25" customHeight="1" x14ac:dyDescent="0.3"/>
    <row r="741" s="1" customFormat="1" ht="14.25" customHeight="1" x14ac:dyDescent="0.3"/>
    <row r="742" s="1" customFormat="1" ht="14.25" customHeight="1" x14ac:dyDescent="0.3"/>
    <row r="743" s="1" customFormat="1" ht="14.25" customHeight="1" x14ac:dyDescent="0.3"/>
    <row r="744" s="1" customFormat="1" ht="14.25" customHeight="1" x14ac:dyDescent="0.3"/>
    <row r="745" s="1" customFormat="1" ht="14.25" customHeight="1" x14ac:dyDescent="0.3"/>
    <row r="746" s="1" customFormat="1" ht="14.25" customHeight="1" x14ac:dyDescent="0.3"/>
    <row r="747" s="1" customFormat="1" ht="14.25" customHeight="1" x14ac:dyDescent="0.3"/>
    <row r="748" s="1" customFormat="1" ht="14.25" customHeight="1" x14ac:dyDescent="0.3"/>
    <row r="749" s="1" customFormat="1" ht="14.25" customHeight="1" x14ac:dyDescent="0.3"/>
    <row r="750" s="1" customFormat="1" ht="14.25" customHeight="1" x14ac:dyDescent="0.3"/>
    <row r="751" s="1" customFormat="1" ht="14.25" customHeight="1" x14ac:dyDescent="0.3"/>
    <row r="752" s="1" customFormat="1" ht="14.25" customHeight="1" x14ac:dyDescent="0.3"/>
    <row r="753" s="1" customFormat="1" ht="14.25" customHeight="1" x14ac:dyDescent="0.3"/>
    <row r="754" s="1" customFormat="1" ht="14.25" customHeight="1" x14ac:dyDescent="0.3"/>
    <row r="755" s="1" customFormat="1" ht="14.25" customHeight="1" x14ac:dyDescent="0.3"/>
    <row r="756" s="1" customFormat="1" ht="14.25" customHeight="1" x14ac:dyDescent="0.3"/>
    <row r="757" s="1" customFormat="1" ht="14.25" customHeight="1" x14ac:dyDescent="0.3"/>
    <row r="758" s="1" customFormat="1" ht="14.25" customHeight="1" x14ac:dyDescent="0.3"/>
    <row r="759" s="1" customFormat="1" ht="14.25" customHeight="1" x14ac:dyDescent="0.3"/>
    <row r="760" s="1" customFormat="1" ht="14.25" customHeight="1" x14ac:dyDescent="0.3"/>
    <row r="761" s="1" customFormat="1" ht="14.25" customHeight="1" x14ac:dyDescent="0.3"/>
    <row r="762" s="1" customFormat="1" ht="14.25" customHeight="1" x14ac:dyDescent="0.3"/>
    <row r="763" s="1" customFormat="1" ht="14.25" customHeight="1" x14ac:dyDescent="0.3"/>
    <row r="764" s="1" customFormat="1" ht="14.25" customHeight="1" x14ac:dyDescent="0.3"/>
    <row r="765" s="1" customFormat="1" ht="14.25" customHeight="1" x14ac:dyDescent="0.3"/>
    <row r="766" s="1" customFormat="1" ht="14.25" customHeight="1" x14ac:dyDescent="0.3"/>
    <row r="767" s="1" customFormat="1" ht="14.25" customHeight="1" x14ac:dyDescent="0.3"/>
    <row r="768" s="1" customFormat="1" ht="14.25" customHeight="1" x14ac:dyDescent="0.3"/>
    <row r="769" s="1" customFormat="1" ht="14.25" customHeight="1" x14ac:dyDescent="0.3"/>
    <row r="770" s="1" customFormat="1" ht="14.25" customHeight="1" x14ac:dyDescent="0.3"/>
    <row r="771" s="1" customFormat="1" ht="14.25" customHeight="1" x14ac:dyDescent="0.3"/>
    <row r="772" s="1" customFormat="1" ht="14.25" customHeight="1" x14ac:dyDescent="0.3"/>
    <row r="773" s="1" customFormat="1" ht="14.25" customHeight="1" x14ac:dyDescent="0.3"/>
    <row r="774" s="1" customFormat="1" ht="14.25" customHeight="1" x14ac:dyDescent="0.3"/>
    <row r="775" s="1" customFormat="1" ht="14.25" customHeight="1" x14ac:dyDescent="0.3"/>
    <row r="776" s="1" customFormat="1" ht="14.25" customHeight="1" x14ac:dyDescent="0.3"/>
    <row r="777" s="1" customFormat="1" ht="14.25" customHeight="1" x14ac:dyDescent="0.3"/>
    <row r="778" s="1" customFormat="1" ht="14.25" customHeight="1" x14ac:dyDescent="0.3"/>
    <row r="779" s="1" customFormat="1" ht="14.25" customHeight="1" x14ac:dyDescent="0.3"/>
    <row r="780" s="1" customFormat="1" ht="14.25" customHeight="1" x14ac:dyDescent="0.3"/>
    <row r="781" s="1" customFormat="1" ht="14.25" customHeight="1" x14ac:dyDescent="0.3"/>
    <row r="782" s="1" customFormat="1" ht="14.25" customHeight="1" x14ac:dyDescent="0.3"/>
    <row r="783" s="1" customFormat="1" ht="14.25" customHeight="1" x14ac:dyDescent="0.3"/>
    <row r="784" s="1" customFormat="1" ht="14.25" customHeight="1" x14ac:dyDescent="0.3"/>
    <row r="785" s="1" customFormat="1" ht="14.25" customHeight="1" x14ac:dyDescent="0.3"/>
    <row r="786" s="1" customFormat="1" ht="14.25" customHeight="1" x14ac:dyDescent="0.3"/>
    <row r="787" s="1" customFormat="1" ht="14.25" customHeight="1" x14ac:dyDescent="0.3"/>
    <row r="788" s="1" customFormat="1" ht="14.25" customHeight="1" x14ac:dyDescent="0.3"/>
    <row r="789" s="1" customFormat="1" ht="14.25" customHeight="1" x14ac:dyDescent="0.3"/>
    <row r="790" s="1" customFormat="1" ht="14.25" customHeight="1" x14ac:dyDescent="0.3"/>
    <row r="791" s="1" customFormat="1" ht="14.25" customHeight="1" x14ac:dyDescent="0.3"/>
    <row r="792" s="1" customFormat="1" ht="14.25" customHeight="1" x14ac:dyDescent="0.3"/>
    <row r="793" s="1" customFormat="1" ht="14.25" customHeight="1" x14ac:dyDescent="0.3"/>
    <row r="794" s="1" customFormat="1" ht="14.25" customHeight="1" x14ac:dyDescent="0.3"/>
    <row r="795" s="1" customFormat="1" ht="14.25" customHeight="1" x14ac:dyDescent="0.3"/>
    <row r="796" s="1" customFormat="1" ht="14.25" customHeight="1" x14ac:dyDescent="0.3"/>
    <row r="797" s="1" customFormat="1" ht="14.25" customHeight="1" x14ac:dyDescent="0.3"/>
    <row r="798" s="1" customFormat="1" ht="14.25" customHeight="1" x14ac:dyDescent="0.3"/>
    <row r="799" s="1" customFormat="1" ht="14.25" customHeight="1" x14ac:dyDescent="0.3"/>
    <row r="800" s="1" customFormat="1" ht="14.25" customHeight="1" x14ac:dyDescent="0.3"/>
    <row r="801" s="1" customFormat="1" ht="14.25" customHeight="1" x14ac:dyDescent="0.3"/>
    <row r="802" s="1" customFormat="1" ht="14.25" customHeight="1" x14ac:dyDescent="0.3"/>
    <row r="803" s="1" customFormat="1" ht="14.25" customHeight="1" x14ac:dyDescent="0.3"/>
    <row r="804" s="1" customFormat="1" ht="14.25" customHeight="1" x14ac:dyDescent="0.3"/>
    <row r="805" s="1" customFormat="1" ht="14.25" customHeight="1" x14ac:dyDescent="0.3"/>
    <row r="806" s="1" customFormat="1" ht="14.25" customHeight="1" x14ac:dyDescent="0.3"/>
    <row r="807" s="1" customFormat="1" ht="14.25" customHeight="1" x14ac:dyDescent="0.3"/>
    <row r="808" s="1" customFormat="1" ht="14.25" customHeight="1" x14ac:dyDescent="0.3"/>
    <row r="809" s="1" customFormat="1" ht="14.25" customHeight="1" x14ac:dyDescent="0.3"/>
    <row r="810" s="1" customFormat="1" ht="14.25" customHeight="1" x14ac:dyDescent="0.3"/>
    <row r="811" s="1" customFormat="1" ht="14.25" customHeight="1" x14ac:dyDescent="0.3"/>
    <row r="812" s="1" customFormat="1" ht="14.25" customHeight="1" x14ac:dyDescent="0.3"/>
    <row r="813" s="1" customFormat="1" ht="14.25" customHeight="1" x14ac:dyDescent="0.3"/>
    <row r="814" s="1" customFormat="1" ht="14.25" customHeight="1" x14ac:dyDescent="0.3"/>
    <row r="815" s="1" customFormat="1" ht="14.25" customHeight="1" x14ac:dyDescent="0.3"/>
    <row r="816" s="1" customFormat="1" ht="14.25" customHeight="1" x14ac:dyDescent="0.3"/>
    <row r="817" s="1" customFormat="1" ht="14.25" customHeight="1" x14ac:dyDescent="0.3"/>
    <row r="818" s="1" customFormat="1" ht="14.25" customHeight="1" x14ac:dyDescent="0.3"/>
    <row r="819" s="1" customFormat="1" ht="14.25" customHeight="1" x14ac:dyDescent="0.3"/>
    <row r="820" s="1" customFormat="1" ht="14.25" customHeight="1" x14ac:dyDescent="0.3"/>
    <row r="821" s="1" customFormat="1" ht="14.25" customHeight="1" x14ac:dyDescent="0.3"/>
    <row r="822" s="1" customFormat="1" ht="14.25" customHeight="1" x14ac:dyDescent="0.3"/>
    <row r="823" s="1" customFormat="1" ht="14.25" customHeight="1" x14ac:dyDescent="0.3"/>
    <row r="824" s="1" customFormat="1" ht="14.25" customHeight="1" x14ac:dyDescent="0.3"/>
    <row r="825" s="1" customFormat="1" ht="14.25" customHeight="1" x14ac:dyDescent="0.3"/>
    <row r="826" s="1" customFormat="1" ht="14.25" customHeight="1" x14ac:dyDescent="0.3"/>
    <row r="827" s="1" customFormat="1" ht="14.25" customHeight="1" x14ac:dyDescent="0.3"/>
    <row r="828" s="1" customFormat="1" ht="14.25" customHeight="1" x14ac:dyDescent="0.3"/>
    <row r="829" s="1" customFormat="1" ht="14.25" customHeight="1" x14ac:dyDescent="0.3"/>
    <row r="830" s="1" customFormat="1" ht="14.25" customHeight="1" x14ac:dyDescent="0.3"/>
    <row r="831" s="1" customFormat="1" ht="14.25" customHeight="1" x14ac:dyDescent="0.3"/>
    <row r="832" s="1" customFormat="1" ht="14.25" customHeight="1" x14ac:dyDescent="0.3"/>
    <row r="833" s="1" customFormat="1" ht="14.25" customHeight="1" x14ac:dyDescent="0.3"/>
    <row r="834" s="1" customFormat="1" ht="14.25" customHeight="1" x14ac:dyDescent="0.3"/>
    <row r="835" s="1" customFormat="1" ht="14.25" customHeight="1" x14ac:dyDescent="0.3"/>
    <row r="836" s="1" customFormat="1" ht="14.25" customHeight="1" x14ac:dyDescent="0.3"/>
    <row r="837" s="1" customFormat="1" ht="14.25" customHeight="1" x14ac:dyDescent="0.3"/>
    <row r="838" s="1" customFormat="1" ht="14.25" customHeight="1" x14ac:dyDescent="0.3"/>
    <row r="839" s="1" customFormat="1" ht="14.25" customHeight="1" x14ac:dyDescent="0.3"/>
    <row r="840" s="1" customFormat="1" ht="14.25" customHeight="1" x14ac:dyDescent="0.3"/>
    <row r="841" s="1" customFormat="1" ht="14.25" customHeight="1" x14ac:dyDescent="0.3"/>
    <row r="842" s="1" customFormat="1" ht="14.25" customHeight="1" x14ac:dyDescent="0.3"/>
    <row r="843" s="1" customFormat="1" ht="14.25" customHeight="1" x14ac:dyDescent="0.3"/>
    <row r="844" s="1" customFormat="1" ht="14.25" customHeight="1" x14ac:dyDescent="0.3"/>
    <row r="845" s="1" customFormat="1" ht="14.25" customHeight="1" x14ac:dyDescent="0.3"/>
    <row r="846" s="1" customFormat="1" ht="14.25" customHeight="1" x14ac:dyDescent="0.3"/>
    <row r="847" s="1" customFormat="1" ht="14.25" customHeight="1" x14ac:dyDescent="0.3"/>
    <row r="848" s="1" customFormat="1" ht="14.25" customHeight="1" x14ac:dyDescent="0.3"/>
    <row r="849" s="1" customFormat="1" ht="14.25" customHeight="1" x14ac:dyDescent="0.3"/>
    <row r="850" s="1" customFormat="1" ht="14.25" customHeight="1" x14ac:dyDescent="0.3"/>
    <row r="851" s="1" customFormat="1" ht="14.25" customHeight="1" x14ac:dyDescent="0.3"/>
    <row r="852" s="1" customFormat="1" ht="14.25" customHeight="1" x14ac:dyDescent="0.3"/>
    <row r="853" s="1" customFormat="1" ht="14.25" customHeight="1" x14ac:dyDescent="0.3"/>
    <row r="854" s="1" customFormat="1" ht="14.25" customHeight="1" x14ac:dyDescent="0.3"/>
    <row r="855" s="1" customFormat="1" ht="14.25" customHeight="1" x14ac:dyDescent="0.3"/>
    <row r="856" s="1" customFormat="1" ht="14.25" customHeight="1" x14ac:dyDescent="0.3"/>
    <row r="857" s="1" customFormat="1" ht="14.25" customHeight="1" x14ac:dyDescent="0.3"/>
    <row r="858" s="1" customFormat="1" ht="14.25" customHeight="1" x14ac:dyDescent="0.3"/>
    <row r="859" s="1" customFormat="1" ht="14.25" customHeight="1" x14ac:dyDescent="0.3"/>
    <row r="860" s="1" customFormat="1" ht="14.25" customHeight="1" x14ac:dyDescent="0.3"/>
    <row r="861" s="1" customFormat="1" ht="14.25" customHeight="1" x14ac:dyDescent="0.3"/>
    <row r="862" s="1" customFormat="1" ht="14.25" customHeight="1" x14ac:dyDescent="0.3"/>
    <row r="863" s="1" customFormat="1" ht="14.25" customHeight="1" x14ac:dyDescent="0.3"/>
    <row r="864" s="1" customFormat="1" ht="14.25" customHeight="1" x14ac:dyDescent="0.3"/>
    <row r="865" s="1" customFormat="1" ht="14.25" customHeight="1" x14ac:dyDescent="0.3"/>
    <row r="866" s="1" customFormat="1" ht="14.25" customHeight="1" x14ac:dyDescent="0.3"/>
    <row r="867" s="1" customFormat="1" ht="14.25" customHeight="1" x14ac:dyDescent="0.3"/>
    <row r="868" s="1" customFormat="1" ht="14.25" customHeight="1" x14ac:dyDescent="0.3"/>
    <row r="869" s="1" customFormat="1" ht="14.25" customHeight="1" x14ac:dyDescent="0.3"/>
    <row r="870" s="1" customFormat="1" ht="14.25" customHeight="1" x14ac:dyDescent="0.3"/>
    <row r="871" s="1" customFormat="1" ht="14.25" customHeight="1" x14ac:dyDescent="0.3"/>
    <row r="872" s="1" customFormat="1" ht="14.25" customHeight="1" x14ac:dyDescent="0.3"/>
    <row r="873" s="1" customFormat="1" ht="14.25" customHeight="1" x14ac:dyDescent="0.3"/>
    <row r="874" s="1" customFormat="1" ht="14.25" customHeight="1" x14ac:dyDescent="0.3"/>
    <row r="875" s="1" customFormat="1" ht="14.25" customHeight="1" x14ac:dyDescent="0.3"/>
    <row r="876" s="1" customFormat="1" ht="14.25" customHeight="1" x14ac:dyDescent="0.3"/>
    <row r="877" s="1" customFormat="1" ht="14.25" customHeight="1" x14ac:dyDescent="0.3"/>
    <row r="878" s="1" customFormat="1" ht="14.25" customHeight="1" x14ac:dyDescent="0.3"/>
    <row r="879" s="1" customFormat="1" ht="14.25" customHeight="1" x14ac:dyDescent="0.3"/>
    <row r="880" s="1" customFormat="1" ht="14.25" customHeight="1" x14ac:dyDescent="0.3"/>
    <row r="881" s="1" customFormat="1" ht="14.25" customHeight="1" x14ac:dyDescent="0.3"/>
    <row r="882" s="1" customFormat="1" ht="14.25" customHeight="1" x14ac:dyDescent="0.3"/>
    <row r="883" s="1" customFormat="1" ht="14.25" customHeight="1" x14ac:dyDescent="0.3"/>
    <row r="884" s="1" customFormat="1" ht="14.25" customHeight="1" x14ac:dyDescent="0.3"/>
    <row r="885" s="1" customFormat="1" ht="14.25" customHeight="1" x14ac:dyDescent="0.3"/>
    <row r="886" s="1" customFormat="1" ht="14.25" customHeight="1" x14ac:dyDescent="0.3"/>
    <row r="887" s="1" customFormat="1" ht="14.25" customHeight="1" x14ac:dyDescent="0.3"/>
    <row r="888" s="1" customFormat="1" ht="14.25" customHeight="1" x14ac:dyDescent="0.3"/>
    <row r="889" s="1" customFormat="1" ht="14.25" customHeight="1" x14ac:dyDescent="0.3"/>
    <row r="890" s="1" customFormat="1" ht="14.25" customHeight="1" x14ac:dyDescent="0.3"/>
    <row r="891" s="1" customFormat="1" ht="14.25" customHeight="1" x14ac:dyDescent="0.3"/>
    <row r="892" s="1" customFormat="1" ht="14.25" customHeight="1" x14ac:dyDescent="0.3"/>
    <row r="893" s="1" customFormat="1" ht="14.25" customHeight="1" x14ac:dyDescent="0.3"/>
    <row r="894" s="1" customFormat="1" ht="14.25" customHeight="1" x14ac:dyDescent="0.3"/>
    <row r="895" s="1" customFormat="1" ht="14.25" customHeight="1" x14ac:dyDescent="0.3"/>
    <row r="896" s="1" customFormat="1" ht="14.25" customHeight="1" x14ac:dyDescent="0.3"/>
    <row r="897" s="1" customFormat="1" ht="14.25" customHeight="1" x14ac:dyDescent="0.3"/>
    <row r="898" s="1" customFormat="1" ht="14.25" customHeight="1" x14ac:dyDescent="0.3"/>
    <row r="899" s="1" customFormat="1" ht="14.25" customHeight="1" x14ac:dyDescent="0.3"/>
    <row r="900" s="1" customFormat="1" ht="14.25" customHeight="1" x14ac:dyDescent="0.3"/>
    <row r="901" s="1" customFormat="1" ht="14.25" customHeight="1" x14ac:dyDescent="0.3"/>
    <row r="902" s="1" customFormat="1" ht="14.25" customHeight="1" x14ac:dyDescent="0.3"/>
    <row r="903" s="1" customFormat="1" ht="14.25" customHeight="1" x14ac:dyDescent="0.3"/>
    <row r="904" s="1" customFormat="1" ht="14.25" customHeight="1" x14ac:dyDescent="0.3"/>
    <row r="905" s="1" customFormat="1" ht="14.25" customHeight="1" x14ac:dyDescent="0.3"/>
    <row r="906" s="1" customFormat="1" ht="14.25" customHeight="1" x14ac:dyDescent="0.3"/>
    <row r="907" s="1" customFormat="1" ht="14.25" customHeight="1" x14ac:dyDescent="0.3"/>
    <row r="908" s="1" customFormat="1" ht="14.25" customHeight="1" x14ac:dyDescent="0.3"/>
    <row r="909" s="1" customFormat="1" ht="14.25" customHeight="1" x14ac:dyDescent="0.3"/>
    <row r="910" s="1" customFormat="1" ht="14.25" customHeight="1" x14ac:dyDescent="0.3"/>
    <row r="911" s="1" customFormat="1" ht="14.25" customHeight="1" x14ac:dyDescent="0.3"/>
    <row r="912" s="1" customFormat="1" ht="14.25" customHeight="1" x14ac:dyDescent="0.3"/>
    <row r="913" s="1" customFormat="1" ht="14.25" customHeight="1" x14ac:dyDescent="0.3"/>
    <row r="914" s="1" customFormat="1" ht="14.25" customHeight="1" x14ac:dyDescent="0.3"/>
    <row r="915" s="1" customFormat="1" ht="14.25" customHeight="1" x14ac:dyDescent="0.3"/>
    <row r="916" s="1" customFormat="1" ht="14.25" customHeight="1" x14ac:dyDescent="0.3"/>
    <row r="917" s="1" customFormat="1" ht="14.25" customHeight="1" x14ac:dyDescent="0.3"/>
    <row r="918" s="1" customFormat="1" ht="14.25" customHeight="1" x14ac:dyDescent="0.3"/>
    <row r="919" s="1" customFormat="1" ht="14.25" customHeight="1" x14ac:dyDescent="0.3"/>
    <row r="920" s="1" customFormat="1" ht="14.25" customHeight="1" x14ac:dyDescent="0.3"/>
    <row r="921" s="1" customFormat="1" ht="14.25" customHeight="1" x14ac:dyDescent="0.3"/>
    <row r="922" s="1" customFormat="1" ht="14.25" customHeight="1" x14ac:dyDescent="0.3"/>
    <row r="923" s="1" customFormat="1" ht="14.25" customHeight="1" x14ac:dyDescent="0.3"/>
    <row r="924" s="1" customFormat="1" ht="14.25" customHeight="1" x14ac:dyDescent="0.3"/>
    <row r="925" s="1" customFormat="1" ht="14.25" customHeight="1" x14ac:dyDescent="0.3"/>
    <row r="926" s="1" customFormat="1" ht="14.25" customHeight="1" x14ac:dyDescent="0.3"/>
    <row r="927" s="1" customFormat="1" ht="14.25" customHeight="1" x14ac:dyDescent="0.3"/>
    <row r="928" s="1" customFormat="1" ht="14.25" customHeight="1" x14ac:dyDescent="0.3"/>
    <row r="929" s="1" customFormat="1" ht="14.25" customHeight="1" x14ac:dyDescent="0.3"/>
    <row r="930" s="1" customFormat="1" ht="14.25" customHeight="1" x14ac:dyDescent="0.3"/>
    <row r="931" s="1" customFormat="1" ht="14.25" customHeight="1" x14ac:dyDescent="0.3"/>
    <row r="932" s="1" customFormat="1" ht="14.25" customHeight="1" x14ac:dyDescent="0.3"/>
    <row r="933" s="1" customFormat="1" ht="14.25" customHeight="1" x14ac:dyDescent="0.3"/>
    <row r="934" s="1" customFormat="1" ht="14.25" customHeight="1" x14ac:dyDescent="0.3"/>
    <row r="935" s="1" customFormat="1" ht="14.25" customHeight="1" x14ac:dyDescent="0.3"/>
    <row r="936" s="1" customFormat="1" ht="14.25" customHeight="1" x14ac:dyDescent="0.3"/>
    <row r="937" s="1" customFormat="1" ht="14.25" customHeight="1" x14ac:dyDescent="0.3"/>
    <row r="938" s="1" customFormat="1" ht="14.25" customHeight="1" x14ac:dyDescent="0.3"/>
    <row r="939" s="1" customFormat="1" ht="14.25" customHeight="1" x14ac:dyDescent="0.3"/>
    <row r="940" s="1" customFormat="1" ht="14.25" customHeight="1" x14ac:dyDescent="0.3"/>
    <row r="941" s="1" customFormat="1" ht="14.25" customHeight="1" x14ac:dyDescent="0.3"/>
    <row r="942" s="1" customFormat="1" ht="14.25" customHeight="1" x14ac:dyDescent="0.3"/>
    <row r="943" s="1" customFormat="1" ht="14.25" customHeight="1" x14ac:dyDescent="0.3"/>
    <row r="944" s="1" customFormat="1" ht="14.25" customHeight="1" x14ac:dyDescent="0.3"/>
    <row r="945" s="1" customFormat="1" ht="14.25" customHeight="1" x14ac:dyDescent="0.3"/>
    <row r="946" s="1" customFormat="1" ht="14.25" customHeight="1" x14ac:dyDescent="0.3"/>
    <row r="947" s="1" customFormat="1" ht="14.25" customHeight="1" x14ac:dyDescent="0.3"/>
    <row r="948" s="1" customFormat="1" ht="14.25" customHeight="1" x14ac:dyDescent="0.3"/>
    <row r="949" s="1" customFormat="1" ht="14.25" customHeight="1" x14ac:dyDescent="0.3"/>
    <row r="950" s="1" customFormat="1" ht="14.25" customHeight="1" x14ac:dyDescent="0.3"/>
    <row r="951" s="1" customFormat="1" ht="14.25" customHeight="1" x14ac:dyDescent="0.3"/>
    <row r="952" s="1" customFormat="1" ht="14.25" customHeight="1" x14ac:dyDescent="0.3"/>
    <row r="953" s="1" customFormat="1" ht="14.25" customHeight="1" x14ac:dyDescent="0.3"/>
    <row r="954" s="1" customFormat="1" ht="14.25" customHeight="1" x14ac:dyDescent="0.3"/>
    <row r="955" s="1" customFormat="1" ht="14.25" customHeight="1" x14ac:dyDescent="0.3"/>
    <row r="956" s="1" customFormat="1" ht="14.25" customHeight="1" x14ac:dyDescent="0.3"/>
    <row r="957" s="1" customFormat="1" ht="14.25" customHeight="1" x14ac:dyDescent="0.3"/>
    <row r="958" s="1" customFormat="1" ht="14.25" customHeight="1" x14ac:dyDescent="0.3"/>
    <row r="959" s="1" customFormat="1" ht="14.25" customHeight="1" x14ac:dyDescent="0.3"/>
    <row r="960" s="1" customFormat="1" ht="14.25" customHeight="1" x14ac:dyDescent="0.3"/>
    <row r="961" s="1" customFormat="1" ht="14.25" customHeight="1" x14ac:dyDescent="0.3"/>
    <row r="962" s="1" customFormat="1" ht="14.25" customHeight="1" x14ac:dyDescent="0.3"/>
    <row r="963" s="1" customFormat="1" ht="14.25" customHeight="1" x14ac:dyDescent="0.3"/>
    <row r="964" s="1" customFormat="1" ht="14.25" customHeight="1" x14ac:dyDescent="0.3"/>
    <row r="965" s="1" customFormat="1" ht="14.25" customHeight="1" x14ac:dyDescent="0.3"/>
    <row r="966" s="1" customFormat="1" ht="14.25" customHeight="1" x14ac:dyDescent="0.3"/>
    <row r="967" s="1" customFormat="1" ht="14.25" customHeight="1" x14ac:dyDescent="0.3"/>
    <row r="968" s="1" customFormat="1" ht="14.25" customHeight="1" x14ac:dyDescent="0.3"/>
    <row r="969" s="1" customFormat="1" ht="14.25" customHeight="1" x14ac:dyDescent="0.3"/>
    <row r="970" s="1" customFormat="1" ht="14.25" customHeight="1" x14ac:dyDescent="0.3"/>
    <row r="971" s="1" customFormat="1" ht="14.25" customHeight="1" x14ac:dyDescent="0.3"/>
    <row r="972" s="1" customFormat="1" ht="14.25" customHeight="1" x14ac:dyDescent="0.3"/>
    <row r="973" s="1" customFormat="1" ht="14.25" customHeight="1" x14ac:dyDescent="0.3"/>
    <row r="974" s="1" customFormat="1" ht="14.25" customHeight="1" x14ac:dyDescent="0.3"/>
    <row r="975" s="1" customFormat="1" ht="14.25" customHeight="1" x14ac:dyDescent="0.3"/>
    <row r="976" s="1" customFormat="1" ht="14.25" customHeight="1" x14ac:dyDescent="0.3"/>
    <row r="977" s="1" customFormat="1" ht="14.25" customHeight="1" x14ac:dyDescent="0.3"/>
    <row r="978" s="1" customFormat="1" ht="14.25" customHeight="1" x14ac:dyDescent="0.3"/>
    <row r="979" s="1" customFormat="1" ht="14.25" customHeight="1" x14ac:dyDescent="0.3"/>
    <row r="980" s="1" customFormat="1" ht="14.25" customHeight="1" x14ac:dyDescent="0.3"/>
    <row r="981" s="1" customFormat="1" ht="14.25" customHeight="1" x14ac:dyDescent="0.3"/>
    <row r="982" s="1" customFormat="1" ht="14.25" customHeight="1" x14ac:dyDescent="0.3"/>
    <row r="983" s="1" customFormat="1" ht="14.25" customHeight="1" x14ac:dyDescent="0.3"/>
    <row r="984" s="1" customFormat="1" ht="14.25" customHeight="1" x14ac:dyDescent="0.3"/>
    <row r="985" s="1" customFormat="1" ht="14.25" customHeight="1" x14ac:dyDescent="0.3"/>
    <row r="986" s="1" customFormat="1" ht="14.25" customHeight="1" x14ac:dyDescent="0.3"/>
    <row r="987" s="1" customFormat="1" ht="14.25" customHeight="1" x14ac:dyDescent="0.3"/>
    <row r="988" s="1" customFormat="1" ht="14.25" customHeight="1" x14ac:dyDescent="0.3"/>
    <row r="989" s="1" customFormat="1" ht="14.25" customHeight="1" x14ac:dyDescent="0.3"/>
    <row r="990" s="1" customFormat="1" ht="14.25" customHeight="1" x14ac:dyDescent="0.3"/>
    <row r="991" s="1" customFormat="1" ht="14.25" customHeight="1" x14ac:dyDescent="0.3"/>
    <row r="992" s="1" customFormat="1" ht="14.25" customHeight="1" x14ac:dyDescent="0.3"/>
    <row r="993" s="1" customFormat="1" ht="14.25" customHeight="1" x14ac:dyDescent="0.3"/>
    <row r="994" s="1" customFormat="1" ht="14.25" customHeight="1" x14ac:dyDescent="0.3"/>
    <row r="995" s="1" customFormat="1" ht="14.25" customHeight="1" x14ac:dyDescent="0.3"/>
    <row r="996" s="1" customFormat="1" ht="14.25" customHeight="1" x14ac:dyDescent="0.3"/>
    <row r="997" s="1" customFormat="1" ht="14.25" customHeight="1" x14ac:dyDescent="0.3"/>
    <row r="998" s="1" customFormat="1" ht="14.25" customHeight="1" x14ac:dyDescent="0.3"/>
    <row r="999" s="1" customFormat="1" ht="14.25" customHeight="1" x14ac:dyDescent="0.3"/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DE423-835F-4342-AABC-1F0FFEEB78F1}">
  <dimension ref="A1:M999"/>
  <sheetViews>
    <sheetView workbookViewId="0">
      <selection activeCell="D6" sqref="D6"/>
    </sheetView>
  </sheetViews>
  <sheetFormatPr baseColWidth="10" defaultColWidth="12.6328125" defaultRowHeight="15" customHeight="1" x14ac:dyDescent="0.3"/>
  <cols>
    <col min="1" max="1" width="15.7265625" style="1" customWidth="1"/>
    <col min="2" max="7" width="10.6328125" style="1" customWidth="1"/>
    <col min="8" max="8" width="11.36328125" style="1" customWidth="1"/>
    <col min="9" max="25" width="10.6328125" style="1" customWidth="1"/>
    <col min="26" max="16384" width="12.6328125" style="1"/>
  </cols>
  <sheetData>
    <row r="1" spans="1:13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5.75" customHeight="1" x14ac:dyDescent="0.3">
      <c r="A2" s="1" t="s">
        <v>12</v>
      </c>
      <c r="B2" s="1" t="s">
        <v>13</v>
      </c>
      <c r="E2" s="1">
        <v>1</v>
      </c>
      <c r="H2" s="2" t="s">
        <v>14</v>
      </c>
      <c r="I2" s="3">
        <f t="shared" ref="I2:L2" si="0">SUM(C22+C37+C55+C65+C66+C96+C105+C113+C128+C146+C150)</f>
        <v>11</v>
      </c>
      <c r="J2" s="3">
        <f t="shared" si="0"/>
        <v>0</v>
      </c>
      <c r="K2" s="3">
        <f t="shared" si="0"/>
        <v>0</v>
      </c>
      <c r="L2" s="3">
        <f t="shared" si="0"/>
        <v>0</v>
      </c>
      <c r="M2" s="3">
        <f t="shared" ref="M2:M13" si="1">SUM(I2:L2)</f>
        <v>11</v>
      </c>
    </row>
    <row r="3" spans="1:13" ht="15.75" customHeight="1" x14ac:dyDescent="0.3">
      <c r="A3" s="1" t="s">
        <v>15</v>
      </c>
      <c r="B3" s="1" t="s">
        <v>16</v>
      </c>
      <c r="E3" s="1">
        <v>1</v>
      </c>
      <c r="H3" s="2" t="s">
        <v>17</v>
      </c>
      <c r="I3" s="3">
        <f t="shared" ref="I3:L3" si="2">SUM(C6+C32+C50+C52+C58+C69+C76+C94+C115+C122+C123+C152)</f>
        <v>6</v>
      </c>
      <c r="J3" s="3">
        <f t="shared" si="2"/>
        <v>5</v>
      </c>
      <c r="K3" s="3">
        <f t="shared" si="2"/>
        <v>1</v>
      </c>
      <c r="L3" s="3">
        <f t="shared" si="2"/>
        <v>0</v>
      </c>
      <c r="M3" s="3">
        <f t="shared" si="1"/>
        <v>12</v>
      </c>
    </row>
    <row r="4" spans="1:13" ht="15.75" customHeight="1" x14ac:dyDescent="0.3">
      <c r="A4" s="1" t="s">
        <v>18</v>
      </c>
      <c r="B4" s="1" t="s">
        <v>13</v>
      </c>
      <c r="D4" s="1">
        <v>1</v>
      </c>
      <c r="H4" s="2" t="s">
        <v>19</v>
      </c>
      <c r="I4" s="3">
        <f t="shared" ref="I4:L4" si="3">SUM(C26+C14+C27+C62+C68+C124+C138+C142+C153+C155)</f>
        <v>10</v>
      </c>
      <c r="J4" s="3">
        <f t="shared" si="3"/>
        <v>0</v>
      </c>
      <c r="K4" s="3">
        <f t="shared" si="3"/>
        <v>0</v>
      </c>
      <c r="L4" s="3">
        <f t="shared" si="3"/>
        <v>0</v>
      </c>
      <c r="M4" s="3">
        <f t="shared" si="1"/>
        <v>10</v>
      </c>
    </row>
    <row r="5" spans="1:13" ht="15.75" customHeight="1" x14ac:dyDescent="0.3">
      <c r="A5" s="1" t="s">
        <v>20</v>
      </c>
      <c r="B5" s="1" t="s">
        <v>21</v>
      </c>
      <c r="E5" s="1">
        <v>1</v>
      </c>
      <c r="H5" s="2" t="s">
        <v>22</v>
      </c>
      <c r="I5" s="3">
        <f t="shared" ref="I5:L5" si="4">SUM(C5+C36+C56+C63+C73+C85+C87+C95+C135)</f>
        <v>0</v>
      </c>
      <c r="J5" s="3">
        <f t="shared" si="4"/>
        <v>0</v>
      </c>
      <c r="K5" s="3">
        <f t="shared" si="4"/>
        <v>7</v>
      </c>
      <c r="L5" s="3">
        <f t="shared" si="4"/>
        <v>2</v>
      </c>
      <c r="M5" s="3">
        <f t="shared" si="1"/>
        <v>9</v>
      </c>
    </row>
    <row r="6" spans="1:13" ht="15.75" customHeight="1" x14ac:dyDescent="0.3">
      <c r="A6" s="1" t="s">
        <v>23</v>
      </c>
      <c r="B6" s="1" t="s">
        <v>24</v>
      </c>
      <c r="C6" s="1">
        <v>1</v>
      </c>
      <c r="H6" s="2" t="s">
        <v>25</v>
      </c>
      <c r="I6" s="3">
        <f t="shared" ref="I6:L6" si="5">SUM(C12+C15+C18+C28+C41+C59+C78+C64+C82+C83+C86+C106+C119+C143+C148+C154)</f>
        <v>16</v>
      </c>
      <c r="J6" s="3">
        <f t="shared" si="5"/>
        <v>0</v>
      </c>
      <c r="K6" s="3">
        <f t="shared" si="5"/>
        <v>0</v>
      </c>
      <c r="L6" s="3">
        <f t="shared" si="5"/>
        <v>0</v>
      </c>
      <c r="M6" s="3">
        <f t="shared" si="1"/>
        <v>16</v>
      </c>
    </row>
    <row r="7" spans="1:13" ht="15.75" customHeight="1" x14ac:dyDescent="0.3">
      <c r="A7" s="1" t="s">
        <v>26</v>
      </c>
      <c r="B7" s="1" t="s">
        <v>27</v>
      </c>
      <c r="D7" s="1">
        <v>1</v>
      </c>
      <c r="H7" s="2" t="s">
        <v>28</v>
      </c>
      <c r="I7" s="3">
        <f t="shared" ref="I7:L7" si="6">SUM(C3+C20+C46+C49+C54+C89+C90+C102+C112+C114+C129+C141)</f>
        <v>5</v>
      </c>
      <c r="J7" s="3">
        <f t="shared" si="6"/>
        <v>5</v>
      </c>
      <c r="K7" s="3">
        <f t="shared" si="6"/>
        <v>2</v>
      </c>
      <c r="L7" s="3">
        <f t="shared" si="6"/>
        <v>0</v>
      </c>
      <c r="M7" s="3">
        <f t="shared" si="1"/>
        <v>12</v>
      </c>
    </row>
    <row r="8" spans="1:13" ht="15.75" customHeight="1" x14ac:dyDescent="0.3">
      <c r="A8" s="1" t="s">
        <v>29</v>
      </c>
      <c r="B8" s="1" t="s">
        <v>30</v>
      </c>
      <c r="D8" s="1">
        <v>1</v>
      </c>
      <c r="H8" s="2" t="s">
        <v>27</v>
      </c>
      <c r="I8" s="3">
        <f t="shared" ref="I8:L8" si="7">SUM(C7+C30+C29+C44+C51+C60+C72+C79+C101+C99+C107+C111+C117+C140+C144)</f>
        <v>1</v>
      </c>
      <c r="J8" s="3">
        <f t="shared" si="7"/>
        <v>13</v>
      </c>
      <c r="K8" s="3">
        <f t="shared" si="7"/>
        <v>1</v>
      </c>
      <c r="L8" s="3">
        <f t="shared" si="7"/>
        <v>0</v>
      </c>
      <c r="M8" s="3">
        <f t="shared" si="1"/>
        <v>15</v>
      </c>
    </row>
    <row r="9" spans="1:13" ht="15.75" customHeight="1" x14ac:dyDescent="0.3">
      <c r="A9" s="1" t="s">
        <v>31</v>
      </c>
      <c r="B9" s="1" t="s">
        <v>13</v>
      </c>
      <c r="D9" s="1">
        <v>1</v>
      </c>
      <c r="H9" s="2" t="s">
        <v>13</v>
      </c>
      <c r="I9" s="3">
        <f t="shared" ref="I9:J9" si="8">SUM(C4+C9+C17+C19+C2+C48+C92+C120+C126+C127+C130+C133+C151)</f>
        <v>2</v>
      </c>
      <c r="J9" s="3">
        <f t="shared" si="8"/>
        <v>9</v>
      </c>
      <c r="K9" s="3">
        <f>SUM(D4+D9+D17+D19+D2+D48+D92+D120+D126+D127+D130+D133+D151)</f>
        <v>9</v>
      </c>
      <c r="L9" s="3">
        <f>SUM(F4+F9+F17+F19+F2+F48+F92+F120+F126+F127+F130+F133+F151)</f>
        <v>0</v>
      </c>
      <c r="M9" s="3">
        <f t="shared" si="1"/>
        <v>20</v>
      </c>
    </row>
    <row r="10" spans="1:13" ht="15.75" customHeight="1" x14ac:dyDescent="0.3">
      <c r="A10" s="1" t="s">
        <v>32</v>
      </c>
      <c r="B10" s="1" t="s">
        <v>33</v>
      </c>
      <c r="C10" s="1">
        <v>1</v>
      </c>
      <c r="H10" s="2" t="s">
        <v>30</v>
      </c>
      <c r="I10" s="3">
        <f t="shared" ref="I10:L10" si="9">SUM(C8+C13+C16+C25+C31+C35+C43+C45+C70+C71+C75+C81+C88+C93+C98+C100+C104+C118+C136+C137+C156)</f>
        <v>0</v>
      </c>
      <c r="J10" s="3">
        <f t="shared" si="9"/>
        <v>21</v>
      </c>
      <c r="K10" s="3">
        <f t="shared" si="9"/>
        <v>0</v>
      </c>
      <c r="L10" s="3">
        <f t="shared" si="9"/>
        <v>0</v>
      </c>
      <c r="M10" s="3">
        <f t="shared" si="1"/>
        <v>21</v>
      </c>
    </row>
    <row r="11" spans="1:13" ht="15.75" customHeight="1" x14ac:dyDescent="0.3">
      <c r="A11" s="1" t="s">
        <v>34</v>
      </c>
      <c r="B11" s="1" t="s">
        <v>33</v>
      </c>
      <c r="C11" s="1">
        <v>1</v>
      </c>
      <c r="H11" s="2" t="s">
        <v>35</v>
      </c>
      <c r="I11" s="3">
        <f t="shared" ref="I11:L11" si="10">SUM(C38+C42+C47+C53+C74+C77+C80+C91+C97+C103+C108+C116+C131+C145+C147)</f>
        <v>0</v>
      </c>
      <c r="J11" s="3">
        <f t="shared" si="10"/>
        <v>13</v>
      </c>
      <c r="K11" s="3">
        <f t="shared" si="10"/>
        <v>2</v>
      </c>
      <c r="L11" s="3">
        <f t="shared" si="10"/>
        <v>0</v>
      </c>
      <c r="M11" s="3">
        <f t="shared" si="1"/>
        <v>15</v>
      </c>
    </row>
    <row r="12" spans="1:13" ht="15.75" customHeight="1" x14ac:dyDescent="0.3">
      <c r="A12" s="1" t="s">
        <v>36</v>
      </c>
      <c r="B12" s="1" t="s">
        <v>37</v>
      </c>
      <c r="C12" s="1">
        <v>1</v>
      </c>
      <c r="H12" s="2" t="s">
        <v>38</v>
      </c>
      <c r="I12" s="3">
        <f t="shared" ref="I12:L12" si="11">SUM(C21+C24+C34+C40+C67+C84+C132)</f>
        <v>1</v>
      </c>
      <c r="J12" s="3">
        <f t="shared" si="11"/>
        <v>4</v>
      </c>
      <c r="K12" s="3">
        <f t="shared" si="11"/>
        <v>2</v>
      </c>
      <c r="L12" s="3">
        <f t="shared" si="11"/>
        <v>0</v>
      </c>
      <c r="M12" s="3">
        <f t="shared" si="1"/>
        <v>7</v>
      </c>
    </row>
    <row r="13" spans="1:13" ht="15.75" customHeight="1" x14ac:dyDescent="0.3">
      <c r="A13" s="1" t="s">
        <v>39</v>
      </c>
      <c r="B13" s="1" t="s">
        <v>30</v>
      </c>
      <c r="D13" s="1">
        <v>1</v>
      </c>
      <c r="H13" s="2" t="s">
        <v>33</v>
      </c>
      <c r="I13" s="3">
        <f t="shared" ref="I13:L13" si="12">SUM(C10+C11+C57+C125+C149)</f>
        <v>4</v>
      </c>
      <c r="J13" s="3">
        <f t="shared" si="12"/>
        <v>1</v>
      </c>
      <c r="K13" s="3">
        <f t="shared" si="12"/>
        <v>0</v>
      </c>
      <c r="L13" s="3">
        <f t="shared" si="12"/>
        <v>0</v>
      </c>
      <c r="M13" s="3">
        <f t="shared" si="1"/>
        <v>5</v>
      </c>
    </row>
    <row r="14" spans="1:13" ht="15.75" customHeight="1" x14ac:dyDescent="0.3">
      <c r="A14" s="1" t="s">
        <v>40</v>
      </c>
      <c r="B14" s="1" t="s">
        <v>19</v>
      </c>
      <c r="C14" s="1">
        <v>1</v>
      </c>
      <c r="I14" s="4"/>
      <c r="J14" s="4"/>
      <c r="K14" s="4"/>
      <c r="L14" s="4"/>
    </row>
    <row r="15" spans="1:13" ht="15.75" customHeight="1" x14ac:dyDescent="0.3">
      <c r="A15" s="1" t="s">
        <v>41</v>
      </c>
      <c r="B15" s="1" t="s">
        <v>42</v>
      </c>
      <c r="C15" s="1">
        <v>1</v>
      </c>
      <c r="I15" s="4"/>
      <c r="J15" s="4"/>
      <c r="K15" s="4"/>
      <c r="L15" s="4"/>
    </row>
    <row r="16" spans="1:13" ht="15.75" customHeight="1" x14ac:dyDescent="0.3">
      <c r="A16" s="1" t="s">
        <v>43</v>
      </c>
      <c r="B16" s="1" t="s">
        <v>30</v>
      </c>
      <c r="D16" s="1">
        <v>1</v>
      </c>
      <c r="I16" s="4"/>
      <c r="J16" s="4"/>
      <c r="K16" s="4"/>
      <c r="L16" s="4"/>
    </row>
    <row r="17" spans="1:12" ht="15.75" customHeight="1" x14ac:dyDescent="0.3">
      <c r="A17" s="1" t="s">
        <v>44</v>
      </c>
      <c r="B17" s="1" t="s">
        <v>13</v>
      </c>
      <c r="D17" s="1">
        <v>1</v>
      </c>
      <c r="I17" s="4"/>
      <c r="J17" s="4"/>
      <c r="K17" s="4"/>
      <c r="L17" s="4"/>
    </row>
    <row r="18" spans="1:12" ht="15.75" customHeight="1" x14ac:dyDescent="0.3">
      <c r="A18" s="1" t="s">
        <v>45</v>
      </c>
      <c r="B18" s="1" t="s">
        <v>37</v>
      </c>
      <c r="C18" s="1">
        <v>1</v>
      </c>
      <c r="I18" s="4"/>
      <c r="J18" s="4"/>
      <c r="K18" s="4"/>
      <c r="L18" s="4"/>
    </row>
    <row r="19" spans="1:12" ht="15.75" customHeight="1" x14ac:dyDescent="0.3">
      <c r="A19" s="1" t="s">
        <v>46</v>
      </c>
      <c r="B19" s="1" t="s">
        <v>13</v>
      </c>
      <c r="D19" s="1">
        <v>1</v>
      </c>
    </row>
    <row r="20" spans="1:12" ht="15.75" customHeight="1" x14ac:dyDescent="0.3">
      <c r="A20" s="1" t="s">
        <v>47</v>
      </c>
      <c r="B20" s="1" t="s">
        <v>16</v>
      </c>
      <c r="C20" s="1">
        <v>1</v>
      </c>
    </row>
    <row r="21" spans="1:12" ht="15.75" customHeight="1" x14ac:dyDescent="0.3">
      <c r="A21" s="1" t="s">
        <v>48</v>
      </c>
      <c r="B21" s="1" t="s">
        <v>38</v>
      </c>
      <c r="C21" s="1">
        <v>1</v>
      </c>
    </row>
    <row r="22" spans="1:12" ht="15.75" customHeight="1" x14ac:dyDescent="0.3">
      <c r="A22" s="1" t="s">
        <v>49</v>
      </c>
      <c r="B22" s="1" t="s">
        <v>14</v>
      </c>
      <c r="C22" s="1">
        <v>1</v>
      </c>
    </row>
    <row r="23" spans="1:12" ht="15.75" customHeight="1" x14ac:dyDescent="0.3">
      <c r="A23" s="1" t="s">
        <v>50</v>
      </c>
      <c r="B23" s="1" t="s">
        <v>13</v>
      </c>
      <c r="E23" s="1">
        <v>1</v>
      </c>
    </row>
    <row r="24" spans="1:12" ht="15.75" customHeight="1" x14ac:dyDescent="0.3">
      <c r="A24" s="1" t="s">
        <v>51</v>
      </c>
      <c r="B24" s="1" t="s">
        <v>38</v>
      </c>
      <c r="E24" s="1">
        <v>1</v>
      </c>
    </row>
    <row r="25" spans="1:12" ht="15.75" customHeight="1" x14ac:dyDescent="0.3">
      <c r="A25" s="1" t="s">
        <v>52</v>
      </c>
      <c r="B25" s="1" t="s">
        <v>30</v>
      </c>
      <c r="D25" s="1">
        <v>1</v>
      </c>
    </row>
    <row r="26" spans="1:12" ht="15.75" customHeight="1" x14ac:dyDescent="0.3">
      <c r="A26" s="1" t="s">
        <v>53</v>
      </c>
      <c r="B26" s="1" t="s">
        <v>19</v>
      </c>
      <c r="C26" s="1">
        <v>1</v>
      </c>
    </row>
    <row r="27" spans="1:12" ht="15.75" customHeight="1" x14ac:dyDescent="0.3">
      <c r="A27" s="1" t="s">
        <v>54</v>
      </c>
      <c r="B27" s="1" t="s">
        <v>19</v>
      </c>
      <c r="C27" s="1">
        <v>1</v>
      </c>
    </row>
    <row r="28" spans="1:12" ht="15.75" customHeight="1" x14ac:dyDescent="0.3">
      <c r="A28" s="1" t="s">
        <v>55</v>
      </c>
      <c r="B28" s="1" t="s">
        <v>37</v>
      </c>
      <c r="C28" s="1">
        <v>1</v>
      </c>
    </row>
    <row r="29" spans="1:12" ht="15.75" customHeight="1" x14ac:dyDescent="0.3">
      <c r="A29" s="1" t="s">
        <v>56</v>
      </c>
      <c r="B29" s="1" t="s">
        <v>27</v>
      </c>
      <c r="D29" s="1">
        <v>1</v>
      </c>
    </row>
    <row r="30" spans="1:12" ht="15.75" customHeight="1" x14ac:dyDescent="0.3">
      <c r="A30" s="1" t="s">
        <v>57</v>
      </c>
      <c r="B30" s="1" t="s">
        <v>27</v>
      </c>
      <c r="D30" s="1">
        <v>1</v>
      </c>
    </row>
    <row r="31" spans="1:12" ht="15.75" customHeight="1" x14ac:dyDescent="0.3">
      <c r="A31" s="1" t="s">
        <v>58</v>
      </c>
      <c r="B31" s="1" t="s">
        <v>30</v>
      </c>
      <c r="D31" s="1">
        <v>1</v>
      </c>
    </row>
    <row r="32" spans="1:12" ht="15.75" customHeight="1" x14ac:dyDescent="0.3">
      <c r="A32" s="1" t="s">
        <v>59</v>
      </c>
      <c r="B32" s="1" t="s">
        <v>24</v>
      </c>
      <c r="D32" s="1">
        <v>1</v>
      </c>
    </row>
    <row r="33" spans="1:12" ht="15.75" customHeight="1" x14ac:dyDescent="0.3">
      <c r="A33" s="1" t="s">
        <v>60</v>
      </c>
      <c r="B33" s="1" t="s">
        <v>27</v>
      </c>
      <c r="D33" s="1">
        <v>1</v>
      </c>
    </row>
    <row r="34" spans="1:12" ht="15.75" customHeight="1" x14ac:dyDescent="0.3">
      <c r="A34" s="1" t="s">
        <v>61</v>
      </c>
      <c r="B34" s="1" t="s">
        <v>38</v>
      </c>
      <c r="D34" s="1">
        <v>1</v>
      </c>
    </row>
    <row r="35" spans="1:12" ht="15.75" customHeight="1" x14ac:dyDescent="0.3">
      <c r="A35" s="1" t="s">
        <v>62</v>
      </c>
      <c r="B35" s="1" t="s">
        <v>30</v>
      </c>
      <c r="D35" s="1">
        <v>1</v>
      </c>
    </row>
    <row r="36" spans="1:12" ht="15.75" customHeight="1" x14ac:dyDescent="0.3">
      <c r="A36" s="1" t="s">
        <v>63</v>
      </c>
      <c r="B36" s="1" t="s">
        <v>21</v>
      </c>
      <c r="E36" s="1">
        <v>1</v>
      </c>
    </row>
    <row r="37" spans="1:12" ht="15.75" customHeight="1" x14ac:dyDescent="0.3">
      <c r="A37" s="1" t="s">
        <v>64</v>
      </c>
      <c r="B37" s="1" t="s">
        <v>14</v>
      </c>
      <c r="C37" s="1">
        <v>1</v>
      </c>
    </row>
    <row r="38" spans="1:12" ht="15.75" customHeight="1" x14ac:dyDescent="0.3">
      <c r="A38" s="1" t="s">
        <v>65</v>
      </c>
      <c r="B38" s="1" t="s">
        <v>66</v>
      </c>
      <c r="D38" s="1">
        <v>1</v>
      </c>
    </row>
    <row r="39" spans="1:12" ht="15.75" customHeight="1" x14ac:dyDescent="0.3">
      <c r="A39" s="1" t="s">
        <v>67</v>
      </c>
      <c r="B39" s="1" t="s">
        <v>16</v>
      </c>
      <c r="D39" s="1">
        <v>1</v>
      </c>
    </row>
    <row r="40" spans="1:12" ht="15.75" customHeight="1" x14ac:dyDescent="0.3">
      <c r="A40" s="1" t="s">
        <v>68</v>
      </c>
      <c r="B40" s="1" t="s">
        <v>38</v>
      </c>
      <c r="D40" s="1">
        <v>1</v>
      </c>
    </row>
    <row r="41" spans="1:12" ht="15.75" customHeight="1" x14ac:dyDescent="0.3">
      <c r="A41" s="1" t="s">
        <v>69</v>
      </c>
      <c r="B41" s="1" t="s">
        <v>37</v>
      </c>
      <c r="C41" s="1">
        <v>1</v>
      </c>
    </row>
    <row r="42" spans="1:12" ht="15.75" customHeight="1" x14ac:dyDescent="0.3">
      <c r="A42" s="1" t="s">
        <v>70</v>
      </c>
      <c r="B42" s="1" t="s">
        <v>66</v>
      </c>
      <c r="D42" s="1">
        <v>1</v>
      </c>
    </row>
    <row r="43" spans="1:12" ht="15.75" customHeight="1" x14ac:dyDescent="0.3">
      <c r="A43" s="1" t="s">
        <v>71</v>
      </c>
      <c r="B43" s="1" t="s">
        <v>30</v>
      </c>
      <c r="D43" s="1">
        <v>1</v>
      </c>
    </row>
    <row r="44" spans="1:12" ht="15.75" customHeight="1" x14ac:dyDescent="0.3">
      <c r="A44" s="1" t="s">
        <v>72</v>
      </c>
      <c r="B44" s="1" t="s">
        <v>27</v>
      </c>
      <c r="D44" s="1">
        <v>1</v>
      </c>
    </row>
    <row r="45" spans="1:12" ht="15.75" customHeight="1" x14ac:dyDescent="0.3">
      <c r="A45" s="1" t="s">
        <v>73</v>
      </c>
      <c r="B45" s="1" t="s">
        <v>30</v>
      </c>
      <c r="D45" s="1">
        <v>1</v>
      </c>
      <c r="H45" s="1" t="s">
        <v>6</v>
      </c>
      <c r="I45" s="1" t="s">
        <v>7</v>
      </c>
      <c r="J45" s="1" t="s">
        <v>8</v>
      </c>
      <c r="K45" s="1" t="s">
        <v>9</v>
      </c>
      <c r="L45" s="1" t="s">
        <v>10</v>
      </c>
    </row>
    <row r="46" spans="1:12" ht="15.75" customHeight="1" x14ac:dyDescent="0.3">
      <c r="A46" s="1" t="s">
        <v>74</v>
      </c>
      <c r="B46" s="1" t="s">
        <v>16</v>
      </c>
      <c r="C46" s="1">
        <v>1</v>
      </c>
      <c r="H46" s="2" t="s">
        <v>14</v>
      </c>
      <c r="I46" s="4">
        <f t="shared" ref="I46:I57" si="13">I2/M2</f>
        <v>1</v>
      </c>
      <c r="J46" s="4">
        <f t="shared" ref="J46:J57" si="14">J2/M2</f>
        <v>0</v>
      </c>
      <c r="K46" s="4">
        <f t="shared" ref="K46:K57" si="15">K2/M2</f>
        <v>0</v>
      </c>
      <c r="L46" s="4">
        <f t="shared" ref="L46:L57" si="16">L2/M2</f>
        <v>0</v>
      </c>
    </row>
    <row r="47" spans="1:12" ht="15.75" customHeight="1" x14ac:dyDescent="0.3">
      <c r="A47" s="1" t="s">
        <v>75</v>
      </c>
      <c r="B47" s="1" t="s">
        <v>66</v>
      </c>
      <c r="D47" s="1">
        <v>1</v>
      </c>
      <c r="H47" s="2" t="s">
        <v>17</v>
      </c>
      <c r="I47" s="4">
        <f t="shared" si="13"/>
        <v>0.5</v>
      </c>
      <c r="J47" s="4">
        <f t="shared" si="14"/>
        <v>0.41666666666666669</v>
      </c>
      <c r="K47" s="4">
        <f t="shared" si="15"/>
        <v>8.3333333333333329E-2</v>
      </c>
      <c r="L47" s="4">
        <f t="shared" si="16"/>
        <v>0</v>
      </c>
    </row>
    <row r="48" spans="1:12" ht="15.75" customHeight="1" x14ac:dyDescent="0.3">
      <c r="A48" s="1" t="s">
        <v>76</v>
      </c>
      <c r="B48" s="1" t="s">
        <v>13</v>
      </c>
      <c r="E48" s="1">
        <v>1</v>
      </c>
      <c r="H48" s="2" t="s">
        <v>19</v>
      </c>
      <c r="I48" s="4">
        <f t="shared" si="13"/>
        <v>1</v>
      </c>
      <c r="J48" s="4">
        <f t="shared" si="14"/>
        <v>0</v>
      </c>
      <c r="K48" s="4">
        <f t="shared" si="15"/>
        <v>0</v>
      </c>
      <c r="L48" s="4">
        <f t="shared" si="16"/>
        <v>0</v>
      </c>
    </row>
    <row r="49" spans="1:12" ht="15.75" customHeight="1" x14ac:dyDescent="0.3">
      <c r="A49" s="1" t="s">
        <v>77</v>
      </c>
      <c r="B49" s="1" t="s">
        <v>16</v>
      </c>
      <c r="D49" s="1">
        <v>1</v>
      </c>
      <c r="H49" s="2" t="s">
        <v>22</v>
      </c>
      <c r="I49" s="4">
        <f t="shared" si="13"/>
        <v>0</v>
      </c>
      <c r="J49" s="4">
        <f t="shared" si="14"/>
        <v>0</v>
      </c>
      <c r="K49" s="4">
        <f t="shared" si="15"/>
        <v>0.77777777777777779</v>
      </c>
      <c r="L49" s="4">
        <f t="shared" si="16"/>
        <v>0.22222222222222221</v>
      </c>
    </row>
    <row r="50" spans="1:12" ht="15.75" customHeight="1" x14ac:dyDescent="0.3">
      <c r="A50" s="1" t="s">
        <v>78</v>
      </c>
      <c r="B50" s="1" t="s">
        <v>24</v>
      </c>
      <c r="D50" s="1">
        <v>1</v>
      </c>
      <c r="H50" s="2" t="s">
        <v>25</v>
      </c>
      <c r="I50" s="4">
        <f t="shared" si="13"/>
        <v>1</v>
      </c>
      <c r="J50" s="4">
        <f t="shared" si="14"/>
        <v>0</v>
      </c>
      <c r="K50" s="4">
        <f t="shared" si="15"/>
        <v>0</v>
      </c>
      <c r="L50" s="4">
        <f t="shared" si="16"/>
        <v>0</v>
      </c>
    </row>
    <row r="51" spans="1:12" ht="15.75" customHeight="1" x14ac:dyDescent="0.3">
      <c r="A51" s="1" t="s">
        <v>79</v>
      </c>
      <c r="B51" s="1" t="s">
        <v>27</v>
      </c>
      <c r="D51" s="1">
        <v>1</v>
      </c>
      <c r="H51" s="2" t="s">
        <v>28</v>
      </c>
      <c r="I51" s="4">
        <f t="shared" si="13"/>
        <v>0.41666666666666669</v>
      </c>
      <c r="J51" s="4">
        <f t="shared" si="14"/>
        <v>0.41666666666666669</v>
      </c>
      <c r="K51" s="4">
        <f t="shared" si="15"/>
        <v>0.16666666666666666</v>
      </c>
      <c r="L51" s="4">
        <f t="shared" si="16"/>
        <v>0</v>
      </c>
    </row>
    <row r="52" spans="1:12" ht="15.75" customHeight="1" x14ac:dyDescent="0.3">
      <c r="A52" s="1" t="s">
        <v>80</v>
      </c>
      <c r="B52" s="1" t="s">
        <v>24</v>
      </c>
      <c r="E52" s="1">
        <v>1</v>
      </c>
      <c r="H52" s="2" t="s">
        <v>27</v>
      </c>
      <c r="I52" s="4">
        <f t="shared" si="13"/>
        <v>6.6666666666666666E-2</v>
      </c>
      <c r="J52" s="4">
        <f t="shared" si="14"/>
        <v>0.8666666666666667</v>
      </c>
      <c r="K52" s="4">
        <f t="shared" si="15"/>
        <v>6.6666666666666666E-2</v>
      </c>
      <c r="L52" s="4">
        <f t="shared" si="16"/>
        <v>0</v>
      </c>
    </row>
    <row r="53" spans="1:12" ht="15.75" customHeight="1" x14ac:dyDescent="0.3">
      <c r="A53" s="1" t="s">
        <v>81</v>
      </c>
      <c r="B53" s="1" t="s">
        <v>66</v>
      </c>
      <c r="D53" s="1">
        <v>1</v>
      </c>
      <c r="H53" s="2" t="s">
        <v>13</v>
      </c>
      <c r="I53" s="4">
        <f t="shared" si="13"/>
        <v>0.1</v>
      </c>
      <c r="J53" s="4">
        <f t="shared" si="14"/>
        <v>0.45</v>
      </c>
      <c r="K53" s="4">
        <f t="shared" si="15"/>
        <v>0.45</v>
      </c>
      <c r="L53" s="4">
        <f t="shared" si="16"/>
        <v>0</v>
      </c>
    </row>
    <row r="54" spans="1:12" ht="15.75" customHeight="1" x14ac:dyDescent="0.3">
      <c r="A54" s="1" t="s">
        <v>82</v>
      </c>
      <c r="B54" s="1" t="s">
        <v>16</v>
      </c>
      <c r="D54" s="1">
        <v>1</v>
      </c>
      <c r="H54" s="2" t="s">
        <v>30</v>
      </c>
      <c r="I54" s="4">
        <f t="shared" si="13"/>
        <v>0</v>
      </c>
      <c r="J54" s="4">
        <f t="shared" si="14"/>
        <v>1</v>
      </c>
      <c r="K54" s="4">
        <f t="shared" si="15"/>
        <v>0</v>
      </c>
      <c r="L54" s="4">
        <f t="shared" si="16"/>
        <v>0</v>
      </c>
    </row>
    <row r="55" spans="1:12" ht="15.75" customHeight="1" x14ac:dyDescent="0.3">
      <c r="A55" s="1" t="s">
        <v>83</v>
      </c>
      <c r="B55" s="1" t="s">
        <v>14</v>
      </c>
      <c r="C55" s="1">
        <v>1</v>
      </c>
      <c r="H55" s="2" t="s">
        <v>35</v>
      </c>
      <c r="I55" s="4">
        <f t="shared" si="13"/>
        <v>0</v>
      </c>
      <c r="J55" s="4">
        <f t="shared" si="14"/>
        <v>0.8666666666666667</v>
      </c>
      <c r="K55" s="4">
        <f t="shared" si="15"/>
        <v>0.13333333333333333</v>
      </c>
      <c r="L55" s="4">
        <f t="shared" si="16"/>
        <v>0</v>
      </c>
    </row>
    <row r="56" spans="1:12" ht="15.75" customHeight="1" x14ac:dyDescent="0.3">
      <c r="A56" s="1" t="s">
        <v>84</v>
      </c>
      <c r="B56" s="1" t="s">
        <v>21</v>
      </c>
      <c r="E56" s="1">
        <v>1</v>
      </c>
      <c r="H56" s="2" t="s">
        <v>38</v>
      </c>
      <c r="I56" s="4">
        <f t="shared" si="13"/>
        <v>0.14285714285714285</v>
      </c>
      <c r="J56" s="4">
        <f t="shared" si="14"/>
        <v>0.5714285714285714</v>
      </c>
      <c r="K56" s="4">
        <f t="shared" si="15"/>
        <v>0.2857142857142857</v>
      </c>
      <c r="L56" s="4">
        <f t="shared" si="16"/>
        <v>0</v>
      </c>
    </row>
    <row r="57" spans="1:12" ht="15.75" customHeight="1" x14ac:dyDescent="0.3">
      <c r="A57" s="1" t="s">
        <v>85</v>
      </c>
      <c r="B57" s="1" t="s">
        <v>33</v>
      </c>
      <c r="C57" s="1">
        <v>1</v>
      </c>
      <c r="H57" s="2" t="s">
        <v>33</v>
      </c>
      <c r="I57" s="4">
        <f t="shared" si="13"/>
        <v>0.8</v>
      </c>
      <c r="J57" s="4">
        <f t="shared" si="14"/>
        <v>0.2</v>
      </c>
      <c r="K57" s="4">
        <f t="shared" si="15"/>
        <v>0</v>
      </c>
      <c r="L57" s="4">
        <f t="shared" si="16"/>
        <v>0</v>
      </c>
    </row>
    <row r="58" spans="1:12" ht="15.75" customHeight="1" x14ac:dyDescent="0.3">
      <c r="A58" s="1" t="s">
        <v>86</v>
      </c>
      <c r="B58" s="1" t="s">
        <v>24</v>
      </c>
      <c r="D58" s="1">
        <v>1</v>
      </c>
    </row>
    <row r="59" spans="1:12" ht="15.75" customHeight="1" x14ac:dyDescent="0.3">
      <c r="A59" s="1" t="s">
        <v>87</v>
      </c>
      <c r="B59" s="1" t="s">
        <v>37</v>
      </c>
      <c r="C59" s="1">
        <v>1</v>
      </c>
    </row>
    <row r="60" spans="1:12" ht="15.75" customHeight="1" x14ac:dyDescent="0.3">
      <c r="A60" s="1" t="s">
        <v>88</v>
      </c>
      <c r="B60" s="1" t="s">
        <v>27</v>
      </c>
      <c r="C60" s="1">
        <v>1</v>
      </c>
    </row>
    <row r="61" spans="1:12" ht="15.75" customHeight="1" x14ac:dyDescent="0.3">
      <c r="A61" s="1" t="s">
        <v>89</v>
      </c>
      <c r="B61" s="1" t="s">
        <v>13</v>
      </c>
      <c r="C61" s="1">
        <v>1</v>
      </c>
    </row>
    <row r="62" spans="1:12" ht="15.75" customHeight="1" x14ac:dyDescent="0.3">
      <c r="A62" s="1" t="s">
        <v>90</v>
      </c>
      <c r="B62" s="1" t="s">
        <v>19</v>
      </c>
      <c r="C62" s="1">
        <v>1</v>
      </c>
    </row>
    <row r="63" spans="1:12" ht="15.75" customHeight="1" x14ac:dyDescent="0.3">
      <c r="A63" s="1" t="s">
        <v>91</v>
      </c>
      <c r="B63" s="1" t="s">
        <v>21</v>
      </c>
      <c r="F63" s="1">
        <v>1</v>
      </c>
    </row>
    <row r="64" spans="1:12" ht="15.75" customHeight="1" x14ac:dyDescent="0.3">
      <c r="A64" s="1" t="s">
        <v>92</v>
      </c>
      <c r="B64" s="1" t="s">
        <v>42</v>
      </c>
      <c r="C64" s="1">
        <v>1</v>
      </c>
    </row>
    <row r="65" spans="1:6" ht="15.75" customHeight="1" x14ac:dyDescent="0.3">
      <c r="A65" s="1" t="s">
        <v>93</v>
      </c>
      <c r="B65" s="1" t="s">
        <v>14</v>
      </c>
      <c r="C65" s="1">
        <v>1</v>
      </c>
    </row>
    <row r="66" spans="1:6" ht="15.75" customHeight="1" x14ac:dyDescent="0.3">
      <c r="A66" s="1" t="s">
        <v>94</v>
      </c>
      <c r="B66" s="1" t="s">
        <v>14</v>
      </c>
      <c r="C66" s="1">
        <v>1</v>
      </c>
    </row>
    <row r="67" spans="1:6" ht="15.75" customHeight="1" x14ac:dyDescent="0.3">
      <c r="A67" s="1" t="s">
        <v>95</v>
      </c>
      <c r="B67" s="1" t="s">
        <v>38</v>
      </c>
      <c r="D67" s="1">
        <v>1</v>
      </c>
    </row>
    <row r="68" spans="1:6" ht="15.75" customHeight="1" x14ac:dyDescent="0.3">
      <c r="A68" s="1" t="s">
        <v>96</v>
      </c>
      <c r="B68" s="1" t="s">
        <v>19</v>
      </c>
      <c r="C68" s="1">
        <v>1</v>
      </c>
    </row>
    <row r="69" spans="1:6" ht="15.75" customHeight="1" x14ac:dyDescent="0.3">
      <c r="A69" s="1" t="s">
        <v>97</v>
      </c>
      <c r="B69" s="1" t="s">
        <v>24</v>
      </c>
      <c r="C69" s="1">
        <v>1</v>
      </c>
    </row>
    <row r="70" spans="1:6" ht="15.75" customHeight="1" x14ac:dyDescent="0.3">
      <c r="A70" s="1" t="s">
        <v>98</v>
      </c>
      <c r="B70" s="1" t="s">
        <v>30</v>
      </c>
      <c r="D70" s="1">
        <v>1</v>
      </c>
    </row>
    <row r="71" spans="1:6" ht="15.75" customHeight="1" x14ac:dyDescent="0.3">
      <c r="A71" s="1" t="s">
        <v>99</v>
      </c>
      <c r="B71" s="1" t="s">
        <v>30</v>
      </c>
      <c r="D71" s="1">
        <v>1</v>
      </c>
    </row>
    <row r="72" spans="1:6" ht="15.75" customHeight="1" x14ac:dyDescent="0.3">
      <c r="A72" s="1" t="s">
        <v>100</v>
      </c>
      <c r="B72" s="1" t="s">
        <v>27</v>
      </c>
      <c r="D72" s="1">
        <v>1</v>
      </c>
    </row>
    <row r="73" spans="1:6" ht="15.75" customHeight="1" x14ac:dyDescent="0.3">
      <c r="A73" s="1" t="s">
        <v>101</v>
      </c>
      <c r="B73" s="1" t="s">
        <v>21</v>
      </c>
      <c r="F73" s="1">
        <v>1</v>
      </c>
    </row>
    <row r="74" spans="1:6" ht="15.75" customHeight="1" x14ac:dyDescent="0.3">
      <c r="A74" s="1" t="s">
        <v>102</v>
      </c>
      <c r="B74" s="1" t="s">
        <v>66</v>
      </c>
      <c r="D74" s="1">
        <v>1</v>
      </c>
    </row>
    <row r="75" spans="1:6" ht="15.75" customHeight="1" x14ac:dyDescent="0.3">
      <c r="A75" s="1" t="s">
        <v>103</v>
      </c>
      <c r="B75" s="1" t="s">
        <v>30</v>
      </c>
      <c r="D75" s="1">
        <v>1</v>
      </c>
    </row>
    <row r="76" spans="1:6" ht="15.75" customHeight="1" x14ac:dyDescent="0.3">
      <c r="A76" s="1" t="s">
        <v>104</v>
      </c>
      <c r="B76" s="1" t="s">
        <v>24</v>
      </c>
      <c r="C76" s="1">
        <v>1</v>
      </c>
    </row>
    <row r="77" spans="1:6" ht="15.75" customHeight="1" x14ac:dyDescent="0.3">
      <c r="A77" s="1" t="s">
        <v>105</v>
      </c>
      <c r="B77" s="1" t="s">
        <v>66</v>
      </c>
      <c r="D77" s="1">
        <v>1</v>
      </c>
    </row>
    <row r="78" spans="1:6" ht="15.75" customHeight="1" x14ac:dyDescent="0.3">
      <c r="A78" s="1" t="s">
        <v>106</v>
      </c>
      <c r="B78" s="1" t="s">
        <v>42</v>
      </c>
      <c r="C78" s="1">
        <v>1</v>
      </c>
    </row>
    <row r="79" spans="1:6" ht="15.75" customHeight="1" x14ac:dyDescent="0.3">
      <c r="A79" s="1" t="s">
        <v>107</v>
      </c>
      <c r="B79" s="1" t="s">
        <v>27</v>
      </c>
      <c r="D79" s="1">
        <v>1</v>
      </c>
    </row>
    <row r="80" spans="1:6" ht="15.75" customHeight="1" x14ac:dyDescent="0.3">
      <c r="A80" s="1" t="s">
        <v>108</v>
      </c>
      <c r="B80" s="1" t="s">
        <v>66</v>
      </c>
      <c r="D80" s="1">
        <v>1</v>
      </c>
    </row>
    <row r="81" spans="1:5" ht="15.75" customHeight="1" x14ac:dyDescent="0.3">
      <c r="A81" s="1" t="s">
        <v>109</v>
      </c>
      <c r="B81" s="1" t="s">
        <v>30</v>
      </c>
      <c r="D81" s="1">
        <v>1</v>
      </c>
    </row>
    <row r="82" spans="1:5" ht="15.75" customHeight="1" x14ac:dyDescent="0.3">
      <c r="A82" s="1" t="s">
        <v>110</v>
      </c>
      <c r="B82" s="1" t="s">
        <v>37</v>
      </c>
      <c r="C82" s="1">
        <v>1</v>
      </c>
    </row>
    <row r="83" spans="1:5" ht="15.75" customHeight="1" x14ac:dyDescent="0.3">
      <c r="A83" s="1" t="s">
        <v>111</v>
      </c>
      <c r="B83" s="1" t="s">
        <v>37</v>
      </c>
      <c r="C83" s="1">
        <v>1</v>
      </c>
    </row>
    <row r="84" spans="1:5" ht="15.75" customHeight="1" x14ac:dyDescent="0.3">
      <c r="A84" s="1" t="s">
        <v>112</v>
      </c>
      <c r="B84" s="1" t="s">
        <v>38</v>
      </c>
      <c r="E84" s="1">
        <v>1</v>
      </c>
    </row>
    <row r="85" spans="1:5" ht="15.75" customHeight="1" x14ac:dyDescent="0.3">
      <c r="A85" s="1" t="s">
        <v>113</v>
      </c>
      <c r="B85" s="1" t="s">
        <v>21</v>
      </c>
      <c r="E85" s="1">
        <v>1</v>
      </c>
    </row>
    <row r="86" spans="1:5" ht="15.75" customHeight="1" x14ac:dyDescent="0.3">
      <c r="A86" s="1" t="s">
        <v>114</v>
      </c>
      <c r="B86" s="1" t="s">
        <v>42</v>
      </c>
      <c r="C86" s="1">
        <v>1</v>
      </c>
    </row>
    <row r="87" spans="1:5" ht="15.75" customHeight="1" x14ac:dyDescent="0.3">
      <c r="A87" s="1" t="s">
        <v>115</v>
      </c>
      <c r="B87" s="1" t="s">
        <v>21</v>
      </c>
      <c r="E87" s="1">
        <v>1</v>
      </c>
    </row>
    <row r="88" spans="1:5" ht="15.75" customHeight="1" x14ac:dyDescent="0.3">
      <c r="A88" s="1" t="s">
        <v>116</v>
      </c>
      <c r="B88" s="1" t="s">
        <v>30</v>
      </c>
      <c r="D88" s="1">
        <v>1</v>
      </c>
    </row>
    <row r="89" spans="1:5" ht="15.75" customHeight="1" x14ac:dyDescent="0.3">
      <c r="A89" s="1" t="s">
        <v>117</v>
      </c>
      <c r="B89" s="1" t="s">
        <v>16</v>
      </c>
      <c r="C89" s="1">
        <v>1</v>
      </c>
    </row>
    <row r="90" spans="1:5" ht="15.75" customHeight="1" x14ac:dyDescent="0.3">
      <c r="A90" s="1" t="s">
        <v>118</v>
      </c>
      <c r="B90" s="1" t="s">
        <v>16</v>
      </c>
      <c r="D90" s="1">
        <v>1</v>
      </c>
    </row>
    <row r="91" spans="1:5" ht="15.75" customHeight="1" x14ac:dyDescent="0.3">
      <c r="A91" s="1" t="s">
        <v>119</v>
      </c>
      <c r="B91" s="1" t="s">
        <v>66</v>
      </c>
      <c r="D91" s="1">
        <v>1</v>
      </c>
    </row>
    <row r="92" spans="1:5" ht="15.75" customHeight="1" x14ac:dyDescent="0.3">
      <c r="A92" s="1" t="s">
        <v>120</v>
      </c>
      <c r="B92" s="1" t="s">
        <v>13</v>
      </c>
      <c r="C92" s="1">
        <v>1</v>
      </c>
    </row>
    <row r="93" spans="1:5" ht="15.75" customHeight="1" x14ac:dyDescent="0.3">
      <c r="A93" s="1" t="s">
        <v>121</v>
      </c>
      <c r="B93" s="1" t="s">
        <v>30</v>
      </c>
      <c r="D93" s="1">
        <v>1</v>
      </c>
    </row>
    <row r="94" spans="1:5" ht="15.75" customHeight="1" x14ac:dyDescent="0.3">
      <c r="A94" s="1" t="s">
        <v>122</v>
      </c>
      <c r="B94" s="1" t="s">
        <v>24</v>
      </c>
      <c r="D94" s="1">
        <v>1</v>
      </c>
    </row>
    <row r="95" spans="1:5" ht="15.75" customHeight="1" x14ac:dyDescent="0.3">
      <c r="A95" s="1" t="s">
        <v>123</v>
      </c>
      <c r="B95" s="1" t="s">
        <v>21</v>
      </c>
      <c r="E95" s="1">
        <v>1</v>
      </c>
    </row>
    <row r="96" spans="1:5" ht="15.75" customHeight="1" x14ac:dyDescent="0.3">
      <c r="A96" s="1" t="s">
        <v>124</v>
      </c>
      <c r="B96" s="1" t="s">
        <v>14</v>
      </c>
      <c r="C96" s="1">
        <v>1</v>
      </c>
    </row>
    <row r="97" spans="1:5" ht="15.75" customHeight="1" x14ac:dyDescent="0.3">
      <c r="A97" s="1" t="s">
        <v>125</v>
      </c>
      <c r="B97" s="1" t="s">
        <v>66</v>
      </c>
      <c r="E97" s="1">
        <v>1</v>
      </c>
    </row>
    <row r="98" spans="1:5" ht="15.75" customHeight="1" x14ac:dyDescent="0.3">
      <c r="A98" s="1" t="s">
        <v>126</v>
      </c>
      <c r="B98" s="1" t="s">
        <v>30</v>
      </c>
      <c r="D98" s="1">
        <v>1</v>
      </c>
    </row>
    <row r="99" spans="1:5" ht="15.75" customHeight="1" x14ac:dyDescent="0.3">
      <c r="A99" s="1" t="s">
        <v>127</v>
      </c>
      <c r="B99" s="1" t="s">
        <v>27</v>
      </c>
      <c r="D99" s="1">
        <v>1</v>
      </c>
    </row>
    <row r="100" spans="1:5" ht="15.75" customHeight="1" x14ac:dyDescent="0.3">
      <c r="A100" s="1" t="s">
        <v>128</v>
      </c>
      <c r="B100" s="1" t="s">
        <v>30</v>
      </c>
      <c r="D100" s="1">
        <v>1</v>
      </c>
    </row>
    <row r="101" spans="1:5" ht="15.75" customHeight="1" x14ac:dyDescent="0.3">
      <c r="A101" s="1" t="s">
        <v>129</v>
      </c>
      <c r="B101" s="1" t="s">
        <v>27</v>
      </c>
      <c r="D101" s="1">
        <v>1</v>
      </c>
    </row>
    <row r="102" spans="1:5" ht="15.75" customHeight="1" x14ac:dyDescent="0.3">
      <c r="A102" s="1" t="s">
        <v>130</v>
      </c>
      <c r="B102" s="1" t="s">
        <v>16</v>
      </c>
      <c r="C102" s="1">
        <v>1</v>
      </c>
    </row>
    <row r="103" spans="1:5" ht="15.75" customHeight="1" x14ac:dyDescent="0.3">
      <c r="A103" s="1" t="s">
        <v>131</v>
      </c>
      <c r="B103" s="1" t="s">
        <v>66</v>
      </c>
      <c r="D103" s="1">
        <v>1</v>
      </c>
    </row>
    <row r="104" spans="1:5" ht="15.75" customHeight="1" x14ac:dyDescent="0.3">
      <c r="A104" s="1" t="s">
        <v>132</v>
      </c>
      <c r="B104" s="1" t="s">
        <v>30</v>
      </c>
      <c r="D104" s="1">
        <v>1</v>
      </c>
    </row>
    <row r="105" spans="1:5" ht="15.75" customHeight="1" x14ac:dyDescent="0.3">
      <c r="A105" s="1" t="s">
        <v>133</v>
      </c>
      <c r="B105" s="1" t="s">
        <v>14</v>
      </c>
      <c r="C105" s="1">
        <v>1</v>
      </c>
    </row>
    <row r="106" spans="1:5" ht="15.75" customHeight="1" x14ac:dyDescent="0.3">
      <c r="A106" s="1" t="s">
        <v>134</v>
      </c>
      <c r="B106" s="1" t="s">
        <v>42</v>
      </c>
      <c r="C106" s="1">
        <v>1</v>
      </c>
    </row>
    <row r="107" spans="1:5" ht="15.75" customHeight="1" x14ac:dyDescent="0.3">
      <c r="A107" s="1" t="s">
        <v>135</v>
      </c>
      <c r="B107" s="1" t="s">
        <v>27</v>
      </c>
      <c r="D107" s="1">
        <v>1</v>
      </c>
    </row>
    <row r="108" spans="1:5" ht="15.75" customHeight="1" x14ac:dyDescent="0.3">
      <c r="A108" s="1" t="s">
        <v>136</v>
      </c>
      <c r="B108" s="1" t="s">
        <v>66</v>
      </c>
      <c r="D108" s="1">
        <v>1</v>
      </c>
    </row>
    <row r="109" spans="1:5" ht="15.75" customHeight="1" x14ac:dyDescent="0.3">
      <c r="A109" s="1" t="s">
        <v>137</v>
      </c>
      <c r="B109" s="1" t="s">
        <v>13</v>
      </c>
      <c r="D109" s="1">
        <v>1</v>
      </c>
    </row>
    <row r="110" spans="1:5" ht="15.75" customHeight="1" x14ac:dyDescent="0.3">
      <c r="A110" s="1" t="s">
        <v>138</v>
      </c>
      <c r="B110" s="1" t="s">
        <v>42</v>
      </c>
      <c r="C110" s="1">
        <v>1</v>
      </c>
    </row>
    <row r="111" spans="1:5" ht="15.75" customHeight="1" x14ac:dyDescent="0.3">
      <c r="A111" s="1" t="s">
        <v>139</v>
      </c>
      <c r="B111" s="1" t="s">
        <v>27</v>
      </c>
      <c r="E111" s="1">
        <v>1</v>
      </c>
    </row>
    <row r="112" spans="1:5" ht="15.75" customHeight="1" x14ac:dyDescent="0.3">
      <c r="A112" s="1" t="s">
        <v>140</v>
      </c>
      <c r="B112" s="1" t="s">
        <v>16</v>
      </c>
      <c r="D112" s="1">
        <v>1</v>
      </c>
    </row>
    <row r="113" spans="1:6" ht="15.75" customHeight="1" x14ac:dyDescent="0.3">
      <c r="A113" s="1" t="s">
        <v>141</v>
      </c>
      <c r="B113" s="1" t="s">
        <v>14</v>
      </c>
      <c r="C113" s="1">
        <v>1</v>
      </c>
    </row>
    <row r="114" spans="1:6" ht="15.75" customHeight="1" x14ac:dyDescent="0.3">
      <c r="A114" s="1" t="s">
        <v>142</v>
      </c>
      <c r="B114" s="1" t="s">
        <v>16</v>
      </c>
      <c r="D114" s="1">
        <v>1</v>
      </c>
    </row>
    <row r="115" spans="1:6" ht="15.75" customHeight="1" x14ac:dyDescent="0.3">
      <c r="A115" s="1" t="s">
        <v>143</v>
      </c>
      <c r="B115" s="1" t="s">
        <v>24</v>
      </c>
      <c r="D115" s="1">
        <v>1</v>
      </c>
    </row>
    <row r="116" spans="1:6" ht="15.75" customHeight="1" x14ac:dyDescent="0.3">
      <c r="A116" s="1" t="s">
        <v>144</v>
      </c>
      <c r="B116" s="1" t="s">
        <v>66</v>
      </c>
      <c r="D116" s="1">
        <v>1</v>
      </c>
    </row>
    <row r="117" spans="1:6" ht="15.75" customHeight="1" x14ac:dyDescent="0.3">
      <c r="A117" s="1" t="s">
        <v>145</v>
      </c>
      <c r="B117" s="1" t="s">
        <v>27</v>
      </c>
      <c r="D117" s="1">
        <v>1</v>
      </c>
    </row>
    <row r="118" spans="1:6" ht="15.75" customHeight="1" x14ac:dyDescent="0.3">
      <c r="A118" s="1" t="s">
        <v>146</v>
      </c>
      <c r="B118" s="1" t="s">
        <v>30</v>
      </c>
      <c r="D118" s="1">
        <v>1</v>
      </c>
    </row>
    <row r="119" spans="1:6" ht="15.75" customHeight="1" x14ac:dyDescent="0.3">
      <c r="A119" s="1" t="s">
        <v>147</v>
      </c>
      <c r="B119" s="1" t="s">
        <v>42</v>
      </c>
      <c r="C119" s="1">
        <v>1</v>
      </c>
    </row>
    <row r="120" spans="1:6" ht="15.75" customHeight="1" x14ac:dyDescent="0.3">
      <c r="A120" s="1" t="s">
        <v>148</v>
      </c>
      <c r="B120" s="1" t="s">
        <v>13</v>
      </c>
      <c r="C120" s="1">
        <v>1</v>
      </c>
    </row>
    <row r="121" spans="1:6" ht="15.75" customHeight="1" x14ac:dyDescent="0.3">
      <c r="A121" s="1" t="s">
        <v>149</v>
      </c>
      <c r="B121" s="1" t="s">
        <v>150</v>
      </c>
      <c r="F121" s="1">
        <v>1</v>
      </c>
    </row>
    <row r="122" spans="1:6" ht="15.75" customHeight="1" x14ac:dyDescent="0.3">
      <c r="A122" s="1" t="s">
        <v>151</v>
      </c>
      <c r="B122" s="1" t="s">
        <v>24</v>
      </c>
      <c r="C122" s="1">
        <v>1</v>
      </c>
    </row>
    <row r="123" spans="1:6" ht="15.75" customHeight="1" x14ac:dyDescent="0.3">
      <c r="A123" s="1" t="s">
        <v>152</v>
      </c>
      <c r="B123" s="1" t="s">
        <v>24</v>
      </c>
      <c r="C123" s="1">
        <v>1</v>
      </c>
    </row>
    <row r="124" spans="1:6" ht="15.75" customHeight="1" x14ac:dyDescent="0.3">
      <c r="A124" s="1" t="s">
        <v>153</v>
      </c>
      <c r="B124" s="1" t="s">
        <v>19</v>
      </c>
      <c r="C124" s="1">
        <v>1</v>
      </c>
    </row>
    <row r="125" spans="1:6" ht="15.75" customHeight="1" x14ac:dyDescent="0.3">
      <c r="A125" s="1" t="s">
        <v>154</v>
      </c>
      <c r="B125" s="1" t="s">
        <v>33</v>
      </c>
      <c r="C125" s="1">
        <v>1</v>
      </c>
    </row>
    <row r="126" spans="1:6" ht="15.75" customHeight="1" x14ac:dyDescent="0.3">
      <c r="A126" s="1" t="s">
        <v>155</v>
      </c>
      <c r="B126" s="1" t="s">
        <v>13</v>
      </c>
      <c r="D126" s="1">
        <v>1</v>
      </c>
    </row>
    <row r="127" spans="1:6" ht="15.75" customHeight="1" x14ac:dyDescent="0.3">
      <c r="A127" s="1" t="s">
        <v>156</v>
      </c>
      <c r="B127" s="1" t="s">
        <v>13</v>
      </c>
      <c r="D127" s="1">
        <v>1</v>
      </c>
    </row>
    <row r="128" spans="1:6" ht="15.75" customHeight="1" x14ac:dyDescent="0.3">
      <c r="A128" s="1" t="s">
        <v>157</v>
      </c>
      <c r="B128" s="1" t="s">
        <v>14</v>
      </c>
      <c r="C128" s="1">
        <v>1</v>
      </c>
    </row>
    <row r="129" spans="1:5" ht="15.75" customHeight="1" x14ac:dyDescent="0.3">
      <c r="A129" s="1" t="s">
        <v>158</v>
      </c>
      <c r="B129" s="1" t="s">
        <v>16</v>
      </c>
      <c r="E129" s="1">
        <v>1</v>
      </c>
    </row>
    <row r="130" spans="1:5" ht="15.75" customHeight="1" x14ac:dyDescent="0.3">
      <c r="A130" s="1" t="s">
        <v>159</v>
      </c>
      <c r="B130" s="1" t="s">
        <v>13</v>
      </c>
      <c r="D130" s="1">
        <v>1</v>
      </c>
    </row>
    <row r="131" spans="1:5" ht="15.75" customHeight="1" x14ac:dyDescent="0.3">
      <c r="A131" s="1" t="s">
        <v>160</v>
      </c>
      <c r="B131" s="1" t="s">
        <v>66</v>
      </c>
      <c r="D131" s="1">
        <v>1</v>
      </c>
    </row>
    <row r="132" spans="1:5" ht="15.75" customHeight="1" x14ac:dyDescent="0.3">
      <c r="A132" s="1" t="s">
        <v>161</v>
      </c>
      <c r="B132" s="1" t="s">
        <v>38</v>
      </c>
      <c r="D132" s="1">
        <v>1</v>
      </c>
    </row>
    <row r="133" spans="1:5" ht="15.75" customHeight="1" x14ac:dyDescent="0.3">
      <c r="A133" s="1" t="s">
        <v>162</v>
      </c>
      <c r="B133" s="1" t="s">
        <v>13</v>
      </c>
      <c r="D133" s="1">
        <v>1</v>
      </c>
    </row>
    <row r="134" spans="1:5" ht="15.75" customHeight="1" x14ac:dyDescent="0.3">
      <c r="A134" s="1" t="s">
        <v>163</v>
      </c>
      <c r="B134" s="1" t="s">
        <v>66</v>
      </c>
      <c r="D134" s="1">
        <v>1</v>
      </c>
    </row>
    <row r="135" spans="1:5" ht="15.75" customHeight="1" x14ac:dyDescent="0.3">
      <c r="A135" s="1" t="s">
        <v>164</v>
      </c>
      <c r="B135" s="1" t="s">
        <v>21</v>
      </c>
      <c r="E135" s="1">
        <v>1</v>
      </c>
    </row>
    <row r="136" spans="1:5" ht="15.75" customHeight="1" x14ac:dyDescent="0.3">
      <c r="A136" s="1" t="s">
        <v>165</v>
      </c>
      <c r="B136" s="1" t="s">
        <v>30</v>
      </c>
      <c r="D136" s="1">
        <v>1</v>
      </c>
    </row>
    <row r="137" spans="1:5" ht="15.75" customHeight="1" x14ac:dyDescent="0.3">
      <c r="A137" s="1" t="s">
        <v>166</v>
      </c>
      <c r="B137" s="1" t="s">
        <v>30</v>
      </c>
      <c r="D137" s="1">
        <v>1</v>
      </c>
    </row>
    <row r="138" spans="1:5" ht="15.75" customHeight="1" x14ac:dyDescent="0.3">
      <c r="A138" s="1" t="s">
        <v>167</v>
      </c>
      <c r="B138" s="1" t="s">
        <v>19</v>
      </c>
      <c r="C138" s="1">
        <v>1</v>
      </c>
    </row>
    <row r="139" spans="1:5" ht="15.75" customHeight="1" x14ac:dyDescent="0.3">
      <c r="A139" s="1" t="s">
        <v>168</v>
      </c>
      <c r="B139" s="1" t="s">
        <v>13</v>
      </c>
      <c r="E139" s="1">
        <v>1</v>
      </c>
    </row>
    <row r="140" spans="1:5" ht="15.75" customHeight="1" x14ac:dyDescent="0.3">
      <c r="A140" s="1" t="s">
        <v>169</v>
      </c>
      <c r="B140" s="1" t="s">
        <v>27</v>
      </c>
      <c r="D140" s="1">
        <v>1</v>
      </c>
    </row>
    <row r="141" spans="1:5" ht="15.75" customHeight="1" x14ac:dyDescent="0.3">
      <c r="A141" s="1" t="s">
        <v>170</v>
      </c>
      <c r="B141" s="1" t="s">
        <v>16</v>
      </c>
      <c r="C141" s="1">
        <v>1</v>
      </c>
    </row>
    <row r="142" spans="1:5" ht="15.75" customHeight="1" x14ac:dyDescent="0.3">
      <c r="A142" s="1" t="s">
        <v>171</v>
      </c>
      <c r="B142" s="1" t="s">
        <v>19</v>
      </c>
      <c r="C142" s="1">
        <v>1</v>
      </c>
    </row>
    <row r="143" spans="1:5" ht="15.75" customHeight="1" x14ac:dyDescent="0.3">
      <c r="A143" s="1" t="s">
        <v>172</v>
      </c>
      <c r="B143" s="1" t="s">
        <v>37</v>
      </c>
      <c r="C143" s="1">
        <v>1</v>
      </c>
    </row>
    <row r="144" spans="1:5" ht="15.75" customHeight="1" x14ac:dyDescent="0.3">
      <c r="A144" s="1" t="s">
        <v>173</v>
      </c>
      <c r="B144" s="1" t="s">
        <v>27</v>
      </c>
      <c r="D144" s="1">
        <v>1</v>
      </c>
    </row>
    <row r="145" spans="1:5" ht="15.75" customHeight="1" x14ac:dyDescent="0.3">
      <c r="A145" s="1" t="s">
        <v>174</v>
      </c>
      <c r="B145" s="1" t="s">
        <v>66</v>
      </c>
      <c r="D145" s="1">
        <v>1</v>
      </c>
    </row>
    <row r="146" spans="1:5" ht="15.75" customHeight="1" x14ac:dyDescent="0.3">
      <c r="A146" s="1" t="s">
        <v>175</v>
      </c>
      <c r="B146" s="1" t="s">
        <v>14</v>
      </c>
      <c r="C146" s="1">
        <v>1</v>
      </c>
    </row>
    <row r="147" spans="1:5" ht="15.75" customHeight="1" x14ac:dyDescent="0.3">
      <c r="A147" s="1" t="s">
        <v>176</v>
      </c>
      <c r="B147" s="1" t="s">
        <v>66</v>
      </c>
      <c r="E147" s="1">
        <v>1</v>
      </c>
    </row>
    <row r="148" spans="1:5" ht="15.75" customHeight="1" x14ac:dyDescent="0.3">
      <c r="A148" s="1" t="s">
        <v>177</v>
      </c>
      <c r="B148" s="1" t="s">
        <v>42</v>
      </c>
      <c r="C148" s="1">
        <v>1</v>
      </c>
    </row>
    <row r="149" spans="1:5" ht="15.75" customHeight="1" x14ac:dyDescent="0.3">
      <c r="A149" s="1" t="s">
        <v>178</v>
      </c>
      <c r="B149" s="1" t="s">
        <v>33</v>
      </c>
      <c r="D149" s="1">
        <v>1</v>
      </c>
    </row>
    <row r="150" spans="1:5" ht="15.75" customHeight="1" x14ac:dyDescent="0.3">
      <c r="A150" s="1" t="s">
        <v>179</v>
      </c>
      <c r="B150" s="1" t="s">
        <v>14</v>
      </c>
      <c r="C150" s="1">
        <v>1</v>
      </c>
    </row>
    <row r="151" spans="1:5" ht="15.75" customHeight="1" x14ac:dyDescent="0.3">
      <c r="A151" s="1" t="s">
        <v>180</v>
      </c>
      <c r="B151" s="1" t="s">
        <v>13</v>
      </c>
      <c r="D151" s="1">
        <v>1</v>
      </c>
    </row>
    <row r="152" spans="1:5" ht="15.75" customHeight="1" x14ac:dyDescent="0.3">
      <c r="A152" s="1" t="s">
        <v>181</v>
      </c>
      <c r="B152" s="1" t="s">
        <v>24</v>
      </c>
      <c r="C152" s="1">
        <v>1</v>
      </c>
    </row>
    <row r="153" spans="1:5" ht="15.75" customHeight="1" x14ac:dyDescent="0.3">
      <c r="A153" s="1" t="s">
        <v>182</v>
      </c>
      <c r="B153" s="1" t="s">
        <v>19</v>
      </c>
      <c r="C153" s="1">
        <v>1</v>
      </c>
    </row>
    <row r="154" spans="1:5" ht="15.75" customHeight="1" x14ac:dyDescent="0.3">
      <c r="A154" s="1" t="s">
        <v>183</v>
      </c>
      <c r="B154" s="1" t="s">
        <v>42</v>
      </c>
      <c r="C154" s="1">
        <v>1</v>
      </c>
    </row>
    <row r="155" spans="1:5" ht="15.75" customHeight="1" x14ac:dyDescent="0.3">
      <c r="A155" s="1" t="s">
        <v>184</v>
      </c>
      <c r="B155" s="1" t="s">
        <v>19</v>
      </c>
      <c r="C155" s="1">
        <v>1</v>
      </c>
    </row>
    <row r="156" spans="1:5" ht="15.75" customHeight="1" x14ac:dyDescent="0.3">
      <c r="A156" s="1" t="s">
        <v>185</v>
      </c>
      <c r="B156" s="1" t="s">
        <v>30</v>
      </c>
      <c r="D156" s="1">
        <v>1</v>
      </c>
    </row>
    <row r="157" spans="1:5" ht="15.75" customHeight="1" x14ac:dyDescent="0.3"/>
    <row r="158" spans="1:5" ht="15.75" customHeight="1" x14ac:dyDescent="0.3"/>
    <row r="159" spans="1:5" ht="15.75" customHeight="1" x14ac:dyDescent="0.3"/>
    <row r="160" spans="1:5" ht="15.75" customHeight="1" x14ac:dyDescent="0.3"/>
    <row r="161" s="1" customFormat="1" ht="15.75" customHeight="1" x14ac:dyDescent="0.3"/>
    <row r="162" s="1" customFormat="1" ht="15.75" customHeight="1" x14ac:dyDescent="0.3"/>
    <row r="163" s="1" customFormat="1" ht="15.75" customHeight="1" x14ac:dyDescent="0.3"/>
    <row r="164" s="1" customFormat="1" ht="15.75" customHeight="1" x14ac:dyDescent="0.3"/>
    <row r="165" s="1" customFormat="1" ht="15.75" customHeight="1" x14ac:dyDescent="0.3"/>
    <row r="166" s="1" customFormat="1" ht="15.75" customHeight="1" x14ac:dyDescent="0.3"/>
    <row r="167" s="1" customFormat="1" ht="15.75" customHeight="1" x14ac:dyDescent="0.3"/>
    <row r="168" s="1" customFormat="1" ht="15.75" customHeight="1" x14ac:dyDescent="0.3"/>
    <row r="169" s="1" customFormat="1" ht="15.75" customHeight="1" x14ac:dyDescent="0.3"/>
    <row r="170" s="1" customFormat="1" ht="15.75" customHeight="1" x14ac:dyDescent="0.3"/>
    <row r="171" s="1" customFormat="1" ht="15.75" customHeight="1" x14ac:dyDescent="0.3"/>
    <row r="172" s="1" customFormat="1" ht="15.75" customHeight="1" x14ac:dyDescent="0.3"/>
    <row r="173" s="1" customFormat="1" ht="15.75" customHeight="1" x14ac:dyDescent="0.3"/>
    <row r="174" s="1" customFormat="1" ht="15.75" customHeight="1" x14ac:dyDescent="0.3"/>
    <row r="175" s="1" customFormat="1" ht="15.75" customHeight="1" x14ac:dyDescent="0.3"/>
    <row r="176" s="1" customFormat="1" ht="15.75" customHeight="1" x14ac:dyDescent="0.3"/>
    <row r="177" s="1" customFormat="1" ht="15.75" customHeight="1" x14ac:dyDescent="0.3"/>
    <row r="178" s="1" customFormat="1" ht="15.75" customHeight="1" x14ac:dyDescent="0.3"/>
    <row r="179" s="1" customFormat="1" ht="15.75" customHeight="1" x14ac:dyDescent="0.3"/>
    <row r="180" s="1" customFormat="1" ht="15.75" customHeight="1" x14ac:dyDescent="0.3"/>
    <row r="181" s="1" customFormat="1" ht="15.75" customHeight="1" x14ac:dyDescent="0.3"/>
    <row r="182" s="1" customFormat="1" ht="15.75" customHeight="1" x14ac:dyDescent="0.3"/>
    <row r="183" s="1" customFormat="1" ht="15.75" customHeight="1" x14ac:dyDescent="0.3"/>
    <row r="184" s="1" customFormat="1" ht="15.75" customHeight="1" x14ac:dyDescent="0.3"/>
    <row r="185" s="1" customFormat="1" ht="15.75" customHeight="1" x14ac:dyDescent="0.3"/>
    <row r="186" s="1" customFormat="1" ht="15.75" customHeight="1" x14ac:dyDescent="0.3"/>
    <row r="187" s="1" customFormat="1" ht="15.75" customHeight="1" x14ac:dyDescent="0.3"/>
    <row r="188" s="1" customFormat="1" ht="15.75" customHeight="1" x14ac:dyDescent="0.3"/>
    <row r="189" s="1" customFormat="1" ht="15.75" customHeight="1" x14ac:dyDescent="0.3"/>
    <row r="190" s="1" customFormat="1" ht="15.75" customHeight="1" x14ac:dyDescent="0.3"/>
    <row r="191" s="1" customFormat="1" ht="15.75" customHeight="1" x14ac:dyDescent="0.3"/>
    <row r="192" s="1" customFormat="1" ht="15.75" customHeight="1" x14ac:dyDescent="0.3"/>
    <row r="193" s="1" customFormat="1" ht="15.75" customHeight="1" x14ac:dyDescent="0.3"/>
    <row r="194" s="1" customFormat="1" ht="15.75" customHeight="1" x14ac:dyDescent="0.3"/>
    <row r="195" s="1" customFormat="1" ht="15.75" customHeight="1" x14ac:dyDescent="0.3"/>
    <row r="196" s="1" customFormat="1" ht="15.75" customHeight="1" x14ac:dyDescent="0.3"/>
    <row r="197" s="1" customFormat="1" ht="15.75" customHeight="1" x14ac:dyDescent="0.3"/>
    <row r="198" s="1" customFormat="1" ht="15.75" customHeight="1" x14ac:dyDescent="0.3"/>
    <row r="199" s="1" customFormat="1" ht="15.75" customHeight="1" x14ac:dyDescent="0.3"/>
    <row r="200" s="1" customFormat="1" ht="15.75" customHeight="1" x14ac:dyDescent="0.3"/>
    <row r="201" s="1" customFormat="1" ht="15.75" customHeight="1" x14ac:dyDescent="0.3"/>
    <row r="202" s="1" customFormat="1" ht="15.75" customHeight="1" x14ac:dyDescent="0.3"/>
    <row r="203" s="1" customFormat="1" ht="15.75" customHeight="1" x14ac:dyDescent="0.3"/>
    <row r="204" s="1" customFormat="1" ht="15.75" customHeight="1" x14ac:dyDescent="0.3"/>
    <row r="205" s="1" customFormat="1" ht="15.75" customHeight="1" x14ac:dyDescent="0.3"/>
    <row r="206" s="1" customFormat="1" ht="15.75" customHeight="1" x14ac:dyDescent="0.3"/>
    <row r="207" s="1" customFormat="1" ht="15.75" customHeight="1" x14ac:dyDescent="0.3"/>
    <row r="208" s="1" customFormat="1" ht="15.75" customHeight="1" x14ac:dyDescent="0.3"/>
    <row r="209" s="1" customFormat="1" ht="15.75" customHeight="1" x14ac:dyDescent="0.3"/>
    <row r="210" s="1" customFormat="1" ht="15.75" customHeight="1" x14ac:dyDescent="0.3"/>
    <row r="211" s="1" customFormat="1" ht="15.75" customHeight="1" x14ac:dyDescent="0.3"/>
    <row r="212" s="1" customFormat="1" ht="15.75" customHeight="1" x14ac:dyDescent="0.3"/>
    <row r="213" s="1" customFormat="1" ht="15.75" customHeight="1" x14ac:dyDescent="0.3"/>
    <row r="214" s="1" customFormat="1" ht="15.75" customHeight="1" x14ac:dyDescent="0.3"/>
    <row r="215" s="1" customFormat="1" ht="15.75" customHeight="1" x14ac:dyDescent="0.3"/>
    <row r="216" s="1" customFormat="1" ht="15.75" customHeight="1" x14ac:dyDescent="0.3"/>
    <row r="217" s="1" customFormat="1" ht="15.75" customHeight="1" x14ac:dyDescent="0.3"/>
    <row r="218" s="1" customFormat="1" ht="15.75" customHeight="1" x14ac:dyDescent="0.3"/>
    <row r="219" s="1" customFormat="1" ht="15.75" customHeight="1" x14ac:dyDescent="0.3"/>
    <row r="220" s="1" customFormat="1" ht="15.75" customHeight="1" x14ac:dyDescent="0.3"/>
    <row r="221" s="1" customFormat="1" ht="15.75" customHeight="1" x14ac:dyDescent="0.3"/>
    <row r="222" s="1" customFormat="1" ht="15.75" customHeight="1" x14ac:dyDescent="0.3"/>
    <row r="223" s="1" customFormat="1" ht="15.75" customHeight="1" x14ac:dyDescent="0.3"/>
    <row r="224" s="1" customFormat="1" ht="15.75" customHeight="1" x14ac:dyDescent="0.3"/>
    <row r="225" s="1" customFormat="1" ht="15.75" customHeight="1" x14ac:dyDescent="0.3"/>
    <row r="226" s="1" customFormat="1" ht="15.75" customHeight="1" x14ac:dyDescent="0.3"/>
    <row r="227" s="1" customFormat="1" ht="15.75" customHeight="1" x14ac:dyDescent="0.3"/>
    <row r="228" s="1" customFormat="1" ht="15.75" customHeight="1" x14ac:dyDescent="0.3"/>
    <row r="229" s="1" customFormat="1" ht="15.75" customHeight="1" x14ac:dyDescent="0.3"/>
    <row r="230" s="1" customFormat="1" ht="15.75" customHeight="1" x14ac:dyDescent="0.3"/>
    <row r="231" s="1" customFormat="1" ht="15.75" customHeight="1" x14ac:dyDescent="0.3"/>
    <row r="232" s="1" customFormat="1" ht="15.75" customHeight="1" x14ac:dyDescent="0.3"/>
    <row r="233" s="1" customFormat="1" ht="15.75" customHeight="1" x14ac:dyDescent="0.3"/>
    <row r="234" s="1" customFormat="1" ht="15.75" customHeight="1" x14ac:dyDescent="0.3"/>
    <row r="235" s="1" customFormat="1" ht="15.75" customHeight="1" x14ac:dyDescent="0.3"/>
    <row r="236" s="1" customFormat="1" ht="15.75" customHeight="1" x14ac:dyDescent="0.3"/>
    <row r="237" s="1" customFormat="1" ht="15.75" customHeight="1" x14ac:dyDescent="0.3"/>
    <row r="238" s="1" customFormat="1" ht="15.75" customHeight="1" x14ac:dyDescent="0.3"/>
    <row r="239" s="1" customFormat="1" ht="15.75" customHeight="1" x14ac:dyDescent="0.3"/>
    <row r="240" s="1" customFormat="1" ht="15.75" customHeight="1" x14ac:dyDescent="0.3"/>
    <row r="241" s="1" customFormat="1" ht="15.75" customHeight="1" x14ac:dyDescent="0.3"/>
    <row r="242" s="1" customFormat="1" ht="15.75" customHeight="1" x14ac:dyDescent="0.3"/>
    <row r="243" s="1" customFormat="1" ht="15.75" customHeight="1" x14ac:dyDescent="0.3"/>
    <row r="244" s="1" customFormat="1" ht="15.75" customHeight="1" x14ac:dyDescent="0.3"/>
    <row r="245" s="1" customFormat="1" ht="15.75" customHeight="1" x14ac:dyDescent="0.3"/>
    <row r="246" s="1" customFormat="1" ht="15.75" customHeight="1" x14ac:dyDescent="0.3"/>
    <row r="247" s="1" customFormat="1" ht="15.75" customHeight="1" x14ac:dyDescent="0.3"/>
    <row r="248" s="1" customFormat="1" ht="15.75" customHeight="1" x14ac:dyDescent="0.3"/>
    <row r="249" s="1" customFormat="1" ht="15.75" customHeight="1" x14ac:dyDescent="0.3"/>
    <row r="250" s="1" customFormat="1" ht="15.75" customHeight="1" x14ac:dyDescent="0.3"/>
    <row r="251" s="1" customFormat="1" ht="15.75" customHeight="1" x14ac:dyDescent="0.3"/>
    <row r="252" s="1" customFormat="1" ht="15.75" customHeight="1" x14ac:dyDescent="0.3"/>
    <row r="253" s="1" customFormat="1" ht="15.75" customHeight="1" x14ac:dyDescent="0.3"/>
    <row r="254" s="1" customFormat="1" ht="15.75" customHeight="1" x14ac:dyDescent="0.3"/>
    <row r="255" s="1" customFormat="1" ht="15.75" customHeight="1" x14ac:dyDescent="0.3"/>
    <row r="256" s="1" customFormat="1" ht="15.75" customHeight="1" x14ac:dyDescent="0.3"/>
    <row r="257" s="1" customFormat="1" ht="15.75" customHeight="1" x14ac:dyDescent="0.3"/>
    <row r="258" s="1" customFormat="1" ht="15.75" customHeight="1" x14ac:dyDescent="0.3"/>
    <row r="259" s="1" customFormat="1" ht="15.75" customHeight="1" x14ac:dyDescent="0.3"/>
    <row r="260" s="1" customFormat="1" ht="15.75" customHeight="1" x14ac:dyDescent="0.3"/>
    <row r="261" s="1" customFormat="1" ht="15.75" customHeight="1" x14ac:dyDescent="0.3"/>
    <row r="262" s="1" customFormat="1" ht="15.75" customHeight="1" x14ac:dyDescent="0.3"/>
    <row r="263" s="1" customFormat="1" ht="15.75" customHeight="1" x14ac:dyDescent="0.3"/>
    <row r="264" s="1" customFormat="1" ht="15.75" customHeight="1" x14ac:dyDescent="0.3"/>
    <row r="265" s="1" customFormat="1" ht="15.75" customHeight="1" x14ac:dyDescent="0.3"/>
    <row r="266" s="1" customFormat="1" ht="15.75" customHeight="1" x14ac:dyDescent="0.3"/>
    <row r="267" s="1" customFormat="1" ht="15.75" customHeight="1" x14ac:dyDescent="0.3"/>
    <row r="268" s="1" customFormat="1" ht="15.75" customHeight="1" x14ac:dyDescent="0.3"/>
    <row r="269" s="1" customFormat="1" ht="15.75" customHeight="1" x14ac:dyDescent="0.3"/>
    <row r="270" s="1" customFormat="1" ht="15.75" customHeight="1" x14ac:dyDescent="0.3"/>
    <row r="271" s="1" customFormat="1" ht="15.75" customHeight="1" x14ac:dyDescent="0.3"/>
    <row r="272" s="1" customFormat="1" ht="15.75" customHeight="1" x14ac:dyDescent="0.3"/>
    <row r="273" s="1" customFormat="1" ht="15.75" customHeight="1" x14ac:dyDescent="0.3"/>
    <row r="274" s="1" customFormat="1" ht="15.75" customHeight="1" x14ac:dyDescent="0.3"/>
    <row r="275" s="1" customFormat="1" ht="15.75" customHeight="1" x14ac:dyDescent="0.3"/>
    <row r="276" s="1" customFormat="1" ht="15.75" customHeight="1" x14ac:dyDescent="0.3"/>
    <row r="277" s="1" customFormat="1" ht="15.75" customHeight="1" x14ac:dyDescent="0.3"/>
    <row r="278" s="1" customFormat="1" ht="15.75" customHeight="1" x14ac:dyDescent="0.3"/>
    <row r="279" s="1" customFormat="1" ht="15.75" customHeight="1" x14ac:dyDescent="0.3"/>
    <row r="280" s="1" customFormat="1" ht="15.75" customHeight="1" x14ac:dyDescent="0.3"/>
    <row r="281" s="1" customFormat="1" ht="15.75" customHeight="1" x14ac:dyDescent="0.3"/>
    <row r="282" s="1" customFormat="1" ht="15.75" customHeight="1" x14ac:dyDescent="0.3"/>
    <row r="283" s="1" customFormat="1" ht="15.75" customHeight="1" x14ac:dyDescent="0.3"/>
    <row r="284" s="1" customFormat="1" ht="15.75" customHeight="1" x14ac:dyDescent="0.3"/>
    <row r="285" s="1" customFormat="1" ht="15.75" customHeight="1" x14ac:dyDescent="0.3"/>
    <row r="286" s="1" customFormat="1" ht="15.75" customHeight="1" x14ac:dyDescent="0.3"/>
    <row r="287" s="1" customFormat="1" ht="15.75" customHeight="1" x14ac:dyDescent="0.3"/>
    <row r="288" s="1" customFormat="1" ht="15.75" customHeight="1" x14ac:dyDescent="0.3"/>
    <row r="289" s="1" customFormat="1" ht="15.75" customHeight="1" x14ac:dyDescent="0.3"/>
    <row r="290" s="1" customFormat="1" ht="15.75" customHeight="1" x14ac:dyDescent="0.3"/>
    <row r="291" s="1" customFormat="1" ht="15.75" customHeight="1" x14ac:dyDescent="0.3"/>
    <row r="292" s="1" customFormat="1" ht="15.75" customHeight="1" x14ac:dyDescent="0.3"/>
    <row r="293" s="1" customFormat="1" ht="15.75" customHeight="1" x14ac:dyDescent="0.3"/>
    <row r="294" s="1" customFormat="1" ht="15.75" customHeight="1" x14ac:dyDescent="0.3"/>
    <row r="295" s="1" customFormat="1" ht="15.75" customHeight="1" x14ac:dyDescent="0.3"/>
    <row r="296" s="1" customFormat="1" ht="15.75" customHeight="1" x14ac:dyDescent="0.3"/>
    <row r="297" s="1" customFormat="1" ht="15.75" customHeight="1" x14ac:dyDescent="0.3"/>
    <row r="298" s="1" customFormat="1" ht="15.75" customHeight="1" x14ac:dyDescent="0.3"/>
    <row r="299" s="1" customFormat="1" ht="15.75" customHeight="1" x14ac:dyDescent="0.3"/>
    <row r="300" s="1" customFormat="1" ht="15.75" customHeight="1" x14ac:dyDescent="0.3"/>
    <row r="301" s="1" customFormat="1" ht="15.75" customHeight="1" x14ac:dyDescent="0.3"/>
    <row r="302" s="1" customFormat="1" ht="15.75" customHeight="1" x14ac:dyDescent="0.3"/>
    <row r="303" s="1" customFormat="1" ht="15.75" customHeight="1" x14ac:dyDescent="0.3"/>
    <row r="304" s="1" customFormat="1" ht="15.75" customHeight="1" x14ac:dyDescent="0.3"/>
    <row r="305" s="1" customFormat="1" ht="15.75" customHeight="1" x14ac:dyDescent="0.3"/>
    <row r="306" s="1" customFormat="1" ht="15.75" customHeight="1" x14ac:dyDescent="0.3"/>
    <row r="307" s="1" customFormat="1" ht="15.75" customHeight="1" x14ac:dyDescent="0.3"/>
    <row r="308" s="1" customFormat="1" ht="15.75" customHeight="1" x14ac:dyDescent="0.3"/>
    <row r="309" s="1" customFormat="1" ht="15.75" customHeight="1" x14ac:dyDescent="0.3"/>
    <row r="310" s="1" customFormat="1" ht="15.75" customHeight="1" x14ac:dyDescent="0.3"/>
    <row r="311" s="1" customFormat="1" ht="15.75" customHeight="1" x14ac:dyDescent="0.3"/>
    <row r="312" s="1" customFormat="1" ht="15.75" customHeight="1" x14ac:dyDescent="0.3"/>
    <row r="313" s="1" customFormat="1" ht="15.75" customHeight="1" x14ac:dyDescent="0.3"/>
    <row r="314" s="1" customFormat="1" ht="15.75" customHeight="1" x14ac:dyDescent="0.3"/>
    <row r="315" s="1" customFormat="1" ht="15.75" customHeight="1" x14ac:dyDescent="0.3"/>
    <row r="316" s="1" customFormat="1" ht="15.75" customHeight="1" x14ac:dyDescent="0.3"/>
    <row r="317" s="1" customFormat="1" ht="15.75" customHeight="1" x14ac:dyDescent="0.3"/>
    <row r="318" s="1" customFormat="1" ht="15.75" customHeight="1" x14ac:dyDescent="0.3"/>
    <row r="319" s="1" customFormat="1" ht="15.75" customHeight="1" x14ac:dyDescent="0.3"/>
    <row r="320" s="1" customFormat="1" ht="15.75" customHeight="1" x14ac:dyDescent="0.3"/>
    <row r="321" s="1" customFormat="1" ht="15.75" customHeight="1" x14ac:dyDescent="0.3"/>
    <row r="322" s="1" customFormat="1" ht="15.75" customHeight="1" x14ac:dyDescent="0.3"/>
    <row r="323" s="1" customFormat="1" ht="15.75" customHeight="1" x14ac:dyDescent="0.3"/>
    <row r="324" s="1" customFormat="1" ht="15.75" customHeight="1" x14ac:dyDescent="0.3"/>
    <row r="325" s="1" customFormat="1" ht="15.75" customHeight="1" x14ac:dyDescent="0.3"/>
    <row r="326" s="1" customFormat="1" ht="15.75" customHeight="1" x14ac:dyDescent="0.3"/>
    <row r="327" s="1" customFormat="1" ht="15.75" customHeight="1" x14ac:dyDescent="0.3"/>
    <row r="328" s="1" customFormat="1" ht="15.75" customHeight="1" x14ac:dyDescent="0.3"/>
    <row r="329" s="1" customFormat="1" ht="15.75" customHeight="1" x14ac:dyDescent="0.3"/>
    <row r="330" s="1" customFormat="1" ht="15.75" customHeight="1" x14ac:dyDescent="0.3"/>
    <row r="331" s="1" customFormat="1" ht="15.75" customHeight="1" x14ac:dyDescent="0.3"/>
    <row r="332" s="1" customFormat="1" ht="15.75" customHeight="1" x14ac:dyDescent="0.3"/>
    <row r="333" s="1" customFormat="1" ht="15.75" customHeight="1" x14ac:dyDescent="0.3"/>
    <row r="334" s="1" customFormat="1" ht="15.75" customHeight="1" x14ac:dyDescent="0.3"/>
    <row r="335" s="1" customFormat="1" ht="15.75" customHeight="1" x14ac:dyDescent="0.3"/>
    <row r="336" s="1" customFormat="1" ht="15.75" customHeight="1" x14ac:dyDescent="0.3"/>
    <row r="337" s="1" customFormat="1" ht="15.75" customHeight="1" x14ac:dyDescent="0.3"/>
    <row r="338" s="1" customFormat="1" ht="15.75" customHeight="1" x14ac:dyDescent="0.3"/>
    <row r="339" s="1" customFormat="1" ht="15.75" customHeight="1" x14ac:dyDescent="0.3"/>
    <row r="340" s="1" customFormat="1" ht="15.75" customHeight="1" x14ac:dyDescent="0.3"/>
    <row r="341" s="1" customFormat="1" ht="15.75" customHeight="1" x14ac:dyDescent="0.3"/>
    <row r="342" s="1" customFormat="1" ht="15.75" customHeight="1" x14ac:dyDescent="0.3"/>
    <row r="343" s="1" customFormat="1" ht="15.75" customHeight="1" x14ac:dyDescent="0.3"/>
    <row r="344" s="1" customFormat="1" ht="15.75" customHeight="1" x14ac:dyDescent="0.3"/>
    <row r="345" s="1" customFormat="1" ht="15.75" customHeight="1" x14ac:dyDescent="0.3"/>
    <row r="346" s="1" customFormat="1" ht="15.75" customHeight="1" x14ac:dyDescent="0.3"/>
    <row r="347" s="1" customFormat="1" ht="15.75" customHeight="1" x14ac:dyDescent="0.3"/>
    <row r="348" s="1" customFormat="1" ht="15.75" customHeight="1" x14ac:dyDescent="0.3"/>
    <row r="349" s="1" customFormat="1" ht="15.75" customHeight="1" x14ac:dyDescent="0.3"/>
    <row r="350" s="1" customFormat="1" ht="15.75" customHeight="1" x14ac:dyDescent="0.3"/>
    <row r="351" s="1" customFormat="1" ht="15.75" customHeight="1" x14ac:dyDescent="0.3"/>
    <row r="352" s="1" customFormat="1" ht="15.75" customHeight="1" x14ac:dyDescent="0.3"/>
    <row r="353" s="1" customFormat="1" ht="15.75" customHeight="1" x14ac:dyDescent="0.3"/>
    <row r="354" s="1" customFormat="1" ht="15.75" customHeight="1" x14ac:dyDescent="0.3"/>
    <row r="355" s="1" customFormat="1" ht="15.75" customHeight="1" x14ac:dyDescent="0.3"/>
    <row r="356" s="1" customFormat="1" ht="15.75" customHeight="1" x14ac:dyDescent="0.3"/>
    <row r="357" s="1" customFormat="1" ht="15.75" customHeight="1" x14ac:dyDescent="0.3"/>
    <row r="358" s="1" customFormat="1" ht="15.75" customHeight="1" x14ac:dyDescent="0.3"/>
    <row r="359" s="1" customFormat="1" ht="15.75" customHeight="1" x14ac:dyDescent="0.3"/>
    <row r="360" s="1" customFormat="1" ht="15.75" customHeight="1" x14ac:dyDescent="0.3"/>
    <row r="361" s="1" customFormat="1" ht="15.75" customHeight="1" x14ac:dyDescent="0.3"/>
    <row r="362" s="1" customFormat="1" ht="15.75" customHeight="1" x14ac:dyDescent="0.3"/>
    <row r="363" s="1" customFormat="1" ht="15.75" customHeight="1" x14ac:dyDescent="0.3"/>
    <row r="364" s="1" customFormat="1" ht="15.75" customHeight="1" x14ac:dyDescent="0.3"/>
    <row r="365" s="1" customFormat="1" ht="15.75" customHeight="1" x14ac:dyDescent="0.3"/>
    <row r="366" s="1" customFormat="1" ht="15.75" customHeight="1" x14ac:dyDescent="0.3"/>
    <row r="367" s="1" customFormat="1" ht="15.75" customHeight="1" x14ac:dyDescent="0.3"/>
    <row r="368" s="1" customFormat="1" ht="15.75" customHeight="1" x14ac:dyDescent="0.3"/>
    <row r="369" s="1" customFormat="1" ht="15.75" customHeight="1" x14ac:dyDescent="0.3"/>
    <row r="370" s="1" customFormat="1" ht="15.75" customHeight="1" x14ac:dyDescent="0.3"/>
    <row r="371" s="1" customFormat="1" ht="15.75" customHeight="1" x14ac:dyDescent="0.3"/>
    <row r="372" s="1" customFormat="1" ht="15.75" customHeight="1" x14ac:dyDescent="0.3"/>
    <row r="373" s="1" customFormat="1" ht="15.75" customHeight="1" x14ac:dyDescent="0.3"/>
    <row r="374" s="1" customFormat="1" ht="15.75" customHeight="1" x14ac:dyDescent="0.3"/>
    <row r="375" s="1" customFormat="1" ht="15.75" customHeight="1" x14ac:dyDescent="0.3"/>
    <row r="376" s="1" customFormat="1" ht="15.75" customHeight="1" x14ac:dyDescent="0.3"/>
    <row r="377" s="1" customFormat="1" ht="15.75" customHeight="1" x14ac:dyDescent="0.3"/>
    <row r="378" s="1" customFormat="1" ht="15.75" customHeight="1" x14ac:dyDescent="0.3"/>
    <row r="379" s="1" customFormat="1" ht="15.75" customHeight="1" x14ac:dyDescent="0.3"/>
    <row r="380" s="1" customFormat="1" ht="15.75" customHeight="1" x14ac:dyDescent="0.3"/>
    <row r="381" s="1" customFormat="1" ht="15.75" customHeight="1" x14ac:dyDescent="0.3"/>
    <row r="382" s="1" customFormat="1" ht="15.75" customHeight="1" x14ac:dyDescent="0.3"/>
    <row r="383" s="1" customFormat="1" ht="15.75" customHeight="1" x14ac:dyDescent="0.3"/>
    <row r="384" s="1" customFormat="1" ht="15.75" customHeight="1" x14ac:dyDescent="0.3"/>
    <row r="385" s="1" customFormat="1" ht="15.75" customHeight="1" x14ac:dyDescent="0.3"/>
    <row r="386" s="1" customFormat="1" ht="15.75" customHeight="1" x14ac:dyDescent="0.3"/>
    <row r="387" s="1" customFormat="1" ht="15.75" customHeight="1" x14ac:dyDescent="0.3"/>
    <row r="388" s="1" customFormat="1" ht="15.75" customHeight="1" x14ac:dyDescent="0.3"/>
    <row r="389" s="1" customFormat="1" ht="15.75" customHeight="1" x14ac:dyDescent="0.3"/>
    <row r="390" s="1" customFormat="1" ht="15.75" customHeight="1" x14ac:dyDescent="0.3"/>
    <row r="391" s="1" customFormat="1" ht="15.75" customHeight="1" x14ac:dyDescent="0.3"/>
    <row r="392" s="1" customFormat="1" ht="15.75" customHeight="1" x14ac:dyDescent="0.3"/>
    <row r="393" s="1" customFormat="1" ht="15.75" customHeight="1" x14ac:dyDescent="0.3"/>
    <row r="394" s="1" customFormat="1" ht="15.75" customHeight="1" x14ac:dyDescent="0.3"/>
    <row r="395" s="1" customFormat="1" ht="15.75" customHeight="1" x14ac:dyDescent="0.3"/>
    <row r="396" s="1" customFormat="1" ht="15.75" customHeight="1" x14ac:dyDescent="0.3"/>
    <row r="397" s="1" customFormat="1" ht="15.75" customHeight="1" x14ac:dyDescent="0.3"/>
    <row r="398" s="1" customFormat="1" ht="15.75" customHeight="1" x14ac:dyDescent="0.3"/>
    <row r="399" s="1" customFormat="1" ht="15.75" customHeight="1" x14ac:dyDescent="0.3"/>
    <row r="400" s="1" customFormat="1" ht="15.75" customHeight="1" x14ac:dyDescent="0.3"/>
    <row r="401" s="1" customFormat="1" ht="15.75" customHeight="1" x14ac:dyDescent="0.3"/>
    <row r="402" s="1" customFormat="1" ht="15.75" customHeight="1" x14ac:dyDescent="0.3"/>
    <row r="403" s="1" customFormat="1" ht="15.75" customHeight="1" x14ac:dyDescent="0.3"/>
    <row r="404" s="1" customFormat="1" ht="15.75" customHeight="1" x14ac:dyDescent="0.3"/>
    <row r="405" s="1" customFormat="1" ht="15.75" customHeight="1" x14ac:dyDescent="0.3"/>
    <row r="406" s="1" customFormat="1" ht="15.75" customHeight="1" x14ac:dyDescent="0.3"/>
    <row r="407" s="1" customFormat="1" ht="15.75" customHeight="1" x14ac:dyDescent="0.3"/>
    <row r="408" s="1" customFormat="1" ht="15.75" customHeight="1" x14ac:dyDescent="0.3"/>
    <row r="409" s="1" customFormat="1" ht="15.75" customHeight="1" x14ac:dyDescent="0.3"/>
    <row r="410" s="1" customFormat="1" ht="15.75" customHeight="1" x14ac:dyDescent="0.3"/>
    <row r="411" s="1" customFormat="1" ht="15.75" customHeight="1" x14ac:dyDescent="0.3"/>
    <row r="412" s="1" customFormat="1" ht="15.75" customHeight="1" x14ac:dyDescent="0.3"/>
    <row r="413" s="1" customFormat="1" ht="15.75" customHeight="1" x14ac:dyDescent="0.3"/>
    <row r="414" s="1" customFormat="1" ht="15.75" customHeight="1" x14ac:dyDescent="0.3"/>
    <row r="415" s="1" customFormat="1" ht="15.75" customHeight="1" x14ac:dyDescent="0.3"/>
    <row r="416" s="1" customFormat="1" ht="15.75" customHeight="1" x14ac:dyDescent="0.3"/>
    <row r="417" s="1" customFormat="1" ht="15.75" customHeight="1" x14ac:dyDescent="0.3"/>
    <row r="418" s="1" customFormat="1" ht="15.75" customHeight="1" x14ac:dyDescent="0.3"/>
    <row r="419" s="1" customFormat="1" ht="15.75" customHeight="1" x14ac:dyDescent="0.3"/>
    <row r="420" s="1" customFormat="1" ht="15.75" customHeight="1" x14ac:dyDescent="0.3"/>
    <row r="421" s="1" customFormat="1" ht="15.75" customHeight="1" x14ac:dyDescent="0.3"/>
    <row r="422" s="1" customFormat="1" ht="15.75" customHeight="1" x14ac:dyDescent="0.3"/>
    <row r="423" s="1" customFormat="1" ht="15.75" customHeight="1" x14ac:dyDescent="0.3"/>
    <row r="424" s="1" customFormat="1" ht="15.75" customHeight="1" x14ac:dyDescent="0.3"/>
    <row r="425" s="1" customFormat="1" ht="15.75" customHeight="1" x14ac:dyDescent="0.3"/>
    <row r="426" s="1" customFormat="1" ht="15.75" customHeight="1" x14ac:dyDescent="0.3"/>
    <row r="427" s="1" customFormat="1" ht="15.75" customHeight="1" x14ac:dyDescent="0.3"/>
    <row r="428" s="1" customFormat="1" ht="15.75" customHeight="1" x14ac:dyDescent="0.3"/>
    <row r="429" s="1" customFormat="1" ht="15.75" customHeight="1" x14ac:dyDescent="0.3"/>
    <row r="430" s="1" customFormat="1" ht="15.75" customHeight="1" x14ac:dyDescent="0.3"/>
    <row r="431" s="1" customFormat="1" ht="15.75" customHeight="1" x14ac:dyDescent="0.3"/>
    <row r="432" s="1" customFormat="1" ht="15.75" customHeight="1" x14ac:dyDescent="0.3"/>
    <row r="433" s="1" customFormat="1" ht="15.75" customHeight="1" x14ac:dyDescent="0.3"/>
    <row r="434" s="1" customFormat="1" ht="15.75" customHeight="1" x14ac:dyDescent="0.3"/>
    <row r="435" s="1" customFormat="1" ht="15.75" customHeight="1" x14ac:dyDescent="0.3"/>
    <row r="436" s="1" customFormat="1" ht="15.75" customHeight="1" x14ac:dyDescent="0.3"/>
    <row r="437" s="1" customFormat="1" ht="15.75" customHeight="1" x14ac:dyDescent="0.3"/>
    <row r="438" s="1" customFormat="1" ht="15.75" customHeight="1" x14ac:dyDescent="0.3"/>
    <row r="439" s="1" customFormat="1" ht="15.75" customHeight="1" x14ac:dyDescent="0.3"/>
    <row r="440" s="1" customFormat="1" ht="15.75" customHeight="1" x14ac:dyDescent="0.3"/>
    <row r="441" s="1" customFormat="1" ht="15.75" customHeight="1" x14ac:dyDescent="0.3"/>
    <row r="442" s="1" customFormat="1" ht="15.75" customHeight="1" x14ac:dyDescent="0.3"/>
    <row r="443" s="1" customFormat="1" ht="15.75" customHeight="1" x14ac:dyDescent="0.3"/>
    <row r="444" s="1" customFormat="1" ht="15.75" customHeight="1" x14ac:dyDescent="0.3"/>
    <row r="445" s="1" customFormat="1" ht="15.75" customHeight="1" x14ac:dyDescent="0.3"/>
    <row r="446" s="1" customFormat="1" ht="15.75" customHeight="1" x14ac:dyDescent="0.3"/>
    <row r="447" s="1" customFormat="1" ht="15.75" customHeight="1" x14ac:dyDescent="0.3"/>
    <row r="448" s="1" customFormat="1" ht="15.75" customHeight="1" x14ac:dyDescent="0.3"/>
    <row r="449" s="1" customFormat="1" ht="15.75" customHeight="1" x14ac:dyDescent="0.3"/>
    <row r="450" s="1" customFormat="1" ht="15.75" customHeight="1" x14ac:dyDescent="0.3"/>
    <row r="451" s="1" customFormat="1" ht="15.75" customHeight="1" x14ac:dyDescent="0.3"/>
    <row r="452" s="1" customFormat="1" ht="15.75" customHeight="1" x14ac:dyDescent="0.3"/>
    <row r="453" s="1" customFormat="1" ht="15.75" customHeight="1" x14ac:dyDescent="0.3"/>
    <row r="454" s="1" customFormat="1" ht="15.75" customHeight="1" x14ac:dyDescent="0.3"/>
    <row r="455" s="1" customFormat="1" ht="15.75" customHeight="1" x14ac:dyDescent="0.3"/>
    <row r="456" s="1" customFormat="1" ht="15.75" customHeight="1" x14ac:dyDescent="0.3"/>
    <row r="457" s="1" customFormat="1" ht="15.75" customHeight="1" x14ac:dyDescent="0.3"/>
    <row r="458" s="1" customFormat="1" ht="15.75" customHeight="1" x14ac:dyDescent="0.3"/>
    <row r="459" s="1" customFormat="1" ht="15.75" customHeight="1" x14ac:dyDescent="0.3"/>
    <row r="460" s="1" customFormat="1" ht="15.75" customHeight="1" x14ac:dyDescent="0.3"/>
    <row r="461" s="1" customFormat="1" ht="15.75" customHeight="1" x14ac:dyDescent="0.3"/>
    <row r="462" s="1" customFormat="1" ht="15.75" customHeight="1" x14ac:dyDescent="0.3"/>
    <row r="463" s="1" customFormat="1" ht="15.75" customHeight="1" x14ac:dyDescent="0.3"/>
    <row r="464" s="1" customFormat="1" ht="15.75" customHeight="1" x14ac:dyDescent="0.3"/>
    <row r="465" s="1" customFormat="1" ht="15.75" customHeight="1" x14ac:dyDescent="0.3"/>
    <row r="466" s="1" customFormat="1" ht="15.75" customHeight="1" x14ac:dyDescent="0.3"/>
    <row r="467" s="1" customFormat="1" ht="15.75" customHeight="1" x14ac:dyDescent="0.3"/>
    <row r="468" s="1" customFormat="1" ht="15.75" customHeight="1" x14ac:dyDescent="0.3"/>
    <row r="469" s="1" customFormat="1" ht="15.75" customHeight="1" x14ac:dyDescent="0.3"/>
    <row r="470" s="1" customFormat="1" ht="15.75" customHeight="1" x14ac:dyDescent="0.3"/>
    <row r="471" s="1" customFormat="1" ht="15.75" customHeight="1" x14ac:dyDescent="0.3"/>
    <row r="472" s="1" customFormat="1" ht="15.75" customHeight="1" x14ac:dyDescent="0.3"/>
    <row r="473" s="1" customFormat="1" ht="15.75" customHeight="1" x14ac:dyDescent="0.3"/>
    <row r="474" s="1" customFormat="1" ht="15.75" customHeight="1" x14ac:dyDescent="0.3"/>
    <row r="475" s="1" customFormat="1" ht="15.75" customHeight="1" x14ac:dyDescent="0.3"/>
    <row r="476" s="1" customFormat="1" ht="15.75" customHeight="1" x14ac:dyDescent="0.3"/>
    <row r="477" s="1" customFormat="1" ht="15.75" customHeight="1" x14ac:dyDescent="0.3"/>
    <row r="478" s="1" customFormat="1" ht="15.75" customHeight="1" x14ac:dyDescent="0.3"/>
    <row r="479" s="1" customFormat="1" ht="15.75" customHeight="1" x14ac:dyDescent="0.3"/>
    <row r="480" s="1" customFormat="1" ht="15.75" customHeight="1" x14ac:dyDescent="0.3"/>
    <row r="481" s="1" customFormat="1" ht="15.75" customHeight="1" x14ac:dyDescent="0.3"/>
    <row r="482" s="1" customFormat="1" ht="15.75" customHeight="1" x14ac:dyDescent="0.3"/>
    <row r="483" s="1" customFormat="1" ht="15.75" customHeight="1" x14ac:dyDescent="0.3"/>
    <row r="484" s="1" customFormat="1" ht="15.75" customHeight="1" x14ac:dyDescent="0.3"/>
    <row r="485" s="1" customFormat="1" ht="15.75" customHeight="1" x14ac:dyDescent="0.3"/>
    <row r="486" s="1" customFormat="1" ht="15.75" customHeight="1" x14ac:dyDescent="0.3"/>
    <row r="487" s="1" customFormat="1" ht="15.75" customHeight="1" x14ac:dyDescent="0.3"/>
    <row r="488" s="1" customFormat="1" ht="15.75" customHeight="1" x14ac:dyDescent="0.3"/>
    <row r="489" s="1" customFormat="1" ht="15.75" customHeight="1" x14ac:dyDescent="0.3"/>
    <row r="490" s="1" customFormat="1" ht="15.75" customHeight="1" x14ac:dyDescent="0.3"/>
    <row r="491" s="1" customFormat="1" ht="15.75" customHeight="1" x14ac:dyDescent="0.3"/>
    <row r="492" s="1" customFormat="1" ht="15.75" customHeight="1" x14ac:dyDescent="0.3"/>
    <row r="493" s="1" customFormat="1" ht="15.75" customHeight="1" x14ac:dyDescent="0.3"/>
    <row r="494" s="1" customFormat="1" ht="15.75" customHeight="1" x14ac:dyDescent="0.3"/>
    <row r="495" s="1" customFormat="1" ht="15.75" customHeight="1" x14ac:dyDescent="0.3"/>
    <row r="496" s="1" customFormat="1" ht="15.75" customHeight="1" x14ac:dyDescent="0.3"/>
    <row r="497" s="1" customFormat="1" ht="15.75" customHeight="1" x14ac:dyDescent="0.3"/>
    <row r="498" s="1" customFormat="1" ht="15.75" customHeight="1" x14ac:dyDescent="0.3"/>
    <row r="499" s="1" customFormat="1" ht="15.75" customHeight="1" x14ac:dyDescent="0.3"/>
    <row r="500" s="1" customFormat="1" ht="15.75" customHeight="1" x14ac:dyDescent="0.3"/>
    <row r="501" s="1" customFormat="1" ht="15.75" customHeight="1" x14ac:dyDescent="0.3"/>
    <row r="502" s="1" customFormat="1" ht="15.75" customHeight="1" x14ac:dyDescent="0.3"/>
    <row r="503" s="1" customFormat="1" ht="15.75" customHeight="1" x14ac:dyDescent="0.3"/>
    <row r="504" s="1" customFormat="1" ht="15.75" customHeight="1" x14ac:dyDescent="0.3"/>
    <row r="505" s="1" customFormat="1" ht="15.75" customHeight="1" x14ac:dyDescent="0.3"/>
    <row r="506" s="1" customFormat="1" ht="15.75" customHeight="1" x14ac:dyDescent="0.3"/>
    <row r="507" s="1" customFormat="1" ht="15.75" customHeight="1" x14ac:dyDescent="0.3"/>
    <row r="508" s="1" customFormat="1" ht="15.75" customHeight="1" x14ac:dyDescent="0.3"/>
    <row r="509" s="1" customFormat="1" ht="15.75" customHeight="1" x14ac:dyDescent="0.3"/>
    <row r="510" s="1" customFormat="1" ht="15.75" customHeight="1" x14ac:dyDescent="0.3"/>
    <row r="511" s="1" customFormat="1" ht="15.75" customHeight="1" x14ac:dyDescent="0.3"/>
    <row r="512" s="1" customFormat="1" ht="15.75" customHeight="1" x14ac:dyDescent="0.3"/>
    <row r="513" s="1" customFormat="1" ht="15.75" customHeight="1" x14ac:dyDescent="0.3"/>
    <row r="514" s="1" customFormat="1" ht="15.75" customHeight="1" x14ac:dyDescent="0.3"/>
    <row r="515" s="1" customFormat="1" ht="15.75" customHeight="1" x14ac:dyDescent="0.3"/>
    <row r="516" s="1" customFormat="1" ht="15.75" customHeight="1" x14ac:dyDescent="0.3"/>
    <row r="517" s="1" customFormat="1" ht="15.75" customHeight="1" x14ac:dyDescent="0.3"/>
    <row r="518" s="1" customFormat="1" ht="15.75" customHeight="1" x14ac:dyDescent="0.3"/>
    <row r="519" s="1" customFormat="1" ht="15.75" customHeight="1" x14ac:dyDescent="0.3"/>
    <row r="520" s="1" customFormat="1" ht="15.75" customHeight="1" x14ac:dyDescent="0.3"/>
    <row r="521" s="1" customFormat="1" ht="15.75" customHeight="1" x14ac:dyDescent="0.3"/>
    <row r="522" s="1" customFormat="1" ht="15.75" customHeight="1" x14ac:dyDescent="0.3"/>
    <row r="523" s="1" customFormat="1" ht="15.75" customHeight="1" x14ac:dyDescent="0.3"/>
    <row r="524" s="1" customFormat="1" ht="15.75" customHeight="1" x14ac:dyDescent="0.3"/>
    <row r="525" s="1" customFormat="1" ht="15.75" customHeight="1" x14ac:dyDescent="0.3"/>
    <row r="526" s="1" customFormat="1" ht="15.75" customHeight="1" x14ac:dyDescent="0.3"/>
    <row r="527" s="1" customFormat="1" ht="15.75" customHeight="1" x14ac:dyDescent="0.3"/>
    <row r="528" s="1" customFormat="1" ht="15.75" customHeight="1" x14ac:dyDescent="0.3"/>
    <row r="529" s="1" customFormat="1" ht="15.75" customHeight="1" x14ac:dyDescent="0.3"/>
    <row r="530" s="1" customFormat="1" ht="15.75" customHeight="1" x14ac:dyDescent="0.3"/>
    <row r="531" s="1" customFormat="1" ht="15.75" customHeight="1" x14ac:dyDescent="0.3"/>
    <row r="532" s="1" customFormat="1" ht="15.75" customHeight="1" x14ac:dyDescent="0.3"/>
    <row r="533" s="1" customFormat="1" ht="15.75" customHeight="1" x14ac:dyDescent="0.3"/>
    <row r="534" s="1" customFormat="1" ht="15.75" customHeight="1" x14ac:dyDescent="0.3"/>
    <row r="535" s="1" customFormat="1" ht="15.75" customHeight="1" x14ac:dyDescent="0.3"/>
    <row r="536" s="1" customFormat="1" ht="15.75" customHeight="1" x14ac:dyDescent="0.3"/>
    <row r="537" s="1" customFormat="1" ht="15.75" customHeight="1" x14ac:dyDescent="0.3"/>
    <row r="538" s="1" customFormat="1" ht="15.75" customHeight="1" x14ac:dyDescent="0.3"/>
    <row r="539" s="1" customFormat="1" ht="15.75" customHeight="1" x14ac:dyDescent="0.3"/>
    <row r="540" s="1" customFormat="1" ht="15.75" customHeight="1" x14ac:dyDescent="0.3"/>
    <row r="541" s="1" customFormat="1" ht="15.75" customHeight="1" x14ac:dyDescent="0.3"/>
    <row r="542" s="1" customFormat="1" ht="15.75" customHeight="1" x14ac:dyDescent="0.3"/>
    <row r="543" s="1" customFormat="1" ht="15.75" customHeight="1" x14ac:dyDescent="0.3"/>
    <row r="544" s="1" customFormat="1" ht="15.75" customHeight="1" x14ac:dyDescent="0.3"/>
    <row r="545" s="1" customFormat="1" ht="15.75" customHeight="1" x14ac:dyDescent="0.3"/>
    <row r="546" s="1" customFormat="1" ht="15.75" customHeight="1" x14ac:dyDescent="0.3"/>
    <row r="547" s="1" customFormat="1" ht="15.75" customHeight="1" x14ac:dyDescent="0.3"/>
    <row r="548" s="1" customFormat="1" ht="15.75" customHeight="1" x14ac:dyDescent="0.3"/>
    <row r="549" s="1" customFormat="1" ht="15.75" customHeight="1" x14ac:dyDescent="0.3"/>
    <row r="550" s="1" customFormat="1" ht="15.75" customHeight="1" x14ac:dyDescent="0.3"/>
    <row r="551" s="1" customFormat="1" ht="15.75" customHeight="1" x14ac:dyDescent="0.3"/>
    <row r="552" s="1" customFormat="1" ht="15.75" customHeight="1" x14ac:dyDescent="0.3"/>
    <row r="553" s="1" customFormat="1" ht="15.75" customHeight="1" x14ac:dyDescent="0.3"/>
    <row r="554" s="1" customFormat="1" ht="15.75" customHeight="1" x14ac:dyDescent="0.3"/>
    <row r="555" s="1" customFormat="1" ht="15.75" customHeight="1" x14ac:dyDescent="0.3"/>
    <row r="556" s="1" customFormat="1" ht="15.75" customHeight="1" x14ac:dyDescent="0.3"/>
    <row r="557" s="1" customFormat="1" ht="15.75" customHeight="1" x14ac:dyDescent="0.3"/>
    <row r="558" s="1" customFormat="1" ht="15.75" customHeight="1" x14ac:dyDescent="0.3"/>
    <row r="559" s="1" customFormat="1" ht="15.75" customHeight="1" x14ac:dyDescent="0.3"/>
    <row r="560" s="1" customFormat="1" ht="15.75" customHeight="1" x14ac:dyDescent="0.3"/>
    <row r="561" s="1" customFormat="1" ht="15.75" customHeight="1" x14ac:dyDescent="0.3"/>
    <row r="562" s="1" customFormat="1" ht="15.75" customHeight="1" x14ac:dyDescent="0.3"/>
    <row r="563" s="1" customFormat="1" ht="15.75" customHeight="1" x14ac:dyDescent="0.3"/>
    <row r="564" s="1" customFormat="1" ht="15.75" customHeight="1" x14ac:dyDescent="0.3"/>
    <row r="565" s="1" customFormat="1" ht="15.75" customHeight="1" x14ac:dyDescent="0.3"/>
    <row r="566" s="1" customFormat="1" ht="15.75" customHeight="1" x14ac:dyDescent="0.3"/>
    <row r="567" s="1" customFormat="1" ht="15.75" customHeight="1" x14ac:dyDescent="0.3"/>
    <row r="568" s="1" customFormat="1" ht="15.75" customHeight="1" x14ac:dyDescent="0.3"/>
    <row r="569" s="1" customFormat="1" ht="15.75" customHeight="1" x14ac:dyDescent="0.3"/>
    <row r="570" s="1" customFormat="1" ht="15.75" customHeight="1" x14ac:dyDescent="0.3"/>
    <row r="571" s="1" customFormat="1" ht="15.75" customHeight="1" x14ac:dyDescent="0.3"/>
    <row r="572" s="1" customFormat="1" ht="15.75" customHeight="1" x14ac:dyDescent="0.3"/>
    <row r="573" s="1" customFormat="1" ht="15.75" customHeight="1" x14ac:dyDescent="0.3"/>
    <row r="574" s="1" customFormat="1" ht="15.75" customHeight="1" x14ac:dyDescent="0.3"/>
    <row r="575" s="1" customFormat="1" ht="15.75" customHeight="1" x14ac:dyDescent="0.3"/>
    <row r="576" s="1" customFormat="1" ht="15.75" customHeight="1" x14ac:dyDescent="0.3"/>
    <row r="577" s="1" customFormat="1" ht="15.75" customHeight="1" x14ac:dyDescent="0.3"/>
    <row r="578" s="1" customFormat="1" ht="15.75" customHeight="1" x14ac:dyDescent="0.3"/>
    <row r="579" s="1" customFormat="1" ht="15.75" customHeight="1" x14ac:dyDescent="0.3"/>
    <row r="580" s="1" customFormat="1" ht="15.75" customHeight="1" x14ac:dyDescent="0.3"/>
    <row r="581" s="1" customFormat="1" ht="15.75" customHeight="1" x14ac:dyDescent="0.3"/>
    <row r="582" s="1" customFormat="1" ht="15.75" customHeight="1" x14ac:dyDescent="0.3"/>
    <row r="583" s="1" customFormat="1" ht="15.75" customHeight="1" x14ac:dyDescent="0.3"/>
    <row r="584" s="1" customFormat="1" ht="15.75" customHeight="1" x14ac:dyDescent="0.3"/>
    <row r="585" s="1" customFormat="1" ht="15.75" customHeight="1" x14ac:dyDescent="0.3"/>
    <row r="586" s="1" customFormat="1" ht="15.75" customHeight="1" x14ac:dyDescent="0.3"/>
    <row r="587" s="1" customFormat="1" ht="15.75" customHeight="1" x14ac:dyDescent="0.3"/>
    <row r="588" s="1" customFormat="1" ht="15.75" customHeight="1" x14ac:dyDescent="0.3"/>
    <row r="589" s="1" customFormat="1" ht="15.75" customHeight="1" x14ac:dyDescent="0.3"/>
    <row r="590" s="1" customFormat="1" ht="15.75" customHeight="1" x14ac:dyDescent="0.3"/>
    <row r="591" s="1" customFormat="1" ht="15.75" customHeight="1" x14ac:dyDescent="0.3"/>
    <row r="592" s="1" customFormat="1" ht="15.75" customHeight="1" x14ac:dyDescent="0.3"/>
    <row r="593" s="1" customFormat="1" ht="15.75" customHeight="1" x14ac:dyDescent="0.3"/>
    <row r="594" s="1" customFormat="1" ht="15.75" customHeight="1" x14ac:dyDescent="0.3"/>
    <row r="595" s="1" customFormat="1" ht="15.75" customHeight="1" x14ac:dyDescent="0.3"/>
    <row r="596" s="1" customFormat="1" ht="15.75" customHeight="1" x14ac:dyDescent="0.3"/>
    <row r="597" s="1" customFormat="1" ht="15.75" customHeight="1" x14ac:dyDescent="0.3"/>
    <row r="598" s="1" customFormat="1" ht="15.75" customHeight="1" x14ac:dyDescent="0.3"/>
    <row r="599" s="1" customFormat="1" ht="15.75" customHeight="1" x14ac:dyDescent="0.3"/>
    <row r="600" s="1" customFormat="1" ht="15.75" customHeight="1" x14ac:dyDescent="0.3"/>
    <row r="601" s="1" customFormat="1" ht="15.75" customHeight="1" x14ac:dyDescent="0.3"/>
    <row r="602" s="1" customFormat="1" ht="15.75" customHeight="1" x14ac:dyDescent="0.3"/>
    <row r="603" s="1" customFormat="1" ht="15.75" customHeight="1" x14ac:dyDescent="0.3"/>
    <row r="604" s="1" customFormat="1" ht="15.75" customHeight="1" x14ac:dyDescent="0.3"/>
    <row r="605" s="1" customFormat="1" ht="15.75" customHeight="1" x14ac:dyDescent="0.3"/>
    <row r="606" s="1" customFormat="1" ht="15.75" customHeight="1" x14ac:dyDescent="0.3"/>
    <row r="607" s="1" customFormat="1" ht="15.75" customHeight="1" x14ac:dyDescent="0.3"/>
    <row r="608" s="1" customFormat="1" ht="15.75" customHeight="1" x14ac:dyDescent="0.3"/>
    <row r="609" s="1" customFormat="1" ht="15.75" customHeight="1" x14ac:dyDescent="0.3"/>
    <row r="610" s="1" customFormat="1" ht="15.75" customHeight="1" x14ac:dyDescent="0.3"/>
    <row r="611" s="1" customFormat="1" ht="15.75" customHeight="1" x14ac:dyDescent="0.3"/>
    <row r="612" s="1" customFormat="1" ht="15.75" customHeight="1" x14ac:dyDescent="0.3"/>
    <row r="613" s="1" customFormat="1" ht="15.75" customHeight="1" x14ac:dyDescent="0.3"/>
    <row r="614" s="1" customFormat="1" ht="15.75" customHeight="1" x14ac:dyDescent="0.3"/>
    <row r="615" s="1" customFormat="1" ht="15.75" customHeight="1" x14ac:dyDescent="0.3"/>
    <row r="616" s="1" customFormat="1" ht="15.75" customHeight="1" x14ac:dyDescent="0.3"/>
    <row r="617" s="1" customFormat="1" ht="15.75" customHeight="1" x14ac:dyDescent="0.3"/>
    <row r="618" s="1" customFormat="1" ht="15.75" customHeight="1" x14ac:dyDescent="0.3"/>
    <row r="619" s="1" customFormat="1" ht="15.75" customHeight="1" x14ac:dyDescent="0.3"/>
    <row r="620" s="1" customFormat="1" ht="15.75" customHeight="1" x14ac:dyDescent="0.3"/>
    <row r="621" s="1" customFormat="1" ht="15.75" customHeight="1" x14ac:dyDescent="0.3"/>
    <row r="622" s="1" customFormat="1" ht="15.75" customHeight="1" x14ac:dyDescent="0.3"/>
    <row r="623" s="1" customFormat="1" ht="15.75" customHeight="1" x14ac:dyDescent="0.3"/>
    <row r="624" s="1" customFormat="1" ht="15.75" customHeight="1" x14ac:dyDescent="0.3"/>
    <row r="625" s="1" customFormat="1" ht="15.75" customHeight="1" x14ac:dyDescent="0.3"/>
    <row r="626" s="1" customFormat="1" ht="15.75" customHeight="1" x14ac:dyDescent="0.3"/>
    <row r="627" s="1" customFormat="1" ht="15.75" customHeight="1" x14ac:dyDescent="0.3"/>
    <row r="628" s="1" customFormat="1" ht="15.75" customHeight="1" x14ac:dyDescent="0.3"/>
    <row r="629" s="1" customFormat="1" ht="15.75" customHeight="1" x14ac:dyDescent="0.3"/>
    <row r="630" s="1" customFormat="1" ht="15.75" customHeight="1" x14ac:dyDescent="0.3"/>
    <row r="631" s="1" customFormat="1" ht="15.75" customHeight="1" x14ac:dyDescent="0.3"/>
    <row r="632" s="1" customFormat="1" ht="15.75" customHeight="1" x14ac:dyDescent="0.3"/>
    <row r="633" s="1" customFormat="1" ht="15.75" customHeight="1" x14ac:dyDescent="0.3"/>
    <row r="634" s="1" customFormat="1" ht="15.75" customHeight="1" x14ac:dyDescent="0.3"/>
    <row r="635" s="1" customFormat="1" ht="15.75" customHeight="1" x14ac:dyDescent="0.3"/>
    <row r="636" s="1" customFormat="1" ht="15.75" customHeight="1" x14ac:dyDescent="0.3"/>
    <row r="637" s="1" customFormat="1" ht="15.75" customHeight="1" x14ac:dyDescent="0.3"/>
    <row r="638" s="1" customFormat="1" ht="15.75" customHeight="1" x14ac:dyDescent="0.3"/>
    <row r="639" s="1" customFormat="1" ht="15.75" customHeight="1" x14ac:dyDescent="0.3"/>
    <row r="640" s="1" customFormat="1" ht="15.75" customHeight="1" x14ac:dyDescent="0.3"/>
    <row r="641" s="1" customFormat="1" ht="15.75" customHeight="1" x14ac:dyDescent="0.3"/>
    <row r="642" s="1" customFormat="1" ht="15.75" customHeight="1" x14ac:dyDescent="0.3"/>
    <row r="643" s="1" customFormat="1" ht="15.75" customHeight="1" x14ac:dyDescent="0.3"/>
    <row r="644" s="1" customFormat="1" ht="15.75" customHeight="1" x14ac:dyDescent="0.3"/>
    <row r="645" s="1" customFormat="1" ht="15.75" customHeight="1" x14ac:dyDescent="0.3"/>
    <row r="646" s="1" customFormat="1" ht="15.75" customHeight="1" x14ac:dyDescent="0.3"/>
    <row r="647" s="1" customFormat="1" ht="15.75" customHeight="1" x14ac:dyDescent="0.3"/>
    <row r="648" s="1" customFormat="1" ht="15.75" customHeight="1" x14ac:dyDescent="0.3"/>
    <row r="649" s="1" customFormat="1" ht="15.75" customHeight="1" x14ac:dyDescent="0.3"/>
    <row r="650" s="1" customFormat="1" ht="15.75" customHeight="1" x14ac:dyDescent="0.3"/>
    <row r="651" s="1" customFormat="1" ht="15.75" customHeight="1" x14ac:dyDescent="0.3"/>
    <row r="652" s="1" customFormat="1" ht="15.75" customHeight="1" x14ac:dyDescent="0.3"/>
    <row r="653" s="1" customFormat="1" ht="15.75" customHeight="1" x14ac:dyDescent="0.3"/>
    <row r="654" s="1" customFormat="1" ht="15.75" customHeight="1" x14ac:dyDescent="0.3"/>
    <row r="655" s="1" customFormat="1" ht="15.75" customHeight="1" x14ac:dyDescent="0.3"/>
    <row r="656" s="1" customFormat="1" ht="15.75" customHeight="1" x14ac:dyDescent="0.3"/>
    <row r="657" s="1" customFormat="1" ht="15.75" customHeight="1" x14ac:dyDescent="0.3"/>
    <row r="658" s="1" customFormat="1" ht="15.75" customHeight="1" x14ac:dyDescent="0.3"/>
    <row r="659" s="1" customFormat="1" ht="15.75" customHeight="1" x14ac:dyDescent="0.3"/>
    <row r="660" s="1" customFormat="1" ht="15.75" customHeight="1" x14ac:dyDescent="0.3"/>
    <row r="661" s="1" customFormat="1" ht="15.75" customHeight="1" x14ac:dyDescent="0.3"/>
    <row r="662" s="1" customFormat="1" ht="15.75" customHeight="1" x14ac:dyDescent="0.3"/>
    <row r="663" s="1" customFormat="1" ht="15.75" customHeight="1" x14ac:dyDescent="0.3"/>
    <row r="664" s="1" customFormat="1" ht="15.75" customHeight="1" x14ac:dyDescent="0.3"/>
    <row r="665" s="1" customFormat="1" ht="15.75" customHeight="1" x14ac:dyDescent="0.3"/>
    <row r="666" s="1" customFormat="1" ht="15.75" customHeight="1" x14ac:dyDescent="0.3"/>
    <row r="667" s="1" customFormat="1" ht="15.75" customHeight="1" x14ac:dyDescent="0.3"/>
    <row r="668" s="1" customFormat="1" ht="15.75" customHeight="1" x14ac:dyDescent="0.3"/>
    <row r="669" s="1" customFormat="1" ht="15.75" customHeight="1" x14ac:dyDescent="0.3"/>
    <row r="670" s="1" customFormat="1" ht="15.75" customHeight="1" x14ac:dyDescent="0.3"/>
    <row r="671" s="1" customFormat="1" ht="15.75" customHeight="1" x14ac:dyDescent="0.3"/>
    <row r="672" s="1" customFormat="1" ht="15.75" customHeight="1" x14ac:dyDescent="0.3"/>
    <row r="673" s="1" customFormat="1" ht="15.75" customHeight="1" x14ac:dyDescent="0.3"/>
    <row r="674" s="1" customFormat="1" ht="15.75" customHeight="1" x14ac:dyDescent="0.3"/>
    <row r="675" s="1" customFormat="1" ht="15.75" customHeight="1" x14ac:dyDescent="0.3"/>
    <row r="676" s="1" customFormat="1" ht="15.75" customHeight="1" x14ac:dyDescent="0.3"/>
    <row r="677" s="1" customFormat="1" ht="15.75" customHeight="1" x14ac:dyDescent="0.3"/>
    <row r="678" s="1" customFormat="1" ht="15.75" customHeight="1" x14ac:dyDescent="0.3"/>
    <row r="679" s="1" customFormat="1" ht="15.75" customHeight="1" x14ac:dyDescent="0.3"/>
    <row r="680" s="1" customFormat="1" ht="15.75" customHeight="1" x14ac:dyDescent="0.3"/>
    <row r="681" s="1" customFormat="1" ht="15.75" customHeight="1" x14ac:dyDescent="0.3"/>
    <row r="682" s="1" customFormat="1" ht="15.75" customHeight="1" x14ac:dyDescent="0.3"/>
    <row r="683" s="1" customFormat="1" ht="15.75" customHeight="1" x14ac:dyDescent="0.3"/>
    <row r="684" s="1" customFormat="1" ht="15.75" customHeight="1" x14ac:dyDescent="0.3"/>
    <row r="685" s="1" customFormat="1" ht="15.75" customHeight="1" x14ac:dyDescent="0.3"/>
    <row r="686" s="1" customFormat="1" ht="15.75" customHeight="1" x14ac:dyDescent="0.3"/>
    <row r="687" s="1" customFormat="1" ht="15.75" customHeight="1" x14ac:dyDescent="0.3"/>
    <row r="688" s="1" customFormat="1" ht="15.75" customHeight="1" x14ac:dyDescent="0.3"/>
    <row r="689" s="1" customFormat="1" ht="15.75" customHeight="1" x14ac:dyDescent="0.3"/>
    <row r="690" s="1" customFormat="1" ht="15.75" customHeight="1" x14ac:dyDescent="0.3"/>
    <row r="691" s="1" customFormat="1" ht="15.75" customHeight="1" x14ac:dyDescent="0.3"/>
    <row r="692" s="1" customFormat="1" ht="15.75" customHeight="1" x14ac:dyDescent="0.3"/>
    <row r="693" s="1" customFormat="1" ht="15.75" customHeight="1" x14ac:dyDescent="0.3"/>
    <row r="694" s="1" customFormat="1" ht="15.75" customHeight="1" x14ac:dyDescent="0.3"/>
    <row r="695" s="1" customFormat="1" ht="15.75" customHeight="1" x14ac:dyDescent="0.3"/>
    <row r="696" s="1" customFormat="1" ht="15.75" customHeight="1" x14ac:dyDescent="0.3"/>
    <row r="697" s="1" customFormat="1" ht="15.75" customHeight="1" x14ac:dyDescent="0.3"/>
    <row r="698" s="1" customFormat="1" ht="15.75" customHeight="1" x14ac:dyDescent="0.3"/>
    <row r="699" s="1" customFormat="1" ht="15.75" customHeight="1" x14ac:dyDescent="0.3"/>
    <row r="700" s="1" customFormat="1" ht="15.75" customHeight="1" x14ac:dyDescent="0.3"/>
    <row r="701" s="1" customFormat="1" ht="15.75" customHeight="1" x14ac:dyDescent="0.3"/>
    <row r="702" s="1" customFormat="1" ht="15.75" customHeight="1" x14ac:dyDescent="0.3"/>
    <row r="703" s="1" customFormat="1" ht="15.75" customHeight="1" x14ac:dyDescent="0.3"/>
    <row r="704" s="1" customFormat="1" ht="15.75" customHeight="1" x14ac:dyDescent="0.3"/>
    <row r="705" s="1" customFormat="1" ht="15.75" customHeight="1" x14ac:dyDescent="0.3"/>
    <row r="706" s="1" customFormat="1" ht="15.75" customHeight="1" x14ac:dyDescent="0.3"/>
    <row r="707" s="1" customFormat="1" ht="15.75" customHeight="1" x14ac:dyDescent="0.3"/>
    <row r="708" s="1" customFormat="1" ht="15.75" customHeight="1" x14ac:dyDescent="0.3"/>
    <row r="709" s="1" customFormat="1" ht="15.75" customHeight="1" x14ac:dyDescent="0.3"/>
    <row r="710" s="1" customFormat="1" ht="15.75" customHeight="1" x14ac:dyDescent="0.3"/>
    <row r="711" s="1" customFormat="1" ht="15.75" customHeight="1" x14ac:dyDescent="0.3"/>
    <row r="712" s="1" customFormat="1" ht="15.75" customHeight="1" x14ac:dyDescent="0.3"/>
    <row r="713" s="1" customFormat="1" ht="15.75" customHeight="1" x14ac:dyDescent="0.3"/>
    <row r="714" s="1" customFormat="1" ht="15.75" customHeight="1" x14ac:dyDescent="0.3"/>
    <row r="715" s="1" customFormat="1" ht="15.75" customHeight="1" x14ac:dyDescent="0.3"/>
    <row r="716" s="1" customFormat="1" ht="15.75" customHeight="1" x14ac:dyDescent="0.3"/>
    <row r="717" s="1" customFormat="1" ht="15.75" customHeight="1" x14ac:dyDescent="0.3"/>
    <row r="718" s="1" customFormat="1" ht="15.75" customHeight="1" x14ac:dyDescent="0.3"/>
    <row r="719" s="1" customFormat="1" ht="15.75" customHeight="1" x14ac:dyDescent="0.3"/>
    <row r="720" s="1" customFormat="1" ht="15.75" customHeight="1" x14ac:dyDescent="0.3"/>
    <row r="721" s="1" customFormat="1" ht="15.75" customHeight="1" x14ac:dyDescent="0.3"/>
    <row r="722" s="1" customFormat="1" ht="15.75" customHeight="1" x14ac:dyDescent="0.3"/>
    <row r="723" s="1" customFormat="1" ht="15.75" customHeight="1" x14ac:dyDescent="0.3"/>
    <row r="724" s="1" customFormat="1" ht="15.75" customHeight="1" x14ac:dyDescent="0.3"/>
    <row r="725" s="1" customFormat="1" ht="15.75" customHeight="1" x14ac:dyDescent="0.3"/>
    <row r="726" s="1" customFormat="1" ht="15.75" customHeight="1" x14ac:dyDescent="0.3"/>
    <row r="727" s="1" customFormat="1" ht="15.75" customHeight="1" x14ac:dyDescent="0.3"/>
    <row r="728" s="1" customFormat="1" ht="15.75" customHeight="1" x14ac:dyDescent="0.3"/>
    <row r="729" s="1" customFormat="1" ht="15.75" customHeight="1" x14ac:dyDescent="0.3"/>
    <row r="730" s="1" customFormat="1" ht="15.75" customHeight="1" x14ac:dyDescent="0.3"/>
    <row r="731" s="1" customFormat="1" ht="15.75" customHeight="1" x14ac:dyDescent="0.3"/>
    <row r="732" s="1" customFormat="1" ht="15.75" customHeight="1" x14ac:dyDescent="0.3"/>
    <row r="733" s="1" customFormat="1" ht="15.75" customHeight="1" x14ac:dyDescent="0.3"/>
    <row r="734" s="1" customFormat="1" ht="15.75" customHeight="1" x14ac:dyDescent="0.3"/>
    <row r="735" s="1" customFormat="1" ht="15.75" customHeight="1" x14ac:dyDescent="0.3"/>
    <row r="736" s="1" customFormat="1" ht="15.75" customHeight="1" x14ac:dyDescent="0.3"/>
    <row r="737" s="1" customFormat="1" ht="15.75" customHeight="1" x14ac:dyDescent="0.3"/>
    <row r="738" s="1" customFormat="1" ht="15.75" customHeight="1" x14ac:dyDescent="0.3"/>
    <row r="739" s="1" customFormat="1" ht="15.75" customHeight="1" x14ac:dyDescent="0.3"/>
    <row r="740" s="1" customFormat="1" ht="15.75" customHeight="1" x14ac:dyDescent="0.3"/>
    <row r="741" s="1" customFormat="1" ht="15.75" customHeight="1" x14ac:dyDescent="0.3"/>
    <row r="742" s="1" customFormat="1" ht="15.75" customHeight="1" x14ac:dyDescent="0.3"/>
    <row r="743" s="1" customFormat="1" ht="15.75" customHeight="1" x14ac:dyDescent="0.3"/>
    <row r="744" s="1" customFormat="1" ht="15.75" customHeight="1" x14ac:dyDescent="0.3"/>
    <row r="745" s="1" customFormat="1" ht="15.75" customHeight="1" x14ac:dyDescent="0.3"/>
    <row r="746" s="1" customFormat="1" ht="15.75" customHeight="1" x14ac:dyDescent="0.3"/>
    <row r="747" s="1" customFormat="1" ht="15.75" customHeight="1" x14ac:dyDescent="0.3"/>
    <row r="748" s="1" customFormat="1" ht="15.75" customHeight="1" x14ac:dyDescent="0.3"/>
    <row r="749" s="1" customFormat="1" ht="15.75" customHeight="1" x14ac:dyDescent="0.3"/>
    <row r="750" s="1" customFormat="1" ht="15.75" customHeight="1" x14ac:dyDescent="0.3"/>
    <row r="751" s="1" customFormat="1" ht="15.75" customHeight="1" x14ac:dyDescent="0.3"/>
    <row r="752" s="1" customFormat="1" ht="15.75" customHeight="1" x14ac:dyDescent="0.3"/>
    <row r="753" s="1" customFormat="1" ht="15.75" customHeight="1" x14ac:dyDescent="0.3"/>
    <row r="754" s="1" customFormat="1" ht="15.75" customHeight="1" x14ac:dyDescent="0.3"/>
    <row r="755" s="1" customFormat="1" ht="15.75" customHeight="1" x14ac:dyDescent="0.3"/>
    <row r="756" s="1" customFormat="1" ht="15.75" customHeight="1" x14ac:dyDescent="0.3"/>
    <row r="757" s="1" customFormat="1" ht="15.75" customHeight="1" x14ac:dyDescent="0.3"/>
    <row r="758" s="1" customFormat="1" ht="15.75" customHeight="1" x14ac:dyDescent="0.3"/>
    <row r="759" s="1" customFormat="1" ht="15.75" customHeight="1" x14ac:dyDescent="0.3"/>
    <row r="760" s="1" customFormat="1" ht="15.75" customHeight="1" x14ac:dyDescent="0.3"/>
    <row r="761" s="1" customFormat="1" ht="15.75" customHeight="1" x14ac:dyDescent="0.3"/>
    <row r="762" s="1" customFormat="1" ht="15.75" customHeight="1" x14ac:dyDescent="0.3"/>
    <row r="763" s="1" customFormat="1" ht="15.75" customHeight="1" x14ac:dyDescent="0.3"/>
    <row r="764" s="1" customFormat="1" ht="15.75" customHeight="1" x14ac:dyDescent="0.3"/>
    <row r="765" s="1" customFormat="1" ht="15.75" customHeight="1" x14ac:dyDescent="0.3"/>
    <row r="766" s="1" customFormat="1" ht="15.75" customHeight="1" x14ac:dyDescent="0.3"/>
    <row r="767" s="1" customFormat="1" ht="15.75" customHeight="1" x14ac:dyDescent="0.3"/>
    <row r="768" s="1" customFormat="1" ht="15.75" customHeight="1" x14ac:dyDescent="0.3"/>
    <row r="769" s="1" customFormat="1" ht="15.75" customHeight="1" x14ac:dyDescent="0.3"/>
    <row r="770" s="1" customFormat="1" ht="15.75" customHeight="1" x14ac:dyDescent="0.3"/>
    <row r="771" s="1" customFormat="1" ht="15.75" customHeight="1" x14ac:dyDescent="0.3"/>
    <row r="772" s="1" customFormat="1" ht="15.75" customHeight="1" x14ac:dyDescent="0.3"/>
    <row r="773" s="1" customFormat="1" ht="15.75" customHeight="1" x14ac:dyDescent="0.3"/>
    <row r="774" s="1" customFormat="1" ht="15.75" customHeight="1" x14ac:dyDescent="0.3"/>
    <row r="775" s="1" customFormat="1" ht="15.75" customHeight="1" x14ac:dyDescent="0.3"/>
    <row r="776" s="1" customFormat="1" ht="15.75" customHeight="1" x14ac:dyDescent="0.3"/>
    <row r="777" s="1" customFormat="1" ht="15.75" customHeight="1" x14ac:dyDescent="0.3"/>
    <row r="778" s="1" customFormat="1" ht="15.75" customHeight="1" x14ac:dyDescent="0.3"/>
    <row r="779" s="1" customFormat="1" ht="15.75" customHeight="1" x14ac:dyDescent="0.3"/>
    <row r="780" s="1" customFormat="1" ht="15.75" customHeight="1" x14ac:dyDescent="0.3"/>
    <row r="781" s="1" customFormat="1" ht="15.75" customHeight="1" x14ac:dyDescent="0.3"/>
    <row r="782" s="1" customFormat="1" ht="15.75" customHeight="1" x14ac:dyDescent="0.3"/>
    <row r="783" s="1" customFormat="1" ht="15.75" customHeight="1" x14ac:dyDescent="0.3"/>
    <row r="784" s="1" customFormat="1" ht="15.75" customHeight="1" x14ac:dyDescent="0.3"/>
    <row r="785" s="1" customFormat="1" ht="15.75" customHeight="1" x14ac:dyDescent="0.3"/>
    <row r="786" s="1" customFormat="1" ht="15.75" customHeight="1" x14ac:dyDescent="0.3"/>
    <row r="787" s="1" customFormat="1" ht="15.75" customHeight="1" x14ac:dyDescent="0.3"/>
    <row r="788" s="1" customFormat="1" ht="15.75" customHeight="1" x14ac:dyDescent="0.3"/>
    <row r="789" s="1" customFormat="1" ht="15.75" customHeight="1" x14ac:dyDescent="0.3"/>
    <row r="790" s="1" customFormat="1" ht="15.75" customHeight="1" x14ac:dyDescent="0.3"/>
    <row r="791" s="1" customFormat="1" ht="15.75" customHeight="1" x14ac:dyDescent="0.3"/>
    <row r="792" s="1" customFormat="1" ht="15.75" customHeight="1" x14ac:dyDescent="0.3"/>
    <row r="793" s="1" customFormat="1" ht="15.75" customHeight="1" x14ac:dyDescent="0.3"/>
    <row r="794" s="1" customFormat="1" ht="15.75" customHeight="1" x14ac:dyDescent="0.3"/>
    <row r="795" s="1" customFormat="1" ht="15.75" customHeight="1" x14ac:dyDescent="0.3"/>
    <row r="796" s="1" customFormat="1" ht="15.75" customHeight="1" x14ac:dyDescent="0.3"/>
    <row r="797" s="1" customFormat="1" ht="15.75" customHeight="1" x14ac:dyDescent="0.3"/>
    <row r="798" s="1" customFormat="1" ht="15.75" customHeight="1" x14ac:dyDescent="0.3"/>
    <row r="799" s="1" customFormat="1" ht="15.75" customHeight="1" x14ac:dyDescent="0.3"/>
    <row r="800" s="1" customFormat="1" ht="15.75" customHeight="1" x14ac:dyDescent="0.3"/>
    <row r="801" s="1" customFormat="1" ht="15.75" customHeight="1" x14ac:dyDescent="0.3"/>
    <row r="802" s="1" customFormat="1" ht="15.75" customHeight="1" x14ac:dyDescent="0.3"/>
    <row r="803" s="1" customFormat="1" ht="15.75" customHeight="1" x14ac:dyDescent="0.3"/>
    <row r="804" s="1" customFormat="1" ht="15.75" customHeight="1" x14ac:dyDescent="0.3"/>
    <row r="805" s="1" customFormat="1" ht="15.75" customHeight="1" x14ac:dyDescent="0.3"/>
    <row r="806" s="1" customFormat="1" ht="15.75" customHeight="1" x14ac:dyDescent="0.3"/>
    <row r="807" s="1" customFormat="1" ht="15.75" customHeight="1" x14ac:dyDescent="0.3"/>
    <row r="808" s="1" customFormat="1" ht="15.75" customHeight="1" x14ac:dyDescent="0.3"/>
    <row r="809" s="1" customFormat="1" ht="15.75" customHeight="1" x14ac:dyDescent="0.3"/>
    <row r="810" s="1" customFormat="1" ht="15.75" customHeight="1" x14ac:dyDescent="0.3"/>
    <row r="811" s="1" customFormat="1" ht="15.75" customHeight="1" x14ac:dyDescent="0.3"/>
    <row r="812" s="1" customFormat="1" ht="15.75" customHeight="1" x14ac:dyDescent="0.3"/>
    <row r="813" s="1" customFormat="1" ht="15.75" customHeight="1" x14ac:dyDescent="0.3"/>
    <row r="814" s="1" customFormat="1" ht="15.75" customHeight="1" x14ac:dyDescent="0.3"/>
    <row r="815" s="1" customFormat="1" ht="15.75" customHeight="1" x14ac:dyDescent="0.3"/>
    <row r="816" s="1" customFormat="1" ht="15.75" customHeight="1" x14ac:dyDescent="0.3"/>
    <row r="817" s="1" customFormat="1" ht="15.75" customHeight="1" x14ac:dyDescent="0.3"/>
    <row r="818" s="1" customFormat="1" ht="15.75" customHeight="1" x14ac:dyDescent="0.3"/>
    <row r="819" s="1" customFormat="1" ht="15.75" customHeight="1" x14ac:dyDescent="0.3"/>
    <row r="820" s="1" customFormat="1" ht="15.75" customHeight="1" x14ac:dyDescent="0.3"/>
    <row r="821" s="1" customFormat="1" ht="15.75" customHeight="1" x14ac:dyDescent="0.3"/>
    <row r="822" s="1" customFormat="1" ht="15.75" customHeight="1" x14ac:dyDescent="0.3"/>
    <row r="823" s="1" customFormat="1" ht="15.75" customHeight="1" x14ac:dyDescent="0.3"/>
    <row r="824" s="1" customFormat="1" ht="15.75" customHeight="1" x14ac:dyDescent="0.3"/>
    <row r="825" s="1" customFormat="1" ht="15.75" customHeight="1" x14ac:dyDescent="0.3"/>
    <row r="826" s="1" customFormat="1" ht="15.75" customHeight="1" x14ac:dyDescent="0.3"/>
    <row r="827" s="1" customFormat="1" ht="15.75" customHeight="1" x14ac:dyDescent="0.3"/>
    <row r="828" s="1" customFormat="1" ht="15.75" customHeight="1" x14ac:dyDescent="0.3"/>
    <row r="829" s="1" customFormat="1" ht="15.75" customHeight="1" x14ac:dyDescent="0.3"/>
    <row r="830" s="1" customFormat="1" ht="15.75" customHeight="1" x14ac:dyDescent="0.3"/>
    <row r="831" s="1" customFormat="1" ht="15.75" customHeight="1" x14ac:dyDescent="0.3"/>
    <row r="832" s="1" customFormat="1" ht="15.75" customHeight="1" x14ac:dyDescent="0.3"/>
    <row r="833" s="1" customFormat="1" ht="15.75" customHeight="1" x14ac:dyDescent="0.3"/>
    <row r="834" s="1" customFormat="1" ht="15.75" customHeight="1" x14ac:dyDescent="0.3"/>
    <row r="835" s="1" customFormat="1" ht="15.75" customHeight="1" x14ac:dyDescent="0.3"/>
    <row r="836" s="1" customFormat="1" ht="15.75" customHeight="1" x14ac:dyDescent="0.3"/>
    <row r="837" s="1" customFormat="1" ht="15.75" customHeight="1" x14ac:dyDescent="0.3"/>
    <row r="838" s="1" customFormat="1" ht="15.75" customHeight="1" x14ac:dyDescent="0.3"/>
    <row r="839" s="1" customFormat="1" ht="15.75" customHeight="1" x14ac:dyDescent="0.3"/>
    <row r="840" s="1" customFormat="1" ht="15.75" customHeight="1" x14ac:dyDescent="0.3"/>
    <row r="841" s="1" customFormat="1" ht="15.75" customHeight="1" x14ac:dyDescent="0.3"/>
    <row r="842" s="1" customFormat="1" ht="15.75" customHeight="1" x14ac:dyDescent="0.3"/>
    <row r="843" s="1" customFormat="1" ht="15.75" customHeight="1" x14ac:dyDescent="0.3"/>
    <row r="844" s="1" customFormat="1" ht="15.75" customHeight="1" x14ac:dyDescent="0.3"/>
    <row r="845" s="1" customFormat="1" ht="15.75" customHeight="1" x14ac:dyDescent="0.3"/>
    <row r="846" s="1" customFormat="1" ht="15.75" customHeight="1" x14ac:dyDescent="0.3"/>
    <row r="847" s="1" customFormat="1" ht="15.75" customHeight="1" x14ac:dyDescent="0.3"/>
    <row r="848" s="1" customFormat="1" ht="15.75" customHeight="1" x14ac:dyDescent="0.3"/>
    <row r="849" s="1" customFormat="1" ht="15.75" customHeight="1" x14ac:dyDescent="0.3"/>
    <row r="850" s="1" customFormat="1" ht="15.75" customHeight="1" x14ac:dyDescent="0.3"/>
    <row r="851" s="1" customFormat="1" ht="15.75" customHeight="1" x14ac:dyDescent="0.3"/>
    <row r="852" s="1" customFormat="1" ht="15.75" customHeight="1" x14ac:dyDescent="0.3"/>
    <row r="853" s="1" customFormat="1" ht="15.75" customHeight="1" x14ac:dyDescent="0.3"/>
    <row r="854" s="1" customFormat="1" ht="15.75" customHeight="1" x14ac:dyDescent="0.3"/>
    <row r="855" s="1" customFormat="1" ht="15.75" customHeight="1" x14ac:dyDescent="0.3"/>
    <row r="856" s="1" customFormat="1" ht="15.75" customHeight="1" x14ac:dyDescent="0.3"/>
    <row r="857" s="1" customFormat="1" ht="15.75" customHeight="1" x14ac:dyDescent="0.3"/>
    <row r="858" s="1" customFormat="1" ht="15.75" customHeight="1" x14ac:dyDescent="0.3"/>
    <row r="859" s="1" customFormat="1" ht="15.75" customHeight="1" x14ac:dyDescent="0.3"/>
    <row r="860" s="1" customFormat="1" ht="15.75" customHeight="1" x14ac:dyDescent="0.3"/>
    <row r="861" s="1" customFormat="1" ht="15.75" customHeight="1" x14ac:dyDescent="0.3"/>
    <row r="862" s="1" customFormat="1" ht="15.75" customHeight="1" x14ac:dyDescent="0.3"/>
    <row r="863" s="1" customFormat="1" ht="15.75" customHeight="1" x14ac:dyDescent="0.3"/>
    <row r="864" s="1" customFormat="1" ht="15.75" customHeight="1" x14ac:dyDescent="0.3"/>
    <row r="865" s="1" customFormat="1" ht="15.75" customHeight="1" x14ac:dyDescent="0.3"/>
    <row r="866" s="1" customFormat="1" ht="15.75" customHeight="1" x14ac:dyDescent="0.3"/>
    <row r="867" s="1" customFormat="1" ht="15.75" customHeight="1" x14ac:dyDescent="0.3"/>
    <row r="868" s="1" customFormat="1" ht="15.75" customHeight="1" x14ac:dyDescent="0.3"/>
    <row r="869" s="1" customFormat="1" ht="15.75" customHeight="1" x14ac:dyDescent="0.3"/>
    <row r="870" s="1" customFormat="1" ht="15.75" customHeight="1" x14ac:dyDescent="0.3"/>
    <row r="871" s="1" customFormat="1" ht="15.75" customHeight="1" x14ac:dyDescent="0.3"/>
    <row r="872" s="1" customFormat="1" ht="15.75" customHeight="1" x14ac:dyDescent="0.3"/>
    <row r="873" s="1" customFormat="1" ht="15.75" customHeight="1" x14ac:dyDescent="0.3"/>
    <row r="874" s="1" customFormat="1" ht="15.75" customHeight="1" x14ac:dyDescent="0.3"/>
    <row r="875" s="1" customFormat="1" ht="15.75" customHeight="1" x14ac:dyDescent="0.3"/>
    <row r="876" s="1" customFormat="1" ht="15.75" customHeight="1" x14ac:dyDescent="0.3"/>
    <row r="877" s="1" customFormat="1" ht="15.75" customHeight="1" x14ac:dyDescent="0.3"/>
    <row r="878" s="1" customFormat="1" ht="15.75" customHeight="1" x14ac:dyDescent="0.3"/>
    <row r="879" s="1" customFormat="1" ht="15.75" customHeight="1" x14ac:dyDescent="0.3"/>
    <row r="880" s="1" customFormat="1" ht="15.75" customHeight="1" x14ac:dyDescent="0.3"/>
    <row r="881" s="1" customFormat="1" ht="15.75" customHeight="1" x14ac:dyDescent="0.3"/>
    <row r="882" s="1" customFormat="1" ht="15.75" customHeight="1" x14ac:dyDescent="0.3"/>
    <row r="883" s="1" customFormat="1" ht="15.75" customHeight="1" x14ac:dyDescent="0.3"/>
    <row r="884" s="1" customFormat="1" ht="15.75" customHeight="1" x14ac:dyDescent="0.3"/>
    <row r="885" s="1" customFormat="1" ht="15.75" customHeight="1" x14ac:dyDescent="0.3"/>
    <row r="886" s="1" customFormat="1" ht="15.75" customHeight="1" x14ac:dyDescent="0.3"/>
    <row r="887" s="1" customFormat="1" ht="15.75" customHeight="1" x14ac:dyDescent="0.3"/>
    <row r="888" s="1" customFormat="1" ht="15.75" customHeight="1" x14ac:dyDescent="0.3"/>
    <row r="889" s="1" customFormat="1" ht="15.75" customHeight="1" x14ac:dyDescent="0.3"/>
    <row r="890" s="1" customFormat="1" ht="15.75" customHeight="1" x14ac:dyDescent="0.3"/>
    <row r="891" s="1" customFormat="1" ht="15.75" customHeight="1" x14ac:dyDescent="0.3"/>
    <row r="892" s="1" customFormat="1" ht="15.75" customHeight="1" x14ac:dyDescent="0.3"/>
    <row r="893" s="1" customFormat="1" ht="15.75" customHeight="1" x14ac:dyDescent="0.3"/>
    <row r="894" s="1" customFormat="1" ht="15.75" customHeight="1" x14ac:dyDescent="0.3"/>
    <row r="895" s="1" customFormat="1" ht="15.75" customHeight="1" x14ac:dyDescent="0.3"/>
    <row r="896" s="1" customFormat="1" ht="15.75" customHeight="1" x14ac:dyDescent="0.3"/>
    <row r="897" s="1" customFormat="1" ht="15.75" customHeight="1" x14ac:dyDescent="0.3"/>
    <row r="898" s="1" customFormat="1" ht="15.75" customHeight="1" x14ac:dyDescent="0.3"/>
    <row r="899" s="1" customFormat="1" ht="15.75" customHeight="1" x14ac:dyDescent="0.3"/>
    <row r="900" s="1" customFormat="1" ht="15.75" customHeight="1" x14ac:dyDescent="0.3"/>
    <row r="901" s="1" customFormat="1" ht="15.75" customHeight="1" x14ac:dyDescent="0.3"/>
    <row r="902" s="1" customFormat="1" ht="15.75" customHeight="1" x14ac:dyDescent="0.3"/>
    <row r="903" s="1" customFormat="1" ht="15.75" customHeight="1" x14ac:dyDescent="0.3"/>
    <row r="904" s="1" customFormat="1" ht="15.75" customHeight="1" x14ac:dyDescent="0.3"/>
    <row r="905" s="1" customFormat="1" ht="15.75" customHeight="1" x14ac:dyDescent="0.3"/>
    <row r="906" s="1" customFormat="1" ht="15.75" customHeight="1" x14ac:dyDescent="0.3"/>
    <row r="907" s="1" customFormat="1" ht="15.75" customHeight="1" x14ac:dyDescent="0.3"/>
    <row r="908" s="1" customFormat="1" ht="15.75" customHeight="1" x14ac:dyDescent="0.3"/>
    <row r="909" s="1" customFormat="1" ht="15.75" customHeight="1" x14ac:dyDescent="0.3"/>
    <row r="910" s="1" customFormat="1" ht="15.75" customHeight="1" x14ac:dyDescent="0.3"/>
    <row r="911" s="1" customFormat="1" ht="15.75" customHeight="1" x14ac:dyDescent="0.3"/>
    <row r="912" s="1" customFormat="1" ht="15.75" customHeight="1" x14ac:dyDescent="0.3"/>
    <row r="913" s="1" customFormat="1" ht="15.75" customHeight="1" x14ac:dyDescent="0.3"/>
    <row r="914" s="1" customFormat="1" ht="15.75" customHeight="1" x14ac:dyDescent="0.3"/>
    <row r="915" s="1" customFormat="1" ht="15.75" customHeight="1" x14ac:dyDescent="0.3"/>
    <row r="916" s="1" customFormat="1" ht="15.75" customHeight="1" x14ac:dyDescent="0.3"/>
    <row r="917" s="1" customFormat="1" ht="15.75" customHeight="1" x14ac:dyDescent="0.3"/>
    <row r="918" s="1" customFormat="1" ht="15.75" customHeight="1" x14ac:dyDescent="0.3"/>
    <row r="919" s="1" customFormat="1" ht="15.75" customHeight="1" x14ac:dyDescent="0.3"/>
    <row r="920" s="1" customFormat="1" ht="15.75" customHeight="1" x14ac:dyDescent="0.3"/>
    <row r="921" s="1" customFormat="1" ht="15.75" customHeight="1" x14ac:dyDescent="0.3"/>
    <row r="922" s="1" customFormat="1" ht="15.75" customHeight="1" x14ac:dyDescent="0.3"/>
    <row r="923" s="1" customFormat="1" ht="15.75" customHeight="1" x14ac:dyDescent="0.3"/>
    <row r="924" s="1" customFormat="1" ht="15.75" customHeight="1" x14ac:dyDescent="0.3"/>
    <row r="925" s="1" customFormat="1" ht="15.75" customHeight="1" x14ac:dyDescent="0.3"/>
    <row r="926" s="1" customFormat="1" ht="15.75" customHeight="1" x14ac:dyDescent="0.3"/>
    <row r="927" s="1" customFormat="1" ht="15.75" customHeight="1" x14ac:dyDescent="0.3"/>
    <row r="928" s="1" customFormat="1" ht="15.75" customHeight="1" x14ac:dyDescent="0.3"/>
    <row r="929" s="1" customFormat="1" ht="15.75" customHeight="1" x14ac:dyDescent="0.3"/>
    <row r="930" s="1" customFormat="1" ht="15.75" customHeight="1" x14ac:dyDescent="0.3"/>
    <row r="931" s="1" customFormat="1" ht="15.75" customHeight="1" x14ac:dyDescent="0.3"/>
    <row r="932" s="1" customFormat="1" ht="15.75" customHeight="1" x14ac:dyDescent="0.3"/>
    <row r="933" s="1" customFormat="1" ht="15.75" customHeight="1" x14ac:dyDescent="0.3"/>
    <row r="934" s="1" customFormat="1" ht="15.75" customHeight="1" x14ac:dyDescent="0.3"/>
    <row r="935" s="1" customFormat="1" ht="15.75" customHeight="1" x14ac:dyDescent="0.3"/>
    <row r="936" s="1" customFormat="1" ht="15.75" customHeight="1" x14ac:dyDescent="0.3"/>
    <row r="937" s="1" customFormat="1" ht="15.75" customHeight="1" x14ac:dyDescent="0.3"/>
    <row r="938" s="1" customFormat="1" ht="15.75" customHeight="1" x14ac:dyDescent="0.3"/>
    <row r="939" s="1" customFormat="1" ht="15.75" customHeight="1" x14ac:dyDescent="0.3"/>
    <row r="940" s="1" customFormat="1" ht="15.75" customHeight="1" x14ac:dyDescent="0.3"/>
    <row r="941" s="1" customFormat="1" ht="15.75" customHeight="1" x14ac:dyDescent="0.3"/>
    <row r="942" s="1" customFormat="1" ht="15.75" customHeight="1" x14ac:dyDescent="0.3"/>
    <row r="943" s="1" customFormat="1" ht="15.75" customHeight="1" x14ac:dyDescent="0.3"/>
    <row r="944" s="1" customFormat="1" ht="15.75" customHeight="1" x14ac:dyDescent="0.3"/>
    <row r="945" s="1" customFormat="1" ht="15.75" customHeight="1" x14ac:dyDescent="0.3"/>
    <row r="946" s="1" customFormat="1" ht="15.75" customHeight="1" x14ac:dyDescent="0.3"/>
    <row r="947" s="1" customFormat="1" ht="15.75" customHeight="1" x14ac:dyDescent="0.3"/>
    <row r="948" s="1" customFormat="1" ht="15.75" customHeight="1" x14ac:dyDescent="0.3"/>
    <row r="949" s="1" customFormat="1" ht="15.75" customHeight="1" x14ac:dyDescent="0.3"/>
    <row r="950" s="1" customFormat="1" ht="15.75" customHeight="1" x14ac:dyDescent="0.3"/>
    <row r="951" s="1" customFormat="1" ht="15.75" customHeight="1" x14ac:dyDescent="0.3"/>
    <row r="952" s="1" customFormat="1" ht="15.75" customHeight="1" x14ac:dyDescent="0.3"/>
    <row r="953" s="1" customFormat="1" ht="15.75" customHeight="1" x14ac:dyDescent="0.3"/>
    <row r="954" s="1" customFormat="1" ht="15.75" customHeight="1" x14ac:dyDescent="0.3"/>
    <row r="955" s="1" customFormat="1" ht="15.75" customHeight="1" x14ac:dyDescent="0.3"/>
    <row r="956" s="1" customFormat="1" ht="15.75" customHeight="1" x14ac:dyDescent="0.3"/>
    <row r="957" s="1" customFormat="1" ht="15.75" customHeight="1" x14ac:dyDescent="0.3"/>
    <row r="958" s="1" customFormat="1" ht="15.75" customHeight="1" x14ac:dyDescent="0.3"/>
    <row r="959" s="1" customFormat="1" ht="15.75" customHeight="1" x14ac:dyDescent="0.3"/>
    <row r="960" s="1" customFormat="1" ht="15.75" customHeight="1" x14ac:dyDescent="0.3"/>
    <row r="961" s="1" customFormat="1" ht="15.75" customHeight="1" x14ac:dyDescent="0.3"/>
    <row r="962" s="1" customFormat="1" ht="15.75" customHeight="1" x14ac:dyDescent="0.3"/>
    <row r="963" s="1" customFormat="1" ht="15.75" customHeight="1" x14ac:dyDescent="0.3"/>
    <row r="964" s="1" customFormat="1" ht="15.75" customHeight="1" x14ac:dyDescent="0.3"/>
    <row r="965" s="1" customFormat="1" ht="15.75" customHeight="1" x14ac:dyDescent="0.3"/>
    <row r="966" s="1" customFormat="1" ht="15.75" customHeight="1" x14ac:dyDescent="0.3"/>
    <row r="967" s="1" customFormat="1" ht="15.75" customHeight="1" x14ac:dyDescent="0.3"/>
    <row r="968" s="1" customFormat="1" ht="15.75" customHeight="1" x14ac:dyDescent="0.3"/>
    <row r="969" s="1" customFormat="1" ht="15.75" customHeight="1" x14ac:dyDescent="0.3"/>
    <row r="970" s="1" customFormat="1" ht="15.75" customHeight="1" x14ac:dyDescent="0.3"/>
    <row r="971" s="1" customFormat="1" ht="15.75" customHeight="1" x14ac:dyDescent="0.3"/>
    <row r="972" s="1" customFormat="1" ht="15.75" customHeight="1" x14ac:dyDescent="0.3"/>
    <row r="973" s="1" customFormat="1" ht="15.75" customHeight="1" x14ac:dyDescent="0.3"/>
    <row r="974" s="1" customFormat="1" ht="15.75" customHeight="1" x14ac:dyDescent="0.3"/>
    <row r="975" s="1" customFormat="1" ht="15.75" customHeight="1" x14ac:dyDescent="0.3"/>
    <row r="976" s="1" customFormat="1" ht="15.75" customHeight="1" x14ac:dyDescent="0.3"/>
    <row r="977" s="1" customFormat="1" ht="15.75" customHeight="1" x14ac:dyDescent="0.3"/>
    <row r="978" s="1" customFormat="1" ht="15.75" customHeight="1" x14ac:dyDescent="0.3"/>
    <row r="979" s="1" customFormat="1" ht="15.75" customHeight="1" x14ac:dyDescent="0.3"/>
    <row r="980" s="1" customFormat="1" ht="15.75" customHeight="1" x14ac:dyDescent="0.3"/>
    <row r="981" s="1" customFormat="1" ht="15.75" customHeight="1" x14ac:dyDescent="0.3"/>
    <row r="982" s="1" customFormat="1" ht="15.75" customHeight="1" x14ac:dyDescent="0.3"/>
    <row r="983" s="1" customFormat="1" ht="15.75" customHeight="1" x14ac:dyDescent="0.3"/>
    <row r="984" s="1" customFormat="1" ht="15.75" customHeight="1" x14ac:dyDescent="0.3"/>
    <row r="985" s="1" customFormat="1" ht="15.75" customHeight="1" x14ac:dyDescent="0.3"/>
    <row r="986" s="1" customFormat="1" ht="15.75" customHeight="1" x14ac:dyDescent="0.3"/>
    <row r="987" s="1" customFormat="1" ht="15.75" customHeight="1" x14ac:dyDescent="0.3"/>
    <row r="988" s="1" customFormat="1" ht="15.75" customHeight="1" x14ac:dyDescent="0.3"/>
    <row r="989" s="1" customFormat="1" ht="15.75" customHeight="1" x14ac:dyDescent="0.3"/>
    <row r="990" s="1" customFormat="1" ht="15.75" customHeight="1" x14ac:dyDescent="0.3"/>
    <row r="991" s="1" customFormat="1" ht="15.75" customHeight="1" x14ac:dyDescent="0.3"/>
    <row r="992" s="1" customFormat="1" ht="15.75" customHeight="1" x14ac:dyDescent="0.3"/>
    <row r="993" s="1" customFormat="1" ht="15.75" customHeight="1" x14ac:dyDescent="0.3"/>
    <row r="994" s="1" customFormat="1" ht="15.75" customHeight="1" x14ac:dyDescent="0.3"/>
    <row r="995" s="1" customFormat="1" ht="15.75" customHeight="1" x14ac:dyDescent="0.3"/>
    <row r="996" s="1" customFormat="1" ht="15.75" customHeight="1" x14ac:dyDescent="0.3"/>
    <row r="997" s="1" customFormat="1" ht="15.75" customHeight="1" x14ac:dyDescent="0.3"/>
    <row r="998" s="1" customFormat="1" ht="15.75" customHeight="1" x14ac:dyDescent="0.3"/>
    <row r="999" s="1" customFormat="1" ht="15.75" customHeight="1" x14ac:dyDescent="0.3"/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703E5-B0C1-4438-A516-20BADDB19487}">
  <dimension ref="A1:M999"/>
  <sheetViews>
    <sheetView workbookViewId="0">
      <selection activeCell="E5" sqref="E5"/>
    </sheetView>
  </sheetViews>
  <sheetFormatPr baseColWidth="10" defaultColWidth="12.6328125" defaultRowHeight="15" customHeight="1" x14ac:dyDescent="0.3"/>
  <cols>
    <col min="1" max="1" width="15.7265625" style="1" customWidth="1"/>
    <col min="2" max="7" width="10.6328125" style="1" customWidth="1"/>
    <col min="8" max="8" width="11.36328125" style="1" customWidth="1"/>
    <col min="9" max="25" width="10.6328125" style="1" customWidth="1"/>
    <col min="26" max="16384" width="12.6328125" style="1"/>
  </cols>
  <sheetData>
    <row r="1" spans="1:13" ht="12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2.75" customHeight="1" x14ac:dyDescent="0.3">
      <c r="A2" s="1" t="s">
        <v>12</v>
      </c>
      <c r="B2" s="1" t="s">
        <v>13</v>
      </c>
      <c r="C2" s="1">
        <v>1</v>
      </c>
      <c r="H2" s="2" t="s">
        <v>14</v>
      </c>
      <c r="I2" s="3">
        <f t="shared" ref="I2:L2" si="0">SUM(C22+C37+C55+C65+C66+C96+C105+C113+C128+C146+C150)</f>
        <v>11</v>
      </c>
      <c r="J2" s="3">
        <f t="shared" si="0"/>
        <v>0</v>
      </c>
      <c r="K2" s="3">
        <f t="shared" si="0"/>
        <v>0</v>
      </c>
      <c r="L2" s="3">
        <f t="shared" si="0"/>
        <v>0</v>
      </c>
      <c r="M2" s="3">
        <f t="shared" ref="M2:M13" si="1">SUM(I2:L2)</f>
        <v>11</v>
      </c>
    </row>
    <row r="3" spans="1:13" ht="12.75" customHeight="1" x14ac:dyDescent="0.3">
      <c r="A3" s="1" t="s">
        <v>15</v>
      </c>
      <c r="B3" s="1" t="s">
        <v>16</v>
      </c>
      <c r="D3" s="1">
        <v>1</v>
      </c>
      <c r="H3" s="2" t="s">
        <v>17</v>
      </c>
      <c r="I3" s="3">
        <f t="shared" ref="I3:L3" si="2">SUM(C6+C32+C50+C52+C58+C69+C76+C94+C115+C122+C123+C152)</f>
        <v>11</v>
      </c>
      <c r="J3" s="3">
        <f t="shared" si="2"/>
        <v>1</v>
      </c>
      <c r="K3" s="3">
        <f t="shared" si="2"/>
        <v>0</v>
      </c>
      <c r="L3" s="3">
        <f t="shared" si="2"/>
        <v>0</v>
      </c>
      <c r="M3" s="3">
        <f t="shared" si="1"/>
        <v>12</v>
      </c>
    </row>
    <row r="4" spans="1:13" ht="12.75" customHeight="1" x14ac:dyDescent="0.3">
      <c r="A4" s="1" t="s">
        <v>18</v>
      </c>
      <c r="B4" s="1" t="s">
        <v>13</v>
      </c>
      <c r="E4" s="1">
        <v>1</v>
      </c>
      <c r="H4" s="2" t="s">
        <v>19</v>
      </c>
      <c r="I4" s="3">
        <f t="shared" ref="I4:L4" si="3">SUM(C26+C14+C27+C62+C68+C124+C138+C142+C153+C155)</f>
        <v>9</v>
      </c>
      <c r="J4" s="3">
        <f t="shared" si="3"/>
        <v>1</v>
      </c>
      <c r="K4" s="3">
        <f t="shared" si="3"/>
        <v>0</v>
      </c>
      <c r="L4" s="3">
        <f t="shared" si="3"/>
        <v>0</v>
      </c>
      <c r="M4" s="3">
        <f t="shared" si="1"/>
        <v>10</v>
      </c>
    </row>
    <row r="5" spans="1:13" ht="12.75" customHeight="1" x14ac:dyDescent="0.3">
      <c r="A5" s="1" t="s">
        <v>20</v>
      </c>
      <c r="B5" s="1" t="s">
        <v>21</v>
      </c>
      <c r="C5" s="1">
        <v>1</v>
      </c>
      <c r="H5" s="2" t="s">
        <v>22</v>
      </c>
      <c r="I5" s="3">
        <f t="shared" ref="I5:L5" si="4">SUM(C5+C36+C56+C63+C73+C85+C87+C95+C135)</f>
        <v>7</v>
      </c>
      <c r="J5" s="3">
        <f t="shared" si="4"/>
        <v>0</v>
      </c>
      <c r="K5" s="3">
        <f t="shared" si="4"/>
        <v>1</v>
      </c>
      <c r="L5" s="3">
        <f t="shared" si="4"/>
        <v>1</v>
      </c>
      <c r="M5" s="3">
        <f t="shared" si="1"/>
        <v>9</v>
      </c>
    </row>
    <row r="6" spans="1:13" ht="12.75" customHeight="1" x14ac:dyDescent="0.3">
      <c r="A6" s="1" t="s">
        <v>23</v>
      </c>
      <c r="B6" s="1" t="s">
        <v>24</v>
      </c>
      <c r="C6" s="1">
        <v>1</v>
      </c>
      <c r="H6" s="2" t="s">
        <v>25</v>
      </c>
      <c r="I6" s="3">
        <f t="shared" ref="I6:L6" si="5">SUM(C12+C15+C18+C28+C41+C59+C78+C64+C82+C83+C86+C106+C119+C143+C148+C154)</f>
        <v>16</v>
      </c>
      <c r="J6" s="3">
        <f t="shared" si="5"/>
        <v>0</v>
      </c>
      <c r="K6" s="3">
        <f t="shared" si="5"/>
        <v>0</v>
      </c>
      <c r="L6" s="3">
        <f t="shared" si="5"/>
        <v>0</v>
      </c>
      <c r="M6" s="3">
        <f t="shared" si="1"/>
        <v>16</v>
      </c>
    </row>
    <row r="7" spans="1:13" ht="12.75" customHeight="1" x14ac:dyDescent="0.3">
      <c r="A7" s="1" t="s">
        <v>26</v>
      </c>
      <c r="B7" s="1" t="s">
        <v>27</v>
      </c>
      <c r="D7" s="1">
        <v>1</v>
      </c>
      <c r="H7" s="2" t="s">
        <v>28</v>
      </c>
      <c r="I7" s="3">
        <f t="shared" ref="I7:L7" si="6">SUM(C3+C20+C46+C49+C54+C89+C90+C102+C112+C114+C129+C141)</f>
        <v>3</v>
      </c>
      <c r="J7" s="3">
        <f t="shared" si="6"/>
        <v>8</v>
      </c>
      <c r="K7" s="3">
        <f t="shared" si="6"/>
        <v>1</v>
      </c>
      <c r="L7" s="3">
        <f t="shared" si="6"/>
        <v>0</v>
      </c>
      <c r="M7" s="3">
        <f t="shared" si="1"/>
        <v>12</v>
      </c>
    </row>
    <row r="8" spans="1:13" ht="12.75" customHeight="1" x14ac:dyDescent="0.3">
      <c r="A8" s="1" t="s">
        <v>29</v>
      </c>
      <c r="B8" s="1" t="s">
        <v>30</v>
      </c>
      <c r="D8" s="1">
        <v>1</v>
      </c>
      <c r="H8" s="2" t="s">
        <v>27</v>
      </c>
      <c r="I8" s="3">
        <f t="shared" ref="I8:L8" si="7">SUM(C7+C30+C29+C44+C51+C60+C72+C79+C101+C99+C107+C111+C117+C140+C144)</f>
        <v>5</v>
      </c>
      <c r="J8" s="3">
        <f t="shared" si="7"/>
        <v>10</v>
      </c>
      <c r="K8" s="3">
        <f t="shared" si="7"/>
        <v>0</v>
      </c>
      <c r="L8" s="3">
        <f t="shared" si="7"/>
        <v>0</v>
      </c>
      <c r="M8" s="3">
        <f t="shared" si="1"/>
        <v>15</v>
      </c>
    </row>
    <row r="9" spans="1:13" ht="12.75" customHeight="1" x14ac:dyDescent="0.3">
      <c r="A9" s="1" t="s">
        <v>31</v>
      </c>
      <c r="B9" s="1" t="s">
        <v>13</v>
      </c>
      <c r="C9" s="1">
        <v>1</v>
      </c>
      <c r="H9" s="2" t="s">
        <v>13</v>
      </c>
      <c r="I9" s="3">
        <f t="shared" ref="I9:J9" si="8">SUM(C4+C9+C17+C19+C2+C48+C92+C120+C126+C127+C130+C133+C151)</f>
        <v>9</v>
      </c>
      <c r="J9" s="3">
        <f t="shared" si="8"/>
        <v>2</v>
      </c>
      <c r="K9" s="3">
        <f>SUM(D4+D9+D17+D19+D2+D48+D92+D120+D126+D127+D130+D133+D151)</f>
        <v>2</v>
      </c>
      <c r="L9" s="3">
        <f>SUM(F4+F9+F17+F19+F2+F48+F92+F120+F126+F127+F130+F133+F151)</f>
        <v>0</v>
      </c>
      <c r="M9" s="3">
        <f t="shared" si="1"/>
        <v>13</v>
      </c>
    </row>
    <row r="10" spans="1:13" ht="12.75" customHeight="1" x14ac:dyDescent="0.3">
      <c r="A10" s="1" t="s">
        <v>32</v>
      </c>
      <c r="B10" s="1" t="s">
        <v>33</v>
      </c>
      <c r="C10" s="1">
        <v>1</v>
      </c>
      <c r="H10" s="2" t="s">
        <v>30</v>
      </c>
      <c r="I10" s="3">
        <f t="shared" ref="I10:L10" si="9">SUM(C8+C13+C16+C25+C31+C35+C43+C45+C70+C71+C75+C81+C88+C93+C98+C100+C104+C118+C136+C137+C156)</f>
        <v>0</v>
      </c>
      <c r="J10" s="3">
        <f t="shared" si="9"/>
        <v>21</v>
      </c>
      <c r="K10" s="3">
        <f t="shared" si="9"/>
        <v>0</v>
      </c>
      <c r="L10" s="3">
        <f t="shared" si="9"/>
        <v>0</v>
      </c>
      <c r="M10" s="3">
        <f t="shared" si="1"/>
        <v>21</v>
      </c>
    </row>
    <row r="11" spans="1:13" ht="12.75" customHeight="1" x14ac:dyDescent="0.3">
      <c r="A11" s="1" t="s">
        <v>34</v>
      </c>
      <c r="B11" s="1" t="s">
        <v>33</v>
      </c>
      <c r="C11" s="1">
        <v>1</v>
      </c>
      <c r="H11" s="2" t="s">
        <v>35</v>
      </c>
      <c r="I11" s="3">
        <f t="shared" ref="I11:L11" si="10">SUM(C38+C42+C47+C53+C74+C77+C80+C91+C97+C103+C108+C116+C131+C145+C147)</f>
        <v>0</v>
      </c>
      <c r="J11" s="3">
        <f t="shared" si="10"/>
        <v>15</v>
      </c>
      <c r="K11" s="3">
        <f t="shared" si="10"/>
        <v>0</v>
      </c>
      <c r="L11" s="3">
        <f t="shared" si="10"/>
        <v>0</v>
      </c>
      <c r="M11" s="3">
        <f t="shared" si="1"/>
        <v>15</v>
      </c>
    </row>
    <row r="12" spans="1:13" ht="12.75" customHeight="1" x14ac:dyDescent="0.3">
      <c r="A12" s="1" t="s">
        <v>36</v>
      </c>
      <c r="B12" s="1" t="s">
        <v>37</v>
      </c>
      <c r="C12" s="1">
        <v>1</v>
      </c>
      <c r="H12" s="2" t="s">
        <v>38</v>
      </c>
      <c r="I12" s="3">
        <f t="shared" ref="I12:L12" si="11">SUM(C21+C24+C34+C40+C67+C84+C132)</f>
        <v>1</v>
      </c>
      <c r="J12" s="3">
        <f t="shared" si="11"/>
        <v>4</v>
      </c>
      <c r="K12" s="3">
        <f t="shared" si="11"/>
        <v>2</v>
      </c>
      <c r="L12" s="3">
        <f t="shared" si="11"/>
        <v>0</v>
      </c>
      <c r="M12" s="3">
        <f t="shared" si="1"/>
        <v>7</v>
      </c>
    </row>
    <row r="13" spans="1:13" ht="12.75" customHeight="1" x14ac:dyDescent="0.3">
      <c r="A13" s="1" t="s">
        <v>39</v>
      </c>
      <c r="B13" s="1" t="s">
        <v>30</v>
      </c>
      <c r="D13" s="1">
        <v>1</v>
      </c>
      <c r="H13" s="2" t="s">
        <v>33</v>
      </c>
      <c r="I13" s="3">
        <f t="shared" ref="I13:L13" si="12">SUM(C10+C11+C57+C125+C149)</f>
        <v>4</v>
      </c>
      <c r="J13" s="3">
        <f t="shared" si="12"/>
        <v>1</v>
      </c>
      <c r="K13" s="3">
        <f t="shared" si="12"/>
        <v>0</v>
      </c>
      <c r="L13" s="3">
        <f t="shared" si="12"/>
        <v>0</v>
      </c>
      <c r="M13" s="3">
        <f t="shared" si="1"/>
        <v>5</v>
      </c>
    </row>
    <row r="14" spans="1:13" ht="12.75" customHeight="1" x14ac:dyDescent="0.3">
      <c r="A14" s="1" t="s">
        <v>40</v>
      </c>
      <c r="B14" s="1" t="s">
        <v>19</v>
      </c>
      <c r="C14" s="1">
        <v>1</v>
      </c>
      <c r="I14" s="4"/>
      <c r="J14" s="4"/>
      <c r="K14" s="4"/>
      <c r="L14" s="4"/>
    </row>
    <row r="15" spans="1:13" ht="12.75" customHeight="1" x14ac:dyDescent="0.3">
      <c r="A15" s="1" t="s">
        <v>41</v>
      </c>
      <c r="B15" s="1" t="s">
        <v>42</v>
      </c>
      <c r="C15" s="1">
        <v>1</v>
      </c>
      <c r="I15" s="4"/>
      <c r="J15" s="4"/>
      <c r="K15" s="4"/>
      <c r="L15" s="4"/>
    </row>
    <row r="16" spans="1:13" ht="12.75" customHeight="1" x14ac:dyDescent="0.3">
      <c r="A16" s="1" t="s">
        <v>43</v>
      </c>
      <c r="B16" s="1" t="s">
        <v>30</v>
      </c>
      <c r="D16" s="1">
        <v>1</v>
      </c>
      <c r="I16" s="4"/>
      <c r="J16" s="4"/>
      <c r="K16" s="4"/>
      <c r="L16" s="4"/>
    </row>
    <row r="17" spans="1:12" ht="12.75" customHeight="1" x14ac:dyDescent="0.3">
      <c r="A17" s="1" t="s">
        <v>44</v>
      </c>
      <c r="B17" s="1" t="s">
        <v>13</v>
      </c>
      <c r="D17" s="1">
        <v>1</v>
      </c>
      <c r="I17" s="4"/>
      <c r="J17" s="4"/>
      <c r="K17" s="4"/>
      <c r="L17" s="4"/>
    </row>
    <row r="18" spans="1:12" ht="12.75" customHeight="1" x14ac:dyDescent="0.3">
      <c r="A18" s="1" t="s">
        <v>45</v>
      </c>
      <c r="B18" s="1" t="s">
        <v>37</v>
      </c>
      <c r="C18" s="1">
        <v>1</v>
      </c>
      <c r="I18" s="4"/>
      <c r="J18" s="4"/>
      <c r="K18" s="4"/>
      <c r="L18" s="4"/>
    </row>
    <row r="19" spans="1:12" ht="12.75" customHeight="1" x14ac:dyDescent="0.3">
      <c r="A19" s="1" t="s">
        <v>46</v>
      </c>
      <c r="B19" s="1" t="s">
        <v>13</v>
      </c>
      <c r="C19" s="1">
        <v>1</v>
      </c>
    </row>
    <row r="20" spans="1:12" ht="12.75" customHeight="1" x14ac:dyDescent="0.3">
      <c r="A20" s="1" t="s">
        <v>47</v>
      </c>
      <c r="B20" s="1" t="s">
        <v>16</v>
      </c>
      <c r="C20" s="1">
        <v>1</v>
      </c>
    </row>
    <row r="21" spans="1:12" ht="12.75" customHeight="1" x14ac:dyDescent="0.3">
      <c r="A21" s="1" t="s">
        <v>48</v>
      </c>
      <c r="B21" s="1" t="s">
        <v>38</v>
      </c>
      <c r="C21" s="1">
        <v>1</v>
      </c>
    </row>
    <row r="22" spans="1:12" ht="12.75" customHeight="1" x14ac:dyDescent="0.3">
      <c r="A22" s="1" t="s">
        <v>49</v>
      </c>
      <c r="B22" s="1" t="s">
        <v>14</v>
      </c>
      <c r="C22" s="1">
        <v>1</v>
      </c>
    </row>
    <row r="23" spans="1:12" ht="12.75" customHeight="1" x14ac:dyDescent="0.3">
      <c r="A23" s="1" t="s">
        <v>50</v>
      </c>
      <c r="B23" s="1" t="s">
        <v>13</v>
      </c>
      <c r="C23" s="1">
        <v>1</v>
      </c>
    </row>
    <row r="24" spans="1:12" ht="12.75" customHeight="1" x14ac:dyDescent="0.3">
      <c r="A24" s="1" t="s">
        <v>51</v>
      </c>
      <c r="B24" s="1" t="s">
        <v>38</v>
      </c>
      <c r="E24" s="1">
        <v>1</v>
      </c>
    </row>
    <row r="25" spans="1:12" ht="12.75" customHeight="1" x14ac:dyDescent="0.3">
      <c r="A25" s="1" t="s">
        <v>52</v>
      </c>
      <c r="B25" s="1" t="s">
        <v>30</v>
      </c>
      <c r="D25" s="1">
        <v>1</v>
      </c>
    </row>
    <row r="26" spans="1:12" ht="12.75" customHeight="1" x14ac:dyDescent="0.3">
      <c r="A26" s="1" t="s">
        <v>53</v>
      </c>
      <c r="B26" s="1" t="s">
        <v>19</v>
      </c>
      <c r="C26" s="1">
        <v>1</v>
      </c>
    </row>
    <row r="27" spans="1:12" ht="12.75" customHeight="1" x14ac:dyDescent="0.3">
      <c r="A27" s="1" t="s">
        <v>54</v>
      </c>
      <c r="B27" s="1" t="s">
        <v>19</v>
      </c>
      <c r="C27" s="1">
        <v>1</v>
      </c>
    </row>
    <row r="28" spans="1:12" ht="12.75" customHeight="1" x14ac:dyDescent="0.3">
      <c r="A28" s="1" t="s">
        <v>55</v>
      </c>
      <c r="B28" s="1" t="s">
        <v>37</v>
      </c>
      <c r="C28" s="1">
        <v>1</v>
      </c>
    </row>
    <row r="29" spans="1:12" ht="12.75" customHeight="1" x14ac:dyDescent="0.3">
      <c r="A29" s="1" t="s">
        <v>56</v>
      </c>
      <c r="B29" s="1" t="s">
        <v>27</v>
      </c>
      <c r="C29" s="1">
        <v>1</v>
      </c>
    </row>
    <row r="30" spans="1:12" ht="12.75" customHeight="1" x14ac:dyDescent="0.3">
      <c r="A30" s="1" t="s">
        <v>57</v>
      </c>
      <c r="B30" s="1" t="s">
        <v>27</v>
      </c>
      <c r="C30" s="1">
        <v>1</v>
      </c>
    </row>
    <row r="31" spans="1:12" ht="12.75" customHeight="1" x14ac:dyDescent="0.3">
      <c r="A31" s="1" t="s">
        <v>58</v>
      </c>
      <c r="B31" s="1" t="s">
        <v>30</v>
      </c>
      <c r="D31" s="1">
        <v>1</v>
      </c>
    </row>
    <row r="32" spans="1:12" ht="12.75" customHeight="1" x14ac:dyDescent="0.3">
      <c r="A32" s="1" t="s">
        <v>59</v>
      </c>
      <c r="B32" s="1" t="s">
        <v>24</v>
      </c>
      <c r="C32" s="1">
        <v>1</v>
      </c>
    </row>
    <row r="33" spans="1:12" ht="12.75" customHeight="1" x14ac:dyDescent="0.3">
      <c r="A33" s="1" t="s">
        <v>60</v>
      </c>
      <c r="B33" s="1" t="s">
        <v>27</v>
      </c>
      <c r="D33" s="1">
        <v>1</v>
      </c>
    </row>
    <row r="34" spans="1:12" ht="12.75" customHeight="1" x14ac:dyDescent="0.3">
      <c r="A34" s="1" t="s">
        <v>61</v>
      </c>
      <c r="B34" s="1" t="s">
        <v>38</v>
      </c>
      <c r="E34" s="1">
        <v>1</v>
      </c>
    </row>
    <row r="35" spans="1:12" ht="12.75" customHeight="1" x14ac:dyDescent="0.3">
      <c r="A35" s="1" t="s">
        <v>62</v>
      </c>
      <c r="B35" s="1" t="s">
        <v>30</v>
      </c>
      <c r="D35" s="1">
        <v>1</v>
      </c>
    </row>
    <row r="36" spans="1:12" ht="12.75" customHeight="1" x14ac:dyDescent="0.3">
      <c r="A36" s="1" t="s">
        <v>63</v>
      </c>
      <c r="B36" s="1" t="s">
        <v>21</v>
      </c>
      <c r="C36" s="1">
        <v>1</v>
      </c>
    </row>
    <row r="37" spans="1:12" ht="12.75" customHeight="1" x14ac:dyDescent="0.3">
      <c r="A37" s="1" t="s">
        <v>64</v>
      </c>
      <c r="B37" s="1" t="s">
        <v>14</v>
      </c>
      <c r="C37" s="1">
        <v>1</v>
      </c>
    </row>
    <row r="38" spans="1:12" ht="12.75" customHeight="1" x14ac:dyDescent="0.3">
      <c r="A38" s="1" t="s">
        <v>65</v>
      </c>
      <c r="B38" s="1" t="s">
        <v>66</v>
      </c>
      <c r="D38" s="1">
        <v>1</v>
      </c>
    </row>
    <row r="39" spans="1:12" ht="12.75" customHeight="1" x14ac:dyDescent="0.3">
      <c r="A39" s="1" t="s">
        <v>67</v>
      </c>
      <c r="B39" s="1" t="s">
        <v>16</v>
      </c>
      <c r="D39" s="1">
        <v>1</v>
      </c>
    </row>
    <row r="40" spans="1:12" ht="12.75" customHeight="1" x14ac:dyDescent="0.3">
      <c r="A40" s="1" t="s">
        <v>68</v>
      </c>
      <c r="B40" s="1" t="s">
        <v>38</v>
      </c>
      <c r="D40" s="1">
        <v>1</v>
      </c>
    </row>
    <row r="41" spans="1:12" ht="12.75" customHeight="1" x14ac:dyDescent="0.3">
      <c r="A41" s="1" t="s">
        <v>69</v>
      </c>
      <c r="B41" s="1" t="s">
        <v>37</v>
      </c>
      <c r="C41" s="1">
        <v>1</v>
      </c>
    </row>
    <row r="42" spans="1:12" ht="12.75" customHeight="1" x14ac:dyDescent="0.3">
      <c r="A42" s="1" t="s">
        <v>70</v>
      </c>
      <c r="B42" s="1" t="s">
        <v>66</v>
      </c>
      <c r="D42" s="1">
        <v>1</v>
      </c>
    </row>
    <row r="43" spans="1:12" ht="12.75" customHeight="1" x14ac:dyDescent="0.3">
      <c r="A43" s="1" t="s">
        <v>71</v>
      </c>
      <c r="B43" s="1" t="s">
        <v>30</v>
      </c>
      <c r="D43" s="1">
        <v>1</v>
      </c>
    </row>
    <row r="44" spans="1:12" ht="12.75" customHeight="1" x14ac:dyDescent="0.3">
      <c r="A44" s="1" t="s">
        <v>72</v>
      </c>
      <c r="B44" s="1" t="s">
        <v>27</v>
      </c>
      <c r="D44" s="1">
        <v>1</v>
      </c>
    </row>
    <row r="45" spans="1:12" ht="12.75" customHeight="1" x14ac:dyDescent="0.3">
      <c r="A45" s="1" t="s">
        <v>73</v>
      </c>
      <c r="B45" s="1" t="s">
        <v>30</v>
      </c>
      <c r="D45" s="1">
        <v>1</v>
      </c>
      <c r="H45" s="1" t="s">
        <v>6</v>
      </c>
      <c r="I45" s="1" t="s">
        <v>7</v>
      </c>
      <c r="J45" s="1" t="s">
        <v>8</v>
      </c>
      <c r="K45" s="1" t="s">
        <v>9</v>
      </c>
      <c r="L45" s="1" t="s">
        <v>10</v>
      </c>
    </row>
    <row r="46" spans="1:12" ht="12.75" customHeight="1" x14ac:dyDescent="0.3">
      <c r="A46" s="1" t="s">
        <v>74</v>
      </c>
      <c r="B46" s="1" t="s">
        <v>16</v>
      </c>
      <c r="D46" s="1">
        <v>1</v>
      </c>
      <c r="H46" s="2" t="s">
        <v>14</v>
      </c>
      <c r="I46" s="4">
        <f t="shared" ref="I46:I57" si="13">I2/M2</f>
        <v>1</v>
      </c>
      <c r="J46" s="4">
        <f t="shared" ref="J46:J57" si="14">J2/M2</f>
        <v>0</v>
      </c>
      <c r="K46" s="4">
        <f t="shared" ref="K46:K57" si="15">K2/M2</f>
        <v>0</v>
      </c>
      <c r="L46" s="4">
        <f t="shared" ref="L46:L57" si="16">L2/M2</f>
        <v>0</v>
      </c>
    </row>
    <row r="47" spans="1:12" ht="12.75" customHeight="1" x14ac:dyDescent="0.3">
      <c r="A47" s="1" t="s">
        <v>75</v>
      </c>
      <c r="B47" s="1" t="s">
        <v>66</v>
      </c>
      <c r="D47" s="1">
        <v>1</v>
      </c>
      <c r="H47" s="2" t="s">
        <v>17</v>
      </c>
      <c r="I47" s="4">
        <f t="shared" si="13"/>
        <v>0.91666666666666663</v>
      </c>
      <c r="J47" s="4">
        <f t="shared" si="14"/>
        <v>8.3333333333333329E-2</v>
      </c>
      <c r="K47" s="4">
        <f t="shared" si="15"/>
        <v>0</v>
      </c>
      <c r="L47" s="4">
        <f t="shared" si="16"/>
        <v>0</v>
      </c>
    </row>
    <row r="48" spans="1:12" ht="12.75" customHeight="1" x14ac:dyDescent="0.3">
      <c r="A48" s="1" t="s">
        <v>76</v>
      </c>
      <c r="B48" s="1" t="s">
        <v>13</v>
      </c>
      <c r="C48" s="1">
        <v>1</v>
      </c>
      <c r="H48" s="2" t="s">
        <v>19</v>
      </c>
      <c r="I48" s="4">
        <f t="shared" si="13"/>
        <v>0.9</v>
      </c>
      <c r="J48" s="4">
        <f t="shared" si="14"/>
        <v>0.1</v>
      </c>
      <c r="K48" s="4">
        <f t="shared" si="15"/>
        <v>0</v>
      </c>
      <c r="L48" s="4">
        <f t="shared" si="16"/>
        <v>0</v>
      </c>
    </row>
    <row r="49" spans="1:12" ht="12.75" customHeight="1" x14ac:dyDescent="0.3">
      <c r="A49" s="1" t="s">
        <v>77</v>
      </c>
      <c r="B49" s="1" t="s">
        <v>16</v>
      </c>
      <c r="D49" s="1">
        <v>1</v>
      </c>
      <c r="H49" s="2" t="s">
        <v>22</v>
      </c>
      <c r="I49" s="4">
        <f t="shared" si="13"/>
        <v>0.77777777777777779</v>
      </c>
      <c r="J49" s="4">
        <f t="shared" si="14"/>
        <v>0</v>
      </c>
      <c r="K49" s="4">
        <f t="shared" si="15"/>
        <v>0.1111111111111111</v>
      </c>
      <c r="L49" s="4">
        <f t="shared" si="16"/>
        <v>0.1111111111111111</v>
      </c>
    </row>
    <row r="50" spans="1:12" ht="12.75" customHeight="1" x14ac:dyDescent="0.3">
      <c r="A50" s="1" t="s">
        <v>78</v>
      </c>
      <c r="B50" s="1" t="s">
        <v>24</v>
      </c>
      <c r="C50" s="1">
        <v>1</v>
      </c>
      <c r="H50" s="2" t="s">
        <v>25</v>
      </c>
      <c r="I50" s="4">
        <f t="shared" si="13"/>
        <v>1</v>
      </c>
      <c r="J50" s="4">
        <f t="shared" si="14"/>
        <v>0</v>
      </c>
      <c r="K50" s="4">
        <f t="shared" si="15"/>
        <v>0</v>
      </c>
      <c r="L50" s="4">
        <f t="shared" si="16"/>
        <v>0</v>
      </c>
    </row>
    <row r="51" spans="1:12" ht="12.75" customHeight="1" x14ac:dyDescent="0.3">
      <c r="A51" s="1" t="s">
        <v>79</v>
      </c>
      <c r="B51" s="1" t="s">
        <v>27</v>
      </c>
      <c r="D51" s="1">
        <v>1</v>
      </c>
      <c r="H51" s="2" t="s">
        <v>28</v>
      </c>
      <c r="I51" s="4">
        <f t="shared" si="13"/>
        <v>0.25</v>
      </c>
      <c r="J51" s="4">
        <f t="shared" si="14"/>
        <v>0.66666666666666663</v>
      </c>
      <c r="K51" s="4">
        <f t="shared" si="15"/>
        <v>8.3333333333333329E-2</v>
      </c>
      <c r="L51" s="4">
        <f t="shared" si="16"/>
        <v>0</v>
      </c>
    </row>
    <row r="52" spans="1:12" ht="12.75" customHeight="1" x14ac:dyDescent="0.3">
      <c r="A52" s="1" t="s">
        <v>80</v>
      </c>
      <c r="B52" s="1" t="s">
        <v>24</v>
      </c>
      <c r="C52" s="1">
        <v>1</v>
      </c>
      <c r="H52" s="2" t="s">
        <v>27</v>
      </c>
      <c r="I52" s="4">
        <f t="shared" si="13"/>
        <v>0.33333333333333331</v>
      </c>
      <c r="J52" s="4">
        <f t="shared" si="14"/>
        <v>0.66666666666666663</v>
      </c>
      <c r="K52" s="4">
        <f t="shared" si="15"/>
        <v>0</v>
      </c>
      <c r="L52" s="4">
        <f t="shared" si="16"/>
        <v>0</v>
      </c>
    </row>
    <row r="53" spans="1:12" ht="12.75" customHeight="1" x14ac:dyDescent="0.3">
      <c r="A53" s="1" t="s">
        <v>81</v>
      </c>
      <c r="B53" s="1" t="s">
        <v>66</v>
      </c>
      <c r="D53" s="1">
        <v>1</v>
      </c>
      <c r="H53" s="2" t="s">
        <v>13</v>
      </c>
      <c r="I53" s="4">
        <f t="shared" si="13"/>
        <v>0.69230769230769229</v>
      </c>
      <c r="J53" s="4">
        <f t="shared" si="14"/>
        <v>0.15384615384615385</v>
      </c>
      <c r="K53" s="4">
        <f t="shared" si="15"/>
        <v>0.15384615384615385</v>
      </c>
      <c r="L53" s="4">
        <f t="shared" si="16"/>
        <v>0</v>
      </c>
    </row>
    <row r="54" spans="1:12" ht="12.75" customHeight="1" x14ac:dyDescent="0.3">
      <c r="A54" s="1" t="s">
        <v>82</v>
      </c>
      <c r="B54" s="1" t="s">
        <v>16</v>
      </c>
      <c r="D54" s="1">
        <v>1</v>
      </c>
      <c r="H54" s="2" t="s">
        <v>30</v>
      </c>
      <c r="I54" s="4">
        <f t="shared" si="13"/>
        <v>0</v>
      </c>
      <c r="J54" s="4">
        <f t="shared" si="14"/>
        <v>1</v>
      </c>
      <c r="K54" s="4">
        <f t="shared" si="15"/>
        <v>0</v>
      </c>
      <c r="L54" s="4">
        <f t="shared" si="16"/>
        <v>0</v>
      </c>
    </row>
    <row r="55" spans="1:12" ht="12.75" customHeight="1" x14ac:dyDescent="0.3">
      <c r="A55" s="1" t="s">
        <v>83</v>
      </c>
      <c r="B55" s="1" t="s">
        <v>14</v>
      </c>
      <c r="C55" s="1">
        <v>1</v>
      </c>
      <c r="H55" s="2" t="s">
        <v>35</v>
      </c>
      <c r="I55" s="4">
        <f t="shared" si="13"/>
        <v>0</v>
      </c>
      <c r="J55" s="4">
        <f t="shared" si="14"/>
        <v>1</v>
      </c>
      <c r="K55" s="4">
        <f t="shared" si="15"/>
        <v>0</v>
      </c>
      <c r="L55" s="4">
        <f t="shared" si="16"/>
        <v>0</v>
      </c>
    </row>
    <row r="56" spans="1:12" ht="12.75" customHeight="1" x14ac:dyDescent="0.3">
      <c r="A56" s="1" t="s">
        <v>84</v>
      </c>
      <c r="B56" s="1" t="s">
        <v>21</v>
      </c>
      <c r="C56" s="1">
        <v>1</v>
      </c>
      <c r="H56" s="2" t="s">
        <v>38</v>
      </c>
      <c r="I56" s="4">
        <f t="shared" si="13"/>
        <v>0.14285714285714285</v>
      </c>
      <c r="J56" s="4">
        <f t="shared" si="14"/>
        <v>0.5714285714285714</v>
      </c>
      <c r="K56" s="4">
        <f t="shared" si="15"/>
        <v>0.2857142857142857</v>
      </c>
      <c r="L56" s="4">
        <f t="shared" si="16"/>
        <v>0</v>
      </c>
    </row>
    <row r="57" spans="1:12" ht="12.75" customHeight="1" x14ac:dyDescent="0.3">
      <c r="A57" s="1" t="s">
        <v>85</v>
      </c>
      <c r="B57" s="1" t="s">
        <v>33</v>
      </c>
      <c r="D57" s="1">
        <v>1</v>
      </c>
      <c r="H57" s="2" t="s">
        <v>33</v>
      </c>
      <c r="I57" s="4">
        <f t="shared" si="13"/>
        <v>0.8</v>
      </c>
      <c r="J57" s="4">
        <f t="shared" si="14"/>
        <v>0.2</v>
      </c>
      <c r="K57" s="4">
        <f t="shared" si="15"/>
        <v>0</v>
      </c>
      <c r="L57" s="4">
        <f t="shared" si="16"/>
        <v>0</v>
      </c>
    </row>
    <row r="58" spans="1:12" ht="12.75" customHeight="1" x14ac:dyDescent="0.3">
      <c r="A58" s="1" t="s">
        <v>86</v>
      </c>
      <c r="B58" s="1" t="s">
        <v>24</v>
      </c>
      <c r="C58" s="1">
        <v>1</v>
      </c>
    </row>
    <row r="59" spans="1:12" ht="12.75" customHeight="1" x14ac:dyDescent="0.3">
      <c r="A59" s="1" t="s">
        <v>87</v>
      </c>
      <c r="B59" s="1" t="s">
        <v>37</v>
      </c>
      <c r="C59" s="1">
        <v>1</v>
      </c>
    </row>
    <row r="60" spans="1:12" ht="12.75" customHeight="1" x14ac:dyDescent="0.3">
      <c r="A60" s="1" t="s">
        <v>88</v>
      </c>
      <c r="B60" s="1" t="s">
        <v>27</v>
      </c>
      <c r="C60" s="1">
        <v>1</v>
      </c>
    </row>
    <row r="61" spans="1:12" ht="12.75" customHeight="1" x14ac:dyDescent="0.3">
      <c r="A61" s="1" t="s">
        <v>89</v>
      </c>
      <c r="B61" s="1" t="s">
        <v>13</v>
      </c>
      <c r="C61" s="1">
        <v>1</v>
      </c>
    </row>
    <row r="62" spans="1:12" ht="12.75" customHeight="1" x14ac:dyDescent="0.3">
      <c r="A62" s="1" t="s">
        <v>90</v>
      </c>
      <c r="B62" s="1" t="s">
        <v>19</v>
      </c>
      <c r="D62" s="1">
        <v>1</v>
      </c>
    </row>
    <row r="63" spans="1:12" ht="12.75" customHeight="1" x14ac:dyDescent="0.3">
      <c r="A63" s="1" t="s">
        <v>91</v>
      </c>
      <c r="B63" s="1" t="s">
        <v>21</v>
      </c>
      <c r="F63" s="1">
        <v>1</v>
      </c>
    </row>
    <row r="64" spans="1:12" ht="12.75" customHeight="1" x14ac:dyDescent="0.3">
      <c r="A64" s="1" t="s">
        <v>92</v>
      </c>
      <c r="B64" s="1" t="s">
        <v>42</v>
      </c>
      <c r="C64" s="1">
        <v>1</v>
      </c>
    </row>
    <row r="65" spans="1:5" ht="12.75" customHeight="1" x14ac:dyDescent="0.3">
      <c r="A65" s="1" t="s">
        <v>93</v>
      </c>
      <c r="B65" s="1" t="s">
        <v>14</v>
      </c>
      <c r="C65" s="1">
        <v>1</v>
      </c>
    </row>
    <row r="66" spans="1:5" ht="12.75" customHeight="1" x14ac:dyDescent="0.3">
      <c r="A66" s="1" t="s">
        <v>94</v>
      </c>
      <c r="B66" s="1" t="s">
        <v>14</v>
      </c>
      <c r="C66" s="1">
        <v>1</v>
      </c>
    </row>
    <row r="67" spans="1:5" ht="12.75" customHeight="1" x14ac:dyDescent="0.3">
      <c r="A67" s="1" t="s">
        <v>95</v>
      </c>
      <c r="B67" s="1" t="s">
        <v>38</v>
      </c>
      <c r="D67" s="1">
        <v>1</v>
      </c>
    </row>
    <row r="68" spans="1:5" ht="12.75" customHeight="1" x14ac:dyDescent="0.3">
      <c r="A68" s="1" t="s">
        <v>96</v>
      </c>
      <c r="B68" s="1" t="s">
        <v>19</v>
      </c>
      <c r="C68" s="1">
        <v>1</v>
      </c>
    </row>
    <row r="69" spans="1:5" ht="12.75" customHeight="1" x14ac:dyDescent="0.3">
      <c r="A69" s="1" t="s">
        <v>97</v>
      </c>
      <c r="B69" s="1" t="s">
        <v>24</v>
      </c>
      <c r="C69" s="1">
        <v>1</v>
      </c>
    </row>
    <row r="70" spans="1:5" ht="12.75" customHeight="1" x14ac:dyDescent="0.3">
      <c r="A70" s="1" t="s">
        <v>98</v>
      </c>
      <c r="B70" s="1" t="s">
        <v>30</v>
      </c>
      <c r="D70" s="1">
        <v>1</v>
      </c>
    </row>
    <row r="71" spans="1:5" ht="12.75" customHeight="1" x14ac:dyDescent="0.3">
      <c r="A71" s="1" t="s">
        <v>99</v>
      </c>
      <c r="B71" s="1" t="s">
        <v>30</v>
      </c>
      <c r="D71" s="1">
        <v>1</v>
      </c>
    </row>
    <row r="72" spans="1:5" ht="12.75" customHeight="1" x14ac:dyDescent="0.3">
      <c r="A72" s="1" t="s">
        <v>100</v>
      </c>
      <c r="B72" s="1" t="s">
        <v>27</v>
      </c>
      <c r="D72" s="1">
        <v>1</v>
      </c>
    </row>
    <row r="73" spans="1:5" ht="12.75" customHeight="1" x14ac:dyDescent="0.3">
      <c r="A73" s="1" t="s">
        <v>101</v>
      </c>
      <c r="B73" s="1" t="s">
        <v>21</v>
      </c>
      <c r="E73" s="1">
        <v>1</v>
      </c>
    </row>
    <row r="74" spans="1:5" ht="12.75" customHeight="1" x14ac:dyDescent="0.3">
      <c r="A74" s="1" t="s">
        <v>102</v>
      </c>
      <c r="B74" s="1" t="s">
        <v>66</v>
      </c>
      <c r="D74" s="1">
        <v>1</v>
      </c>
    </row>
    <row r="75" spans="1:5" ht="12.75" customHeight="1" x14ac:dyDescent="0.3">
      <c r="A75" s="1" t="s">
        <v>103</v>
      </c>
      <c r="B75" s="1" t="s">
        <v>30</v>
      </c>
      <c r="D75" s="1">
        <v>1</v>
      </c>
    </row>
    <row r="76" spans="1:5" ht="12.75" customHeight="1" x14ac:dyDescent="0.3">
      <c r="A76" s="1" t="s">
        <v>104</v>
      </c>
      <c r="B76" s="1" t="s">
        <v>24</v>
      </c>
      <c r="D76" s="1">
        <v>1</v>
      </c>
    </row>
    <row r="77" spans="1:5" ht="12.75" customHeight="1" x14ac:dyDescent="0.3">
      <c r="A77" s="1" t="s">
        <v>105</v>
      </c>
      <c r="B77" s="1" t="s">
        <v>66</v>
      </c>
      <c r="D77" s="1">
        <v>1</v>
      </c>
    </row>
    <row r="78" spans="1:5" ht="12.75" customHeight="1" x14ac:dyDescent="0.3">
      <c r="A78" s="1" t="s">
        <v>106</v>
      </c>
      <c r="B78" s="1" t="s">
        <v>42</v>
      </c>
      <c r="C78" s="1">
        <v>1</v>
      </c>
    </row>
    <row r="79" spans="1:5" ht="12.75" customHeight="1" x14ac:dyDescent="0.3">
      <c r="A79" s="1" t="s">
        <v>107</v>
      </c>
      <c r="B79" s="1" t="s">
        <v>27</v>
      </c>
      <c r="D79" s="1">
        <v>1</v>
      </c>
    </row>
    <row r="80" spans="1:5" ht="12.75" customHeight="1" x14ac:dyDescent="0.3">
      <c r="A80" s="1" t="s">
        <v>108</v>
      </c>
      <c r="B80" s="1" t="s">
        <v>66</v>
      </c>
      <c r="D80" s="1">
        <v>1</v>
      </c>
    </row>
    <row r="81" spans="1:4" ht="12.75" customHeight="1" x14ac:dyDescent="0.3">
      <c r="A81" s="1" t="s">
        <v>109</v>
      </c>
      <c r="B81" s="1" t="s">
        <v>30</v>
      </c>
      <c r="D81" s="1">
        <v>1</v>
      </c>
    </row>
    <row r="82" spans="1:4" ht="12.75" customHeight="1" x14ac:dyDescent="0.3">
      <c r="A82" s="1" t="s">
        <v>110</v>
      </c>
      <c r="B82" s="1" t="s">
        <v>37</v>
      </c>
      <c r="C82" s="1">
        <v>1</v>
      </c>
    </row>
    <row r="83" spans="1:4" ht="12.75" customHeight="1" x14ac:dyDescent="0.3">
      <c r="A83" s="1" t="s">
        <v>111</v>
      </c>
      <c r="B83" s="1" t="s">
        <v>37</v>
      </c>
      <c r="C83" s="1">
        <v>1</v>
      </c>
    </row>
    <row r="84" spans="1:4" ht="12.75" customHeight="1" x14ac:dyDescent="0.3">
      <c r="A84" s="1" t="s">
        <v>112</v>
      </c>
      <c r="B84" s="1" t="s">
        <v>38</v>
      </c>
      <c r="D84" s="1">
        <v>1</v>
      </c>
    </row>
    <row r="85" spans="1:4" ht="12.75" customHeight="1" x14ac:dyDescent="0.3">
      <c r="A85" s="1" t="s">
        <v>113</v>
      </c>
      <c r="B85" s="1" t="s">
        <v>21</v>
      </c>
      <c r="C85" s="1">
        <v>1</v>
      </c>
    </row>
    <row r="86" spans="1:4" ht="12.75" customHeight="1" x14ac:dyDescent="0.3">
      <c r="A86" s="1" t="s">
        <v>114</v>
      </c>
      <c r="B86" s="1" t="s">
        <v>42</v>
      </c>
      <c r="C86" s="1">
        <v>1</v>
      </c>
    </row>
    <row r="87" spans="1:4" ht="12.75" customHeight="1" x14ac:dyDescent="0.3">
      <c r="A87" s="1" t="s">
        <v>115</v>
      </c>
      <c r="B87" s="1" t="s">
        <v>21</v>
      </c>
      <c r="C87" s="1">
        <v>1</v>
      </c>
    </row>
    <row r="88" spans="1:4" ht="12.75" customHeight="1" x14ac:dyDescent="0.3">
      <c r="A88" s="1" t="s">
        <v>116</v>
      </c>
      <c r="B88" s="1" t="s">
        <v>30</v>
      </c>
      <c r="D88" s="1">
        <v>1</v>
      </c>
    </row>
    <row r="89" spans="1:4" ht="12.75" customHeight="1" x14ac:dyDescent="0.3">
      <c r="A89" s="1" t="s">
        <v>117</v>
      </c>
      <c r="B89" s="1" t="s">
        <v>16</v>
      </c>
      <c r="C89" s="1">
        <v>1</v>
      </c>
    </row>
    <row r="90" spans="1:4" ht="12.75" customHeight="1" x14ac:dyDescent="0.3">
      <c r="A90" s="1" t="s">
        <v>118</v>
      </c>
      <c r="B90" s="1" t="s">
        <v>16</v>
      </c>
      <c r="D90" s="1">
        <v>1</v>
      </c>
    </row>
    <row r="91" spans="1:4" ht="12.75" customHeight="1" x14ac:dyDescent="0.3">
      <c r="A91" s="1" t="s">
        <v>119</v>
      </c>
      <c r="B91" s="1" t="s">
        <v>66</v>
      </c>
      <c r="D91" s="1">
        <v>1</v>
      </c>
    </row>
    <row r="92" spans="1:4" ht="12.75" customHeight="1" x14ac:dyDescent="0.3">
      <c r="A92" s="1" t="s">
        <v>120</v>
      </c>
      <c r="B92" s="1" t="s">
        <v>13</v>
      </c>
      <c r="C92" s="1">
        <v>1</v>
      </c>
    </row>
    <row r="93" spans="1:4" ht="12.75" customHeight="1" x14ac:dyDescent="0.3">
      <c r="A93" s="1" t="s">
        <v>121</v>
      </c>
      <c r="B93" s="1" t="s">
        <v>30</v>
      </c>
      <c r="D93" s="1">
        <v>1</v>
      </c>
    </row>
    <row r="94" spans="1:4" ht="12.75" customHeight="1" x14ac:dyDescent="0.3">
      <c r="A94" s="1" t="s">
        <v>122</v>
      </c>
      <c r="B94" s="1" t="s">
        <v>24</v>
      </c>
      <c r="C94" s="1">
        <v>1</v>
      </c>
    </row>
    <row r="95" spans="1:4" ht="12.75" customHeight="1" x14ac:dyDescent="0.3">
      <c r="A95" s="1" t="s">
        <v>123</v>
      </c>
      <c r="B95" s="1" t="s">
        <v>21</v>
      </c>
      <c r="C95" s="1">
        <v>1</v>
      </c>
    </row>
    <row r="96" spans="1:4" ht="12.75" customHeight="1" x14ac:dyDescent="0.3">
      <c r="A96" s="1" t="s">
        <v>124</v>
      </c>
      <c r="B96" s="1" t="s">
        <v>14</v>
      </c>
      <c r="C96" s="1">
        <v>1</v>
      </c>
    </row>
    <row r="97" spans="1:6" ht="12.75" customHeight="1" x14ac:dyDescent="0.3">
      <c r="A97" s="1" t="s">
        <v>125</v>
      </c>
      <c r="B97" s="1" t="s">
        <v>66</v>
      </c>
      <c r="D97" s="1">
        <v>1</v>
      </c>
    </row>
    <row r="98" spans="1:6" ht="12.75" customHeight="1" x14ac:dyDescent="0.3">
      <c r="A98" s="1" t="s">
        <v>126</v>
      </c>
      <c r="B98" s="1" t="s">
        <v>30</v>
      </c>
      <c r="D98" s="1">
        <v>1</v>
      </c>
    </row>
    <row r="99" spans="1:6" ht="12.75" customHeight="1" x14ac:dyDescent="0.3">
      <c r="A99" s="1" t="s">
        <v>127</v>
      </c>
      <c r="B99" s="1" t="s">
        <v>27</v>
      </c>
      <c r="D99" s="1">
        <v>1</v>
      </c>
    </row>
    <row r="100" spans="1:6" ht="12.75" customHeight="1" x14ac:dyDescent="0.3">
      <c r="A100" s="1" t="s">
        <v>128</v>
      </c>
      <c r="B100" s="1" t="s">
        <v>30</v>
      </c>
      <c r="D100" s="1">
        <v>1</v>
      </c>
    </row>
    <row r="101" spans="1:6" ht="12.75" customHeight="1" x14ac:dyDescent="0.3">
      <c r="A101" s="1" t="s">
        <v>129</v>
      </c>
      <c r="B101" s="1" t="s">
        <v>27</v>
      </c>
      <c r="D101" s="1">
        <v>1</v>
      </c>
    </row>
    <row r="102" spans="1:6" ht="12.75" customHeight="1" x14ac:dyDescent="0.3">
      <c r="A102" s="1" t="s">
        <v>130</v>
      </c>
      <c r="B102" s="1" t="s">
        <v>16</v>
      </c>
      <c r="D102" s="1">
        <v>1</v>
      </c>
    </row>
    <row r="103" spans="1:6" ht="12.75" customHeight="1" x14ac:dyDescent="0.3">
      <c r="A103" s="1" t="s">
        <v>131</v>
      </c>
      <c r="B103" s="1" t="s">
        <v>66</v>
      </c>
      <c r="D103" s="1">
        <v>1</v>
      </c>
    </row>
    <row r="104" spans="1:6" ht="12.75" customHeight="1" x14ac:dyDescent="0.3">
      <c r="A104" s="1" t="s">
        <v>132</v>
      </c>
      <c r="B104" s="1" t="s">
        <v>30</v>
      </c>
      <c r="D104" s="1">
        <v>1</v>
      </c>
    </row>
    <row r="105" spans="1:6" ht="12.75" customHeight="1" x14ac:dyDescent="0.3">
      <c r="A105" s="1" t="s">
        <v>133</v>
      </c>
      <c r="B105" s="1" t="s">
        <v>14</v>
      </c>
      <c r="C105" s="1">
        <v>1</v>
      </c>
    </row>
    <row r="106" spans="1:6" ht="12.75" customHeight="1" x14ac:dyDescent="0.3">
      <c r="A106" s="1" t="s">
        <v>134</v>
      </c>
      <c r="B106" s="1" t="s">
        <v>42</v>
      </c>
      <c r="C106" s="1">
        <v>1</v>
      </c>
    </row>
    <row r="107" spans="1:6" ht="12.75" customHeight="1" x14ac:dyDescent="0.3">
      <c r="A107" s="1" t="s">
        <v>135</v>
      </c>
      <c r="B107" s="1" t="s">
        <v>27</v>
      </c>
      <c r="D107" s="1">
        <v>1</v>
      </c>
    </row>
    <row r="108" spans="1:6" ht="12.75" customHeight="1" x14ac:dyDescent="0.3">
      <c r="A108" s="1" t="s">
        <v>136</v>
      </c>
      <c r="B108" s="1" t="s">
        <v>66</v>
      </c>
      <c r="D108" s="1">
        <v>1</v>
      </c>
    </row>
    <row r="109" spans="1:6" ht="12.75" customHeight="1" x14ac:dyDescent="0.3">
      <c r="A109" s="1" t="s">
        <v>137</v>
      </c>
      <c r="B109" s="1" t="s">
        <v>13</v>
      </c>
      <c r="F109" s="1">
        <v>1</v>
      </c>
    </row>
    <row r="110" spans="1:6" ht="12.75" customHeight="1" x14ac:dyDescent="0.3">
      <c r="A110" s="1" t="s">
        <v>138</v>
      </c>
      <c r="B110" s="1" t="s">
        <v>42</v>
      </c>
      <c r="C110" s="1">
        <v>1</v>
      </c>
    </row>
    <row r="111" spans="1:6" ht="12.75" customHeight="1" x14ac:dyDescent="0.3">
      <c r="A111" s="1" t="s">
        <v>139</v>
      </c>
      <c r="B111" s="1" t="s">
        <v>27</v>
      </c>
      <c r="C111" s="1">
        <v>1</v>
      </c>
    </row>
    <row r="112" spans="1:6" ht="12.75" customHeight="1" x14ac:dyDescent="0.3">
      <c r="A112" s="1" t="s">
        <v>140</v>
      </c>
      <c r="B112" s="1" t="s">
        <v>16</v>
      </c>
      <c r="D112" s="1">
        <v>1</v>
      </c>
    </row>
    <row r="113" spans="1:6" ht="12.75" customHeight="1" x14ac:dyDescent="0.3">
      <c r="A113" s="1" t="s">
        <v>141</v>
      </c>
      <c r="B113" s="1" t="s">
        <v>14</v>
      </c>
      <c r="C113" s="1">
        <v>1</v>
      </c>
    </row>
    <row r="114" spans="1:6" ht="12.75" customHeight="1" x14ac:dyDescent="0.3">
      <c r="A114" s="1" t="s">
        <v>142</v>
      </c>
      <c r="B114" s="1" t="s">
        <v>16</v>
      </c>
      <c r="D114" s="1">
        <v>1</v>
      </c>
    </row>
    <row r="115" spans="1:6" ht="12.75" customHeight="1" x14ac:dyDescent="0.3">
      <c r="A115" s="1" t="s">
        <v>143</v>
      </c>
      <c r="B115" s="1" t="s">
        <v>24</v>
      </c>
      <c r="C115" s="1">
        <v>1</v>
      </c>
    </row>
    <row r="116" spans="1:6" ht="12.75" customHeight="1" x14ac:dyDescent="0.3">
      <c r="A116" s="1" t="s">
        <v>144</v>
      </c>
      <c r="B116" s="1" t="s">
        <v>66</v>
      </c>
      <c r="D116" s="1">
        <v>1</v>
      </c>
    </row>
    <row r="117" spans="1:6" ht="12.75" customHeight="1" x14ac:dyDescent="0.3">
      <c r="A117" s="1" t="s">
        <v>145</v>
      </c>
      <c r="B117" s="1" t="s">
        <v>27</v>
      </c>
      <c r="C117" s="1">
        <v>1</v>
      </c>
    </row>
    <row r="118" spans="1:6" ht="12.75" customHeight="1" x14ac:dyDescent="0.3">
      <c r="A118" s="1" t="s">
        <v>146</v>
      </c>
      <c r="B118" s="1" t="s">
        <v>30</v>
      </c>
      <c r="D118" s="1">
        <v>1</v>
      </c>
    </row>
    <row r="119" spans="1:6" ht="12.75" customHeight="1" x14ac:dyDescent="0.3">
      <c r="A119" s="1" t="s">
        <v>147</v>
      </c>
      <c r="B119" s="1" t="s">
        <v>42</v>
      </c>
      <c r="C119" s="1">
        <v>1</v>
      </c>
    </row>
    <row r="120" spans="1:6" ht="12.75" customHeight="1" x14ac:dyDescent="0.3">
      <c r="A120" s="1" t="s">
        <v>148</v>
      </c>
      <c r="B120" s="1" t="s">
        <v>13</v>
      </c>
      <c r="C120" s="1">
        <v>1</v>
      </c>
    </row>
    <row r="121" spans="1:6" ht="12.75" customHeight="1" x14ac:dyDescent="0.3">
      <c r="A121" s="1" t="s">
        <v>149</v>
      </c>
      <c r="B121" s="1" t="s">
        <v>150</v>
      </c>
      <c r="F121" s="1">
        <v>1</v>
      </c>
    </row>
    <row r="122" spans="1:6" ht="12.75" customHeight="1" x14ac:dyDescent="0.3">
      <c r="A122" s="1" t="s">
        <v>151</v>
      </c>
      <c r="B122" s="1" t="s">
        <v>24</v>
      </c>
      <c r="C122" s="1">
        <v>1</v>
      </c>
    </row>
    <row r="123" spans="1:6" ht="12.75" customHeight="1" x14ac:dyDescent="0.3">
      <c r="A123" s="1" t="s">
        <v>152</v>
      </c>
      <c r="B123" s="1" t="s">
        <v>24</v>
      </c>
      <c r="C123" s="1">
        <v>1</v>
      </c>
    </row>
    <row r="124" spans="1:6" ht="12.75" customHeight="1" x14ac:dyDescent="0.3">
      <c r="A124" s="1" t="s">
        <v>153</v>
      </c>
      <c r="B124" s="1" t="s">
        <v>19</v>
      </c>
      <c r="C124" s="1">
        <v>1</v>
      </c>
    </row>
    <row r="125" spans="1:6" ht="12.75" customHeight="1" x14ac:dyDescent="0.3">
      <c r="A125" s="1" t="s">
        <v>154</v>
      </c>
      <c r="B125" s="1" t="s">
        <v>33</v>
      </c>
      <c r="C125" s="1">
        <v>1</v>
      </c>
    </row>
    <row r="126" spans="1:6" ht="12.75" customHeight="1" x14ac:dyDescent="0.3">
      <c r="A126" s="1" t="s">
        <v>155</v>
      </c>
      <c r="B126" s="1" t="s">
        <v>13</v>
      </c>
      <c r="E126" s="1">
        <v>1</v>
      </c>
    </row>
    <row r="127" spans="1:6" ht="12.75" customHeight="1" x14ac:dyDescent="0.3">
      <c r="A127" s="1" t="s">
        <v>156</v>
      </c>
      <c r="B127" s="1" t="s">
        <v>13</v>
      </c>
      <c r="D127" s="1">
        <v>1</v>
      </c>
    </row>
    <row r="128" spans="1:6" ht="12.75" customHeight="1" x14ac:dyDescent="0.3">
      <c r="A128" s="1" t="s">
        <v>157</v>
      </c>
      <c r="B128" s="1" t="s">
        <v>14</v>
      </c>
      <c r="C128" s="1">
        <v>1</v>
      </c>
    </row>
    <row r="129" spans="1:5" ht="12.75" customHeight="1" x14ac:dyDescent="0.3">
      <c r="A129" s="1" t="s">
        <v>158</v>
      </c>
      <c r="B129" s="1" t="s">
        <v>16</v>
      </c>
      <c r="E129" s="1">
        <v>1</v>
      </c>
    </row>
    <row r="130" spans="1:5" ht="12.75" customHeight="1" x14ac:dyDescent="0.3">
      <c r="A130" s="1" t="s">
        <v>159</v>
      </c>
      <c r="B130" s="1" t="s">
        <v>13</v>
      </c>
      <c r="C130" s="1">
        <v>1</v>
      </c>
    </row>
    <row r="131" spans="1:5" ht="12.75" customHeight="1" x14ac:dyDescent="0.3">
      <c r="A131" s="1" t="s">
        <v>160</v>
      </c>
      <c r="B131" s="1" t="s">
        <v>66</v>
      </c>
      <c r="D131" s="1">
        <v>1</v>
      </c>
    </row>
    <row r="132" spans="1:5" ht="12.75" customHeight="1" x14ac:dyDescent="0.3">
      <c r="A132" s="1" t="s">
        <v>161</v>
      </c>
      <c r="B132" s="1" t="s">
        <v>38</v>
      </c>
      <c r="D132" s="1">
        <v>1</v>
      </c>
    </row>
    <row r="133" spans="1:5" ht="12.75" customHeight="1" x14ac:dyDescent="0.3">
      <c r="A133" s="1" t="s">
        <v>162</v>
      </c>
      <c r="B133" s="1" t="s">
        <v>13</v>
      </c>
      <c r="C133" s="1">
        <v>1</v>
      </c>
    </row>
    <row r="134" spans="1:5" ht="12.75" customHeight="1" x14ac:dyDescent="0.3">
      <c r="A134" s="1" t="s">
        <v>163</v>
      </c>
      <c r="B134" s="1" t="s">
        <v>66</v>
      </c>
      <c r="D134" s="1">
        <v>1</v>
      </c>
    </row>
    <row r="135" spans="1:5" ht="12.75" customHeight="1" x14ac:dyDescent="0.3">
      <c r="A135" s="1" t="s">
        <v>164</v>
      </c>
      <c r="B135" s="1" t="s">
        <v>21</v>
      </c>
      <c r="C135" s="1">
        <v>1</v>
      </c>
    </row>
    <row r="136" spans="1:5" ht="12.75" customHeight="1" x14ac:dyDescent="0.3">
      <c r="A136" s="1" t="s">
        <v>165</v>
      </c>
      <c r="B136" s="1" t="s">
        <v>30</v>
      </c>
      <c r="D136" s="1">
        <v>1</v>
      </c>
    </row>
    <row r="137" spans="1:5" ht="12.75" customHeight="1" x14ac:dyDescent="0.3">
      <c r="A137" s="1" t="s">
        <v>166</v>
      </c>
      <c r="B137" s="1" t="s">
        <v>30</v>
      </c>
      <c r="D137" s="1">
        <v>1</v>
      </c>
    </row>
    <row r="138" spans="1:5" ht="12.75" customHeight="1" x14ac:dyDescent="0.3">
      <c r="A138" s="1" t="s">
        <v>167</v>
      </c>
      <c r="B138" s="1" t="s">
        <v>19</v>
      </c>
      <c r="C138" s="1">
        <v>1</v>
      </c>
    </row>
    <row r="139" spans="1:5" ht="12.75" customHeight="1" x14ac:dyDescent="0.3">
      <c r="A139" s="1" t="s">
        <v>168</v>
      </c>
      <c r="B139" s="1" t="s">
        <v>13</v>
      </c>
      <c r="C139" s="1">
        <v>1</v>
      </c>
    </row>
    <row r="140" spans="1:5" ht="12.75" customHeight="1" x14ac:dyDescent="0.3">
      <c r="A140" s="1" t="s">
        <v>169</v>
      </c>
      <c r="B140" s="1" t="s">
        <v>27</v>
      </c>
      <c r="D140" s="1">
        <v>1</v>
      </c>
    </row>
    <row r="141" spans="1:5" ht="12.75" customHeight="1" x14ac:dyDescent="0.3">
      <c r="A141" s="1" t="s">
        <v>170</v>
      </c>
      <c r="B141" s="1" t="s">
        <v>16</v>
      </c>
      <c r="C141" s="1">
        <v>1</v>
      </c>
    </row>
    <row r="142" spans="1:5" ht="12.75" customHeight="1" x14ac:dyDescent="0.3">
      <c r="A142" s="1" t="s">
        <v>171</v>
      </c>
      <c r="B142" s="1" t="s">
        <v>19</v>
      </c>
      <c r="C142" s="1">
        <v>1</v>
      </c>
    </row>
    <row r="143" spans="1:5" ht="12.75" customHeight="1" x14ac:dyDescent="0.3">
      <c r="A143" s="1" t="s">
        <v>172</v>
      </c>
      <c r="B143" s="1" t="s">
        <v>37</v>
      </c>
      <c r="C143" s="1">
        <v>1</v>
      </c>
    </row>
    <row r="144" spans="1:5" ht="12.75" customHeight="1" x14ac:dyDescent="0.3">
      <c r="A144" s="1" t="s">
        <v>173</v>
      </c>
      <c r="B144" s="1" t="s">
        <v>27</v>
      </c>
      <c r="D144" s="1">
        <v>1</v>
      </c>
    </row>
    <row r="145" spans="1:4" ht="12.75" customHeight="1" x14ac:dyDescent="0.3">
      <c r="A145" s="1" t="s">
        <v>174</v>
      </c>
      <c r="B145" s="1" t="s">
        <v>66</v>
      </c>
      <c r="D145" s="1">
        <v>1</v>
      </c>
    </row>
    <row r="146" spans="1:4" ht="12.75" customHeight="1" x14ac:dyDescent="0.3">
      <c r="A146" s="1" t="s">
        <v>175</v>
      </c>
      <c r="B146" s="1" t="s">
        <v>14</v>
      </c>
      <c r="C146" s="1">
        <v>1</v>
      </c>
    </row>
    <row r="147" spans="1:4" ht="12.75" customHeight="1" x14ac:dyDescent="0.3">
      <c r="A147" s="1" t="s">
        <v>176</v>
      </c>
      <c r="B147" s="1" t="s">
        <v>66</v>
      </c>
      <c r="D147" s="1">
        <v>1</v>
      </c>
    </row>
    <row r="148" spans="1:4" ht="12.75" customHeight="1" x14ac:dyDescent="0.3">
      <c r="A148" s="1" t="s">
        <v>177</v>
      </c>
      <c r="B148" s="1" t="s">
        <v>42</v>
      </c>
      <c r="C148" s="1">
        <v>1</v>
      </c>
    </row>
    <row r="149" spans="1:4" ht="12.75" customHeight="1" x14ac:dyDescent="0.3">
      <c r="A149" s="1" t="s">
        <v>178</v>
      </c>
      <c r="B149" s="1" t="s">
        <v>33</v>
      </c>
      <c r="C149" s="1">
        <v>1</v>
      </c>
    </row>
    <row r="150" spans="1:4" ht="12.75" customHeight="1" x14ac:dyDescent="0.3">
      <c r="A150" s="1" t="s">
        <v>179</v>
      </c>
      <c r="B150" s="1" t="s">
        <v>14</v>
      </c>
      <c r="C150" s="1">
        <v>1</v>
      </c>
    </row>
    <row r="151" spans="1:4" ht="12.75" customHeight="1" x14ac:dyDescent="0.3">
      <c r="A151" s="1" t="s">
        <v>180</v>
      </c>
      <c r="B151" s="1" t="s">
        <v>13</v>
      </c>
      <c r="C151" s="1">
        <v>1</v>
      </c>
    </row>
    <row r="152" spans="1:4" ht="12.75" customHeight="1" x14ac:dyDescent="0.3">
      <c r="A152" s="1" t="s">
        <v>181</v>
      </c>
      <c r="B152" s="1" t="s">
        <v>24</v>
      </c>
      <c r="C152" s="1">
        <v>1</v>
      </c>
    </row>
    <row r="153" spans="1:4" ht="12.75" customHeight="1" x14ac:dyDescent="0.3">
      <c r="A153" s="1" t="s">
        <v>182</v>
      </c>
      <c r="B153" s="1" t="s">
        <v>19</v>
      </c>
      <c r="C153" s="1">
        <v>1</v>
      </c>
    </row>
    <row r="154" spans="1:4" ht="12.75" customHeight="1" x14ac:dyDescent="0.3">
      <c r="A154" s="1" t="s">
        <v>183</v>
      </c>
      <c r="B154" s="1" t="s">
        <v>42</v>
      </c>
      <c r="C154" s="1">
        <v>1</v>
      </c>
    </row>
    <row r="155" spans="1:4" ht="12.75" customHeight="1" x14ac:dyDescent="0.3">
      <c r="A155" s="1" t="s">
        <v>184</v>
      </c>
      <c r="B155" s="1" t="s">
        <v>19</v>
      </c>
      <c r="C155" s="1">
        <v>1</v>
      </c>
    </row>
    <row r="156" spans="1:4" ht="12.75" customHeight="1" x14ac:dyDescent="0.3">
      <c r="A156" s="1" t="s">
        <v>185</v>
      </c>
      <c r="B156" s="1" t="s">
        <v>30</v>
      </c>
      <c r="D156" s="1">
        <v>1</v>
      </c>
    </row>
    <row r="157" spans="1:4" ht="12.75" customHeight="1" x14ac:dyDescent="0.3"/>
    <row r="158" spans="1:4" ht="12.75" customHeight="1" x14ac:dyDescent="0.3"/>
    <row r="159" spans="1:4" ht="12.75" customHeight="1" x14ac:dyDescent="0.3"/>
    <row r="160" spans="1:4" ht="12.75" customHeight="1" x14ac:dyDescent="0.3"/>
    <row r="161" s="1" customFormat="1" ht="12.75" customHeight="1" x14ac:dyDescent="0.3"/>
    <row r="162" s="1" customFormat="1" ht="12.75" customHeight="1" x14ac:dyDescent="0.3"/>
    <row r="163" s="1" customFormat="1" ht="12.75" customHeight="1" x14ac:dyDescent="0.3"/>
    <row r="164" s="1" customFormat="1" ht="12.75" customHeight="1" x14ac:dyDescent="0.3"/>
    <row r="165" s="1" customFormat="1" ht="12.75" customHeight="1" x14ac:dyDescent="0.3"/>
    <row r="166" s="1" customFormat="1" ht="12.75" customHeight="1" x14ac:dyDescent="0.3"/>
    <row r="167" s="1" customFormat="1" ht="12.75" customHeight="1" x14ac:dyDescent="0.3"/>
    <row r="168" s="1" customFormat="1" ht="12.75" customHeight="1" x14ac:dyDescent="0.3"/>
    <row r="169" s="1" customFormat="1" ht="12.75" customHeight="1" x14ac:dyDescent="0.3"/>
    <row r="170" s="1" customFormat="1" ht="12.75" customHeight="1" x14ac:dyDescent="0.3"/>
    <row r="171" s="1" customFormat="1" ht="12.75" customHeight="1" x14ac:dyDescent="0.3"/>
    <row r="172" s="1" customFormat="1" ht="12.75" customHeight="1" x14ac:dyDescent="0.3"/>
    <row r="173" s="1" customFormat="1" ht="12.75" customHeight="1" x14ac:dyDescent="0.3"/>
    <row r="174" s="1" customFormat="1" ht="12.75" customHeight="1" x14ac:dyDescent="0.3"/>
    <row r="175" s="1" customFormat="1" ht="12.75" customHeight="1" x14ac:dyDescent="0.3"/>
    <row r="176" s="1" customFormat="1" ht="12.75" customHeight="1" x14ac:dyDescent="0.3"/>
    <row r="177" s="1" customFormat="1" ht="12.75" customHeight="1" x14ac:dyDescent="0.3"/>
    <row r="178" s="1" customFormat="1" ht="12.75" customHeight="1" x14ac:dyDescent="0.3"/>
    <row r="179" s="1" customFormat="1" ht="12.75" customHeight="1" x14ac:dyDescent="0.3"/>
    <row r="180" s="1" customFormat="1" ht="12.75" customHeight="1" x14ac:dyDescent="0.3"/>
    <row r="181" s="1" customFormat="1" ht="12.75" customHeight="1" x14ac:dyDescent="0.3"/>
    <row r="182" s="1" customFormat="1" ht="12.75" customHeight="1" x14ac:dyDescent="0.3"/>
    <row r="183" s="1" customFormat="1" ht="12.75" customHeight="1" x14ac:dyDescent="0.3"/>
    <row r="184" s="1" customFormat="1" ht="12.75" customHeight="1" x14ac:dyDescent="0.3"/>
    <row r="185" s="1" customFormat="1" ht="12.75" customHeight="1" x14ac:dyDescent="0.3"/>
    <row r="186" s="1" customFormat="1" ht="12.75" customHeight="1" x14ac:dyDescent="0.3"/>
    <row r="187" s="1" customFormat="1" ht="12.75" customHeight="1" x14ac:dyDescent="0.3"/>
    <row r="188" s="1" customFormat="1" ht="12.75" customHeight="1" x14ac:dyDescent="0.3"/>
    <row r="189" s="1" customFormat="1" ht="12.75" customHeight="1" x14ac:dyDescent="0.3"/>
    <row r="190" s="1" customFormat="1" ht="12.75" customHeight="1" x14ac:dyDescent="0.3"/>
    <row r="191" s="1" customFormat="1" ht="12.75" customHeight="1" x14ac:dyDescent="0.3"/>
    <row r="192" s="1" customFormat="1" ht="12.75" customHeight="1" x14ac:dyDescent="0.3"/>
    <row r="193" s="1" customFormat="1" ht="12.75" customHeight="1" x14ac:dyDescent="0.3"/>
    <row r="194" s="1" customFormat="1" ht="12.75" customHeight="1" x14ac:dyDescent="0.3"/>
    <row r="195" s="1" customFormat="1" ht="12.75" customHeight="1" x14ac:dyDescent="0.3"/>
    <row r="196" s="1" customFormat="1" ht="12.75" customHeight="1" x14ac:dyDescent="0.3"/>
    <row r="197" s="1" customFormat="1" ht="12.75" customHeight="1" x14ac:dyDescent="0.3"/>
    <row r="198" s="1" customFormat="1" ht="12.75" customHeight="1" x14ac:dyDescent="0.3"/>
    <row r="199" s="1" customFormat="1" ht="12.75" customHeight="1" x14ac:dyDescent="0.3"/>
    <row r="200" s="1" customFormat="1" ht="12.75" customHeight="1" x14ac:dyDescent="0.3"/>
    <row r="201" s="1" customFormat="1" ht="12.75" customHeight="1" x14ac:dyDescent="0.3"/>
    <row r="202" s="1" customFormat="1" ht="12.75" customHeight="1" x14ac:dyDescent="0.3"/>
    <row r="203" s="1" customFormat="1" ht="12.75" customHeight="1" x14ac:dyDescent="0.3"/>
    <row r="204" s="1" customFormat="1" ht="12.75" customHeight="1" x14ac:dyDescent="0.3"/>
    <row r="205" s="1" customFormat="1" ht="12.75" customHeight="1" x14ac:dyDescent="0.3"/>
    <row r="206" s="1" customFormat="1" ht="12.75" customHeight="1" x14ac:dyDescent="0.3"/>
    <row r="207" s="1" customFormat="1" ht="12.75" customHeight="1" x14ac:dyDescent="0.3"/>
    <row r="208" s="1" customFormat="1" ht="12.75" customHeight="1" x14ac:dyDescent="0.3"/>
    <row r="209" s="1" customFormat="1" ht="12.75" customHeight="1" x14ac:dyDescent="0.3"/>
    <row r="210" s="1" customFormat="1" ht="12.75" customHeight="1" x14ac:dyDescent="0.3"/>
    <row r="211" s="1" customFormat="1" ht="12.75" customHeight="1" x14ac:dyDescent="0.3"/>
    <row r="212" s="1" customFormat="1" ht="12.75" customHeight="1" x14ac:dyDescent="0.3"/>
    <row r="213" s="1" customFormat="1" ht="12.75" customHeight="1" x14ac:dyDescent="0.3"/>
    <row r="214" s="1" customFormat="1" ht="12.75" customHeight="1" x14ac:dyDescent="0.3"/>
    <row r="215" s="1" customFormat="1" ht="12.75" customHeight="1" x14ac:dyDescent="0.3"/>
    <row r="216" s="1" customFormat="1" ht="12.75" customHeight="1" x14ac:dyDescent="0.3"/>
    <row r="217" s="1" customFormat="1" ht="12.75" customHeight="1" x14ac:dyDescent="0.3"/>
    <row r="218" s="1" customFormat="1" ht="12.75" customHeight="1" x14ac:dyDescent="0.3"/>
    <row r="219" s="1" customFormat="1" ht="12.75" customHeight="1" x14ac:dyDescent="0.3"/>
    <row r="220" s="1" customFormat="1" ht="12.75" customHeight="1" x14ac:dyDescent="0.3"/>
    <row r="221" s="1" customFormat="1" ht="12.75" customHeight="1" x14ac:dyDescent="0.3"/>
    <row r="222" s="1" customFormat="1" ht="12.75" customHeight="1" x14ac:dyDescent="0.3"/>
    <row r="223" s="1" customFormat="1" ht="12.75" customHeight="1" x14ac:dyDescent="0.3"/>
    <row r="224" s="1" customFormat="1" ht="12.75" customHeight="1" x14ac:dyDescent="0.3"/>
    <row r="225" s="1" customFormat="1" ht="12.75" customHeight="1" x14ac:dyDescent="0.3"/>
    <row r="226" s="1" customFormat="1" ht="12.75" customHeight="1" x14ac:dyDescent="0.3"/>
    <row r="227" s="1" customFormat="1" ht="12.75" customHeight="1" x14ac:dyDescent="0.3"/>
    <row r="228" s="1" customFormat="1" ht="12.75" customHeight="1" x14ac:dyDescent="0.3"/>
    <row r="229" s="1" customFormat="1" ht="12.75" customHeight="1" x14ac:dyDescent="0.3"/>
    <row r="230" s="1" customFormat="1" ht="12.75" customHeight="1" x14ac:dyDescent="0.3"/>
    <row r="231" s="1" customFormat="1" ht="12.75" customHeight="1" x14ac:dyDescent="0.3"/>
    <row r="232" s="1" customFormat="1" ht="12.75" customHeight="1" x14ac:dyDescent="0.3"/>
    <row r="233" s="1" customFormat="1" ht="12.75" customHeight="1" x14ac:dyDescent="0.3"/>
    <row r="234" s="1" customFormat="1" ht="12.75" customHeight="1" x14ac:dyDescent="0.3"/>
    <row r="235" s="1" customFormat="1" ht="12.75" customHeight="1" x14ac:dyDescent="0.3"/>
    <row r="236" s="1" customFormat="1" ht="12.75" customHeight="1" x14ac:dyDescent="0.3"/>
    <row r="237" s="1" customFormat="1" ht="12.75" customHeight="1" x14ac:dyDescent="0.3"/>
    <row r="238" s="1" customFormat="1" ht="12.75" customHeight="1" x14ac:dyDescent="0.3"/>
    <row r="239" s="1" customFormat="1" ht="12.75" customHeight="1" x14ac:dyDescent="0.3"/>
    <row r="240" s="1" customFormat="1" ht="12.75" customHeight="1" x14ac:dyDescent="0.3"/>
    <row r="241" s="1" customFormat="1" ht="12.75" customHeight="1" x14ac:dyDescent="0.3"/>
    <row r="242" s="1" customFormat="1" ht="12.75" customHeight="1" x14ac:dyDescent="0.3"/>
    <row r="243" s="1" customFormat="1" ht="12.75" customHeight="1" x14ac:dyDescent="0.3"/>
    <row r="244" s="1" customFormat="1" ht="12.75" customHeight="1" x14ac:dyDescent="0.3"/>
    <row r="245" s="1" customFormat="1" ht="12.75" customHeight="1" x14ac:dyDescent="0.3"/>
    <row r="246" s="1" customFormat="1" ht="12.75" customHeight="1" x14ac:dyDescent="0.3"/>
    <row r="247" s="1" customFormat="1" ht="12.75" customHeight="1" x14ac:dyDescent="0.3"/>
    <row r="248" s="1" customFormat="1" ht="12.75" customHeight="1" x14ac:dyDescent="0.3"/>
    <row r="249" s="1" customFormat="1" ht="12.75" customHeight="1" x14ac:dyDescent="0.3"/>
    <row r="250" s="1" customFormat="1" ht="12.75" customHeight="1" x14ac:dyDescent="0.3"/>
    <row r="251" s="1" customFormat="1" ht="12.75" customHeight="1" x14ac:dyDescent="0.3"/>
    <row r="252" s="1" customFormat="1" ht="12.75" customHeight="1" x14ac:dyDescent="0.3"/>
    <row r="253" s="1" customFormat="1" ht="12.75" customHeight="1" x14ac:dyDescent="0.3"/>
    <row r="254" s="1" customFormat="1" ht="12.75" customHeight="1" x14ac:dyDescent="0.3"/>
    <row r="255" s="1" customFormat="1" ht="12.75" customHeight="1" x14ac:dyDescent="0.3"/>
    <row r="256" s="1" customFormat="1" ht="12.75" customHeight="1" x14ac:dyDescent="0.3"/>
    <row r="257" s="1" customFormat="1" ht="12.75" customHeight="1" x14ac:dyDescent="0.3"/>
    <row r="258" s="1" customFormat="1" ht="12.75" customHeight="1" x14ac:dyDescent="0.3"/>
    <row r="259" s="1" customFormat="1" ht="12.75" customHeight="1" x14ac:dyDescent="0.3"/>
    <row r="260" s="1" customFormat="1" ht="12.75" customHeight="1" x14ac:dyDescent="0.3"/>
    <row r="261" s="1" customFormat="1" ht="12.75" customHeight="1" x14ac:dyDescent="0.3"/>
    <row r="262" s="1" customFormat="1" ht="12.75" customHeight="1" x14ac:dyDescent="0.3"/>
    <row r="263" s="1" customFormat="1" ht="12.75" customHeight="1" x14ac:dyDescent="0.3"/>
    <row r="264" s="1" customFormat="1" ht="12.75" customHeight="1" x14ac:dyDescent="0.3"/>
    <row r="265" s="1" customFormat="1" ht="12.75" customHeight="1" x14ac:dyDescent="0.3"/>
    <row r="266" s="1" customFormat="1" ht="12.75" customHeight="1" x14ac:dyDescent="0.3"/>
    <row r="267" s="1" customFormat="1" ht="12.75" customHeight="1" x14ac:dyDescent="0.3"/>
    <row r="268" s="1" customFormat="1" ht="12.75" customHeight="1" x14ac:dyDescent="0.3"/>
    <row r="269" s="1" customFormat="1" ht="12.75" customHeight="1" x14ac:dyDescent="0.3"/>
    <row r="270" s="1" customFormat="1" ht="12.75" customHeight="1" x14ac:dyDescent="0.3"/>
    <row r="271" s="1" customFormat="1" ht="12.75" customHeight="1" x14ac:dyDescent="0.3"/>
    <row r="272" s="1" customFormat="1" ht="12.75" customHeight="1" x14ac:dyDescent="0.3"/>
    <row r="273" s="1" customFormat="1" ht="12.75" customHeight="1" x14ac:dyDescent="0.3"/>
    <row r="274" s="1" customFormat="1" ht="12.75" customHeight="1" x14ac:dyDescent="0.3"/>
    <row r="275" s="1" customFormat="1" ht="12.75" customHeight="1" x14ac:dyDescent="0.3"/>
    <row r="276" s="1" customFormat="1" ht="12.75" customHeight="1" x14ac:dyDescent="0.3"/>
    <row r="277" s="1" customFormat="1" ht="12.75" customHeight="1" x14ac:dyDescent="0.3"/>
    <row r="278" s="1" customFormat="1" ht="12.75" customHeight="1" x14ac:dyDescent="0.3"/>
    <row r="279" s="1" customFormat="1" ht="12.75" customHeight="1" x14ac:dyDescent="0.3"/>
    <row r="280" s="1" customFormat="1" ht="12.75" customHeight="1" x14ac:dyDescent="0.3"/>
    <row r="281" s="1" customFormat="1" ht="12.75" customHeight="1" x14ac:dyDescent="0.3"/>
    <row r="282" s="1" customFormat="1" ht="12.75" customHeight="1" x14ac:dyDescent="0.3"/>
    <row r="283" s="1" customFormat="1" ht="12.75" customHeight="1" x14ac:dyDescent="0.3"/>
    <row r="284" s="1" customFormat="1" ht="12.75" customHeight="1" x14ac:dyDescent="0.3"/>
    <row r="285" s="1" customFormat="1" ht="12.75" customHeight="1" x14ac:dyDescent="0.3"/>
    <row r="286" s="1" customFormat="1" ht="12.75" customHeight="1" x14ac:dyDescent="0.3"/>
    <row r="287" s="1" customFormat="1" ht="12.75" customHeight="1" x14ac:dyDescent="0.3"/>
    <row r="288" s="1" customFormat="1" ht="12.75" customHeight="1" x14ac:dyDescent="0.3"/>
    <row r="289" s="1" customFormat="1" ht="12.75" customHeight="1" x14ac:dyDescent="0.3"/>
    <row r="290" s="1" customFormat="1" ht="12.75" customHeight="1" x14ac:dyDescent="0.3"/>
    <row r="291" s="1" customFormat="1" ht="12.75" customHeight="1" x14ac:dyDescent="0.3"/>
    <row r="292" s="1" customFormat="1" ht="12.75" customHeight="1" x14ac:dyDescent="0.3"/>
    <row r="293" s="1" customFormat="1" ht="12.75" customHeight="1" x14ac:dyDescent="0.3"/>
    <row r="294" s="1" customFormat="1" ht="12.75" customHeight="1" x14ac:dyDescent="0.3"/>
    <row r="295" s="1" customFormat="1" ht="12.75" customHeight="1" x14ac:dyDescent="0.3"/>
    <row r="296" s="1" customFormat="1" ht="12.75" customHeight="1" x14ac:dyDescent="0.3"/>
    <row r="297" s="1" customFormat="1" ht="12.75" customHeight="1" x14ac:dyDescent="0.3"/>
    <row r="298" s="1" customFormat="1" ht="12.75" customHeight="1" x14ac:dyDescent="0.3"/>
    <row r="299" s="1" customFormat="1" ht="12.75" customHeight="1" x14ac:dyDescent="0.3"/>
    <row r="300" s="1" customFormat="1" ht="12.75" customHeight="1" x14ac:dyDescent="0.3"/>
    <row r="301" s="1" customFormat="1" ht="12.75" customHeight="1" x14ac:dyDescent="0.3"/>
    <row r="302" s="1" customFormat="1" ht="12.75" customHeight="1" x14ac:dyDescent="0.3"/>
    <row r="303" s="1" customFormat="1" ht="12.75" customHeight="1" x14ac:dyDescent="0.3"/>
    <row r="304" s="1" customFormat="1" ht="12.75" customHeight="1" x14ac:dyDescent="0.3"/>
    <row r="305" s="1" customFormat="1" ht="12.75" customHeight="1" x14ac:dyDescent="0.3"/>
    <row r="306" s="1" customFormat="1" ht="12.75" customHeight="1" x14ac:dyDescent="0.3"/>
    <row r="307" s="1" customFormat="1" ht="12.75" customHeight="1" x14ac:dyDescent="0.3"/>
    <row r="308" s="1" customFormat="1" ht="12.75" customHeight="1" x14ac:dyDescent="0.3"/>
    <row r="309" s="1" customFormat="1" ht="12.75" customHeight="1" x14ac:dyDescent="0.3"/>
    <row r="310" s="1" customFormat="1" ht="12.75" customHeight="1" x14ac:dyDescent="0.3"/>
    <row r="311" s="1" customFormat="1" ht="12.75" customHeight="1" x14ac:dyDescent="0.3"/>
    <row r="312" s="1" customFormat="1" ht="12.75" customHeight="1" x14ac:dyDescent="0.3"/>
    <row r="313" s="1" customFormat="1" ht="12.75" customHeight="1" x14ac:dyDescent="0.3"/>
    <row r="314" s="1" customFormat="1" ht="12.75" customHeight="1" x14ac:dyDescent="0.3"/>
    <row r="315" s="1" customFormat="1" ht="12.75" customHeight="1" x14ac:dyDescent="0.3"/>
    <row r="316" s="1" customFormat="1" ht="12.75" customHeight="1" x14ac:dyDescent="0.3"/>
    <row r="317" s="1" customFormat="1" ht="12.75" customHeight="1" x14ac:dyDescent="0.3"/>
    <row r="318" s="1" customFormat="1" ht="12.75" customHeight="1" x14ac:dyDescent="0.3"/>
    <row r="319" s="1" customFormat="1" ht="12.75" customHeight="1" x14ac:dyDescent="0.3"/>
    <row r="320" s="1" customFormat="1" ht="12.75" customHeight="1" x14ac:dyDescent="0.3"/>
    <row r="321" s="1" customFormat="1" ht="12.75" customHeight="1" x14ac:dyDescent="0.3"/>
    <row r="322" s="1" customFormat="1" ht="12.75" customHeight="1" x14ac:dyDescent="0.3"/>
    <row r="323" s="1" customFormat="1" ht="12.75" customHeight="1" x14ac:dyDescent="0.3"/>
    <row r="324" s="1" customFormat="1" ht="12.75" customHeight="1" x14ac:dyDescent="0.3"/>
    <row r="325" s="1" customFormat="1" ht="12.75" customHeight="1" x14ac:dyDescent="0.3"/>
    <row r="326" s="1" customFormat="1" ht="12.75" customHeight="1" x14ac:dyDescent="0.3"/>
    <row r="327" s="1" customFormat="1" ht="12.75" customHeight="1" x14ac:dyDescent="0.3"/>
    <row r="328" s="1" customFormat="1" ht="12.75" customHeight="1" x14ac:dyDescent="0.3"/>
    <row r="329" s="1" customFormat="1" ht="12.75" customHeight="1" x14ac:dyDescent="0.3"/>
    <row r="330" s="1" customFormat="1" ht="12.75" customHeight="1" x14ac:dyDescent="0.3"/>
    <row r="331" s="1" customFormat="1" ht="12.75" customHeight="1" x14ac:dyDescent="0.3"/>
    <row r="332" s="1" customFormat="1" ht="12.75" customHeight="1" x14ac:dyDescent="0.3"/>
    <row r="333" s="1" customFormat="1" ht="12.75" customHeight="1" x14ac:dyDescent="0.3"/>
    <row r="334" s="1" customFormat="1" ht="12.75" customHeight="1" x14ac:dyDescent="0.3"/>
    <row r="335" s="1" customFormat="1" ht="12.75" customHeight="1" x14ac:dyDescent="0.3"/>
    <row r="336" s="1" customFormat="1" ht="12.75" customHeight="1" x14ac:dyDescent="0.3"/>
    <row r="337" s="1" customFormat="1" ht="12.75" customHeight="1" x14ac:dyDescent="0.3"/>
    <row r="338" s="1" customFormat="1" ht="12.75" customHeight="1" x14ac:dyDescent="0.3"/>
    <row r="339" s="1" customFormat="1" ht="12.75" customHeight="1" x14ac:dyDescent="0.3"/>
    <row r="340" s="1" customFormat="1" ht="12.75" customHeight="1" x14ac:dyDescent="0.3"/>
    <row r="341" s="1" customFormat="1" ht="12.75" customHeight="1" x14ac:dyDescent="0.3"/>
    <row r="342" s="1" customFormat="1" ht="12.75" customHeight="1" x14ac:dyDescent="0.3"/>
    <row r="343" s="1" customFormat="1" ht="12.75" customHeight="1" x14ac:dyDescent="0.3"/>
    <row r="344" s="1" customFormat="1" ht="12.75" customHeight="1" x14ac:dyDescent="0.3"/>
    <row r="345" s="1" customFormat="1" ht="12.75" customHeight="1" x14ac:dyDescent="0.3"/>
    <row r="346" s="1" customFormat="1" ht="12.75" customHeight="1" x14ac:dyDescent="0.3"/>
    <row r="347" s="1" customFormat="1" ht="12.75" customHeight="1" x14ac:dyDescent="0.3"/>
    <row r="348" s="1" customFormat="1" ht="12.75" customHeight="1" x14ac:dyDescent="0.3"/>
    <row r="349" s="1" customFormat="1" ht="12.75" customHeight="1" x14ac:dyDescent="0.3"/>
    <row r="350" s="1" customFormat="1" ht="12.75" customHeight="1" x14ac:dyDescent="0.3"/>
    <row r="351" s="1" customFormat="1" ht="12.75" customHeight="1" x14ac:dyDescent="0.3"/>
    <row r="352" s="1" customFormat="1" ht="12.75" customHeight="1" x14ac:dyDescent="0.3"/>
    <row r="353" s="1" customFormat="1" ht="12.75" customHeight="1" x14ac:dyDescent="0.3"/>
    <row r="354" s="1" customFormat="1" ht="12.75" customHeight="1" x14ac:dyDescent="0.3"/>
    <row r="355" s="1" customFormat="1" ht="12.75" customHeight="1" x14ac:dyDescent="0.3"/>
    <row r="356" s="1" customFormat="1" ht="12.75" customHeight="1" x14ac:dyDescent="0.3"/>
    <row r="357" s="1" customFormat="1" ht="12.75" customHeight="1" x14ac:dyDescent="0.3"/>
    <row r="358" s="1" customFormat="1" ht="12.75" customHeight="1" x14ac:dyDescent="0.3"/>
    <row r="359" s="1" customFormat="1" ht="12.75" customHeight="1" x14ac:dyDescent="0.3"/>
    <row r="360" s="1" customFormat="1" ht="12.75" customHeight="1" x14ac:dyDescent="0.3"/>
    <row r="361" s="1" customFormat="1" ht="12.75" customHeight="1" x14ac:dyDescent="0.3"/>
    <row r="362" s="1" customFormat="1" ht="12.75" customHeight="1" x14ac:dyDescent="0.3"/>
    <row r="363" s="1" customFormat="1" ht="12.75" customHeight="1" x14ac:dyDescent="0.3"/>
    <row r="364" s="1" customFormat="1" ht="12.75" customHeight="1" x14ac:dyDescent="0.3"/>
    <row r="365" s="1" customFormat="1" ht="12.75" customHeight="1" x14ac:dyDescent="0.3"/>
    <row r="366" s="1" customFormat="1" ht="12.75" customHeight="1" x14ac:dyDescent="0.3"/>
    <row r="367" s="1" customFormat="1" ht="12.75" customHeight="1" x14ac:dyDescent="0.3"/>
    <row r="368" s="1" customFormat="1" ht="12.75" customHeight="1" x14ac:dyDescent="0.3"/>
    <row r="369" s="1" customFormat="1" ht="12.75" customHeight="1" x14ac:dyDescent="0.3"/>
    <row r="370" s="1" customFormat="1" ht="12.75" customHeight="1" x14ac:dyDescent="0.3"/>
    <row r="371" s="1" customFormat="1" ht="12.75" customHeight="1" x14ac:dyDescent="0.3"/>
    <row r="372" s="1" customFormat="1" ht="12.75" customHeight="1" x14ac:dyDescent="0.3"/>
    <row r="373" s="1" customFormat="1" ht="12.75" customHeight="1" x14ac:dyDescent="0.3"/>
    <row r="374" s="1" customFormat="1" ht="12.75" customHeight="1" x14ac:dyDescent="0.3"/>
    <row r="375" s="1" customFormat="1" ht="12.75" customHeight="1" x14ac:dyDescent="0.3"/>
    <row r="376" s="1" customFormat="1" ht="12.75" customHeight="1" x14ac:dyDescent="0.3"/>
    <row r="377" s="1" customFormat="1" ht="12.75" customHeight="1" x14ac:dyDescent="0.3"/>
    <row r="378" s="1" customFormat="1" ht="12.75" customHeight="1" x14ac:dyDescent="0.3"/>
    <row r="379" s="1" customFormat="1" ht="12.75" customHeight="1" x14ac:dyDescent="0.3"/>
    <row r="380" s="1" customFormat="1" ht="12.75" customHeight="1" x14ac:dyDescent="0.3"/>
    <row r="381" s="1" customFormat="1" ht="12.75" customHeight="1" x14ac:dyDescent="0.3"/>
    <row r="382" s="1" customFormat="1" ht="12.75" customHeight="1" x14ac:dyDescent="0.3"/>
    <row r="383" s="1" customFormat="1" ht="12.75" customHeight="1" x14ac:dyDescent="0.3"/>
    <row r="384" s="1" customFormat="1" ht="12.75" customHeight="1" x14ac:dyDescent="0.3"/>
    <row r="385" s="1" customFormat="1" ht="12.75" customHeight="1" x14ac:dyDescent="0.3"/>
    <row r="386" s="1" customFormat="1" ht="12.75" customHeight="1" x14ac:dyDescent="0.3"/>
    <row r="387" s="1" customFormat="1" ht="12.75" customHeight="1" x14ac:dyDescent="0.3"/>
    <row r="388" s="1" customFormat="1" ht="12.75" customHeight="1" x14ac:dyDescent="0.3"/>
    <row r="389" s="1" customFormat="1" ht="12.75" customHeight="1" x14ac:dyDescent="0.3"/>
    <row r="390" s="1" customFormat="1" ht="12.75" customHeight="1" x14ac:dyDescent="0.3"/>
    <row r="391" s="1" customFormat="1" ht="12.75" customHeight="1" x14ac:dyDescent="0.3"/>
    <row r="392" s="1" customFormat="1" ht="12.75" customHeight="1" x14ac:dyDescent="0.3"/>
    <row r="393" s="1" customFormat="1" ht="12.75" customHeight="1" x14ac:dyDescent="0.3"/>
    <row r="394" s="1" customFormat="1" ht="12.75" customHeight="1" x14ac:dyDescent="0.3"/>
    <row r="395" s="1" customFormat="1" ht="12.75" customHeight="1" x14ac:dyDescent="0.3"/>
    <row r="396" s="1" customFormat="1" ht="12.75" customHeight="1" x14ac:dyDescent="0.3"/>
    <row r="397" s="1" customFormat="1" ht="12.75" customHeight="1" x14ac:dyDescent="0.3"/>
    <row r="398" s="1" customFormat="1" ht="12.75" customHeight="1" x14ac:dyDescent="0.3"/>
    <row r="399" s="1" customFormat="1" ht="12.75" customHeight="1" x14ac:dyDescent="0.3"/>
    <row r="400" s="1" customFormat="1" ht="12.75" customHeight="1" x14ac:dyDescent="0.3"/>
    <row r="401" s="1" customFormat="1" ht="12.75" customHeight="1" x14ac:dyDescent="0.3"/>
    <row r="402" s="1" customFormat="1" ht="12.75" customHeight="1" x14ac:dyDescent="0.3"/>
    <row r="403" s="1" customFormat="1" ht="12.75" customHeight="1" x14ac:dyDescent="0.3"/>
    <row r="404" s="1" customFormat="1" ht="12.75" customHeight="1" x14ac:dyDescent="0.3"/>
    <row r="405" s="1" customFormat="1" ht="12.75" customHeight="1" x14ac:dyDescent="0.3"/>
    <row r="406" s="1" customFormat="1" ht="12.75" customHeight="1" x14ac:dyDescent="0.3"/>
    <row r="407" s="1" customFormat="1" ht="12.75" customHeight="1" x14ac:dyDescent="0.3"/>
    <row r="408" s="1" customFormat="1" ht="12.75" customHeight="1" x14ac:dyDescent="0.3"/>
    <row r="409" s="1" customFormat="1" ht="12.75" customHeight="1" x14ac:dyDescent="0.3"/>
    <row r="410" s="1" customFormat="1" ht="12.75" customHeight="1" x14ac:dyDescent="0.3"/>
    <row r="411" s="1" customFormat="1" ht="12.75" customHeight="1" x14ac:dyDescent="0.3"/>
    <row r="412" s="1" customFormat="1" ht="12.75" customHeight="1" x14ac:dyDescent="0.3"/>
    <row r="413" s="1" customFormat="1" ht="12.75" customHeight="1" x14ac:dyDescent="0.3"/>
    <row r="414" s="1" customFormat="1" ht="12.75" customHeight="1" x14ac:dyDescent="0.3"/>
    <row r="415" s="1" customFormat="1" ht="12.75" customHeight="1" x14ac:dyDescent="0.3"/>
    <row r="416" s="1" customFormat="1" ht="12.75" customHeight="1" x14ac:dyDescent="0.3"/>
    <row r="417" s="1" customFormat="1" ht="12.75" customHeight="1" x14ac:dyDescent="0.3"/>
    <row r="418" s="1" customFormat="1" ht="12.75" customHeight="1" x14ac:dyDescent="0.3"/>
    <row r="419" s="1" customFormat="1" ht="12.75" customHeight="1" x14ac:dyDescent="0.3"/>
    <row r="420" s="1" customFormat="1" ht="12.75" customHeight="1" x14ac:dyDescent="0.3"/>
    <row r="421" s="1" customFormat="1" ht="12.75" customHeight="1" x14ac:dyDescent="0.3"/>
    <row r="422" s="1" customFormat="1" ht="12.75" customHeight="1" x14ac:dyDescent="0.3"/>
    <row r="423" s="1" customFormat="1" ht="12.75" customHeight="1" x14ac:dyDescent="0.3"/>
    <row r="424" s="1" customFormat="1" ht="12.75" customHeight="1" x14ac:dyDescent="0.3"/>
    <row r="425" s="1" customFormat="1" ht="12.75" customHeight="1" x14ac:dyDescent="0.3"/>
    <row r="426" s="1" customFormat="1" ht="12.75" customHeight="1" x14ac:dyDescent="0.3"/>
    <row r="427" s="1" customFormat="1" ht="12.75" customHeight="1" x14ac:dyDescent="0.3"/>
    <row r="428" s="1" customFormat="1" ht="12.75" customHeight="1" x14ac:dyDescent="0.3"/>
    <row r="429" s="1" customFormat="1" ht="12.75" customHeight="1" x14ac:dyDescent="0.3"/>
    <row r="430" s="1" customFormat="1" ht="12.75" customHeight="1" x14ac:dyDescent="0.3"/>
    <row r="431" s="1" customFormat="1" ht="12.75" customHeight="1" x14ac:dyDescent="0.3"/>
    <row r="432" s="1" customFormat="1" ht="12.75" customHeight="1" x14ac:dyDescent="0.3"/>
    <row r="433" s="1" customFormat="1" ht="12.75" customHeight="1" x14ac:dyDescent="0.3"/>
    <row r="434" s="1" customFormat="1" ht="12.75" customHeight="1" x14ac:dyDescent="0.3"/>
    <row r="435" s="1" customFormat="1" ht="12.75" customHeight="1" x14ac:dyDescent="0.3"/>
    <row r="436" s="1" customFormat="1" ht="12.75" customHeight="1" x14ac:dyDescent="0.3"/>
    <row r="437" s="1" customFormat="1" ht="12.75" customHeight="1" x14ac:dyDescent="0.3"/>
    <row r="438" s="1" customFormat="1" ht="12.75" customHeight="1" x14ac:dyDescent="0.3"/>
    <row r="439" s="1" customFormat="1" ht="12.75" customHeight="1" x14ac:dyDescent="0.3"/>
    <row r="440" s="1" customFormat="1" ht="12.75" customHeight="1" x14ac:dyDescent="0.3"/>
    <row r="441" s="1" customFormat="1" ht="12.75" customHeight="1" x14ac:dyDescent="0.3"/>
    <row r="442" s="1" customFormat="1" ht="12.75" customHeight="1" x14ac:dyDescent="0.3"/>
    <row r="443" s="1" customFormat="1" ht="12.75" customHeight="1" x14ac:dyDescent="0.3"/>
    <row r="444" s="1" customFormat="1" ht="12.75" customHeight="1" x14ac:dyDescent="0.3"/>
    <row r="445" s="1" customFormat="1" ht="12.75" customHeight="1" x14ac:dyDescent="0.3"/>
    <row r="446" s="1" customFormat="1" ht="12.75" customHeight="1" x14ac:dyDescent="0.3"/>
    <row r="447" s="1" customFormat="1" ht="12.75" customHeight="1" x14ac:dyDescent="0.3"/>
    <row r="448" s="1" customFormat="1" ht="12.75" customHeight="1" x14ac:dyDescent="0.3"/>
    <row r="449" s="1" customFormat="1" ht="12.75" customHeight="1" x14ac:dyDescent="0.3"/>
    <row r="450" s="1" customFormat="1" ht="12.75" customHeight="1" x14ac:dyDescent="0.3"/>
    <row r="451" s="1" customFormat="1" ht="12.75" customHeight="1" x14ac:dyDescent="0.3"/>
    <row r="452" s="1" customFormat="1" ht="12.75" customHeight="1" x14ac:dyDescent="0.3"/>
    <row r="453" s="1" customFormat="1" ht="12.75" customHeight="1" x14ac:dyDescent="0.3"/>
    <row r="454" s="1" customFormat="1" ht="12.75" customHeight="1" x14ac:dyDescent="0.3"/>
    <row r="455" s="1" customFormat="1" ht="12.75" customHeight="1" x14ac:dyDescent="0.3"/>
    <row r="456" s="1" customFormat="1" ht="12.75" customHeight="1" x14ac:dyDescent="0.3"/>
    <row r="457" s="1" customFormat="1" ht="12.75" customHeight="1" x14ac:dyDescent="0.3"/>
    <row r="458" s="1" customFormat="1" ht="12.75" customHeight="1" x14ac:dyDescent="0.3"/>
    <row r="459" s="1" customFormat="1" ht="12.75" customHeight="1" x14ac:dyDescent="0.3"/>
    <row r="460" s="1" customFormat="1" ht="12.75" customHeight="1" x14ac:dyDescent="0.3"/>
    <row r="461" s="1" customFormat="1" ht="12.75" customHeight="1" x14ac:dyDescent="0.3"/>
    <row r="462" s="1" customFormat="1" ht="12.75" customHeight="1" x14ac:dyDescent="0.3"/>
    <row r="463" s="1" customFormat="1" ht="12.75" customHeight="1" x14ac:dyDescent="0.3"/>
    <row r="464" s="1" customFormat="1" ht="12.75" customHeight="1" x14ac:dyDescent="0.3"/>
    <row r="465" s="1" customFormat="1" ht="12.75" customHeight="1" x14ac:dyDescent="0.3"/>
    <row r="466" s="1" customFormat="1" ht="12.75" customHeight="1" x14ac:dyDescent="0.3"/>
    <row r="467" s="1" customFormat="1" ht="12.75" customHeight="1" x14ac:dyDescent="0.3"/>
    <row r="468" s="1" customFormat="1" ht="12.75" customHeight="1" x14ac:dyDescent="0.3"/>
    <row r="469" s="1" customFormat="1" ht="12.75" customHeight="1" x14ac:dyDescent="0.3"/>
    <row r="470" s="1" customFormat="1" ht="12.75" customHeight="1" x14ac:dyDescent="0.3"/>
    <row r="471" s="1" customFormat="1" ht="12.75" customHeight="1" x14ac:dyDescent="0.3"/>
    <row r="472" s="1" customFormat="1" ht="12.75" customHeight="1" x14ac:dyDescent="0.3"/>
    <row r="473" s="1" customFormat="1" ht="12.75" customHeight="1" x14ac:dyDescent="0.3"/>
    <row r="474" s="1" customFormat="1" ht="12.75" customHeight="1" x14ac:dyDescent="0.3"/>
    <row r="475" s="1" customFormat="1" ht="12.75" customHeight="1" x14ac:dyDescent="0.3"/>
    <row r="476" s="1" customFormat="1" ht="12.75" customHeight="1" x14ac:dyDescent="0.3"/>
    <row r="477" s="1" customFormat="1" ht="12.75" customHeight="1" x14ac:dyDescent="0.3"/>
    <row r="478" s="1" customFormat="1" ht="12.75" customHeight="1" x14ac:dyDescent="0.3"/>
    <row r="479" s="1" customFormat="1" ht="12.75" customHeight="1" x14ac:dyDescent="0.3"/>
    <row r="480" s="1" customFormat="1" ht="12.75" customHeight="1" x14ac:dyDescent="0.3"/>
    <row r="481" s="1" customFormat="1" ht="12.75" customHeight="1" x14ac:dyDescent="0.3"/>
    <row r="482" s="1" customFormat="1" ht="12.75" customHeight="1" x14ac:dyDescent="0.3"/>
    <row r="483" s="1" customFormat="1" ht="12.75" customHeight="1" x14ac:dyDescent="0.3"/>
    <row r="484" s="1" customFormat="1" ht="12.75" customHeight="1" x14ac:dyDescent="0.3"/>
    <row r="485" s="1" customFormat="1" ht="12.75" customHeight="1" x14ac:dyDescent="0.3"/>
    <row r="486" s="1" customFormat="1" ht="12.75" customHeight="1" x14ac:dyDescent="0.3"/>
    <row r="487" s="1" customFormat="1" ht="12.75" customHeight="1" x14ac:dyDescent="0.3"/>
    <row r="488" s="1" customFormat="1" ht="12.75" customHeight="1" x14ac:dyDescent="0.3"/>
    <row r="489" s="1" customFormat="1" ht="12.75" customHeight="1" x14ac:dyDescent="0.3"/>
    <row r="490" s="1" customFormat="1" ht="12.75" customHeight="1" x14ac:dyDescent="0.3"/>
    <row r="491" s="1" customFormat="1" ht="12.75" customHeight="1" x14ac:dyDescent="0.3"/>
    <row r="492" s="1" customFormat="1" ht="12.75" customHeight="1" x14ac:dyDescent="0.3"/>
    <row r="493" s="1" customFormat="1" ht="12.75" customHeight="1" x14ac:dyDescent="0.3"/>
    <row r="494" s="1" customFormat="1" ht="12.75" customHeight="1" x14ac:dyDescent="0.3"/>
    <row r="495" s="1" customFormat="1" ht="12.75" customHeight="1" x14ac:dyDescent="0.3"/>
    <row r="496" s="1" customFormat="1" ht="12.75" customHeight="1" x14ac:dyDescent="0.3"/>
    <row r="497" s="1" customFormat="1" ht="12.75" customHeight="1" x14ac:dyDescent="0.3"/>
    <row r="498" s="1" customFormat="1" ht="12.75" customHeight="1" x14ac:dyDescent="0.3"/>
    <row r="499" s="1" customFormat="1" ht="12.75" customHeight="1" x14ac:dyDescent="0.3"/>
    <row r="500" s="1" customFormat="1" ht="12.75" customHeight="1" x14ac:dyDescent="0.3"/>
    <row r="501" s="1" customFormat="1" ht="12.75" customHeight="1" x14ac:dyDescent="0.3"/>
    <row r="502" s="1" customFormat="1" ht="12.75" customHeight="1" x14ac:dyDescent="0.3"/>
    <row r="503" s="1" customFormat="1" ht="12.75" customHeight="1" x14ac:dyDescent="0.3"/>
    <row r="504" s="1" customFormat="1" ht="12.75" customHeight="1" x14ac:dyDescent="0.3"/>
    <row r="505" s="1" customFormat="1" ht="12.75" customHeight="1" x14ac:dyDescent="0.3"/>
    <row r="506" s="1" customFormat="1" ht="12.75" customHeight="1" x14ac:dyDescent="0.3"/>
    <row r="507" s="1" customFormat="1" ht="12.75" customHeight="1" x14ac:dyDescent="0.3"/>
    <row r="508" s="1" customFormat="1" ht="12.75" customHeight="1" x14ac:dyDescent="0.3"/>
    <row r="509" s="1" customFormat="1" ht="12.75" customHeight="1" x14ac:dyDescent="0.3"/>
    <row r="510" s="1" customFormat="1" ht="12.75" customHeight="1" x14ac:dyDescent="0.3"/>
    <row r="511" s="1" customFormat="1" ht="12.75" customHeight="1" x14ac:dyDescent="0.3"/>
    <row r="512" s="1" customFormat="1" ht="12.75" customHeight="1" x14ac:dyDescent="0.3"/>
    <row r="513" s="1" customFormat="1" ht="12.75" customHeight="1" x14ac:dyDescent="0.3"/>
    <row r="514" s="1" customFormat="1" ht="12.75" customHeight="1" x14ac:dyDescent="0.3"/>
    <row r="515" s="1" customFormat="1" ht="12.75" customHeight="1" x14ac:dyDescent="0.3"/>
    <row r="516" s="1" customFormat="1" ht="12.75" customHeight="1" x14ac:dyDescent="0.3"/>
    <row r="517" s="1" customFormat="1" ht="12.75" customHeight="1" x14ac:dyDescent="0.3"/>
    <row r="518" s="1" customFormat="1" ht="12.75" customHeight="1" x14ac:dyDescent="0.3"/>
    <row r="519" s="1" customFormat="1" ht="12.75" customHeight="1" x14ac:dyDescent="0.3"/>
    <row r="520" s="1" customFormat="1" ht="12.75" customHeight="1" x14ac:dyDescent="0.3"/>
    <row r="521" s="1" customFormat="1" ht="12.75" customHeight="1" x14ac:dyDescent="0.3"/>
    <row r="522" s="1" customFormat="1" ht="12.75" customHeight="1" x14ac:dyDescent="0.3"/>
    <row r="523" s="1" customFormat="1" ht="12.75" customHeight="1" x14ac:dyDescent="0.3"/>
    <row r="524" s="1" customFormat="1" ht="12.75" customHeight="1" x14ac:dyDescent="0.3"/>
    <row r="525" s="1" customFormat="1" ht="12.75" customHeight="1" x14ac:dyDescent="0.3"/>
    <row r="526" s="1" customFormat="1" ht="12.75" customHeight="1" x14ac:dyDescent="0.3"/>
    <row r="527" s="1" customFormat="1" ht="12.75" customHeight="1" x14ac:dyDescent="0.3"/>
    <row r="528" s="1" customFormat="1" ht="12.75" customHeight="1" x14ac:dyDescent="0.3"/>
    <row r="529" s="1" customFormat="1" ht="12.75" customHeight="1" x14ac:dyDescent="0.3"/>
    <row r="530" s="1" customFormat="1" ht="12.75" customHeight="1" x14ac:dyDescent="0.3"/>
    <row r="531" s="1" customFormat="1" ht="12.75" customHeight="1" x14ac:dyDescent="0.3"/>
    <row r="532" s="1" customFormat="1" ht="12.75" customHeight="1" x14ac:dyDescent="0.3"/>
    <row r="533" s="1" customFormat="1" ht="12.75" customHeight="1" x14ac:dyDescent="0.3"/>
    <row r="534" s="1" customFormat="1" ht="12.75" customHeight="1" x14ac:dyDescent="0.3"/>
    <row r="535" s="1" customFormat="1" ht="12.75" customHeight="1" x14ac:dyDescent="0.3"/>
    <row r="536" s="1" customFormat="1" ht="12.75" customHeight="1" x14ac:dyDescent="0.3"/>
    <row r="537" s="1" customFormat="1" ht="12.75" customHeight="1" x14ac:dyDescent="0.3"/>
    <row r="538" s="1" customFormat="1" ht="12.75" customHeight="1" x14ac:dyDescent="0.3"/>
    <row r="539" s="1" customFormat="1" ht="12.75" customHeight="1" x14ac:dyDescent="0.3"/>
    <row r="540" s="1" customFormat="1" ht="12.75" customHeight="1" x14ac:dyDescent="0.3"/>
    <row r="541" s="1" customFormat="1" ht="12.75" customHeight="1" x14ac:dyDescent="0.3"/>
    <row r="542" s="1" customFormat="1" ht="12.75" customHeight="1" x14ac:dyDescent="0.3"/>
    <row r="543" s="1" customFormat="1" ht="12.75" customHeight="1" x14ac:dyDescent="0.3"/>
    <row r="544" s="1" customFormat="1" ht="12.75" customHeight="1" x14ac:dyDescent="0.3"/>
    <row r="545" s="1" customFormat="1" ht="12.75" customHeight="1" x14ac:dyDescent="0.3"/>
    <row r="546" s="1" customFormat="1" ht="12.75" customHeight="1" x14ac:dyDescent="0.3"/>
    <row r="547" s="1" customFormat="1" ht="12.75" customHeight="1" x14ac:dyDescent="0.3"/>
    <row r="548" s="1" customFormat="1" ht="12.75" customHeight="1" x14ac:dyDescent="0.3"/>
    <row r="549" s="1" customFormat="1" ht="12.75" customHeight="1" x14ac:dyDescent="0.3"/>
    <row r="550" s="1" customFormat="1" ht="12.75" customHeight="1" x14ac:dyDescent="0.3"/>
    <row r="551" s="1" customFormat="1" ht="12.75" customHeight="1" x14ac:dyDescent="0.3"/>
    <row r="552" s="1" customFormat="1" ht="12.75" customHeight="1" x14ac:dyDescent="0.3"/>
    <row r="553" s="1" customFormat="1" ht="12.75" customHeight="1" x14ac:dyDescent="0.3"/>
    <row r="554" s="1" customFormat="1" ht="12.75" customHeight="1" x14ac:dyDescent="0.3"/>
    <row r="555" s="1" customFormat="1" ht="12.75" customHeight="1" x14ac:dyDescent="0.3"/>
    <row r="556" s="1" customFormat="1" ht="12.75" customHeight="1" x14ac:dyDescent="0.3"/>
    <row r="557" s="1" customFormat="1" ht="12.75" customHeight="1" x14ac:dyDescent="0.3"/>
    <row r="558" s="1" customFormat="1" ht="12.75" customHeight="1" x14ac:dyDescent="0.3"/>
    <row r="559" s="1" customFormat="1" ht="12.75" customHeight="1" x14ac:dyDescent="0.3"/>
    <row r="560" s="1" customFormat="1" ht="12.75" customHeight="1" x14ac:dyDescent="0.3"/>
    <row r="561" s="1" customFormat="1" ht="12.75" customHeight="1" x14ac:dyDescent="0.3"/>
    <row r="562" s="1" customFormat="1" ht="12.75" customHeight="1" x14ac:dyDescent="0.3"/>
    <row r="563" s="1" customFormat="1" ht="12.75" customHeight="1" x14ac:dyDescent="0.3"/>
    <row r="564" s="1" customFormat="1" ht="12.75" customHeight="1" x14ac:dyDescent="0.3"/>
    <row r="565" s="1" customFormat="1" ht="12.75" customHeight="1" x14ac:dyDescent="0.3"/>
    <row r="566" s="1" customFormat="1" ht="12.75" customHeight="1" x14ac:dyDescent="0.3"/>
    <row r="567" s="1" customFormat="1" ht="12.75" customHeight="1" x14ac:dyDescent="0.3"/>
    <row r="568" s="1" customFormat="1" ht="12.75" customHeight="1" x14ac:dyDescent="0.3"/>
    <row r="569" s="1" customFormat="1" ht="12.75" customHeight="1" x14ac:dyDescent="0.3"/>
    <row r="570" s="1" customFormat="1" ht="12.75" customHeight="1" x14ac:dyDescent="0.3"/>
    <row r="571" s="1" customFormat="1" ht="12.75" customHeight="1" x14ac:dyDescent="0.3"/>
    <row r="572" s="1" customFormat="1" ht="12.75" customHeight="1" x14ac:dyDescent="0.3"/>
    <row r="573" s="1" customFormat="1" ht="12.75" customHeight="1" x14ac:dyDescent="0.3"/>
    <row r="574" s="1" customFormat="1" ht="12.75" customHeight="1" x14ac:dyDescent="0.3"/>
    <row r="575" s="1" customFormat="1" ht="12.75" customHeight="1" x14ac:dyDescent="0.3"/>
    <row r="576" s="1" customFormat="1" ht="12.75" customHeight="1" x14ac:dyDescent="0.3"/>
    <row r="577" s="1" customFormat="1" ht="12.75" customHeight="1" x14ac:dyDescent="0.3"/>
    <row r="578" s="1" customFormat="1" ht="12.75" customHeight="1" x14ac:dyDescent="0.3"/>
    <row r="579" s="1" customFormat="1" ht="12.75" customHeight="1" x14ac:dyDescent="0.3"/>
    <row r="580" s="1" customFormat="1" ht="12.75" customHeight="1" x14ac:dyDescent="0.3"/>
    <row r="581" s="1" customFormat="1" ht="12.75" customHeight="1" x14ac:dyDescent="0.3"/>
    <row r="582" s="1" customFormat="1" ht="12.75" customHeight="1" x14ac:dyDescent="0.3"/>
    <row r="583" s="1" customFormat="1" ht="12.75" customHeight="1" x14ac:dyDescent="0.3"/>
    <row r="584" s="1" customFormat="1" ht="12.75" customHeight="1" x14ac:dyDescent="0.3"/>
    <row r="585" s="1" customFormat="1" ht="12.75" customHeight="1" x14ac:dyDescent="0.3"/>
    <row r="586" s="1" customFormat="1" ht="12.75" customHeight="1" x14ac:dyDescent="0.3"/>
    <row r="587" s="1" customFormat="1" ht="12.75" customHeight="1" x14ac:dyDescent="0.3"/>
    <row r="588" s="1" customFormat="1" ht="12.75" customHeight="1" x14ac:dyDescent="0.3"/>
    <row r="589" s="1" customFormat="1" ht="12.75" customHeight="1" x14ac:dyDescent="0.3"/>
    <row r="590" s="1" customFormat="1" ht="12.75" customHeight="1" x14ac:dyDescent="0.3"/>
    <row r="591" s="1" customFormat="1" ht="12.75" customHeight="1" x14ac:dyDescent="0.3"/>
    <row r="592" s="1" customFormat="1" ht="12.75" customHeight="1" x14ac:dyDescent="0.3"/>
    <row r="593" s="1" customFormat="1" ht="12.75" customHeight="1" x14ac:dyDescent="0.3"/>
    <row r="594" s="1" customFormat="1" ht="12.75" customHeight="1" x14ac:dyDescent="0.3"/>
    <row r="595" s="1" customFormat="1" ht="12.75" customHeight="1" x14ac:dyDescent="0.3"/>
    <row r="596" s="1" customFormat="1" ht="12.75" customHeight="1" x14ac:dyDescent="0.3"/>
    <row r="597" s="1" customFormat="1" ht="12.75" customHeight="1" x14ac:dyDescent="0.3"/>
    <row r="598" s="1" customFormat="1" ht="12.75" customHeight="1" x14ac:dyDescent="0.3"/>
    <row r="599" s="1" customFormat="1" ht="12.75" customHeight="1" x14ac:dyDescent="0.3"/>
    <row r="600" s="1" customFormat="1" ht="12.75" customHeight="1" x14ac:dyDescent="0.3"/>
    <row r="601" s="1" customFormat="1" ht="12.75" customHeight="1" x14ac:dyDescent="0.3"/>
    <row r="602" s="1" customFormat="1" ht="12.75" customHeight="1" x14ac:dyDescent="0.3"/>
    <row r="603" s="1" customFormat="1" ht="12.75" customHeight="1" x14ac:dyDescent="0.3"/>
    <row r="604" s="1" customFormat="1" ht="12.75" customHeight="1" x14ac:dyDescent="0.3"/>
    <row r="605" s="1" customFormat="1" ht="12.75" customHeight="1" x14ac:dyDescent="0.3"/>
    <row r="606" s="1" customFormat="1" ht="12.75" customHeight="1" x14ac:dyDescent="0.3"/>
    <row r="607" s="1" customFormat="1" ht="12.75" customHeight="1" x14ac:dyDescent="0.3"/>
    <row r="608" s="1" customFormat="1" ht="12.75" customHeight="1" x14ac:dyDescent="0.3"/>
    <row r="609" s="1" customFormat="1" ht="12.75" customHeight="1" x14ac:dyDescent="0.3"/>
    <row r="610" s="1" customFormat="1" ht="12.75" customHeight="1" x14ac:dyDescent="0.3"/>
    <row r="611" s="1" customFormat="1" ht="12.75" customHeight="1" x14ac:dyDescent="0.3"/>
    <row r="612" s="1" customFormat="1" ht="12.75" customHeight="1" x14ac:dyDescent="0.3"/>
    <row r="613" s="1" customFormat="1" ht="12.75" customHeight="1" x14ac:dyDescent="0.3"/>
    <row r="614" s="1" customFormat="1" ht="12.75" customHeight="1" x14ac:dyDescent="0.3"/>
    <row r="615" s="1" customFormat="1" ht="12.75" customHeight="1" x14ac:dyDescent="0.3"/>
    <row r="616" s="1" customFormat="1" ht="12.75" customHeight="1" x14ac:dyDescent="0.3"/>
    <row r="617" s="1" customFormat="1" ht="12.75" customHeight="1" x14ac:dyDescent="0.3"/>
    <row r="618" s="1" customFormat="1" ht="12.75" customHeight="1" x14ac:dyDescent="0.3"/>
    <row r="619" s="1" customFormat="1" ht="12.75" customHeight="1" x14ac:dyDescent="0.3"/>
    <row r="620" s="1" customFormat="1" ht="12.75" customHeight="1" x14ac:dyDescent="0.3"/>
    <row r="621" s="1" customFormat="1" ht="12.75" customHeight="1" x14ac:dyDescent="0.3"/>
    <row r="622" s="1" customFormat="1" ht="12.75" customHeight="1" x14ac:dyDescent="0.3"/>
    <row r="623" s="1" customFormat="1" ht="12.75" customHeight="1" x14ac:dyDescent="0.3"/>
    <row r="624" s="1" customFormat="1" ht="12.75" customHeight="1" x14ac:dyDescent="0.3"/>
    <row r="625" s="1" customFormat="1" ht="12.75" customHeight="1" x14ac:dyDescent="0.3"/>
    <row r="626" s="1" customFormat="1" ht="12.75" customHeight="1" x14ac:dyDescent="0.3"/>
    <row r="627" s="1" customFormat="1" ht="12.75" customHeight="1" x14ac:dyDescent="0.3"/>
    <row r="628" s="1" customFormat="1" ht="12.75" customHeight="1" x14ac:dyDescent="0.3"/>
    <row r="629" s="1" customFormat="1" ht="12.75" customHeight="1" x14ac:dyDescent="0.3"/>
    <row r="630" s="1" customFormat="1" ht="12.75" customHeight="1" x14ac:dyDescent="0.3"/>
    <row r="631" s="1" customFormat="1" ht="12.75" customHeight="1" x14ac:dyDescent="0.3"/>
    <row r="632" s="1" customFormat="1" ht="12.75" customHeight="1" x14ac:dyDescent="0.3"/>
    <row r="633" s="1" customFormat="1" ht="12.75" customHeight="1" x14ac:dyDescent="0.3"/>
    <row r="634" s="1" customFormat="1" ht="12.75" customHeight="1" x14ac:dyDescent="0.3"/>
    <row r="635" s="1" customFormat="1" ht="12.75" customHeight="1" x14ac:dyDescent="0.3"/>
    <row r="636" s="1" customFormat="1" ht="12.75" customHeight="1" x14ac:dyDescent="0.3"/>
    <row r="637" s="1" customFormat="1" ht="12.75" customHeight="1" x14ac:dyDescent="0.3"/>
    <row r="638" s="1" customFormat="1" ht="12.75" customHeight="1" x14ac:dyDescent="0.3"/>
    <row r="639" s="1" customFormat="1" ht="12.75" customHeight="1" x14ac:dyDescent="0.3"/>
    <row r="640" s="1" customFormat="1" ht="12.75" customHeight="1" x14ac:dyDescent="0.3"/>
    <row r="641" s="1" customFormat="1" ht="12.75" customHeight="1" x14ac:dyDescent="0.3"/>
    <row r="642" s="1" customFormat="1" ht="12.75" customHeight="1" x14ac:dyDescent="0.3"/>
    <row r="643" s="1" customFormat="1" ht="12.75" customHeight="1" x14ac:dyDescent="0.3"/>
    <row r="644" s="1" customFormat="1" ht="12.75" customHeight="1" x14ac:dyDescent="0.3"/>
    <row r="645" s="1" customFormat="1" ht="12.75" customHeight="1" x14ac:dyDescent="0.3"/>
    <row r="646" s="1" customFormat="1" ht="12.75" customHeight="1" x14ac:dyDescent="0.3"/>
    <row r="647" s="1" customFormat="1" ht="12.75" customHeight="1" x14ac:dyDescent="0.3"/>
    <row r="648" s="1" customFormat="1" ht="12.75" customHeight="1" x14ac:dyDescent="0.3"/>
    <row r="649" s="1" customFormat="1" ht="12.75" customHeight="1" x14ac:dyDescent="0.3"/>
    <row r="650" s="1" customFormat="1" ht="12.75" customHeight="1" x14ac:dyDescent="0.3"/>
    <row r="651" s="1" customFormat="1" ht="12.75" customHeight="1" x14ac:dyDescent="0.3"/>
    <row r="652" s="1" customFormat="1" ht="12.75" customHeight="1" x14ac:dyDescent="0.3"/>
    <row r="653" s="1" customFormat="1" ht="12.75" customHeight="1" x14ac:dyDescent="0.3"/>
    <row r="654" s="1" customFormat="1" ht="12.75" customHeight="1" x14ac:dyDescent="0.3"/>
    <row r="655" s="1" customFormat="1" ht="12.75" customHeight="1" x14ac:dyDescent="0.3"/>
    <row r="656" s="1" customFormat="1" ht="12.75" customHeight="1" x14ac:dyDescent="0.3"/>
    <row r="657" s="1" customFormat="1" ht="12.75" customHeight="1" x14ac:dyDescent="0.3"/>
    <row r="658" s="1" customFormat="1" ht="12.75" customHeight="1" x14ac:dyDescent="0.3"/>
    <row r="659" s="1" customFormat="1" ht="12.75" customHeight="1" x14ac:dyDescent="0.3"/>
    <row r="660" s="1" customFormat="1" ht="12.75" customHeight="1" x14ac:dyDescent="0.3"/>
    <row r="661" s="1" customFormat="1" ht="12.75" customHeight="1" x14ac:dyDescent="0.3"/>
    <row r="662" s="1" customFormat="1" ht="12.75" customHeight="1" x14ac:dyDescent="0.3"/>
    <row r="663" s="1" customFormat="1" ht="12.75" customHeight="1" x14ac:dyDescent="0.3"/>
    <row r="664" s="1" customFormat="1" ht="12.75" customHeight="1" x14ac:dyDescent="0.3"/>
    <row r="665" s="1" customFormat="1" ht="12.75" customHeight="1" x14ac:dyDescent="0.3"/>
    <row r="666" s="1" customFormat="1" ht="12.75" customHeight="1" x14ac:dyDescent="0.3"/>
    <row r="667" s="1" customFormat="1" ht="12.75" customHeight="1" x14ac:dyDescent="0.3"/>
    <row r="668" s="1" customFormat="1" ht="12.75" customHeight="1" x14ac:dyDescent="0.3"/>
    <row r="669" s="1" customFormat="1" ht="12.75" customHeight="1" x14ac:dyDescent="0.3"/>
    <row r="670" s="1" customFormat="1" ht="12.75" customHeight="1" x14ac:dyDescent="0.3"/>
    <row r="671" s="1" customFormat="1" ht="12.75" customHeight="1" x14ac:dyDescent="0.3"/>
    <row r="672" s="1" customFormat="1" ht="12.75" customHeight="1" x14ac:dyDescent="0.3"/>
    <row r="673" s="1" customFormat="1" ht="12.75" customHeight="1" x14ac:dyDescent="0.3"/>
    <row r="674" s="1" customFormat="1" ht="12.75" customHeight="1" x14ac:dyDescent="0.3"/>
    <row r="675" s="1" customFormat="1" ht="12.75" customHeight="1" x14ac:dyDescent="0.3"/>
    <row r="676" s="1" customFormat="1" ht="12.75" customHeight="1" x14ac:dyDescent="0.3"/>
    <row r="677" s="1" customFormat="1" ht="12.75" customHeight="1" x14ac:dyDescent="0.3"/>
    <row r="678" s="1" customFormat="1" ht="12.75" customHeight="1" x14ac:dyDescent="0.3"/>
    <row r="679" s="1" customFormat="1" ht="12.75" customHeight="1" x14ac:dyDescent="0.3"/>
    <row r="680" s="1" customFormat="1" ht="12.75" customHeight="1" x14ac:dyDescent="0.3"/>
    <row r="681" s="1" customFormat="1" ht="12.75" customHeight="1" x14ac:dyDescent="0.3"/>
    <row r="682" s="1" customFormat="1" ht="12.75" customHeight="1" x14ac:dyDescent="0.3"/>
    <row r="683" s="1" customFormat="1" ht="12.75" customHeight="1" x14ac:dyDescent="0.3"/>
    <row r="684" s="1" customFormat="1" ht="12.75" customHeight="1" x14ac:dyDescent="0.3"/>
    <row r="685" s="1" customFormat="1" ht="12.75" customHeight="1" x14ac:dyDescent="0.3"/>
    <row r="686" s="1" customFormat="1" ht="12.75" customHeight="1" x14ac:dyDescent="0.3"/>
    <row r="687" s="1" customFormat="1" ht="12.75" customHeight="1" x14ac:dyDescent="0.3"/>
    <row r="688" s="1" customFormat="1" ht="12.75" customHeight="1" x14ac:dyDescent="0.3"/>
    <row r="689" s="1" customFormat="1" ht="12.75" customHeight="1" x14ac:dyDescent="0.3"/>
    <row r="690" s="1" customFormat="1" ht="12.75" customHeight="1" x14ac:dyDescent="0.3"/>
    <row r="691" s="1" customFormat="1" ht="12.75" customHeight="1" x14ac:dyDescent="0.3"/>
    <row r="692" s="1" customFormat="1" ht="12.75" customHeight="1" x14ac:dyDescent="0.3"/>
    <row r="693" s="1" customFormat="1" ht="12.75" customHeight="1" x14ac:dyDescent="0.3"/>
    <row r="694" s="1" customFormat="1" ht="12.75" customHeight="1" x14ac:dyDescent="0.3"/>
    <row r="695" s="1" customFormat="1" ht="12.75" customHeight="1" x14ac:dyDescent="0.3"/>
    <row r="696" s="1" customFormat="1" ht="12.75" customHeight="1" x14ac:dyDescent="0.3"/>
    <row r="697" s="1" customFormat="1" ht="12.75" customHeight="1" x14ac:dyDescent="0.3"/>
    <row r="698" s="1" customFormat="1" ht="12.75" customHeight="1" x14ac:dyDescent="0.3"/>
    <row r="699" s="1" customFormat="1" ht="12.75" customHeight="1" x14ac:dyDescent="0.3"/>
    <row r="700" s="1" customFormat="1" ht="12.75" customHeight="1" x14ac:dyDescent="0.3"/>
    <row r="701" s="1" customFormat="1" ht="12.75" customHeight="1" x14ac:dyDescent="0.3"/>
    <row r="702" s="1" customFormat="1" ht="12.75" customHeight="1" x14ac:dyDescent="0.3"/>
    <row r="703" s="1" customFormat="1" ht="12.75" customHeight="1" x14ac:dyDescent="0.3"/>
    <row r="704" s="1" customFormat="1" ht="12.75" customHeight="1" x14ac:dyDescent="0.3"/>
    <row r="705" s="1" customFormat="1" ht="12.75" customHeight="1" x14ac:dyDescent="0.3"/>
    <row r="706" s="1" customFormat="1" ht="12.75" customHeight="1" x14ac:dyDescent="0.3"/>
    <row r="707" s="1" customFormat="1" ht="12.75" customHeight="1" x14ac:dyDescent="0.3"/>
    <row r="708" s="1" customFormat="1" ht="12.75" customHeight="1" x14ac:dyDescent="0.3"/>
    <row r="709" s="1" customFormat="1" ht="12.75" customHeight="1" x14ac:dyDescent="0.3"/>
    <row r="710" s="1" customFormat="1" ht="12.75" customHeight="1" x14ac:dyDescent="0.3"/>
    <row r="711" s="1" customFormat="1" ht="12.75" customHeight="1" x14ac:dyDescent="0.3"/>
    <row r="712" s="1" customFormat="1" ht="12.75" customHeight="1" x14ac:dyDescent="0.3"/>
    <row r="713" s="1" customFormat="1" ht="12.75" customHeight="1" x14ac:dyDescent="0.3"/>
    <row r="714" s="1" customFormat="1" ht="12.75" customHeight="1" x14ac:dyDescent="0.3"/>
    <row r="715" s="1" customFormat="1" ht="12.75" customHeight="1" x14ac:dyDescent="0.3"/>
    <row r="716" s="1" customFormat="1" ht="12.75" customHeight="1" x14ac:dyDescent="0.3"/>
    <row r="717" s="1" customFormat="1" ht="12.75" customHeight="1" x14ac:dyDescent="0.3"/>
    <row r="718" s="1" customFormat="1" ht="12.75" customHeight="1" x14ac:dyDescent="0.3"/>
    <row r="719" s="1" customFormat="1" ht="12.75" customHeight="1" x14ac:dyDescent="0.3"/>
    <row r="720" s="1" customFormat="1" ht="12.75" customHeight="1" x14ac:dyDescent="0.3"/>
    <row r="721" s="1" customFormat="1" ht="12.75" customHeight="1" x14ac:dyDescent="0.3"/>
    <row r="722" s="1" customFormat="1" ht="12.75" customHeight="1" x14ac:dyDescent="0.3"/>
    <row r="723" s="1" customFormat="1" ht="12.75" customHeight="1" x14ac:dyDescent="0.3"/>
    <row r="724" s="1" customFormat="1" ht="12.75" customHeight="1" x14ac:dyDescent="0.3"/>
    <row r="725" s="1" customFormat="1" ht="12.75" customHeight="1" x14ac:dyDescent="0.3"/>
    <row r="726" s="1" customFormat="1" ht="12.75" customHeight="1" x14ac:dyDescent="0.3"/>
    <row r="727" s="1" customFormat="1" ht="12.75" customHeight="1" x14ac:dyDescent="0.3"/>
    <row r="728" s="1" customFormat="1" ht="12.75" customHeight="1" x14ac:dyDescent="0.3"/>
    <row r="729" s="1" customFormat="1" ht="12.75" customHeight="1" x14ac:dyDescent="0.3"/>
    <row r="730" s="1" customFormat="1" ht="12.75" customHeight="1" x14ac:dyDescent="0.3"/>
    <row r="731" s="1" customFormat="1" ht="12.75" customHeight="1" x14ac:dyDescent="0.3"/>
    <row r="732" s="1" customFormat="1" ht="12.75" customHeight="1" x14ac:dyDescent="0.3"/>
    <row r="733" s="1" customFormat="1" ht="12.75" customHeight="1" x14ac:dyDescent="0.3"/>
    <row r="734" s="1" customFormat="1" ht="12.75" customHeight="1" x14ac:dyDescent="0.3"/>
    <row r="735" s="1" customFormat="1" ht="12.75" customHeight="1" x14ac:dyDescent="0.3"/>
    <row r="736" s="1" customFormat="1" ht="12.75" customHeight="1" x14ac:dyDescent="0.3"/>
    <row r="737" s="1" customFormat="1" ht="12.75" customHeight="1" x14ac:dyDescent="0.3"/>
    <row r="738" s="1" customFormat="1" ht="12.75" customHeight="1" x14ac:dyDescent="0.3"/>
    <row r="739" s="1" customFormat="1" ht="12.75" customHeight="1" x14ac:dyDescent="0.3"/>
    <row r="740" s="1" customFormat="1" ht="12.75" customHeight="1" x14ac:dyDescent="0.3"/>
    <row r="741" s="1" customFormat="1" ht="12.75" customHeight="1" x14ac:dyDescent="0.3"/>
    <row r="742" s="1" customFormat="1" ht="12.75" customHeight="1" x14ac:dyDescent="0.3"/>
    <row r="743" s="1" customFormat="1" ht="12.75" customHeight="1" x14ac:dyDescent="0.3"/>
    <row r="744" s="1" customFormat="1" ht="12.75" customHeight="1" x14ac:dyDescent="0.3"/>
    <row r="745" s="1" customFormat="1" ht="12.75" customHeight="1" x14ac:dyDescent="0.3"/>
    <row r="746" s="1" customFormat="1" ht="12.75" customHeight="1" x14ac:dyDescent="0.3"/>
    <row r="747" s="1" customFormat="1" ht="12.75" customHeight="1" x14ac:dyDescent="0.3"/>
    <row r="748" s="1" customFormat="1" ht="12.75" customHeight="1" x14ac:dyDescent="0.3"/>
    <row r="749" s="1" customFormat="1" ht="12.75" customHeight="1" x14ac:dyDescent="0.3"/>
    <row r="750" s="1" customFormat="1" ht="12.75" customHeight="1" x14ac:dyDescent="0.3"/>
    <row r="751" s="1" customFormat="1" ht="12.75" customHeight="1" x14ac:dyDescent="0.3"/>
    <row r="752" s="1" customFormat="1" ht="12.75" customHeight="1" x14ac:dyDescent="0.3"/>
    <row r="753" s="1" customFormat="1" ht="12.75" customHeight="1" x14ac:dyDescent="0.3"/>
    <row r="754" s="1" customFormat="1" ht="12.75" customHeight="1" x14ac:dyDescent="0.3"/>
    <row r="755" s="1" customFormat="1" ht="12.75" customHeight="1" x14ac:dyDescent="0.3"/>
    <row r="756" s="1" customFormat="1" ht="12.75" customHeight="1" x14ac:dyDescent="0.3"/>
    <row r="757" s="1" customFormat="1" ht="12.75" customHeight="1" x14ac:dyDescent="0.3"/>
    <row r="758" s="1" customFormat="1" ht="12.75" customHeight="1" x14ac:dyDescent="0.3"/>
    <row r="759" s="1" customFormat="1" ht="12.75" customHeight="1" x14ac:dyDescent="0.3"/>
    <row r="760" s="1" customFormat="1" ht="12.75" customHeight="1" x14ac:dyDescent="0.3"/>
    <row r="761" s="1" customFormat="1" ht="12.75" customHeight="1" x14ac:dyDescent="0.3"/>
    <row r="762" s="1" customFormat="1" ht="12.75" customHeight="1" x14ac:dyDescent="0.3"/>
    <row r="763" s="1" customFormat="1" ht="12.75" customHeight="1" x14ac:dyDescent="0.3"/>
    <row r="764" s="1" customFormat="1" ht="12.75" customHeight="1" x14ac:dyDescent="0.3"/>
    <row r="765" s="1" customFormat="1" ht="12.75" customHeight="1" x14ac:dyDescent="0.3"/>
    <row r="766" s="1" customFormat="1" ht="12.75" customHeight="1" x14ac:dyDescent="0.3"/>
    <row r="767" s="1" customFormat="1" ht="12.75" customHeight="1" x14ac:dyDescent="0.3"/>
    <row r="768" s="1" customFormat="1" ht="12.75" customHeight="1" x14ac:dyDescent="0.3"/>
    <row r="769" s="1" customFormat="1" ht="12.75" customHeight="1" x14ac:dyDescent="0.3"/>
    <row r="770" s="1" customFormat="1" ht="12.75" customHeight="1" x14ac:dyDescent="0.3"/>
    <row r="771" s="1" customFormat="1" ht="12.75" customHeight="1" x14ac:dyDescent="0.3"/>
    <row r="772" s="1" customFormat="1" ht="12.75" customHeight="1" x14ac:dyDescent="0.3"/>
    <row r="773" s="1" customFormat="1" ht="12.75" customHeight="1" x14ac:dyDescent="0.3"/>
    <row r="774" s="1" customFormat="1" ht="12.75" customHeight="1" x14ac:dyDescent="0.3"/>
    <row r="775" s="1" customFormat="1" ht="12.75" customHeight="1" x14ac:dyDescent="0.3"/>
    <row r="776" s="1" customFormat="1" ht="12.75" customHeight="1" x14ac:dyDescent="0.3"/>
    <row r="777" s="1" customFormat="1" ht="12.75" customHeight="1" x14ac:dyDescent="0.3"/>
    <row r="778" s="1" customFormat="1" ht="12.75" customHeight="1" x14ac:dyDescent="0.3"/>
    <row r="779" s="1" customFormat="1" ht="12.75" customHeight="1" x14ac:dyDescent="0.3"/>
    <row r="780" s="1" customFormat="1" ht="12.75" customHeight="1" x14ac:dyDescent="0.3"/>
    <row r="781" s="1" customFormat="1" ht="12.75" customHeight="1" x14ac:dyDescent="0.3"/>
    <row r="782" s="1" customFormat="1" ht="12.75" customHeight="1" x14ac:dyDescent="0.3"/>
    <row r="783" s="1" customFormat="1" ht="12.75" customHeight="1" x14ac:dyDescent="0.3"/>
    <row r="784" s="1" customFormat="1" ht="12.75" customHeight="1" x14ac:dyDescent="0.3"/>
    <row r="785" s="1" customFormat="1" ht="12.75" customHeight="1" x14ac:dyDescent="0.3"/>
    <row r="786" s="1" customFormat="1" ht="12.75" customHeight="1" x14ac:dyDescent="0.3"/>
    <row r="787" s="1" customFormat="1" ht="12.75" customHeight="1" x14ac:dyDescent="0.3"/>
    <row r="788" s="1" customFormat="1" ht="12.75" customHeight="1" x14ac:dyDescent="0.3"/>
    <row r="789" s="1" customFormat="1" ht="12.75" customHeight="1" x14ac:dyDescent="0.3"/>
    <row r="790" s="1" customFormat="1" ht="12.75" customHeight="1" x14ac:dyDescent="0.3"/>
    <row r="791" s="1" customFormat="1" ht="12.75" customHeight="1" x14ac:dyDescent="0.3"/>
    <row r="792" s="1" customFormat="1" ht="12.75" customHeight="1" x14ac:dyDescent="0.3"/>
    <row r="793" s="1" customFormat="1" ht="12.75" customHeight="1" x14ac:dyDescent="0.3"/>
    <row r="794" s="1" customFormat="1" ht="12.75" customHeight="1" x14ac:dyDescent="0.3"/>
    <row r="795" s="1" customFormat="1" ht="12.75" customHeight="1" x14ac:dyDescent="0.3"/>
    <row r="796" s="1" customFormat="1" ht="12.75" customHeight="1" x14ac:dyDescent="0.3"/>
    <row r="797" s="1" customFormat="1" ht="12.75" customHeight="1" x14ac:dyDescent="0.3"/>
    <row r="798" s="1" customFormat="1" ht="12.75" customHeight="1" x14ac:dyDescent="0.3"/>
    <row r="799" s="1" customFormat="1" ht="12.75" customHeight="1" x14ac:dyDescent="0.3"/>
    <row r="800" s="1" customFormat="1" ht="12.75" customHeight="1" x14ac:dyDescent="0.3"/>
    <row r="801" s="1" customFormat="1" ht="12.75" customHeight="1" x14ac:dyDescent="0.3"/>
    <row r="802" s="1" customFormat="1" ht="12.75" customHeight="1" x14ac:dyDescent="0.3"/>
    <row r="803" s="1" customFormat="1" ht="12.75" customHeight="1" x14ac:dyDescent="0.3"/>
    <row r="804" s="1" customFormat="1" ht="12.75" customHeight="1" x14ac:dyDescent="0.3"/>
    <row r="805" s="1" customFormat="1" ht="12.75" customHeight="1" x14ac:dyDescent="0.3"/>
    <row r="806" s="1" customFormat="1" ht="12.75" customHeight="1" x14ac:dyDescent="0.3"/>
    <row r="807" s="1" customFormat="1" ht="12.75" customHeight="1" x14ac:dyDescent="0.3"/>
    <row r="808" s="1" customFormat="1" ht="12.75" customHeight="1" x14ac:dyDescent="0.3"/>
    <row r="809" s="1" customFormat="1" ht="12.75" customHeight="1" x14ac:dyDescent="0.3"/>
    <row r="810" s="1" customFormat="1" ht="12.75" customHeight="1" x14ac:dyDescent="0.3"/>
    <row r="811" s="1" customFormat="1" ht="12.75" customHeight="1" x14ac:dyDescent="0.3"/>
    <row r="812" s="1" customFormat="1" ht="12.75" customHeight="1" x14ac:dyDescent="0.3"/>
    <row r="813" s="1" customFormat="1" ht="12.75" customHeight="1" x14ac:dyDescent="0.3"/>
    <row r="814" s="1" customFormat="1" ht="12.75" customHeight="1" x14ac:dyDescent="0.3"/>
    <row r="815" s="1" customFormat="1" ht="12.75" customHeight="1" x14ac:dyDescent="0.3"/>
    <row r="816" s="1" customFormat="1" ht="12.75" customHeight="1" x14ac:dyDescent="0.3"/>
    <row r="817" s="1" customFormat="1" ht="12.75" customHeight="1" x14ac:dyDescent="0.3"/>
    <row r="818" s="1" customFormat="1" ht="12.75" customHeight="1" x14ac:dyDescent="0.3"/>
    <row r="819" s="1" customFormat="1" ht="12.75" customHeight="1" x14ac:dyDescent="0.3"/>
    <row r="820" s="1" customFormat="1" ht="12.75" customHeight="1" x14ac:dyDescent="0.3"/>
    <row r="821" s="1" customFormat="1" ht="12.75" customHeight="1" x14ac:dyDescent="0.3"/>
    <row r="822" s="1" customFormat="1" ht="12.75" customHeight="1" x14ac:dyDescent="0.3"/>
    <row r="823" s="1" customFormat="1" ht="12.75" customHeight="1" x14ac:dyDescent="0.3"/>
    <row r="824" s="1" customFormat="1" ht="12.75" customHeight="1" x14ac:dyDescent="0.3"/>
    <row r="825" s="1" customFormat="1" ht="12.75" customHeight="1" x14ac:dyDescent="0.3"/>
    <row r="826" s="1" customFormat="1" ht="12.75" customHeight="1" x14ac:dyDescent="0.3"/>
    <row r="827" s="1" customFormat="1" ht="12.75" customHeight="1" x14ac:dyDescent="0.3"/>
    <row r="828" s="1" customFormat="1" ht="12.75" customHeight="1" x14ac:dyDescent="0.3"/>
    <row r="829" s="1" customFormat="1" ht="12.75" customHeight="1" x14ac:dyDescent="0.3"/>
    <row r="830" s="1" customFormat="1" ht="12.75" customHeight="1" x14ac:dyDescent="0.3"/>
    <row r="831" s="1" customFormat="1" ht="12.75" customHeight="1" x14ac:dyDescent="0.3"/>
    <row r="832" s="1" customFormat="1" ht="12.75" customHeight="1" x14ac:dyDescent="0.3"/>
    <row r="833" s="1" customFormat="1" ht="12.75" customHeight="1" x14ac:dyDescent="0.3"/>
    <row r="834" s="1" customFormat="1" ht="12.75" customHeight="1" x14ac:dyDescent="0.3"/>
    <row r="835" s="1" customFormat="1" ht="12.75" customHeight="1" x14ac:dyDescent="0.3"/>
    <row r="836" s="1" customFormat="1" ht="12.75" customHeight="1" x14ac:dyDescent="0.3"/>
    <row r="837" s="1" customFormat="1" ht="12.75" customHeight="1" x14ac:dyDescent="0.3"/>
    <row r="838" s="1" customFormat="1" ht="12.75" customHeight="1" x14ac:dyDescent="0.3"/>
    <row r="839" s="1" customFormat="1" ht="12.75" customHeight="1" x14ac:dyDescent="0.3"/>
    <row r="840" s="1" customFormat="1" ht="12.75" customHeight="1" x14ac:dyDescent="0.3"/>
    <row r="841" s="1" customFormat="1" ht="12.75" customHeight="1" x14ac:dyDescent="0.3"/>
    <row r="842" s="1" customFormat="1" ht="12.75" customHeight="1" x14ac:dyDescent="0.3"/>
    <row r="843" s="1" customFormat="1" ht="12.75" customHeight="1" x14ac:dyDescent="0.3"/>
    <row r="844" s="1" customFormat="1" ht="12.75" customHeight="1" x14ac:dyDescent="0.3"/>
    <row r="845" s="1" customFormat="1" ht="12.75" customHeight="1" x14ac:dyDescent="0.3"/>
    <row r="846" s="1" customFormat="1" ht="12.75" customHeight="1" x14ac:dyDescent="0.3"/>
    <row r="847" s="1" customFormat="1" ht="12.75" customHeight="1" x14ac:dyDescent="0.3"/>
    <row r="848" s="1" customFormat="1" ht="12.75" customHeight="1" x14ac:dyDescent="0.3"/>
    <row r="849" s="1" customFormat="1" ht="12.75" customHeight="1" x14ac:dyDescent="0.3"/>
    <row r="850" s="1" customFormat="1" ht="12.75" customHeight="1" x14ac:dyDescent="0.3"/>
    <row r="851" s="1" customFormat="1" ht="12.75" customHeight="1" x14ac:dyDescent="0.3"/>
    <row r="852" s="1" customFormat="1" ht="12.75" customHeight="1" x14ac:dyDescent="0.3"/>
    <row r="853" s="1" customFormat="1" ht="12.75" customHeight="1" x14ac:dyDescent="0.3"/>
    <row r="854" s="1" customFormat="1" ht="12.75" customHeight="1" x14ac:dyDescent="0.3"/>
    <row r="855" s="1" customFormat="1" ht="12.75" customHeight="1" x14ac:dyDescent="0.3"/>
    <row r="856" s="1" customFormat="1" ht="12.75" customHeight="1" x14ac:dyDescent="0.3"/>
    <row r="857" s="1" customFormat="1" ht="12.75" customHeight="1" x14ac:dyDescent="0.3"/>
    <row r="858" s="1" customFormat="1" ht="12.75" customHeight="1" x14ac:dyDescent="0.3"/>
    <row r="859" s="1" customFormat="1" ht="12.75" customHeight="1" x14ac:dyDescent="0.3"/>
    <row r="860" s="1" customFormat="1" ht="12.75" customHeight="1" x14ac:dyDescent="0.3"/>
    <row r="861" s="1" customFormat="1" ht="12.75" customHeight="1" x14ac:dyDescent="0.3"/>
    <row r="862" s="1" customFormat="1" ht="12.75" customHeight="1" x14ac:dyDescent="0.3"/>
    <row r="863" s="1" customFormat="1" ht="12.75" customHeight="1" x14ac:dyDescent="0.3"/>
    <row r="864" s="1" customFormat="1" ht="12.75" customHeight="1" x14ac:dyDescent="0.3"/>
    <row r="865" s="1" customFormat="1" ht="12.75" customHeight="1" x14ac:dyDescent="0.3"/>
    <row r="866" s="1" customFormat="1" ht="12.75" customHeight="1" x14ac:dyDescent="0.3"/>
    <row r="867" s="1" customFormat="1" ht="12.75" customHeight="1" x14ac:dyDescent="0.3"/>
    <row r="868" s="1" customFormat="1" ht="12.75" customHeight="1" x14ac:dyDescent="0.3"/>
    <row r="869" s="1" customFormat="1" ht="12.75" customHeight="1" x14ac:dyDescent="0.3"/>
    <row r="870" s="1" customFormat="1" ht="12.75" customHeight="1" x14ac:dyDescent="0.3"/>
    <row r="871" s="1" customFormat="1" ht="12.75" customHeight="1" x14ac:dyDescent="0.3"/>
    <row r="872" s="1" customFormat="1" ht="12.75" customHeight="1" x14ac:dyDescent="0.3"/>
    <row r="873" s="1" customFormat="1" ht="12.75" customHeight="1" x14ac:dyDescent="0.3"/>
    <row r="874" s="1" customFormat="1" ht="12.75" customHeight="1" x14ac:dyDescent="0.3"/>
    <row r="875" s="1" customFormat="1" ht="12.75" customHeight="1" x14ac:dyDescent="0.3"/>
    <row r="876" s="1" customFormat="1" ht="12.75" customHeight="1" x14ac:dyDescent="0.3"/>
    <row r="877" s="1" customFormat="1" ht="12.75" customHeight="1" x14ac:dyDescent="0.3"/>
    <row r="878" s="1" customFormat="1" ht="12.75" customHeight="1" x14ac:dyDescent="0.3"/>
    <row r="879" s="1" customFormat="1" ht="12.75" customHeight="1" x14ac:dyDescent="0.3"/>
    <row r="880" s="1" customFormat="1" ht="12.75" customHeight="1" x14ac:dyDescent="0.3"/>
    <row r="881" s="1" customFormat="1" ht="12.75" customHeight="1" x14ac:dyDescent="0.3"/>
    <row r="882" s="1" customFormat="1" ht="12.75" customHeight="1" x14ac:dyDescent="0.3"/>
    <row r="883" s="1" customFormat="1" ht="12.75" customHeight="1" x14ac:dyDescent="0.3"/>
    <row r="884" s="1" customFormat="1" ht="12.75" customHeight="1" x14ac:dyDescent="0.3"/>
    <row r="885" s="1" customFormat="1" ht="12.75" customHeight="1" x14ac:dyDescent="0.3"/>
    <row r="886" s="1" customFormat="1" ht="12.75" customHeight="1" x14ac:dyDescent="0.3"/>
    <row r="887" s="1" customFormat="1" ht="12.75" customHeight="1" x14ac:dyDescent="0.3"/>
    <row r="888" s="1" customFormat="1" ht="12.75" customHeight="1" x14ac:dyDescent="0.3"/>
    <row r="889" s="1" customFormat="1" ht="12.75" customHeight="1" x14ac:dyDescent="0.3"/>
    <row r="890" s="1" customFormat="1" ht="12.75" customHeight="1" x14ac:dyDescent="0.3"/>
    <row r="891" s="1" customFormat="1" ht="12.75" customHeight="1" x14ac:dyDescent="0.3"/>
    <row r="892" s="1" customFormat="1" ht="12.75" customHeight="1" x14ac:dyDescent="0.3"/>
    <row r="893" s="1" customFormat="1" ht="12.75" customHeight="1" x14ac:dyDescent="0.3"/>
    <row r="894" s="1" customFormat="1" ht="12.75" customHeight="1" x14ac:dyDescent="0.3"/>
    <row r="895" s="1" customFormat="1" ht="12.75" customHeight="1" x14ac:dyDescent="0.3"/>
    <row r="896" s="1" customFormat="1" ht="12.75" customHeight="1" x14ac:dyDescent="0.3"/>
    <row r="897" s="1" customFormat="1" ht="12.75" customHeight="1" x14ac:dyDescent="0.3"/>
    <row r="898" s="1" customFormat="1" ht="12.75" customHeight="1" x14ac:dyDescent="0.3"/>
    <row r="899" s="1" customFormat="1" ht="12.75" customHeight="1" x14ac:dyDescent="0.3"/>
    <row r="900" s="1" customFormat="1" ht="12.75" customHeight="1" x14ac:dyDescent="0.3"/>
    <row r="901" s="1" customFormat="1" ht="12.75" customHeight="1" x14ac:dyDescent="0.3"/>
    <row r="902" s="1" customFormat="1" ht="12.75" customHeight="1" x14ac:dyDescent="0.3"/>
    <row r="903" s="1" customFormat="1" ht="12.75" customHeight="1" x14ac:dyDescent="0.3"/>
    <row r="904" s="1" customFormat="1" ht="12.75" customHeight="1" x14ac:dyDescent="0.3"/>
    <row r="905" s="1" customFormat="1" ht="12.75" customHeight="1" x14ac:dyDescent="0.3"/>
    <row r="906" s="1" customFormat="1" ht="12.75" customHeight="1" x14ac:dyDescent="0.3"/>
    <row r="907" s="1" customFormat="1" ht="12.75" customHeight="1" x14ac:dyDescent="0.3"/>
    <row r="908" s="1" customFormat="1" ht="12.75" customHeight="1" x14ac:dyDescent="0.3"/>
    <row r="909" s="1" customFormat="1" ht="12.75" customHeight="1" x14ac:dyDescent="0.3"/>
    <row r="910" s="1" customFormat="1" ht="12.75" customHeight="1" x14ac:dyDescent="0.3"/>
    <row r="911" s="1" customFormat="1" ht="12.75" customHeight="1" x14ac:dyDescent="0.3"/>
    <row r="912" s="1" customFormat="1" ht="12.75" customHeight="1" x14ac:dyDescent="0.3"/>
    <row r="913" s="1" customFormat="1" ht="12.75" customHeight="1" x14ac:dyDescent="0.3"/>
    <row r="914" s="1" customFormat="1" ht="12.75" customHeight="1" x14ac:dyDescent="0.3"/>
    <row r="915" s="1" customFormat="1" ht="12.75" customHeight="1" x14ac:dyDescent="0.3"/>
    <row r="916" s="1" customFormat="1" ht="12.75" customHeight="1" x14ac:dyDescent="0.3"/>
    <row r="917" s="1" customFormat="1" ht="12.75" customHeight="1" x14ac:dyDescent="0.3"/>
    <row r="918" s="1" customFormat="1" ht="12.75" customHeight="1" x14ac:dyDescent="0.3"/>
    <row r="919" s="1" customFormat="1" ht="12.75" customHeight="1" x14ac:dyDescent="0.3"/>
    <row r="920" s="1" customFormat="1" ht="12.75" customHeight="1" x14ac:dyDescent="0.3"/>
    <row r="921" s="1" customFormat="1" ht="12.75" customHeight="1" x14ac:dyDescent="0.3"/>
    <row r="922" s="1" customFormat="1" ht="12.75" customHeight="1" x14ac:dyDescent="0.3"/>
    <row r="923" s="1" customFormat="1" ht="12.75" customHeight="1" x14ac:dyDescent="0.3"/>
    <row r="924" s="1" customFormat="1" ht="12.75" customHeight="1" x14ac:dyDescent="0.3"/>
    <row r="925" s="1" customFormat="1" ht="12.75" customHeight="1" x14ac:dyDescent="0.3"/>
    <row r="926" s="1" customFormat="1" ht="12.75" customHeight="1" x14ac:dyDescent="0.3"/>
    <row r="927" s="1" customFormat="1" ht="12.75" customHeight="1" x14ac:dyDescent="0.3"/>
    <row r="928" s="1" customFormat="1" ht="12.75" customHeight="1" x14ac:dyDescent="0.3"/>
    <row r="929" s="1" customFormat="1" ht="12.75" customHeight="1" x14ac:dyDescent="0.3"/>
    <row r="930" s="1" customFormat="1" ht="12.75" customHeight="1" x14ac:dyDescent="0.3"/>
    <row r="931" s="1" customFormat="1" ht="12.75" customHeight="1" x14ac:dyDescent="0.3"/>
    <row r="932" s="1" customFormat="1" ht="12.75" customHeight="1" x14ac:dyDescent="0.3"/>
    <row r="933" s="1" customFormat="1" ht="12.75" customHeight="1" x14ac:dyDescent="0.3"/>
    <row r="934" s="1" customFormat="1" ht="12.75" customHeight="1" x14ac:dyDescent="0.3"/>
    <row r="935" s="1" customFormat="1" ht="12.75" customHeight="1" x14ac:dyDescent="0.3"/>
    <row r="936" s="1" customFormat="1" ht="12.75" customHeight="1" x14ac:dyDescent="0.3"/>
    <row r="937" s="1" customFormat="1" ht="12.75" customHeight="1" x14ac:dyDescent="0.3"/>
    <row r="938" s="1" customFormat="1" ht="12.75" customHeight="1" x14ac:dyDescent="0.3"/>
    <row r="939" s="1" customFormat="1" ht="12.75" customHeight="1" x14ac:dyDescent="0.3"/>
    <row r="940" s="1" customFormat="1" ht="12.75" customHeight="1" x14ac:dyDescent="0.3"/>
    <row r="941" s="1" customFormat="1" ht="12.75" customHeight="1" x14ac:dyDescent="0.3"/>
    <row r="942" s="1" customFormat="1" ht="12.75" customHeight="1" x14ac:dyDescent="0.3"/>
    <row r="943" s="1" customFormat="1" ht="12.75" customHeight="1" x14ac:dyDescent="0.3"/>
    <row r="944" s="1" customFormat="1" ht="12.75" customHeight="1" x14ac:dyDescent="0.3"/>
    <row r="945" s="1" customFormat="1" ht="12.75" customHeight="1" x14ac:dyDescent="0.3"/>
    <row r="946" s="1" customFormat="1" ht="12.75" customHeight="1" x14ac:dyDescent="0.3"/>
    <row r="947" s="1" customFormat="1" ht="12.75" customHeight="1" x14ac:dyDescent="0.3"/>
    <row r="948" s="1" customFormat="1" ht="12.75" customHeight="1" x14ac:dyDescent="0.3"/>
    <row r="949" s="1" customFormat="1" ht="12.75" customHeight="1" x14ac:dyDescent="0.3"/>
    <row r="950" s="1" customFormat="1" ht="12.75" customHeight="1" x14ac:dyDescent="0.3"/>
    <row r="951" s="1" customFormat="1" ht="12.75" customHeight="1" x14ac:dyDescent="0.3"/>
    <row r="952" s="1" customFormat="1" ht="12.75" customHeight="1" x14ac:dyDescent="0.3"/>
    <row r="953" s="1" customFormat="1" ht="12.75" customHeight="1" x14ac:dyDescent="0.3"/>
    <row r="954" s="1" customFormat="1" ht="12.75" customHeight="1" x14ac:dyDescent="0.3"/>
    <row r="955" s="1" customFormat="1" ht="12.75" customHeight="1" x14ac:dyDescent="0.3"/>
    <row r="956" s="1" customFormat="1" ht="12.75" customHeight="1" x14ac:dyDescent="0.3"/>
    <row r="957" s="1" customFormat="1" ht="12.75" customHeight="1" x14ac:dyDescent="0.3"/>
    <row r="958" s="1" customFormat="1" ht="12.75" customHeight="1" x14ac:dyDescent="0.3"/>
    <row r="959" s="1" customFormat="1" ht="12.75" customHeight="1" x14ac:dyDescent="0.3"/>
    <row r="960" s="1" customFormat="1" ht="12.75" customHeight="1" x14ac:dyDescent="0.3"/>
    <row r="961" s="1" customFormat="1" ht="12.75" customHeight="1" x14ac:dyDescent="0.3"/>
    <row r="962" s="1" customFormat="1" ht="12.75" customHeight="1" x14ac:dyDescent="0.3"/>
    <row r="963" s="1" customFormat="1" ht="12.75" customHeight="1" x14ac:dyDescent="0.3"/>
    <row r="964" s="1" customFormat="1" ht="12.75" customHeight="1" x14ac:dyDescent="0.3"/>
    <row r="965" s="1" customFormat="1" ht="12.75" customHeight="1" x14ac:dyDescent="0.3"/>
    <row r="966" s="1" customFormat="1" ht="12.75" customHeight="1" x14ac:dyDescent="0.3"/>
    <row r="967" s="1" customFormat="1" ht="12.75" customHeight="1" x14ac:dyDescent="0.3"/>
    <row r="968" s="1" customFormat="1" ht="12.75" customHeight="1" x14ac:dyDescent="0.3"/>
    <row r="969" s="1" customFormat="1" ht="12.75" customHeight="1" x14ac:dyDescent="0.3"/>
    <row r="970" s="1" customFormat="1" ht="12.75" customHeight="1" x14ac:dyDescent="0.3"/>
    <row r="971" s="1" customFormat="1" ht="12.75" customHeight="1" x14ac:dyDescent="0.3"/>
    <row r="972" s="1" customFormat="1" ht="12.75" customHeight="1" x14ac:dyDescent="0.3"/>
    <row r="973" s="1" customFormat="1" ht="12.75" customHeight="1" x14ac:dyDescent="0.3"/>
    <row r="974" s="1" customFormat="1" ht="12.75" customHeight="1" x14ac:dyDescent="0.3"/>
    <row r="975" s="1" customFormat="1" ht="12.75" customHeight="1" x14ac:dyDescent="0.3"/>
    <row r="976" s="1" customFormat="1" ht="12.75" customHeight="1" x14ac:dyDescent="0.3"/>
    <row r="977" s="1" customFormat="1" ht="12.75" customHeight="1" x14ac:dyDescent="0.3"/>
    <row r="978" s="1" customFormat="1" ht="12.75" customHeight="1" x14ac:dyDescent="0.3"/>
    <row r="979" s="1" customFormat="1" ht="12.75" customHeight="1" x14ac:dyDescent="0.3"/>
    <row r="980" s="1" customFormat="1" ht="12.75" customHeight="1" x14ac:dyDescent="0.3"/>
    <row r="981" s="1" customFormat="1" ht="12.75" customHeight="1" x14ac:dyDescent="0.3"/>
    <row r="982" s="1" customFormat="1" ht="12.75" customHeight="1" x14ac:dyDescent="0.3"/>
    <row r="983" s="1" customFormat="1" ht="12.75" customHeight="1" x14ac:dyDescent="0.3"/>
    <row r="984" s="1" customFormat="1" ht="12.75" customHeight="1" x14ac:dyDescent="0.3"/>
    <row r="985" s="1" customFormat="1" ht="12.75" customHeight="1" x14ac:dyDescent="0.3"/>
    <row r="986" s="1" customFormat="1" ht="12.75" customHeight="1" x14ac:dyDescent="0.3"/>
    <row r="987" s="1" customFormat="1" ht="12.75" customHeight="1" x14ac:dyDescent="0.3"/>
    <row r="988" s="1" customFormat="1" ht="12.75" customHeight="1" x14ac:dyDescent="0.3"/>
    <row r="989" s="1" customFormat="1" ht="12.75" customHeight="1" x14ac:dyDescent="0.3"/>
    <row r="990" s="1" customFormat="1" ht="12.75" customHeight="1" x14ac:dyDescent="0.3"/>
    <row r="991" s="1" customFormat="1" ht="12.75" customHeight="1" x14ac:dyDescent="0.3"/>
    <row r="992" s="1" customFormat="1" ht="12.75" customHeight="1" x14ac:dyDescent="0.3"/>
    <row r="993" s="1" customFormat="1" ht="12.75" customHeight="1" x14ac:dyDescent="0.3"/>
    <row r="994" s="1" customFormat="1" ht="12.75" customHeight="1" x14ac:dyDescent="0.3"/>
    <row r="995" s="1" customFormat="1" ht="12.75" customHeight="1" x14ac:dyDescent="0.3"/>
    <row r="996" s="1" customFormat="1" ht="12.75" customHeight="1" x14ac:dyDescent="0.3"/>
    <row r="997" s="1" customFormat="1" ht="12.75" customHeight="1" x14ac:dyDescent="0.3"/>
    <row r="998" s="1" customFormat="1" ht="12.75" customHeight="1" x14ac:dyDescent="0.3"/>
    <row r="999" s="1" customFormat="1" ht="12.75" customHeight="1" x14ac:dyDescent="0.3"/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687CC-C34E-466B-923F-838710E22C1B}">
  <dimension ref="A1:M999"/>
  <sheetViews>
    <sheetView workbookViewId="0">
      <selection activeCell="G14" sqref="G14"/>
    </sheetView>
  </sheetViews>
  <sheetFormatPr baseColWidth="10" defaultColWidth="12.6328125" defaultRowHeight="15" customHeight="1" x14ac:dyDescent="0.3"/>
  <cols>
    <col min="1" max="1" width="15.7265625" style="1" customWidth="1"/>
    <col min="2" max="7" width="10.6328125" style="1" customWidth="1"/>
    <col min="8" max="8" width="11.36328125" style="1" customWidth="1"/>
    <col min="9" max="25" width="10.6328125" style="1" customWidth="1"/>
    <col min="26" max="16384" width="12.6328125" style="1"/>
  </cols>
  <sheetData>
    <row r="1" spans="1:13" ht="15.75" customHeight="1" x14ac:dyDescent="0.3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5.75" customHeight="1" x14ac:dyDescent="0.3">
      <c r="A2" s="1" t="s">
        <v>12</v>
      </c>
      <c r="B2" s="1" t="s">
        <v>13</v>
      </c>
      <c r="D2" s="1">
        <v>1</v>
      </c>
      <c r="H2" s="2" t="s">
        <v>14</v>
      </c>
      <c r="I2" s="3">
        <f t="shared" ref="I2:L2" si="0">SUM(C22+C37+C55+C65+C66+C96+C105+C113+C128+C146+C150)</f>
        <v>9</v>
      </c>
      <c r="J2" s="3">
        <f t="shared" si="0"/>
        <v>1</v>
      </c>
      <c r="K2" s="3">
        <f t="shared" si="0"/>
        <v>1</v>
      </c>
      <c r="L2" s="3">
        <f t="shared" si="0"/>
        <v>0</v>
      </c>
      <c r="M2" s="3">
        <f t="shared" ref="M2:M13" si="1">SUM(I2:L2)</f>
        <v>11</v>
      </c>
    </row>
    <row r="3" spans="1:13" ht="15.75" customHeight="1" x14ac:dyDescent="0.3">
      <c r="A3" s="1" t="s">
        <v>15</v>
      </c>
      <c r="B3" s="1" t="s">
        <v>16</v>
      </c>
      <c r="C3" s="1">
        <v>1</v>
      </c>
      <c r="H3" s="2" t="s">
        <v>17</v>
      </c>
      <c r="I3" s="3">
        <f t="shared" ref="I3:L3" si="2">SUM(C6+C32+C50+C52+C58+C69+C76+C94+C115+C122+C123+C152)</f>
        <v>1</v>
      </c>
      <c r="J3" s="3">
        <f t="shared" si="2"/>
        <v>11</v>
      </c>
      <c r="K3" s="3">
        <f t="shared" si="2"/>
        <v>0</v>
      </c>
      <c r="L3" s="3">
        <f t="shared" si="2"/>
        <v>0</v>
      </c>
      <c r="M3" s="3">
        <f t="shared" si="1"/>
        <v>12</v>
      </c>
    </row>
    <row r="4" spans="1:13" ht="15.75" customHeight="1" x14ac:dyDescent="0.3">
      <c r="A4" s="1" t="s">
        <v>18</v>
      </c>
      <c r="B4" s="1" t="s">
        <v>13</v>
      </c>
      <c r="D4" s="1">
        <v>1</v>
      </c>
      <c r="H4" s="2" t="s">
        <v>19</v>
      </c>
      <c r="I4" s="3">
        <f t="shared" ref="I4:L4" si="3">SUM(C26+C14+C27+C62+C68+C124+C138+C142+C153+C155)</f>
        <v>10</v>
      </c>
      <c r="J4" s="3">
        <f t="shared" si="3"/>
        <v>0</v>
      </c>
      <c r="K4" s="3">
        <f t="shared" si="3"/>
        <v>0</v>
      </c>
      <c r="L4" s="3">
        <f t="shared" si="3"/>
        <v>0</v>
      </c>
      <c r="M4" s="3">
        <f t="shared" si="1"/>
        <v>10</v>
      </c>
    </row>
    <row r="5" spans="1:13" ht="15.75" customHeight="1" x14ac:dyDescent="0.3">
      <c r="A5" s="1" t="s">
        <v>20</v>
      </c>
      <c r="B5" s="1" t="s">
        <v>21</v>
      </c>
      <c r="E5" s="1">
        <v>1</v>
      </c>
      <c r="H5" s="2" t="s">
        <v>22</v>
      </c>
      <c r="I5" s="3">
        <f t="shared" ref="I5:L5" si="4">SUM(C5+C36+C56+C63+C73+C85+C87+C95+C135)</f>
        <v>0</v>
      </c>
      <c r="J5" s="3">
        <f t="shared" si="4"/>
        <v>1</v>
      </c>
      <c r="K5" s="3">
        <f t="shared" si="4"/>
        <v>7</v>
      </c>
      <c r="L5" s="3">
        <f t="shared" si="4"/>
        <v>1</v>
      </c>
      <c r="M5" s="3">
        <f t="shared" si="1"/>
        <v>9</v>
      </c>
    </row>
    <row r="6" spans="1:13" ht="15.75" customHeight="1" x14ac:dyDescent="0.3">
      <c r="A6" s="1" t="s">
        <v>23</v>
      </c>
      <c r="B6" s="1" t="s">
        <v>24</v>
      </c>
      <c r="C6" s="1">
        <v>1</v>
      </c>
      <c r="H6" s="2" t="s">
        <v>25</v>
      </c>
      <c r="I6" s="3">
        <f t="shared" ref="I6:L6" si="5">SUM(C12+C15+C18+C28+C41+C59+C78+C64+C82+C83+C86+C106+C119+C143+C148+C154)</f>
        <v>15</v>
      </c>
      <c r="J6" s="3">
        <f t="shared" si="5"/>
        <v>0</v>
      </c>
      <c r="K6" s="3">
        <f t="shared" si="5"/>
        <v>1</v>
      </c>
      <c r="L6" s="3">
        <f t="shared" si="5"/>
        <v>0</v>
      </c>
      <c r="M6" s="3">
        <f t="shared" si="1"/>
        <v>16</v>
      </c>
    </row>
    <row r="7" spans="1:13" ht="15.75" customHeight="1" x14ac:dyDescent="0.3">
      <c r="A7" s="1" t="s">
        <v>26</v>
      </c>
      <c r="B7" s="1" t="s">
        <v>27</v>
      </c>
      <c r="C7" s="1">
        <v>1</v>
      </c>
      <c r="H7" s="2" t="s">
        <v>28</v>
      </c>
      <c r="I7" s="3">
        <f t="shared" ref="I7:L7" si="6">SUM(C3+C20+C46+C49+C54+C89+C90+C102+C112+C114+C129+C141)</f>
        <v>5</v>
      </c>
      <c r="J7" s="3">
        <f t="shared" si="6"/>
        <v>5</v>
      </c>
      <c r="K7" s="3">
        <f t="shared" si="6"/>
        <v>2</v>
      </c>
      <c r="L7" s="3">
        <f t="shared" si="6"/>
        <v>0</v>
      </c>
      <c r="M7" s="3">
        <f t="shared" si="1"/>
        <v>12</v>
      </c>
    </row>
    <row r="8" spans="1:13" ht="15.75" customHeight="1" x14ac:dyDescent="0.3">
      <c r="A8" s="1" t="s">
        <v>29</v>
      </c>
      <c r="B8" s="1" t="s">
        <v>30</v>
      </c>
      <c r="D8" s="1">
        <v>1</v>
      </c>
      <c r="H8" s="2" t="s">
        <v>27</v>
      </c>
      <c r="I8" s="3">
        <f t="shared" ref="I8:L8" si="7">SUM(C7+C30+C29+C44+C51+C60+C72+C79+C101+C99+C107+C111+C117+C140+C144)</f>
        <v>3</v>
      </c>
      <c r="J8" s="3">
        <f t="shared" si="7"/>
        <v>11</v>
      </c>
      <c r="K8" s="3">
        <f t="shared" si="7"/>
        <v>1</v>
      </c>
      <c r="L8" s="3">
        <f t="shared" si="7"/>
        <v>0</v>
      </c>
      <c r="M8" s="3">
        <f t="shared" si="1"/>
        <v>15</v>
      </c>
    </row>
    <row r="9" spans="1:13" ht="15.75" customHeight="1" x14ac:dyDescent="0.3">
      <c r="A9" s="1" t="s">
        <v>31</v>
      </c>
      <c r="B9" s="1" t="s">
        <v>13</v>
      </c>
      <c r="D9" s="1">
        <v>1</v>
      </c>
      <c r="H9" s="2" t="s">
        <v>13</v>
      </c>
      <c r="I9" s="3">
        <f t="shared" ref="I9:J9" si="8">SUM(C4+C9+C17+C19+C2+C48+C92+C120+C126+C127+C130+C133+C151)</f>
        <v>0</v>
      </c>
      <c r="J9" s="3">
        <f t="shared" si="8"/>
        <v>12</v>
      </c>
      <c r="K9" s="3">
        <f>SUM(D4+D9+D17+D19+D2+D48+D92+D120+D126+D127+D130+D133+D151)</f>
        <v>12</v>
      </c>
      <c r="L9" s="3">
        <f>SUM(F4+F9+F17+F19+F2+F48+F92+F120+F126+F127+F130+F133+F151)</f>
        <v>0</v>
      </c>
      <c r="M9" s="3">
        <f t="shared" si="1"/>
        <v>24</v>
      </c>
    </row>
    <row r="10" spans="1:13" ht="15.75" customHeight="1" x14ac:dyDescent="0.3">
      <c r="A10" s="1" t="s">
        <v>32</v>
      </c>
      <c r="B10" s="1" t="s">
        <v>33</v>
      </c>
      <c r="C10" s="1">
        <v>1</v>
      </c>
      <c r="H10" s="2" t="s">
        <v>30</v>
      </c>
      <c r="I10" s="3">
        <f t="shared" ref="I10:L10" si="9">SUM(C8+C13+C16+C25+C31+C35+C43+C45+C70+C71+C75+C81+C88+C93+C98+C100+C104+C118+C136+C137+C156)</f>
        <v>0</v>
      </c>
      <c r="J10" s="3">
        <f t="shared" si="9"/>
        <v>21</v>
      </c>
      <c r="K10" s="3">
        <f t="shared" si="9"/>
        <v>0</v>
      </c>
      <c r="L10" s="3">
        <f t="shared" si="9"/>
        <v>0</v>
      </c>
      <c r="M10" s="3">
        <f t="shared" si="1"/>
        <v>21</v>
      </c>
    </row>
    <row r="11" spans="1:13" ht="15.75" customHeight="1" x14ac:dyDescent="0.3">
      <c r="A11" s="1" t="s">
        <v>34</v>
      </c>
      <c r="B11" s="1" t="s">
        <v>33</v>
      </c>
      <c r="C11" s="1">
        <v>1</v>
      </c>
      <c r="H11" s="2" t="s">
        <v>35</v>
      </c>
      <c r="I11" s="3">
        <f t="shared" ref="I11:L11" si="10">SUM(C38+C42+C47+C53+C74+C77+C80+C91+C97+C103+C108+C116+C131+C145+C147)</f>
        <v>0</v>
      </c>
      <c r="J11" s="3">
        <f t="shared" si="10"/>
        <v>14</v>
      </c>
      <c r="K11" s="3">
        <f t="shared" si="10"/>
        <v>1</v>
      </c>
      <c r="L11" s="3">
        <f t="shared" si="10"/>
        <v>0</v>
      </c>
      <c r="M11" s="3">
        <f t="shared" si="1"/>
        <v>15</v>
      </c>
    </row>
    <row r="12" spans="1:13" ht="15.75" customHeight="1" x14ac:dyDescent="0.3">
      <c r="A12" s="1" t="s">
        <v>36</v>
      </c>
      <c r="B12" s="1" t="s">
        <v>37</v>
      </c>
      <c r="C12" s="1">
        <v>1</v>
      </c>
      <c r="H12" s="2" t="s">
        <v>38</v>
      </c>
      <c r="I12" s="3">
        <f t="shared" ref="I12:L12" si="11">SUM(C21+C24+C34+C40+C67+C84+C132)</f>
        <v>1</v>
      </c>
      <c r="J12" s="3">
        <f t="shared" si="11"/>
        <v>6</v>
      </c>
      <c r="K12" s="3">
        <f t="shared" si="11"/>
        <v>0</v>
      </c>
      <c r="L12" s="3">
        <f t="shared" si="11"/>
        <v>0</v>
      </c>
      <c r="M12" s="3">
        <f t="shared" si="1"/>
        <v>7</v>
      </c>
    </row>
    <row r="13" spans="1:13" ht="15.75" customHeight="1" x14ac:dyDescent="0.3">
      <c r="A13" s="1" t="s">
        <v>39</v>
      </c>
      <c r="B13" s="1" t="s">
        <v>30</v>
      </c>
      <c r="D13" s="1">
        <v>1</v>
      </c>
      <c r="H13" s="2" t="s">
        <v>33</v>
      </c>
      <c r="I13" s="3">
        <f t="shared" ref="I13:L13" si="12">SUM(C10+C11+C57+C125+C149)</f>
        <v>4</v>
      </c>
      <c r="J13" s="3">
        <f t="shared" si="12"/>
        <v>1</v>
      </c>
      <c r="K13" s="3">
        <f t="shared" si="12"/>
        <v>0</v>
      </c>
      <c r="L13" s="3">
        <f t="shared" si="12"/>
        <v>0</v>
      </c>
      <c r="M13" s="3">
        <f t="shared" si="1"/>
        <v>5</v>
      </c>
    </row>
    <row r="14" spans="1:13" ht="15.75" customHeight="1" x14ac:dyDescent="0.3">
      <c r="A14" s="1" t="s">
        <v>40</v>
      </c>
      <c r="B14" s="1" t="s">
        <v>19</v>
      </c>
      <c r="C14" s="1">
        <v>1</v>
      </c>
      <c r="I14" s="4"/>
      <c r="J14" s="4"/>
      <c r="K14" s="4"/>
      <c r="L14" s="4"/>
    </row>
    <row r="15" spans="1:13" ht="15.75" customHeight="1" x14ac:dyDescent="0.3">
      <c r="A15" s="1" t="s">
        <v>41</v>
      </c>
      <c r="B15" s="1" t="s">
        <v>42</v>
      </c>
      <c r="C15" s="1">
        <v>1</v>
      </c>
      <c r="I15" s="4"/>
      <c r="J15" s="4"/>
      <c r="K15" s="4"/>
      <c r="L15" s="4"/>
    </row>
    <row r="16" spans="1:13" ht="15.75" customHeight="1" x14ac:dyDescent="0.3">
      <c r="A16" s="1" t="s">
        <v>43</v>
      </c>
      <c r="B16" s="1" t="s">
        <v>30</v>
      </c>
      <c r="D16" s="1">
        <v>1</v>
      </c>
      <c r="I16" s="4"/>
      <c r="J16" s="4"/>
      <c r="K16" s="4"/>
      <c r="L16" s="4"/>
    </row>
    <row r="17" spans="1:12" ht="15.75" customHeight="1" x14ac:dyDescent="0.3">
      <c r="A17" s="1" t="s">
        <v>44</v>
      </c>
      <c r="B17" s="1" t="s">
        <v>13</v>
      </c>
      <c r="D17" s="1">
        <v>1</v>
      </c>
      <c r="I17" s="4"/>
      <c r="J17" s="4"/>
      <c r="K17" s="4"/>
      <c r="L17" s="4"/>
    </row>
    <row r="18" spans="1:12" ht="15.75" customHeight="1" x14ac:dyDescent="0.3">
      <c r="A18" s="1" t="s">
        <v>45</v>
      </c>
      <c r="B18" s="1" t="s">
        <v>37</v>
      </c>
      <c r="E18" s="1">
        <v>1</v>
      </c>
      <c r="I18" s="4"/>
      <c r="J18" s="4"/>
      <c r="K18" s="4"/>
      <c r="L18" s="4"/>
    </row>
    <row r="19" spans="1:12" ht="15.75" customHeight="1" x14ac:dyDescent="0.3">
      <c r="A19" s="1" t="s">
        <v>46</v>
      </c>
      <c r="B19" s="1" t="s">
        <v>13</v>
      </c>
      <c r="D19" s="1">
        <v>1</v>
      </c>
    </row>
    <row r="20" spans="1:12" ht="15.75" customHeight="1" x14ac:dyDescent="0.3">
      <c r="A20" s="1" t="s">
        <v>47</v>
      </c>
      <c r="B20" s="1" t="s">
        <v>16</v>
      </c>
      <c r="C20" s="1">
        <v>1</v>
      </c>
    </row>
    <row r="21" spans="1:12" ht="15.75" customHeight="1" x14ac:dyDescent="0.3">
      <c r="A21" s="1" t="s">
        <v>48</v>
      </c>
      <c r="B21" s="1" t="s">
        <v>38</v>
      </c>
      <c r="D21" s="1">
        <v>1</v>
      </c>
    </row>
    <row r="22" spans="1:12" ht="15.75" customHeight="1" x14ac:dyDescent="0.3">
      <c r="A22" s="1" t="s">
        <v>49</v>
      </c>
      <c r="B22" s="1" t="s">
        <v>14</v>
      </c>
      <c r="C22" s="1">
        <v>1</v>
      </c>
    </row>
    <row r="23" spans="1:12" ht="15.75" customHeight="1" x14ac:dyDescent="0.3">
      <c r="A23" s="1" t="s">
        <v>50</v>
      </c>
      <c r="B23" s="1" t="s">
        <v>13</v>
      </c>
      <c r="E23" s="1">
        <v>1</v>
      </c>
    </row>
    <row r="24" spans="1:12" ht="15.75" customHeight="1" x14ac:dyDescent="0.3">
      <c r="A24" s="1" t="s">
        <v>51</v>
      </c>
      <c r="B24" s="1" t="s">
        <v>38</v>
      </c>
      <c r="C24" s="1">
        <v>1</v>
      </c>
    </row>
    <row r="25" spans="1:12" ht="15.75" customHeight="1" x14ac:dyDescent="0.3">
      <c r="A25" s="1" t="s">
        <v>52</v>
      </c>
      <c r="B25" s="1" t="s">
        <v>30</v>
      </c>
      <c r="D25" s="1">
        <v>1</v>
      </c>
    </row>
    <row r="26" spans="1:12" ht="15.75" customHeight="1" x14ac:dyDescent="0.3">
      <c r="A26" s="1" t="s">
        <v>53</v>
      </c>
      <c r="B26" s="1" t="s">
        <v>19</v>
      </c>
      <c r="C26" s="1">
        <v>1</v>
      </c>
    </row>
    <row r="27" spans="1:12" ht="15.75" customHeight="1" x14ac:dyDescent="0.3">
      <c r="A27" s="1" t="s">
        <v>54</v>
      </c>
      <c r="B27" s="1" t="s">
        <v>19</v>
      </c>
      <c r="C27" s="1">
        <v>1</v>
      </c>
    </row>
    <row r="28" spans="1:12" ht="15.75" customHeight="1" x14ac:dyDescent="0.3">
      <c r="A28" s="1" t="s">
        <v>55</v>
      </c>
      <c r="B28" s="1" t="s">
        <v>37</v>
      </c>
      <c r="C28" s="1">
        <v>1</v>
      </c>
    </row>
    <row r="29" spans="1:12" ht="15.75" customHeight="1" x14ac:dyDescent="0.3">
      <c r="A29" s="1" t="s">
        <v>56</v>
      </c>
      <c r="B29" s="1" t="s">
        <v>27</v>
      </c>
      <c r="D29" s="1">
        <v>1</v>
      </c>
    </row>
    <row r="30" spans="1:12" ht="15.75" customHeight="1" x14ac:dyDescent="0.3">
      <c r="A30" s="1" t="s">
        <v>57</v>
      </c>
      <c r="B30" s="1" t="s">
        <v>27</v>
      </c>
      <c r="C30" s="1">
        <v>1</v>
      </c>
    </row>
    <row r="31" spans="1:12" ht="15.75" customHeight="1" x14ac:dyDescent="0.3">
      <c r="A31" s="1" t="s">
        <v>58</v>
      </c>
      <c r="B31" s="1" t="s">
        <v>30</v>
      </c>
      <c r="D31" s="1">
        <v>1</v>
      </c>
    </row>
    <row r="32" spans="1:12" ht="15.75" customHeight="1" x14ac:dyDescent="0.3">
      <c r="A32" s="1" t="s">
        <v>59</v>
      </c>
      <c r="B32" s="1" t="s">
        <v>24</v>
      </c>
      <c r="D32" s="1">
        <v>1</v>
      </c>
    </row>
    <row r="33" spans="1:12" ht="15.75" customHeight="1" x14ac:dyDescent="0.3">
      <c r="A33" s="1" t="s">
        <v>60</v>
      </c>
      <c r="B33" s="1" t="s">
        <v>27</v>
      </c>
      <c r="D33" s="1">
        <v>1</v>
      </c>
    </row>
    <row r="34" spans="1:12" ht="15.75" customHeight="1" x14ac:dyDescent="0.3">
      <c r="A34" s="1" t="s">
        <v>61</v>
      </c>
      <c r="B34" s="1" t="s">
        <v>38</v>
      </c>
      <c r="D34" s="1">
        <v>1</v>
      </c>
    </row>
    <row r="35" spans="1:12" ht="15.75" customHeight="1" x14ac:dyDescent="0.3">
      <c r="A35" s="1" t="s">
        <v>62</v>
      </c>
      <c r="B35" s="1" t="s">
        <v>30</v>
      </c>
      <c r="D35" s="1">
        <v>1</v>
      </c>
    </row>
    <row r="36" spans="1:12" ht="15.75" customHeight="1" x14ac:dyDescent="0.3">
      <c r="A36" s="1" t="s">
        <v>63</v>
      </c>
      <c r="B36" s="1" t="s">
        <v>21</v>
      </c>
      <c r="E36" s="1">
        <v>1</v>
      </c>
    </row>
    <row r="37" spans="1:12" ht="15.75" customHeight="1" x14ac:dyDescent="0.3">
      <c r="A37" s="1" t="s">
        <v>64</v>
      </c>
      <c r="B37" s="1" t="s">
        <v>14</v>
      </c>
      <c r="C37" s="1">
        <v>1</v>
      </c>
    </row>
    <row r="38" spans="1:12" ht="15.75" customHeight="1" x14ac:dyDescent="0.3">
      <c r="A38" s="1" t="s">
        <v>65</v>
      </c>
      <c r="B38" s="1" t="s">
        <v>66</v>
      </c>
      <c r="D38" s="1">
        <v>1</v>
      </c>
    </row>
    <row r="39" spans="1:12" ht="15.75" customHeight="1" x14ac:dyDescent="0.3">
      <c r="A39" s="1" t="s">
        <v>67</v>
      </c>
      <c r="B39" s="1" t="s">
        <v>16</v>
      </c>
      <c r="D39" s="1">
        <v>1</v>
      </c>
    </row>
    <row r="40" spans="1:12" ht="15.75" customHeight="1" x14ac:dyDescent="0.3">
      <c r="A40" s="1" t="s">
        <v>68</v>
      </c>
      <c r="B40" s="1" t="s">
        <v>38</v>
      </c>
      <c r="D40" s="1">
        <v>1</v>
      </c>
    </row>
    <row r="41" spans="1:12" ht="15.75" customHeight="1" x14ac:dyDescent="0.3">
      <c r="A41" s="1" t="s">
        <v>69</v>
      </c>
      <c r="B41" s="1" t="s">
        <v>37</v>
      </c>
      <c r="C41" s="1">
        <v>1</v>
      </c>
    </row>
    <row r="42" spans="1:12" ht="15.75" customHeight="1" x14ac:dyDescent="0.3">
      <c r="A42" s="1" t="s">
        <v>70</v>
      </c>
      <c r="B42" s="1" t="s">
        <v>66</v>
      </c>
      <c r="D42" s="1">
        <v>1</v>
      </c>
    </row>
    <row r="43" spans="1:12" ht="15.75" customHeight="1" x14ac:dyDescent="0.3">
      <c r="A43" s="1" t="s">
        <v>71</v>
      </c>
      <c r="B43" s="1" t="s">
        <v>30</v>
      </c>
      <c r="D43" s="1">
        <v>1</v>
      </c>
    </row>
    <row r="44" spans="1:12" ht="15.75" customHeight="1" x14ac:dyDescent="0.3">
      <c r="A44" s="1" t="s">
        <v>72</v>
      </c>
      <c r="B44" s="1" t="s">
        <v>27</v>
      </c>
      <c r="D44" s="1">
        <v>1</v>
      </c>
    </row>
    <row r="45" spans="1:12" ht="15.75" customHeight="1" x14ac:dyDescent="0.3">
      <c r="A45" s="1" t="s">
        <v>73</v>
      </c>
      <c r="B45" s="1" t="s">
        <v>30</v>
      </c>
      <c r="D45" s="1">
        <v>1</v>
      </c>
      <c r="H45" s="1" t="s">
        <v>6</v>
      </c>
      <c r="I45" s="1" t="s">
        <v>7</v>
      </c>
      <c r="J45" s="1" t="s">
        <v>8</v>
      </c>
      <c r="K45" s="1" t="s">
        <v>9</v>
      </c>
      <c r="L45" s="1" t="s">
        <v>10</v>
      </c>
    </row>
    <row r="46" spans="1:12" ht="15.75" customHeight="1" x14ac:dyDescent="0.3">
      <c r="A46" s="1" t="s">
        <v>74</v>
      </c>
      <c r="B46" s="1" t="s">
        <v>16</v>
      </c>
      <c r="D46" s="1">
        <v>1</v>
      </c>
      <c r="H46" s="2" t="s">
        <v>14</v>
      </c>
      <c r="I46" s="4">
        <f t="shared" ref="I46:I57" si="13">I2/M2</f>
        <v>0.81818181818181823</v>
      </c>
      <c r="J46" s="4">
        <f t="shared" ref="J46:J57" si="14">J2/M2</f>
        <v>9.0909090909090912E-2</v>
      </c>
      <c r="K46" s="4">
        <f t="shared" ref="K46:K57" si="15">K2/M2</f>
        <v>9.0909090909090912E-2</v>
      </c>
      <c r="L46" s="4">
        <f t="shared" ref="L46:L57" si="16">L2/M2</f>
        <v>0</v>
      </c>
    </row>
    <row r="47" spans="1:12" ht="15.75" customHeight="1" x14ac:dyDescent="0.3">
      <c r="A47" s="1" t="s">
        <v>75</v>
      </c>
      <c r="B47" s="1" t="s">
        <v>66</v>
      </c>
      <c r="D47" s="1">
        <v>1</v>
      </c>
      <c r="H47" s="2" t="s">
        <v>17</v>
      </c>
      <c r="I47" s="4">
        <f t="shared" si="13"/>
        <v>8.3333333333333329E-2</v>
      </c>
      <c r="J47" s="4">
        <f t="shared" si="14"/>
        <v>0.91666666666666663</v>
      </c>
      <c r="K47" s="4">
        <f t="shared" si="15"/>
        <v>0</v>
      </c>
      <c r="L47" s="4">
        <f t="shared" si="16"/>
        <v>0</v>
      </c>
    </row>
    <row r="48" spans="1:12" ht="15.75" customHeight="1" x14ac:dyDescent="0.3">
      <c r="A48" s="1" t="s">
        <v>76</v>
      </c>
      <c r="B48" s="1" t="s">
        <v>13</v>
      </c>
      <c r="D48" s="1">
        <v>1</v>
      </c>
      <c r="H48" s="2" t="s">
        <v>19</v>
      </c>
      <c r="I48" s="4">
        <f t="shared" si="13"/>
        <v>1</v>
      </c>
      <c r="J48" s="4">
        <f t="shared" si="14"/>
        <v>0</v>
      </c>
      <c r="K48" s="4">
        <f t="shared" si="15"/>
        <v>0</v>
      </c>
      <c r="L48" s="4">
        <f t="shared" si="16"/>
        <v>0</v>
      </c>
    </row>
    <row r="49" spans="1:12" ht="15.75" customHeight="1" x14ac:dyDescent="0.3">
      <c r="A49" s="1" t="s">
        <v>77</v>
      </c>
      <c r="B49" s="1" t="s">
        <v>16</v>
      </c>
      <c r="D49" s="1">
        <v>1</v>
      </c>
      <c r="H49" s="2" t="s">
        <v>22</v>
      </c>
      <c r="I49" s="4">
        <f t="shared" si="13"/>
        <v>0</v>
      </c>
      <c r="J49" s="4">
        <f t="shared" si="14"/>
        <v>0.1111111111111111</v>
      </c>
      <c r="K49" s="4">
        <f t="shared" si="15"/>
        <v>0.77777777777777779</v>
      </c>
      <c r="L49" s="4">
        <f t="shared" si="16"/>
        <v>0.1111111111111111</v>
      </c>
    </row>
    <row r="50" spans="1:12" ht="15.75" customHeight="1" x14ac:dyDescent="0.3">
      <c r="A50" s="1" t="s">
        <v>78</v>
      </c>
      <c r="B50" s="1" t="s">
        <v>24</v>
      </c>
      <c r="D50" s="1">
        <v>1</v>
      </c>
      <c r="H50" s="2" t="s">
        <v>25</v>
      </c>
      <c r="I50" s="4">
        <f t="shared" si="13"/>
        <v>0.9375</v>
      </c>
      <c r="J50" s="4">
        <f t="shared" si="14"/>
        <v>0</v>
      </c>
      <c r="K50" s="4">
        <f t="shared" si="15"/>
        <v>6.25E-2</v>
      </c>
      <c r="L50" s="4">
        <f t="shared" si="16"/>
        <v>0</v>
      </c>
    </row>
    <row r="51" spans="1:12" ht="15.75" customHeight="1" x14ac:dyDescent="0.3">
      <c r="A51" s="1" t="s">
        <v>79</v>
      </c>
      <c r="B51" s="1" t="s">
        <v>27</v>
      </c>
      <c r="D51" s="1">
        <v>1</v>
      </c>
      <c r="H51" s="2" t="s">
        <v>28</v>
      </c>
      <c r="I51" s="4">
        <f t="shared" si="13"/>
        <v>0.41666666666666669</v>
      </c>
      <c r="J51" s="4">
        <f t="shared" si="14"/>
        <v>0.41666666666666669</v>
      </c>
      <c r="K51" s="4">
        <f t="shared" si="15"/>
        <v>0.16666666666666666</v>
      </c>
      <c r="L51" s="4">
        <f t="shared" si="16"/>
        <v>0</v>
      </c>
    </row>
    <row r="52" spans="1:12" ht="15.75" customHeight="1" x14ac:dyDescent="0.3">
      <c r="A52" s="1" t="s">
        <v>80</v>
      </c>
      <c r="B52" s="1" t="s">
        <v>24</v>
      </c>
      <c r="D52" s="1">
        <v>1</v>
      </c>
      <c r="H52" s="2" t="s">
        <v>27</v>
      </c>
      <c r="I52" s="4">
        <f t="shared" si="13"/>
        <v>0.2</v>
      </c>
      <c r="J52" s="4">
        <f t="shared" si="14"/>
        <v>0.73333333333333328</v>
      </c>
      <c r="K52" s="4">
        <f t="shared" si="15"/>
        <v>6.6666666666666666E-2</v>
      </c>
      <c r="L52" s="4">
        <f t="shared" si="16"/>
        <v>0</v>
      </c>
    </row>
    <row r="53" spans="1:12" ht="15.75" customHeight="1" x14ac:dyDescent="0.3">
      <c r="A53" s="1" t="s">
        <v>81</v>
      </c>
      <c r="B53" s="1" t="s">
        <v>66</v>
      </c>
      <c r="D53" s="1">
        <v>1</v>
      </c>
      <c r="H53" s="2" t="s">
        <v>13</v>
      </c>
      <c r="I53" s="4">
        <f t="shared" si="13"/>
        <v>0</v>
      </c>
      <c r="J53" s="4">
        <f t="shared" si="14"/>
        <v>0.5</v>
      </c>
      <c r="K53" s="4">
        <f t="shared" si="15"/>
        <v>0.5</v>
      </c>
      <c r="L53" s="4">
        <f t="shared" si="16"/>
        <v>0</v>
      </c>
    </row>
    <row r="54" spans="1:12" ht="15.75" customHeight="1" x14ac:dyDescent="0.3">
      <c r="A54" s="1" t="s">
        <v>82</v>
      </c>
      <c r="B54" s="1" t="s">
        <v>16</v>
      </c>
      <c r="E54" s="1">
        <v>1</v>
      </c>
      <c r="H54" s="2" t="s">
        <v>30</v>
      </c>
      <c r="I54" s="4">
        <f t="shared" si="13"/>
        <v>0</v>
      </c>
      <c r="J54" s="4">
        <f t="shared" si="14"/>
        <v>1</v>
      </c>
      <c r="K54" s="4">
        <f t="shared" si="15"/>
        <v>0</v>
      </c>
      <c r="L54" s="4">
        <f t="shared" si="16"/>
        <v>0</v>
      </c>
    </row>
    <row r="55" spans="1:12" ht="15.75" customHeight="1" x14ac:dyDescent="0.3">
      <c r="A55" s="1" t="s">
        <v>83</v>
      </c>
      <c r="B55" s="1" t="s">
        <v>14</v>
      </c>
      <c r="C55" s="1">
        <v>1</v>
      </c>
      <c r="H55" s="2" t="s">
        <v>35</v>
      </c>
      <c r="I55" s="4">
        <f t="shared" si="13"/>
        <v>0</v>
      </c>
      <c r="J55" s="4">
        <f t="shared" si="14"/>
        <v>0.93333333333333335</v>
      </c>
      <c r="K55" s="4">
        <f t="shared" si="15"/>
        <v>6.6666666666666666E-2</v>
      </c>
      <c r="L55" s="4">
        <f t="shared" si="16"/>
        <v>0</v>
      </c>
    </row>
    <row r="56" spans="1:12" ht="15.75" customHeight="1" x14ac:dyDescent="0.3">
      <c r="A56" s="1" t="s">
        <v>84</v>
      </c>
      <c r="B56" s="1" t="s">
        <v>21</v>
      </c>
      <c r="E56" s="1">
        <v>1</v>
      </c>
      <c r="H56" s="2" t="s">
        <v>38</v>
      </c>
      <c r="I56" s="4">
        <f t="shared" si="13"/>
        <v>0.14285714285714285</v>
      </c>
      <c r="J56" s="4">
        <f t="shared" si="14"/>
        <v>0.8571428571428571</v>
      </c>
      <c r="K56" s="4">
        <f t="shared" si="15"/>
        <v>0</v>
      </c>
      <c r="L56" s="4">
        <f t="shared" si="16"/>
        <v>0</v>
      </c>
    </row>
    <row r="57" spans="1:12" ht="15.75" customHeight="1" x14ac:dyDescent="0.3">
      <c r="A57" s="1" t="s">
        <v>85</v>
      </c>
      <c r="B57" s="1" t="s">
        <v>33</v>
      </c>
      <c r="C57" s="1">
        <v>1</v>
      </c>
      <c r="H57" s="2" t="s">
        <v>33</v>
      </c>
      <c r="I57" s="4">
        <f t="shared" si="13"/>
        <v>0.8</v>
      </c>
      <c r="J57" s="4">
        <f t="shared" si="14"/>
        <v>0.2</v>
      </c>
      <c r="K57" s="4">
        <f t="shared" si="15"/>
        <v>0</v>
      </c>
      <c r="L57" s="4">
        <f t="shared" si="16"/>
        <v>0</v>
      </c>
    </row>
    <row r="58" spans="1:12" ht="15.75" customHeight="1" x14ac:dyDescent="0.3">
      <c r="A58" s="1" t="s">
        <v>86</v>
      </c>
      <c r="B58" s="1" t="s">
        <v>24</v>
      </c>
      <c r="D58" s="1">
        <v>1</v>
      </c>
    </row>
    <row r="59" spans="1:12" ht="15.75" customHeight="1" x14ac:dyDescent="0.3">
      <c r="A59" s="1" t="s">
        <v>87</v>
      </c>
      <c r="B59" s="1" t="s">
        <v>37</v>
      </c>
      <c r="C59" s="1">
        <v>1</v>
      </c>
    </row>
    <row r="60" spans="1:12" ht="15.75" customHeight="1" x14ac:dyDescent="0.3">
      <c r="A60" s="1" t="s">
        <v>88</v>
      </c>
      <c r="B60" s="1" t="s">
        <v>27</v>
      </c>
      <c r="D60" s="1">
        <v>1</v>
      </c>
    </row>
    <row r="61" spans="1:12" ht="15.75" customHeight="1" x14ac:dyDescent="0.3">
      <c r="A61" s="1" t="s">
        <v>89</v>
      </c>
      <c r="B61" s="1" t="s">
        <v>13</v>
      </c>
      <c r="E61" s="1">
        <v>1</v>
      </c>
    </row>
    <row r="62" spans="1:12" ht="15.75" customHeight="1" x14ac:dyDescent="0.3">
      <c r="A62" s="1" t="s">
        <v>90</v>
      </c>
      <c r="B62" s="1" t="s">
        <v>19</v>
      </c>
      <c r="C62" s="1">
        <v>1</v>
      </c>
    </row>
    <row r="63" spans="1:12" ht="15.75" customHeight="1" x14ac:dyDescent="0.3">
      <c r="A63" s="1" t="s">
        <v>91</v>
      </c>
      <c r="B63" s="1" t="s">
        <v>21</v>
      </c>
      <c r="F63" s="1">
        <v>1</v>
      </c>
    </row>
    <row r="64" spans="1:12" ht="15.75" customHeight="1" x14ac:dyDescent="0.3">
      <c r="A64" s="1" t="s">
        <v>92</v>
      </c>
      <c r="B64" s="1" t="s">
        <v>42</v>
      </c>
      <c r="C64" s="1">
        <v>1</v>
      </c>
    </row>
    <row r="65" spans="1:5" ht="15.75" customHeight="1" x14ac:dyDescent="0.3">
      <c r="A65" s="1" t="s">
        <v>93</v>
      </c>
      <c r="B65" s="1" t="s">
        <v>14</v>
      </c>
      <c r="C65" s="1">
        <v>1</v>
      </c>
    </row>
    <row r="66" spans="1:5" ht="15.75" customHeight="1" x14ac:dyDescent="0.3">
      <c r="A66" s="1" t="s">
        <v>94</v>
      </c>
      <c r="B66" s="1" t="s">
        <v>14</v>
      </c>
      <c r="E66" s="1">
        <v>1</v>
      </c>
    </row>
    <row r="67" spans="1:5" ht="15.75" customHeight="1" x14ac:dyDescent="0.3">
      <c r="A67" s="1" t="s">
        <v>95</v>
      </c>
      <c r="B67" s="1" t="s">
        <v>38</v>
      </c>
      <c r="D67" s="1">
        <v>1</v>
      </c>
    </row>
    <row r="68" spans="1:5" ht="15.75" customHeight="1" x14ac:dyDescent="0.3">
      <c r="A68" s="1" t="s">
        <v>96</v>
      </c>
      <c r="B68" s="1" t="s">
        <v>19</v>
      </c>
      <c r="C68" s="1">
        <v>1</v>
      </c>
    </row>
    <row r="69" spans="1:5" ht="15.75" customHeight="1" x14ac:dyDescent="0.3">
      <c r="A69" s="1" t="s">
        <v>97</v>
      </c>
      <c r="B69" s="1" t="s">
        <v>24</v>
      </c>
      <c r="D69" s="1">
        <v>1</v>
      </c>
    </row>
    <row r="70" spans="1:5" ht="15.75" customHeight="1" x14ac:dyDescent="0.3">
      <c r="A70" s="1" t="s">
        <v>98</v>
      </c>
      <c r="B70" s="1" t="s">
        <v>30</v>
      </c>
      <c r="D70" s="1">
        <v>1</v>
      </c>
    </row>
    <row r="71" spans="1:5" ht="15.75" customHeight="1" x14ac:dyDescent="0.3">
      <c r="A71" s="1" t="s">
        <v>99</v>
      </c>
      <c r="B71" s="1" t="s">
        <v>30</v>
      </c>
      <c r="D71" s="1">
        <v>1</v>
      </c>
    </row>
    <row r="72" spans="1:5" ht="15.75" customHeight="1" x14ac:dyDescent="0.3">
      <c r="A72" s="1" t="s">
        <v>100</v>
      </c>
      <c r="B72" s="1" t="s">
        <v>27</v>
      </c>
      <c r="D72" s="1">
        <v>1</v>
      </c>
    </row>
    <row r="73" spans="1:5" ht="15.75" customHeight="1" x14ac:dyDescent="0.3">
      <c r="A73" s="1" t="s">
        <v>101</v>
      </c>
      <c r="B73" s="1" t="s">
        <v>21</v>
      </c>
      <c r="D73" s="1">
        <v>1</v>
      </c>
    </row>
    <row r="74" spans="1:5" ht="15.75" customHeight="1" x14ac:dyDescent="0.3">
      <c r="A74" s="1" t="s">
        <v>102</v>
      </c>
      <c r="B74" s="1" t="s">
        <v>66</v>
      </c>
      <c r="D74" s="1">
        <v>1</v>
      </c>
    </row>
    <row r="75" spans="1:5" ht="15.75" customHeight="1" x14ac:dyDescent="0.3">
      <c r="A75" s="1" t="s">
        <v>103</v>
      </c>
      <c r="B75" s="1" t="s">
        <v>30</v>
      </c>
      <c r="D75" s="1">
        <v>1</v>
      </c>
    </row>
    <row r="76" spans="1:5" ht="15.75" customHeight="1" x14ac:dyDescent="0.3">
      <c r="A76" s="1" t="s">
        <v>104</v>
      </c>
      <c r="B76" s="1" t="s">
        <v>24</v>
      </c>
      <c r="D76" s="1">
        <v>1</v>
      </c>
    </row>
    <row r="77" spans="1:5" ht="15.75" customHeight="1" x14ac:dyDescent="0.3">
      <c r="A77" s="1" t="s">
        <v>105</v>
      </c>
      <c r="B77" s="1" t="s">
        <v>66</v>
      </c>
      <c r="D77" s="1">
        <v>1</v>
      </c>
    </row>
    <row r="78" spans="1:5" ht="15.75" customHeight="1" x14ac:dyDescent="0.3">
      <c r="A78" s="1" t="s">
        <v>106</v>
      </c>
      <c r="B78" s="1" t="s">
        <v>42</v>
      </c>
      <c r="C78" s="1">
        <v>1</v>
      </c>
    </row>
    <row r="79" spans="1:5" ht="15.75" customHeight="1" x14ac:dyDescent="0.3">
      <c r="A79" s="1" t="s">
        <v>107</v>
      </c>
      <c r="B79" s="1" t="s">
        <v>27</v>
      </c>
      <c r="D79" s="1">
        <v>1</v>
      </c>
    </row>
    <row r="80" spans="1:5" ht="15.75" customHeight="1" x14ac:dyDescent="0.3">
      <c r="A80" s="1" t="s">
        <v>108</v>
      </c>
      <c r="B80" s="1" t="s">
        <v>66</v>
      </c>
      <c r="D80" s="1">
        <v>1</v>
      </c>
    </row>
    <row r="81" spans="1:5" ht="15.75" customHeight="1" x14ac:dyDescent="0.3">
      <c r="A81" s="1" t="s">
        <v>109</v>
      </c>
      <c r="B81" s="1" t="s">
        <v>30</v>
      </c>
      <c r="D81" s="1">
        <v>1</v>
      </c>
    </row>
    <row r="82" spans="1:5" ht="15.75" customHeight="1" x14ac:dyDescent="0.3">
      <c r="A82" s="1" t="s">
        <v>110</v>
      </c>
      <c r="B82" s="1" t="s">
        <v>37</v>
      </c>
      <c r="C82" s="1">
        <v>1</v>
      </c>
    </row>
    <row r="83" spans="1:5" ht="15.75" customHeight="1" x14ac:dyDescent="0.3">
      <c r="A83" s="1" t="s">
        <v>111</v>
      </c>
      <c r="B83" s="1" t="s">
        <v>37</v>
      </c>
      <c r="C83" s="1">
        <v>1</v>
      </c>
    </row>
    <row r="84" spans="1:5" ht="15.75" customHeight="1" x14ac:dyDescent="0.3">
      <c r="A84" s="1" t="s">
        <v>112</v>
      </c>
      <c r="B84" s="1" t="s">
        <v>38</v>
      </c>
      <c r="D84" s="1">
        <v>1</v>
      </c>
    </row>
    <row r="85" spans="1:5" ht="15.75" customHeight="1" x14ac:dyDescent="0.3">
      <c r="A85" s="1" t="s">
        <v>113</v>
      </c>
      <c r="B85" s="1" t="s">
        <v>21</v>
      </c>
      <c r="E85" s="1">
        <v>1</v>
      </c>
    </row>
    <row r="86" spans="1:5" ht="15.75" customHeight="1" x14ac:dyDescent="0.3">
      <c r="A86" s="1" t="s">
        <v>114</v>
      </c>
      <c r="B86" s="1" t="s">
        <v>42</v>
      </c>
      <c r="C86" s="1">
        <v>1</v>
      </c>
    </row>
    <row r="87" spans="1:5" ht="15.75" customHeight="1" x14ac:dyDescent="0.3">
      <c r="A87" s="1" t="s">
        <v>115</v>
      </c>
      <c r="B87" s="1" t="s">
        <v>21</v>
      </c>
      <c r="E87" s="1">
        <v>1</v>
      </c>
    </row>
    <row r="88" spans="1:5" ht="15.75" customHeight="1" x14ac:dyDescent="0.3">
      <c r="A88" s="1" t="s">
        <v>116</v>
      </c>
      <c r="B88" s="1" t="s">
        <v>30</v>
      </c>
      <c r="D88" s="1">
        <v>1</v>
      </c>
    </row>
    <row r="89" spans="1:5" ht="15.75" customHeight="1" x14ac:dyDescent="0.3">
      <c r="A89" s="1" t="s">
        <v>117</v>
      </c>
      <c r="B89" s="1" t="s">
        <v>16</v>
      </c>
      <c r="C89" s="1">
        <v>1</v>
      </c>
    </row>
    <row r="90" spans="1:5" ht="15.75" customHeight="1" x14ac:dyDescent="0.3">
      <c r="A90" s="1" t="s">
        <v>118</v>
      </c>
      <c r="B90" s="1" t="s">
        <v>16</v>
      </c>
      <c r="D90" s="1">
        <v>1</v>
      </c>
    </row>
    <row r="91" spans="1:5" ht="15.75" customHeight="1" x14ac:dyDescent="0.3">
      <c r="A91" s="1" t="s">
        <v>119</v>
      </c>
      <c r="B91" s="1" t="s">
        <v>66</v>
      </c>
      <c r="D91" s="1">
        <v>1</v>
      </c>
    </row>
    <row r="92" spans="1:5" ht="15.75" customHeight="1" x14ac:dyDescent="0.3">
      <c r="A92" s="1" t="s">
        <v>120</v>
      </c>
      <c r="B92" s="1" t="s">
        <v>13</v>
      </c>
      <c r="E92" s="1">
        <v>1</v>
      </c>
    </row>
    <row r="93" spans="1:5" ht="15.75" customHeight="1" x14ac:dyDescent="0.3">
      <c r="A93" s="1" t="s">
        <v>121</v>
      </c>
      <c r="B93" s="1" t="s">
        <v>30</v>
      </c>
      <c r="D93" s="1">
        <v>1</v>
      </c>
    </row>
    <row r="94" spans="1:5" ht="15.75" customHeight="1" x14ac:dyDescent="0.3">
      <c r="A94" s="1" t="s">
        <v>122</v>
      </c>
      <c r="B94" s="1" t="s">
        <v>24</v>
      </c>
      <c r="D94" s="1">
        <v>1</v>
      </c>
    </row>
    <row r="95" spans="1:5" ht="15.75" customHeight="1" x14ac:dyDescent="0.3">
      <c r="A95" s="1" t="s">
        <v>123</v>
      </c>
      <c r="B95" s="1" t="s">
        <v>21</v>
      </c>
      <c r="E95" s="1">
        <v>1</v>
      </c>
    </row>
    <row r="96" spans="1:5" ht="15.75" customHeight="1" x14ac:dyDescent="0.3">
      <c r="A96" s="1" t="s">
        <v>124</v>
      </c>
      <c r="B96" s="1" t="s">
        <v>14</v>
      </c>
      <c r="C96" s="1">
        <v>1</v>
      </c>
    </row>
    <row r="97" spans="1:5" ht="15.75" customHeight="1" x14ac:dyDescent="0.3">
      <c r="A97" s="1" t="s">
        <v>125</v>
      </c>
      <c r="B97" s="1" t="s">
        <v>66</v>
      </c>
      <c r="D97" s="1">
        <v>1</v>
      </c>
    </row>
    <row r="98" spans="1:5" ht="15.75" customHeight="1" x14ac:dyDescent="0.3">
      <c r="A98" s="1" t="s">
        <v>126</v>
      </c>
      <c r="B98" s="1" t="s">
        <v>30</v>
      </c>
      <c r="D98" s="1">
        <v>1</v>
      </c>
    </row>
    <row r="99" spans="1:5" ht="15.75" customHeight="1" x14ac:dyDescent="0.3">
      <c r="A99" s="1" t="s">
        <v>127</v>
      </c>
      <c r="B99" s="1" t="s">
        <v>27</v>
      </c>
      <c r="D99" s="1">
        <v>1</v>
      </c>
    </row>
    <row r="100" spans="1:5" ht="15.75" customHeight="1" x14ac:dyDescent="0.3">
      <c r="A100" s="1" t="s">
        <v>128</v>
      </c>
      <c r="B100" s="1" t="s">
        <v>30</v>
      </c>
      <c r="D100" s="1">
        <v>1</v>
      </c>
    </row>
    <row r="101" spans="1:5" ht="15.75" customHeight="1" x14ac:dyDescent="0.3">
      <c r="A101" s="1" t="s">
        <v>129</v>
      </c>
      <c r="B101" s="1" t="s">
        <v>27</v>
      </c>
      <c r="D101" s="1">
        <v>1</v>
      </c>
    </row>
    <row r="102" spans="1:5" ht="15.75" customHeight="1" x14ac:dyDescent="0.3">
      <c r="A102" s="1" t="s">
        <v>130</v>
      </c>
      <c r="B102" s="1" t="s">
        <v>16</v>
      </c>
      <c r="E102" s="1">
        <v>1</v>
      </c>
    </row>
    <row r="103" spans="1:5" ht="15.75" customHeight="1" x14ac:dyDescent="0.3">
      <c r="A103" s="1" t="s">
        <v>131</v>
      </c>
      <c r="B103" s="1" t="s">
        <v>66</v>
      </c>
      <c r="D103" s="1">
        <v>1</v>
      </c>
    </row>
    <row r="104" spans="1:5" ht="15.75" customHeight="1" x14ac:dyDescent="0.3">
      <c r="A104" s="1" t="s">
        <v>132</v>
      </c>
      <c r="B104" s="1" t="s">
        <v>30</v>
      </c>
      <c r="D104" s="1">
        <v>1</v>
      </c>
    </row>
    <row r="105" spans="1:5" ht="15.75" customHeight="1" x14ac:dyDescent="0.3">
      <c r="A105" s="1" t="s">
        <v>133</v>
      </c>
      <c r="B105" s="1" t="s">
        <v>14</v>
      </c>
      <c r="C105" s="1">
        <v>1</v>
      </c>
    </row>
    <row r="106" spans="1:5" ht="15.75" customHeight="1" x14ac:dyDescent="0.3">
      <c r="A106" s="1" t="s">
        <v>134</v>
      </c>
      <c r="B106" s="1" t="s">
        <v>42</v>
      </c>
      <c r="C106" s="1">
        <v>1</v>
      </c>
    </row>
    <row r="107" spans="1:5" ht="15.75" customHeight="1" x14ac:dyDescent="0.3">
      <c r="A107" s="1" t="s">
        <v>135</v>
      </c>
      <c r="B107" s="1" t="s">
        <v>27</v>
      </c>
      <c r="D107" s="1">
        <v>1</v>
      </c>
    </row>
    <row r="108" spans="1:5" ht="15.75" customHeight="1" x14ac:dyDescent="0.3">
      <c r="A108" s="1" t="s">
        <v>136</v>
      </c>
      <c r="B108" s="1" t="s">
        <v>66</v>
      </c>
      <c r="D108" s="1">
        <v>1</v>
      </c>
    </row>
    <row r="109" spans="1:5" ht="15.75" customHeight="1" x14ac:dyDescent="0.3">
      <c r="A109" s="1" t="s">
        <v>137</v>
      </c>
      <c r="B109" s="1" t="s">
        <v>13</v>
      </c>
      <c r="D109" s="1">
        <v>1</v>
      </c>
    </row>
    <row r="110" spans="1:5" ht="15.75" customHeight="1" x14ac:dyDescent="0.3">
      <c r="A110" s="1" t="s">
        <v>138</v>
      </c>
      <c r="B110" s="1" t="s">
        <v>42</v>
      </c>
      <c r="C110" s="1">
        <v>1</v>
      </c>
    </row>
    <row r="111" spans="1:5" ht="15.75" customHeight="1" x14ac:dyDescent="0.3">
      <c r="A111" s="1" t="s">
        <v>139</v>
      </c>
      <c r="B111" s="1" t="s">
        <v>27</v>
      </c>
      <c r="E111" s="1">
        <v>1</v>
      </c>
    </row>
    <row r="112" spans="1:5" ht="15.75" customHeight="1" x14ac:dyDescent="0.3">
      <c r="A112" s="1" t="s">
        <v>140</v>
      </c>
      <c r="B112" s="1" t="s">
        <v>16</v>
      </c>
      <c r="D112" s="1">
        <v>1</v>
      </c>
    </row>
    <row r="113" spans="1:6" ht="15.75" customHeight="1" x14ac:dyDescent="0.3">
      <c r="A113" s="1" t="s">
        <v>141</v>
      </c>
      <c r="B113" s="1" t="s">
        <v>14</v>
      </c>
      <c r="C113" s="1">
        <v>1</v>
      </c>
    </row>
    <row r="114" spans="1:6" ht="15.75" customHeight="1" x14ac:dyDescent="0.3">
      <c r="A114" s="1" t="s">
        <v>142</v>
      </c>
      <c r="B114" s="1" t="s">
        <v>16</v>
      </c>
      <c r="D114" s="1">
        <v>1</v>
      </c>
    </row>
    <row r="115" spans="1:6" ht="15.75" customHeight="1" x14ac:dyDescent="0.3">
      <c r="A115" s="1" t="s">
        <v>143</v>
      </c>
      <c r="B115" s="1" t="s">
        <v>24</v>
      </c>
      <c r="D115" s="1">
        <v>1</v>
      </c>
    </row>
    <row r="116" spans="1:6" ht="15.75" customHeight="1" x14ac:dyDescent="0.3">
      <c r="A116" s="1" t="s">
        <v>144</v>
      </c>
      <c r="B116" s="1" t="s">
        <v>66</v>
      </c>
      <c r="D116" s="1">
        <v>1</v>
      </c>
    </row>
    <row r="117" spans="1:6" ht="15.75" customHeight="1" x14ac:dyDescent="0.3">
      <c r="A117" s="1" t="s">
        <v>145</v>
      </c>
      <c r="B117" s="1" t="s">
        <v>27</v>
      </c>
      <c r="D117" s="1">
        <v>1</v>
      </c>
    </row>
    <row r="118" spans="1:6" ht="15.75" customHeight="1" x14ac:dyDescent="0.3">
      <c r="A118" s="1" t="s">
        <v>146</v>
      </c>
      <c r="B118" s="1" t="s">
        <v>30</v>
      </c>
      <c r="D118" s="1">
        <v>1</v>
      </c>
    </row>
    <row r="119" spans="1:6" ht="15.75" customHeight="1" x14ac:dyDescent="0.3">
      <c r="A119" s="1" t="s">
        <v>147</v>
      </c>
      <c r="B119" s="1" t="s">
        <v>42</v>
      </c>
      <c r="C119" s="1">
        <v>1</v>
      </c>
    </row>
    <row r="120" spans="1:6" ht="15.75" customHeight="1" x14ac:dyDescent="0.3">
      <c r="A120" s="1" t="s">
        <v>148</v>
      </c>
      <c r="B120" s="1" t="s">
        <v>13</v>
      </c>
      <c r="D120" s="1">
        <v>1</v>
      </c>
    </row>
    <row r="121" spans="1:6" ht="15.75" customHeight="1" x14ac:dyDescent="0.3">
      <c r="A121" s="1" t="s">
        <v>149</v>
      </c>
      <c r="B121" s="1" t="s">
        <v>150</v>
      </c>
      <c r="F121" s="1">
        <v>1</v>
      </c>
    </row>
    <row r="122" spans="1:6" ht="15.75" customHeight="1" x14ac:dyDescent="0.3">
      <c r="A122" s="1" t="s">
        <v>151</v>
      </c>
      <c r="B122" s="1" t="s">
        <v>24</v>
      </c>
      <c r="D122" s="1">
        <v>1</v>
      </c>
    </row>
    <row r="123" spans="1:6" ht="15.75" customHeight="1" x14ac:dyDescent="0.3">
      <c r="A123" s="1" t="s">
        <v>152</v>
      </c>
      <c r="B123" s="1" t="s">
        <v>24</v>
      </c>
      <c r="D123" s="1">
        <v>1</v>
      </c>
    </row>
    <row r="124" spans="1:6" ht="15.75" customHeight="1" x14ac:dyDescent="0.3">
      <c r="A124" s="1" t="s">
        <v>153</v>
      </c>
      <c r="B124" s="1" t="s">
        <v>19</v>
      </c>
      <c r="C124" s="1">
        <v>1</v>
      </c>
    </row>
    <row r="125" spans="1:6" ht="15.75" customHeight="1" x14ac:dyDescent="0.3">
      <c r="A125" s="1" t="s">
        <v>154</v>
      </c>
      <c r="B125" s="1" t="s">
        <v>33</v>
      </c>
      <c r="C125" s="1">
        <v>1</v>
      </c>
    </row>
    <row r="126" spans="1:6" ht="15.75" customHeight="1" x14ac:dyDescent="0.3">
      <c r="A126" s="1" t="s">
        <v>155</v>
      </c>
      <c r="B126" s="1" t="s">
        <v>13</v>
      </c>
      <c r="D126" s="1">
        <v>1</v>
      </c>
    </row>
    <row r="127" spans="1:6" ht="15.75" customHeight="1" x14ac:dyDescent="0.3">
      <c r="A127" s="1" t="s">
        <v>156</v>
      </c>
      <c r="B127" s="1" t="s">
        <v>13</v>
      </c>
      <c r="D127" s="1">
        <v>1</v>
      </c>
    </row>
    <row r="128" spans="1:6" ht="15.75" customHeight="1" x14ac:dyDescent="0.3">
      <c r="A128" s="1" t="s">
        <v>157</v>
      </c>
      <c r="B128" s="1" t="s">
        <v>14</v>
      </c>
      <c r="C128" s="1">
        <v>1</v>
      </c>
    </row>
    <row r="129" spans="1:5" ht="15.75" customHeight="1" x14ac:dyDescent="0.3">
      <c r="A129" s="1" t="s">
        <v>158</v>
      </c>
      <c r="B129" s="1" t="s">
        <v>16</v>
      </c>
      <c r="C129" s="1">
        <v>1</v>
      </c>
    </row>
    <row r="130" spans="1:5" ht="15.75" customHeight="1" x14ac:dyDescent="0.3">
      <c r="A130" s="1" t="s">
        <v>159</v>
      </c>
      <c r="B130" s="1" t="s">
        <v>13</v>
      </c>
      <c r="D130" s="1">
        <v>1</v>
      </c>
    </row>
    <row r="131" spans="1:5" ht="15.75" customHeight="1" x14ac:dyDescent="0.3">
      <c r="A131" s="1" t="s">
        <v>160</v>
      </c>
      <c r="B131" s="1" t="s">
        <v>66</v>
      </c>
      <c r="E131" s="1">
        <v>1</v>
      </c>
    </row>
    <row r="132" spans="1:5" ht="15.75" customHeight="1" x14ac:dyDescent="0.3">
      <c r="A132" s="1" t="s">
        <v>161</v>
      </c>
      <c r="B132" s="1" t="s">
        <v>38</v>
      </c>
      <c r="D132" s="1">
        <v>1</v>
      </c>
    </row>
    <row r="133" spans="1:5" ht="15.75" customHeight="1" x14ac:dyDescent="0.3">
      <c r="A133" s="1" t="s">
        <v>162</v>
      </c>
      <c r="B133" s="1" t="s">
        <v>13</v>
      </c>
      <c r="D133" s="1">
        <v>1</v>
      </c>
    </row>
    <row r="134" spans="1:5" ht="15.75" customHeight="1" x14ac:dyDescent="0.3">
      <c r="A134" s="1" t="s">
        <v>163</v>
      </c>
      <c r="B134" s="1" t="s">
        <v>66</v>
      </c>
      <c r="D134" s="1">
        <v>1</v>
      </c>
    </row>
    <row r="135" spans="1:5" ht="15.75" customHeight="1" x14ac:dyDescent="0.3">
      <c r="A135" s="1" t="s">
        <v>164</v>
      </c>
      <c r="B135" s="1" t="s">
        <v>21</v>
      </c>
      <c r="E135" s="1">
        <v>1</v>
      </c>
    </row>
    <row r="136" spans="1:5" ht="15.75" customHeight="1" x14ac:dyDescent="0.3">
      <c r="A136" s="1" t="s">
        <v>165</v>
      </c>
      <c r="B136" s="1" t="s">
        <v>30</v>
      </c>
      <c r="D136" s="1">
        <v>1</v>
      </c>
    </row>
    <row r="137" spans="1:5" ht="15.75" customHeight="1" x14ac:dyDescent="0.3">
      <c r="A137" s="1" t="s">
        <v>166</v>
      </c>
      <c r="B137" s="1" t="s">
        <v>30</v>
      </c>
      <c r="D137" s="1">
        <v>1</v>
      </c>
    </row>
    <row r="138" spans="1:5" ht="15.75" customHeight="1" x14ac:dyDescent="0.3">
      <c r="A138" s="1" t="s">
        <v>167</v>
      </c>
      <c r="B138" s="1" t="s">
        <v>19</v>
      </c>
      <c r="C138" s="1">
        <v>1</v>
      </c>
    </row>
    <row r="139" spans="1:5" ht="15.75" customHeight="1" x14ac:dyDescent="0.3">
      <c r="A139" s="1" t="s">
        <v>168</v>
      </c>
      <c r="B139" s="1" t="s">
        <v>13</v>
      </c>
      <c r="D139" s="1">
        <v>1</v>
      </c>
    </row>
    <row r="140" spans="1:5" ht="15.75" customHeight="1" x14ac:dyDescent="0.3">
      <c r="A140" s="1" t="s">
        <v>169</v>
      </c>
      <c r="B140" s="1" t="s">
        <v>27</v>
      </c>
      <c r="D140" s="1">
        <v>1</v>
      </c>
    </row>
    <row r="141" spans="1:5" ht="15.75" customHeight="1" x14ac:dyDescent="0.3">
      <c r="A141" s="1" t="s">
        <v>170</v>
      </c>
      <c r="B141" s="1" t="s">
        <v>16</v>
      </c>
      <c r="C141" s="1">
        <v>1</v>
      </c>
    </row>
    <row r="142" spans="1:5" ht="15.75" customHeight="1" x14ac:dyDescent="0.3">
      <c r="A142" s="1" t="s">
        <v>171</v>
      </c>
      <c r="B142" s="1" t="s">
        <v>19</v>
      </c>
      <c r="C142" s="1">
        <v>1</v>
      </c>
    </row>
    <row r="143" spans="1:5" ht="15.75" customHeight="1" x14ac:dyDescent="0.3">
      <c r="A143" s="1" t="s">
        <v>172</v>
      </c>
      <c r="B143" s="1" t="s">
        <v>37</v>
      </c>
      <c r="C143" s="1">
        <v>1</v>
      </c>
    </row>
    <row r="144" spans="1:5" ht="15.75" customHeight="1" x14ac:dyDescent="0.3">
      <c r="A144" s="1" t="s">
        <v>173</v>
      </c>
      <c r="B144" s="1" t="s">
        <v>27</v>
      </c>
      <c r="C144" s="1">
        <v>1</v>
      </c>
    </row>
    <row r="145" spans="1:4" ht="15.75" customHeight="1" x14ac:dyDescent="0.3">
      <c r="A145" s="1" t="s">
        <v>174</v>
      </c>
      <c r="B145" s="1" t="s">
        <v>66</v>
      </c>
      <c r="D145" s="1">
        <v>1</v>
      </c>
    </row>
    <row r="146" spans="1:4" ht="15.75" customHeight="1" x14ac:dyDescent="0.3">
      <c r="A146" s="1" t="s">
        <v>175</v>
      </c>
      <c r="B146" s="1" t="s">
        <v>14</v>
      </c>
      <c r="D146" s="1">
        <v>1</v>
      </c>
    </row>
    <row r="147" spans="1:4" ht="15.75" customHeight="1" x14ac:dyDescent="0.3">
      <c r="A147" s="1" t="s">
        <v>176</v>
      </c>
      <c r="B147" s="1" t="s">
        <v>66</v>
      </c>
      <c r="D147" s="1">
        <v>1</v>
      </c>
    </row>
    <row r="148" spans="1:4" ht="15.75" customHeight="1" x14ac:dyDescent="0.3">
      <c r="A148" s="1" t="s">
        <v>177</v>
      </c>
      <c r="B148" s="1" t="s">
        <v>42</v>
      </c>
      <c r="C148" s="1">
        <v>1</v>
      </c>
    </row>
    <row r="149" spans="1:4" ht="15.75" customHeight="1" x14ac:dyDescent="0.3">
      <c r="A149" s="1" t="s">
        <v>178</v>
      </c>
      <c r="B149" s="1" t="s">
        <v>33</v>
      </c>
      <c r="D149" s="1">
        <v>1</v>
      </c>
    </row>
    <row r="150" spans="1:4" ht="15.75" customHeight="1" x14ac:dyDescent="0.3">
      <c r="A150" s="1" t="s">
        <v>179</v>
      </c>
      <c r="B150" s="1" t="s">
        <v>14</v>
      </c>
      <c r="C150" s="1">
        <v>1</v>
      </c>
    </row>
    <row r="151" spans="1:4" ht="15.75" customHeight="1" x14ac:dyDescent="0.3">
      <c r="A151" s="1" t="s">
        <v>180</v>
      </c>
      <c r="B151" s="1" t="s">
        <v>13</v>
      </c>
      <c r="D151" s="1">
        <v>1</v>
      </c>
    </row>
    <row r="152" spans="1:4" ht="15.75" customHeight="1" x14ac:dyDescent="0.3">
      <c r="A152" s="1" t="s">
        <v>181</v>
      </c>
      <c r="B152" s="1" t="s">
        <v>24</v>
      </c>
      <c r="D152" s="1">
        <v>1</v>
      </c>
    </row>
    <row r="153" spans="1:4" ht="15.75" customHeight="1" x14ac:dyDescent="0.3">
      <c r="A153" s="1" t="s">
        <v>182</v>
      </c>
      <c r="B153" s="1" t="s">
        <v>19</v>
      </c>
      <c r="C153" s="1">
        <v>1</v>
      </c>
    </row>
    <row r="154" spans="1:4" ht="15.75" customHeight="1" x14ac:dyDescent="0.3">
      <c r="A154" s="1" t="s">
        <v>183</v>
      </c>
      <c r="B154" s="1" t="s">
        <v>42</v>
      </c>
      <c r="C154" s="1">
        <v>1</v>
      </c>
    </row>
    <row r="155" spans="1:4" ht="15.75" customHeight="1" x14ac:dyDescent="0.3">
      <c r="A155" s="1" t="s">
        <v>184</v>
      </c>
      <c r="B155" s="1" t="s">
        <v>19</v>
      </c>
      <c r="C155" s="1">
        <v>1</v>
      </c>
    </row>
    <row r="156" spans="1:4" ht="15.75" customHeight="1" x14ac:dyDescent="0.3">
      <c r="A156" s="1" t="s">
        <v>185</v>
      </c>
      <c r="B156" s="1" t="s">
        <v>30</v>
      </c>
      <c r="D156" s="1">
        <v>1</v>
      </c>
    </row>
    <row r="157" spans="1:4" ht="15.75" customHeight="1" x14ac:dyDescent="0.3"/>
    <row r="158" spans="1:4" ht="15.75" customHeight="1" x14ac:dyDescent="0.3"/>
    <row r="159" spans="1:4" ht="15.75" customHeight="1" x14ac:dyDescent="0.3"/>
    <row r="160" spans="1:4" ht="15.75" customHeight="1" x14ac:dyDescent="0.3"/>
    <row r="161" s="1" customFormat="1" ht="15.75" customHeight="1" x14ac:dyDescent="0.3"/>
    <row r="162" s="1" customFormat="1" ht="15.75" customHeight="1" x14ac:dyDescent="0.3"/>
    <row r="163" s="1" customFormat="1" ht="15.75" customHeight="1" x14ac:dyDescent="0.3"/>
    <row r="164" s="1" customFormat="1" ht="15.75" customHeight="1" x14ac:dyDescent="0.3"/>
    <row r="165" s="1" customFormat="1" ht="15.75" customHeight="1" x14ac:dyDescent="0.3"/>
    <row r="166" s="1" customFormat="1" ht="15.75" customHeight="1" x14ac:dyDescent="0.3"/>
    <row r="167" s="1" customFormat="1" ht="15.75" customHeight="1" x14ac:dyDescent="0.3"/>
    <row r="168" s="1" customFormat="1" ht="15.75" customHeight="1" x14ac:dyDescent="0.3"/>
    <row r="169" s="1" customFormat="1" ht="15.75" customHeight="1" x14ac:dyDescent="0.3"/>
    <row r="170" s="1" customFormat="1" ht="15.75" customHeight="1" x14ac:dyDescent="0.3"/>
    <row r="171" s="1" customFormat="1" ht="15.75" customHeight="1" x14ac:dyDescent="0.3"/>
    <row r="172" s="1" customFormat="1" ht="15.75" customHeight="1" x14ac:dyDescent="0.3"/>
    <row r="173" s="1" customFormat="1" ht="15.75" customHeight="1" x14ac:dyDescent="0.3"/>
    <row r="174" s="1" customFormat="1" ht="15.75" customHeight="1" x14ac:dyDescent="0.3"/>
    <row r="175" s="1" customFormat="1" ht="15.75" customHeight="1" x14ac:dyDescent="0.3"/>
    <row r="176" s="1" customFormat="1" ht="15.75" customHeight="1" x14ac:dyDescent="0.3"/>
    <row r="177" s="1" customFormat="1" ht="15.75" customHeight="1" x14ac:dyDescent="0.3"/>
    <row r="178" s="1" customFormat="1" ht="15.75" customHeight="1" x14ac:dyDescent="0.3"/>
    <row r="179" s="1" customFormat="1" ht="15.75" customHeight="1" x14ac:dyDescent="0.3"/>
    <row r="180" s="1" customFormat="1" ht="15.75" customHeight="1" x14ac:dyDescent="0.3"/>
    <row r="181" s="1" customFormat="1" ht="15.75" customHeight="1" x14ac:dyDescent="0.3"/>
    <row r="182" s="1" customFormat="1" ht="15.75" customHeight="1" x14ac:dyDescent="0.3"/>
    <row r="183" s="1" customFormat="1" ht="15.75" customHeight="1" x14ac:dyDescent="0.3"/>
    <row r="184" s="1" customFormat="1" ht="15.75" customHeight="1" x14ac:dyDescent="0.3"/>
    <row r="185" s="1" customFormat="1" ht="15.75" customHeight="1" x14ac:dyDescent="0.3"/>
    <row r="186" s="1" customFormat="1" ht="15.75" customHeight="1" x14ac:dyDescent="0.3"/>
    <row r="187" s="1" customFormat="1" ht="15.75" customHeight="1" x14ac:dyDescent="0.3"/>
    <row r="188" s="1" customFormat="1" ht="15.75" customHeight="1" x14ac:dyDescent="0.3"/>
    <row r="189" s="1" customFormat="1" ht="15.75" customHeight="1" x14ac:dyDescent="0.3"/>
    <row r="190" s="1" customFormat="1" ht="15.75" customHeight="1" x14ac:dyDescent="0.3"/>
    <row r="191" s="1" customFormat="1" ht="15.75" customHeight="1" x14ac:dyDescent="0.3"/>
    <row r="192" s="1" customFormat="1" ht="15.75" customHeight="1" x14ac:dyDescent="0.3"/>
    <row r="193" s="1" customFormat="1" ht="15.75" customHeight="1" x14ac:dyDescent="0.3"/>
    <row r="194" s="1" customFormat="1" ht="15.75" customHeight="1" x14ac:dyDescent="0.3"/>
    <row r="195" s="1" customFormat="1" ht="15.75" customHeight="1" x14ac:dyDescent="0.3"/>
    <row r="196" s="1" customFormat="1" ht="15.75" customHeight="1" x14ac:dyDescent="0.3"/>
    <row r="197" s="1" customFormat="1" ht="15.75" customHeight="1" x14ac:dyDescent="0.3"/>
    <row r="198" s="1" customFormat="1" ht="15.75" customHeight="1" x14ac:dyDescent="0.3"/>
    <row r="199" s="1" customFormat="1" ht="15.75" customHeight="1" x14ac:dyDescent="0.3"/>
    <row r="200" s="1" customFormat="1" ht="15.75" customHeight="1" x14ac:dyDescent="0.3"/>
    <row r="201" s="1" customFormat="1" ht="15.75" customHeight="1" x14ac:dyDescent="0.3"/>
    <row r="202" s="1" customFormat="1" ht="15.75" customHeight="1" x14ac:dyDescent="0.3"/>
    <row r="203" s="1" customFormat="1" ht="15.75" customHeight="1" x14ac:dyDescent="0.3"/>
    <row r="204" s="1" customFormat="1" ht="15.75" customHeight="1" x14ac:dyDescent="0.3"/>
    <row r="205" s="1" customFormat="1" ht="15.75" customHeight="1" x14ac:dyDescent="0.3"/>
    <row r="206" s="1" customFormat="1" ht="15.75" customHeight="1" x14ac:dyDescent="0.3"/>
    <row r="207" s="1" customFormat="1" ht="15.75" customHeight="1" x14ac:dyDescent="0.3"/>
    <row r="208" s="1" customFormat="1" ht="15.75" customHeight="1" x14ac:dyDescent="0.3"/>
    <row r="209" s="1" customFormat="1" ht="15.75" customHeight="1" x14ac:dyDescent="0.3"/>
    <row r="210" s="1" customFormat="1" ht="15.75" customHeight="1" x14ac:dyDescent="0.3"/>
    <row r="211" s="1" customFormat="1" ht="15.75" customHeight="1" x14ac:dyDescent="0.3"/>
    <row r="212" s="1" customFormat="1" ht="15.75" customHeight="1" x14ac:dyDescent="0.3"/>
    <row r="213" s="1" customFormat="1" ht="15.75" customHeight="1" x14ac:dyDescent="0.3"/>
    <row r="214" s="1" customFormat="1" ht="15.75" customHeight="1" x14ac:dyDescent="0.3"/>
    <row r="215" s="1" customFormat="1" ht="15.75" customHeight="1" x14ac:dyDescent="0.3"/>
    <row r="216" s="1" customFormat="1" ht="15.75" customHeight="1" x14ac:dyDescent="0.3"/>
    <row r="217" s="1" customFormat="1" ht="15.75" customHeight="1" x14ac:dyDescent="0.3"/>
    <row r="218" s="1" customFormat="1" ht="15.75" customHeight="1" x14ac:dyDescent="0.3"/>
    <row r="219" s="1" customFormat="1" ht="15.75" customHeight="1" x14ac:dyDescent="0.3"/>
    <row r="220" s="1" customFormat="1" ht="15.75" customHeight="1" x14ac:dyDescent="0.3"/>
    <row r="221" s="1" customFormat="1" ht="15.75" customHeight="1" x14ac:dyDescent="0.3"/>
    <row r="222" s="1" customFormat="1" ht="15.75" customHeight="1" x14ac:dyDescent="0.3"/>
    <row r="223" s="1" customFormat="1" ht="15.75" customHeight="1" x14ac:dyDescent="0.3"/>
    <row r="224" s="1" customFormat="1" ht="15.75" customHeight="1" x14ac:dyDescent="0.3"/>
    <row r="225" s="1" customFormat="1" ht="15.75" customHeight="1" x14ac:dyDescent="0.3"/>
    <row r="226" s="1" customFormat="1" ht="15.75" customHeight="1" x14ac:dyDescent="0.3"/>
    <row r="227" s="1" customFormat="1" ht="15.75" customHeight="1" x14ac:dyDescent="0.3"/>
    <row r="228" s="1" customFormat="1" ht="15.75" customHeight="1" x14ac:dyDescent="0.3"/>
    <row r="229" s="1" customFormat="1" ht="15.75" customHeight="1" x14ac:dyDescent="0.3"/>
    <row r="230" s="1" customFormat="1" ht="15.75" customHeight="1" x14ac:dyDescent="0.3"/>
    <row r="231" s="1" customFormat="1" ht="15.75" customHeight="1" x14ac:dyDescent="0.3"/>
    <row r="232" s="1" customFormat="1" ht="15.75" customHeight="1" x14ac:dyDescent="0.3"/>
    <row r="233" s="1" customFormat="1" ht="15.75" customHeight="1" x14ac:dyDescent="0.3"/>
    <row r="234" s="1" customFormat="1" ht="15.75" customHeight="1" x14ac:dyDescent="0.3"/>
    <row r="235" s="1" customFormat="1" ht="15.75" customHeight="1" x14ac:dyDescent="0.3"/>
    <row r="236" s="1" customFormat="1" ht="15.75" customHeight="1" x14ac:dyDescent="0.3"/>
    <row r="237" s="1" customFormat="1" ht="15.75" customHeight="1" x14ac:dyDescent="0.3"/>
    <row r="238" s="1" customFormat="1" ht="15.75" customHeight="1" x14ac:dyDescent="0.3"/>
    <row r="239" s="1" customFormat="1" ht="15.75" customHeight="1" x14ac:dyDescent="0.3"/>
    <row r="240" s="1" customFormat="1" ht="15.75" customHeight="1" x14ac:dyDescent="0.3"/>
    <row r="241" s="1" customFormat="1" ht="15.75" customHeight="1" x14ac:dyDescent="0.3"/>
    <row r="242" s="1" customFormat="1" ht="15.75" customHeight="1" x14ac:dyDescent="0.3"/>
    <row r="243" s="1" customFormat="1" ht="15.75" customHeight="1" x14ac:dyDescent="0.3"/>
    <row r="244" s="1" customFormat="1" ht="15.75" customHeight="1" x14ac:dyDescent="0.3"/>
    <row r="245" s="1" customFormat="1" ht="15.75" customHeight="1" x14ac:dyDescent="0.3"/>
    <row r="246" s="1" customFormat="1" ht="15.75" customHeight="1" x14ac:dyDescent="0.3"/>
    <row r="247" s="1" customFormat="1" ht="15.75" customHeight="1" x14ac:dyDescent="0.3"/>
    <row r="248" s="1" customFormat="1" ht="15.75" customHeight="1" x14ac:dyDescent="0.3"/>
    <row r="249" s="1" customFormat="1" ht="15.75" customHeight="1" x14ac:dyDescent="0.3"/>
    <row r="250" s="1" customFormat="1" ht="15.75" customHeight="1" x14ac:dyDescent="0.3"/>
    <row r="251" s="1" customFormat="1" ht="15.75" customHeight="1" x14ac:dyDescent="0.3"/>
    <row r="252" s="1" customFormat="1" ht="15.75" customHeight="1" x14ac:dyDescent="0.3"/>
    <row r="253" s="1" customFormat="1" ht="15.75" customHeight="1" x14ac:dyDescent="0.3"/>
    <row r="254" s="1" customFormat="1" ht="15.75" customHeight="1" x14ac:dyDescent="0.3"/>
    <row r="255" s="1" customFormat="1" ht="15.75" customHeight="1" x14ac:dyDescent="0.3"/>
    <row r="256" s="1" customFormat="1" ht="15.75" customHeight="1" x14ac:dyDescent="0.3"/>
    <row r="257" s="1" customFormat="1" ht="15.75" customHeight="1" x14ac:dyDescent="0.3"/>
    <row r="258" s="1" customFormat="1" ht="15.75" customHeight="1" x14ac:dyDescent="0.3"/>
    <row r="259" s="1" customFormat="1" ht="15.75" customHeight="1" x14ac:dyDescent="0.3"/>
    <row r="260" s="1" customFormat="1" ht="15.75" customHeight="1" x14ac:dyDescent="0.3"/>
    <row r="261" s="1" customFormat="1" ht="15.75" customHeight="1" x14ac:dyDescent="0.3"/>
    <row r="262" s="1" customFormat="1" ht="15.75" customHeight="1" x14ac:dyDescent="0.3"/>
    <row r="263" s="1" customFormat="1" ht="15.75" customHeight="1" x14ac:dyDescent="0.3"/>
    <row r="264" s="1" customFormat="1" ht="15.75" customHeight="1" x14ac:dyDescent="0.3"/>
    <row r="265" s="1" customFormat="1" ht="15.75" customHeight="1" x14ac:dyDescent="0.3"/>
    <row r="266" s="1" customFormat="1" ht="15.75" customHeight="1" x14ac:dyDescent="0.3"/>
    <row r="267" s="1" customFormat="1" ht="15.75" customHeight="1" x14ac:dyDescent="0.3"/>
    <row r="268" s="1" customFormat="1" ht="15.75" customHeight="1" x14ac:dyDescent="0.3"/>
    <row r="269" s="1" customFormat="1" ht="15.75" customHeight="1" x14ac:dyDescent="0.3"/>
    <row r="270" s="1" customFormat="1" ht="15.75" customHeight="1" x14ac:dyDescent="0.3"/>
    <row r="271" s="1" customFormat="1" ht="15.75" customHeight="1" x14ac:dyDescent="0.3"/>
    <row r="272" s="1" customFormat="1" ht="15.75" customHeight="1" x14ac:dyDescent="0.3"/>
    <row r="273" s="1" customFormat="1" ht="15.75" customHeight="1" x14ac:dyDescent="0.3"/>
    <row r="274" s="1" customFormat="1" ht="15.75" customHeight="1" x14ac:dyDescent="0.3"/>
    <row r="275" s="1" customFormat="1" ht="15.75" customHeight="1" x14ac:dyDescent="0.3"/>
    <row r="276" s="1" customFormat="1" ht="15.75" customHeight="1" x14ac:dyDescent="0.3"/>
    <row r="277" s="1" customFormat="1" ht="15.75" customHeight="1" x14ac:dyDescent="0.3"/>
    <row r="278" s="1" customFormat="1" ht="15.75" customHeight="1" x14ac:dyDescent="0.3"/>
    <row r="279" s="1" customFormat="1" ht="15.75" customHeight="1" x14ac:dyDescent="0.3"/>
    <row r="280" s="1" customFormat="1" ht="15.75" customHeight="1" x14ac:dyDescent="0.3"/>
    <row r="281" s="1" customFormat="1" ht="15.75" customHeight="1" x14ac:dyDescent="0.3"/>
    <row r="282" s="1" customFormat="1" ht="15.75" customHeight="1" x14ac:dyDescent="0.3"/>
    <row r="283" s="1" customFormat="1" ht="15.75" customHeight="1" x14ac:dyDescent="0.3"/>
    <row r="284" s="1" customFormat="1" ht="15.75" customHeight="1" x14ac:dyDescent="0.3"/>
    <row r="285" s="1" customFormat="1" ht="15.75" customHeight="1" x14ac:dyDescent="0.3"/>
    <row r="286" s="1" customFormat="1" ht="15.75" customHeight="1" x14ac:dyDescent="0.3"/>
    <row r="287" s="1" customFormat="1" ht="15.75" customHeight="1" x14ac:dyDescent="0.3"/>
    <row r="288" s="1" customFormat="1" ht="15.75" customHeight="1" x14ac:dyDescent="0.3"/>
    <row r="289" s="1" customFormat="1" ht="15.75" customHeight="1" x14ac:dyDescent="0.3"/>
    <row r="290" s="1" customFormat="1" ht="15.75" customHeight="1" x14ac:dyDescent="0.3"/>
    <row r="291" s="1" customFormat="1" ht="15.75" customHeight="1" x14ac:dyDescent="0.3"/>
    <row r="292" s="1" customFormat="1" ht="15.75" customHeight="1" x14ac:dyDescent="0.3"/>
    <row r="293" s="1" customFormat="1" ht="15.75" customHeight="1" x14ac:dyDescent="0.3"/>
    <row r="294" s="1" customFormat="1" ht="15.75" customHeight="1" x14ac:dyDescent="0.3"/>
    <row r="295" s="1" customFormat="1" ht="15.75" customHeight="1" x14ac:dyDescent="0.3"/>
    <row r="296" s="1" customFormat="1" ht="15.75" customHeight="1" x14ac:dyDescent="0.3"/>
    <row r="297" s="1" customFormat="1" ht="15.75" customHeight="1" x14ac:dyDescent="0.3"/>
    <row r="298" s="1" customFormat="1" ht="15.75" customHeight="1" x14ac:dyDescent="0.3"/>
    <row r="299" s="1" customFormat="1" ht="15.75" customHeight="1" x14ac:dyDescent="0.3"/>
    <row r="300" s="1" customFormat="1" ht="15.75" customHeight="1" x14ac:dyDescent="0.3"/>
    <row r="301" s="1" customFormat="1" ht="15.75" customHeight="1" x14ac:dyDescent="0.3"/>
    <row r="302" s="1" customFormat="1" ht="15.75" customHeight="1" x14ac:dyDescent="0.3"/>
    <row r="303" s="1" customFormat="1" ht="15.75" customHeight="1" x14ac:dyDescent="0.3"/>
    <row r="304" s="1" customFormat="1" ht="15.75" customHeight="1" x14ac:dyDescent="0.3"/>
    <row r="305" s="1" customFormat="1" ht="15.75" customHeight="1" x14ac:dyDescent="0.3"/>
    <row r="306" s="1" customFormat="1" ht="15.75" customHeight="1" x14ac:dyDescent="0.3"/>
    <row r="307" s="1" customFormat="1" ht="15.75" customHeight="1" x14ac:dyDescent="0.3"/>
    <row r="308" s="1" customFormat="1" ht="15.75" customHeight="1" x14ac:dyDescent="0.3"/>
    <row r="309" s="1" customFormat="1" ht="15.75" customHeight="1" x14ac:dyDescent="0.3"/>
    <row r="310" s="1" customFormat="1" ht="15.75" customHeight="1" x14ac:dyDescent="0.3"/>
    <row r="311" s="1" customFormat="1" ht="15.75" customHeight="1" x14ac:dyDescent="0.3"/>
    <row r="312" s="1" customFormat="1" ht="15.75" customHeight="1" x14ac:dyDescent="0.3"/>
    <row r="313" s="1" customFormat="1" ht="15.75" customHeight="1" x14ac:dyDescent="0.3"/>
    <row r="314" s="1" customFormat="1" ht="15.75" customHeight="1" x14ac:dyDescent="0.3"/>
    <row r="315" s="1" customFormat="1" ht="15.75" customHeight="1" x14ac:dyDescent="0.3"/>
    <row r="316" s="1" customFormat="1" ht="15.75" customHeight="1" x14ac:dyDescent="0.3"/>
    <row r="317" s="1" customFormat="1" ht="15.75" customHeight="1" x14ac:dyDescent="0.3"/>
    <row r="318" s="1" customFormat="1" ht="15.75" customHeight="1" x14ac:dyDescent="0.3"/>
    <row r="319" s="1" customFormat="1" ht="15.75" customHeight="1" x14ac:dyDescent="0.3"/>
    <row r="320" s="1" customFormat="1" ht="15.75" customHeight="1" x14ac:dyDescent="0.3"/>
    <row r="321" s="1" customFormat="1" ht="15.75" customHeight="1" x14ac:dyDescent="0.3"/>
    <row r="322" s="1" customFormat="1" ht="15.75" customHeight="1" x14ac:dyDescent="0.3"/>
    <row r="323" s="1" customFormat="1" ht="15.75" customHeight="1" x14ac:dyDescent="0.3"/>
    <row r="324" s="1" customFormat="1" ht="15.75" customHeight="1" x14ac:dyDescent="0.3"/>
    <row r="325" s="1" customFormat="1" ht="15.75" customHeight="1" x14ac:dyDescent="0.3"/>
    <row r="326" s="1" customFormat="1" ht="15.75" customHeight="1" x14ac:dyDescent="0.3"/>
    <row r="327" s="1" customFormat="1" ht="15.75" customHeight="1" x14ac:dyDescent="0.3"/>
    <row r="328" s="1" customFormat="1" ht="15.75" customHeight="1" x14ac:dyDescent="0.3"/>
    <row r="329" s="1" customFormat="1" ht="15.75" customHeight="1" x14ac:dyDescent="0.3"/>
    <row r="330" s="1" customFormat="1" ht="15.75" customHeight="1" x14ac:dyDescent="0.3"/>
    <row r="331" s="1" customFormat="1" ht="15.75" customHeight="1" x14ac:dyDescent="0.3"/>
    <row r="332" s="1" customFormat="1" ht="15.75" customHeight="1" x14ac:dyDescent="0.3"/>
    <row r="333" s="1" customFormat="1" ht="15.75" customHeight="1" x14ac:dyDescent="0.3"/>
    <row r="334" s="1" customFormat="1" ht="15.75" customHeight="1" x14ac:dyDescent="0.3"/>
    <row r="335" s="1" customFormat="1" ht="15.75" customHeight="1" x14ac:dyDescent="0.3"/>
    <row r="336" s="1" customFormat="1" ht="15.75" customHeight="1" x14ac:dyDescent="0.3"/>
    <row r="337" s="1" customFormat="1" ht="15.75" customHeight="1" x14ac:dyDescent="0.3"/>
    <row r="338" s="1" customFormat="1" ht="15.75" customHeight="1" x14ac:dyDescent="0.3"/>
    <row r="339" s="1" customFormat="1" ht="15.75" customHeight="1" x14ac:dyDescent="0.3"/>
    <row r="340" s="1" customFormat="1" ht="15.75" customHeight="1" x14ac:dyDescent="0.3"/>
    <row r="341" s="1" customFormat="1" ht="15.75" customHeight="1" x14ac:dyDescent="0.3"/>
    <row r="342" s="1" customFormat="1" ht="15.75" customHeight="1" x14ac:dyDescent="0.3"/>
    <row r="343" s="1" customFormat="1" ht="15.75" customHeight="1" x14ac:dyDescent="0.3"/>
    <row r="344" s="1" customFormat="1" ht="15.75" customHeight="1" x14ac:dyDescent="0.3"/>
    <row r="345" s="1" customFormat="1" ht="15.75" customHeight="1" x14ac:dyDescent="0.3"/>
    <row r="346" s="1" customFormat="1" ht="15.75" customHeight="1" x14ac:dyDescent="0.3"/>
    <row r="347" s="1" customFormat="1" ht="15.75" customHeight="1" x14ac:dyDescent="0.3"/>
    <row r="348" s="1" customFormat="1" ht="15.75" customHeight="1" x14ac:dyDescent="0.3"/>
    <row r="349" s="1" customFormat="1" ht="15.75" customHeight="1" x14ac:dyDescent="0.3"/>
    <row r="350" s="1" customFormat="1" ht="15.75" customHeight="1" x14ac:dyDescent="0.3"/>
    <row r="351" s="1" customFormat="1" ht="15.75" customHeight="1" x14ac:dyDescent="0.3"/>
    <row r="352" s="1" customFormat="1" ht="15.75" customHeight="1" x14ac:dyDescent="0.3"/>
    <row r="353" s="1" customFormat="1" ht="15.75" customHeight="1" x14ac:dyDescent="0.3"/>
    <row r="354" s="1" customFormat="1" ht="15.75" customHeight="1" x14ac:dyDescent="0.3"/>
    <row r="355" s="1" customFormat="1" ht="15.75" customHeight="1" x14ac:dyDescent="0.3"/>
    <row r="356" s="1" customFormat="1" ht="15.75" customHeight="1" x14ac:dyDescent="0.3"/>
    <row r="357" s="1" customFormat="1" ht="15.75" customHeight="1" x14ac:dyDescent="0.3"/>
    <row r="358" s="1" customFormat="1" ht="15.75" customHeight="1" x14ac:dyDescent="0.3"/>
    <row r="359" s="1" customFormat="1" ht="15.75" customHeight="1" x14ac:dyDescent="0.3"/>
    <row r="360" s="1" customFormat="1" ht="15.75" customHeight="1" x14ac:dyDescent="0.3"/>
    <row r="361" s="1" customFormat="1" ht="15.75" customHeight="1" x14ac:dyDescent="0.3"/>
    <row r="362" s="1" customFormat="1" ht="15.75" customHeight="1" x14ac:dyDescent="0.3"/>
    <row r="363" s="1" customFormat="1" ht="15.75" customHeight="1" x14ac:dyDescent="0.3"/>
    <row r="364" s="1" customFormat="1" ht="15.75" customHeight="1" x14ac:dyDescent="0.3"/>
    <row r="365" s="1" customFormat="1" ht="15.75" customHeight="1" x14ac:dyDescent="0.3"/>
    <row r="366" s="1" customFormat="1" ht="15.75" customHeight="1" x14ac:dyDescent="0.3"/>
    <row r="367" s="1" customFormat="1" ht="15.75" customHeight="1" x14ac:dyDescent="0.3"/>
    <row r="368" s="1" customFormat="1" ht="15.75" customHeight="1" x14ac:dyDescent="0.3"/>
    <row r="369" s="1" customFormat="1" ht="15.75" customHeight="1" x14ac:dyDescent="0.3"/>
    <row r="370" s="1" customFormat="1" ht="15.75" customHeight="1" x14ac:dyDescent="0.3"/>
    <row r="371" s="1" customFormat="1" ht="15.75" customHeight="1" x14ac:dyDescent="0.3"/>
    <row r="372" s="1" customFormat="1" ht="15.75" customHeight="1" x14ac:dyDescent="0.3"/>
    <row r="373" s="1" customFormat="1" ht="15.75" customHeight="1" x14ac:dyDescent="0.3"/>
    <row r="374" s="1" customFormat="1" ht="15.75" customHeight="1" x14ac:dyDescent="0.3"/>
    <row r="375" s="1" customFormat="1" ht="15.75" customHeight="1" x14ac:dyDescent="0.3"/>
    <row r="376" s="1" customFormat="1" ht="15.75" customHeight="1" x14ac:dyDescent="0.3"/>
    <row r="377" s="1" customFormat="1" ht="15.75" customHeight="1" x14ac:dyDescent="0.3"/>
    <row r="378" s="1" customFormat="1" ht="15.75" customHeight="1" x14ac:dyDescent="0.3"/>
    <row r="379" s="1" customFormat="1" ht="15.75" customHeight="1" x14ac:dyDescent="0.3"/>
    <row r="380" s="1" customFormat="1" ht="15.75" customHeight="1" x14ac:dyDescent="0.3"/>
    <row r="381" s="1" customFormat="1" ht="15.75" customHeight="1" x14ac:dyDescent="0.3"/>
    <row r="382" s="1" customFormat="1" ht="15.75" customHeight="1" x14ac:dyDescent="0.3"/>
    <row r="383" s="1" customFormat="1" ht="15.75" customHeight="1" x14ac:dyDescent="0.3"/>
    <row r="384" s="1" customFormat="1" ht="15.75" customHeight="1" x14ac:dyDescent="0.3"/>
    <row r="385" s="1" customFormat="1" ht="15.75" customHeight="1" x14ac:dyDescent="0.3"/>
    <row r="386" s="1" customFormat="1" ht="15.75" customHeight="1" x14ac:dyDescent="0.3"/>
    <row r="387" s="1" customFormat="1" ht="15.75" customHeight="1" x14ac:dyDescent="0.3"/>
    <row r="388" s="1" customFormat="1" ht="15.75" customHeight="1" x14ac:dyDescent="0.3"/>
    <row r="389" s="1" customFormat="1" ht="15.75" customHeight="1" x14ac:dyDescent="0.3"/>
    <row r="390" s="1" customFormat="1" ht="15.75" customHeight="1" x14ac:dyDescent="0.3"/>
    <row r="391" s="1" customFormat="1" ht="15.75" customHeight="1" x14ac:dyDescent="0.3"/>
    <row r="392" s="1" customFormat="1" ht="15.75" customHeight="1" x14ac:dyDescent="0.3"/>
    <row r="393" s="1" customFormat="1" ht="15.75" customHeight="1" x14ac:dyDescent="0.3"/>
    <row r="394" s="1" customFormat="1" ht="15.75" customHeight="1" x14ac:dyDescent="0.3"/>
    <row r="395" s="1" customFormat="1" ht="15.75" customHeight="1" x14ac:dyDescent="0.3"/>
    <row r="396" s="1" customFormat="1" ht="15.75" customHeight="1" x14ac:dyDescent="0.3"/>
    <row r="397" s="1" customFormat="1" ht="15.75" customHeight="1" x14ac:dyDescent="0.3"/>
    <row r="398" s="1" customFormat="1" ht="15.75" customHeight="1" x14ac:dyDescent="0.3"/>
    <row r="399" s="1" customFormat="1" ht="15.75" customHeight="1" x14ac:dyDescent="0.3"/>
    <row r="400" s="1" customFormat="1" ht="15.75" customHeight="1" x14ac:dyDescent="0.3"/>
    <row r="401" s="1" customFormat="1" ht="15.75" customHeight="1" x14ac:dyDescent="0.3"/>
    <row r="402" s="1" customFormat="1" ht="15.75" customHeight="1" x14ac:dyDescent="0.3"/>
    <row r="403" s="1" customFormat="1" ht="15.75" customHeight="1" x14ac:dyDescent="0.3"/>
    <row r="404" s="1" customFormat="1" ht="15.75" customHeight="1" x14ac:dyDescent="0.3"/>
    <row r="405" s="1" customFormat="1" ht="15.75" customHeight="1" x14ac:dyDescent="0.3"/>
    <row r="406" s="1" customFormat="1" ht="15.75" customHeight="1" x14ac:dyDescent="0.3"/>
    <row r="407" s="1" customFormat="1" ht="15.75" customHeight="1" x14ac:dyDescent="0.3"/>
    <row r="408" s="1" customFormat="1" ht="15.75" customHeight="1" x14ac:dyDescent="0.3"/>
    <row r="409" s="1" customFormat="1" ht="15.75" customHeight="1" x14ac:dyDescent="0.3"/>
    <row r="410" s="1" customFormat="1" ht="15.75" customHeight="1" x14ac:dyDescent="0.3"/>
    <row r="411" s="1" customFormat="1" ht="15.75" customHeight="1" x14ac:dyDescent="0.3"/>
    <row r="412" s="1" customFormat="1" ht="15.75" customHeight="1" x14ac:dyDescent="0.3"/>
    <row r="413" s="1" customFormat="1" ht="15.75" customHeight="1" x14ac:dyDescent="0.3"/>
    <row r="414" s="1" customFormat="1" ht="15.75" customHeight="1" x14ac:dyDescent="0.3"/>
    <row r="415" s="1" customFormat="1" ht="15.75" customHeight="1" x14ac:dyDescent="0.3"/>
    <row r="416" s="1" customFormat="1" ht="15.75" customHeight="1" x14ac:dyDescent="0.3"/>
    <row r="417" s="1" customFormat="1" ht="15.75" customHeight="1" x14ac:dyDescent="0.3"/>
    <row r="418" s="1" customFormat="1" ht="15.75" customHeight="1" x14ac:dyDescent="0.3"/>
    <row r="419" s="1" customFormat="1" ht="15.75" customHeight="1" x14ac:dyDescent="0.3"/>
    <row r="420" s="1" customFormat="1" ht="15.75" customHeight="1" x14ac:dyDescent="0.3"/>
    <row r="421" s="1" customFormat="1" ht="15.75" customHeight="1" x14ac:dyDescent="0.3"/>
    <row r="422" s="1" customFormat="1" ht="15.75" customHeight="1" x14ac:dyDescent="0.3"/>
    <row r="423" s="1" customFormat="1" ht="15.75" customHeight="1" x14ac:dyDescent="0.3"/>
    <row r="424" s="1" customFormat="1" ht="15.75" customHeight="1" x14ac:dyDescent="0.3"/>
    <row r="425" s="1" customFormat="1" ht="15.75" customHeight="1" x14ac:dyDescent="0.3"/>
    <row r="426" s="1" customFormat="1" ht="15.75" customHeight="1" x14ac:dyDescent="0.3"/>
    <row r="427" s="1" customFormat="1" ht="15.75" customHeight="1" x14ac:dyDescent="0.3"/>
    <row r="428" s="1" customFormat="1" ht="15.75" customHeight="1" x14ac:dyDescent="0.3"/>
    <row r="429" s="1" customFormat="1" ht="15.75" customHeight="1" x14ac:dyDescent="0.3"/>
    <row r="430" s="1" customFormat="1" ht="15.75" customHeight="1" x14ac:dyDescent="0.3"/>
    <row r="431" s="1" customFormat="1" ht="15.75" customHeight="1" x14ac:dyDescent="0.3"/>
    <row r="432" s="1" customFormat="1" ht="15.75" customHeight="1" x14ac:dyDescent="0.3"/>
    <row r="433" s="1" customFormat="1" ht="15.75" customHeight="1" x14ac:dyDescent="0.3"/>
    <row r="434" s="1" customFormat="1" ht="15.75" customHeight="1" x14ac:dyDescent="0.3"/>
    <row r="435" s="1" customFormat="1" ht="15.75" customHeight="1" x14ac:dyDescent="0.3"/>
    <row r="436" s="1" customFormat="1" ht="15.75" customHeight="1" x14ac:dyDescent="0.3"/>
    <row r="437" s="1" customFormat="1" ht="15.75" customHeight="1" x14ac:dyDescent="0.3"/>
    <row r="438" s="1" customFormat="1" ht="15.75" customHeight="1" x14ac:dyDescent="0.3"/>
    <row r="439" s="1" customFormat="1" ht="15.75" customHeight="1" x14ac:dyDescent="0.3"/>
    <row r="440" s="1" customFormat="1" ht="15.75" customHeight="1" x14ac:dyDescent="0.3"/>
    <row r="441" s="1" customFormat="1" ht="15.75" customHeight="1" x14ac:dyDescent="0.3"/>
    <row r="442" s="1" customFormat="1" ht="15.75" customHeight="1" x14ac:dyDescent="0.3"/>
    <row r="443" s="1" customFormat="1" ht="15.75" customHeight="1" x14ac:dyDescent="0.3"/>
    <row r="444" s="1" customFormat="1" ht="15.75" customHeight="1" x14ac:dyDescent="0.3"/>
    <row r="445" s="1" customFormat="1" ht="15.75" customHeight="1" x14ac:dyDescent="0.3"/>
    <row r="446" s="1" customFormat="1" ht="15.75" customHeight="1" x14ac:dyDescent="0.3"/>
    <row r="447" s="1" customFormat="1" ht="15.75" customHeight="1" x14ac:dyDescent="0.3"/>
    <row r="448" s="1" customFormat="1" ht="15.75" customHeight="1" x14ac:dyDescent="0.3"/>
    <row r="449" s="1" customFormat="1" ht="15.75" customHeight="1" x14ac:dyDescent="0.3"/>
    <row r="450" s="1" customFormat="1" ht="15.75" customHeight="1" x14ac:dyDescent="0.3"/>
    <row r="451" s="1" customFormat="1" ht="15.75" customHeight="1" x14ac:dyDescent="0.3"/>
    <row r="452" s="1" customFormat="1" ht="15.75" customHeight="1" x14ac:dyDescent="0.3"/>
    <row r="453" s="1" customFormat="1" ht="15.75" customHeight="1" x14ac:dyDescent="0.3"/>
    <row r="454" s="1" customFormat="1" ht="15.75" customHeight="1" x14ac:dyDescent="0.3"/>
    <row r="455" s="1" customFormat="1" ht="15.75" customHeight="1" x14ac:dyDescent="0.3"/>
    <row r="456" s="1" customFormat="1" ht="15.75" customHeight="1" x14ac:dyDescent="0.3"/>
    <row r="457" s="1" customFormat="1" ht="15.75" customHeight="1" x14ac:dyDescent="0.3"/>
    <row r="458" s="1" customFormat="1" ht="15.75" customHeight="1" x14ac:dyDescent="0.3"/>
    <row r="459" s="1" customFormat="1" ht="15.75" customHeight="1" x14ac:dyDescent="0.3"/>
    <row r="460" s="1" customFormat="1" ht="15.75" customHeight="1" x14ac:dyDescent="0.3"/>
    <row r="461" s="1" customFormat="1" ht="15.75" customHeight="1" x14ac:dyDescent="0.3"/>
    <row r="462" s="1" customFormat="1" ht="15.75" customHeight="1" x14ac:dyDescent="0.3"/>
    <row r="463" s="1" customFormat="1" ht="15.75" customHeight="1" x14ac:dyDescent="0.3"/>
    <row r="464" s="1" customFormat="1" ht="15.75" customHeight="1" x14ac:dyDescent="0.3"/>
    <row r="465" s="1" customFormat="1" ht="15.75" customHeight="1" x14ac:dyDescent="0.3"/>
    <row r="466" s="1" customFormat="1" ht="15.75" customHeight="1" x14ac:dyDescent="0.3"/>
    <row r="467" s="1" customFormat="1" ht="15.75" customHeight="1" x14ac:dyDescent="0.3"/>
    <row r="468" s="1" customFormat="1" ht="15.75" customHeight="1" x14ac:dyDescent="0.3"/>
    <row r="469" s="1" customFormat="1" ht="15.75" customHeight="1" x14ac:dyDescent="0.3"/>
    <row r="470" s="1" customFormat="1" ht="15.75" customHeight="1" x14ac:dyDescent="0.3"/>
    <row r="471" s="1" customFormat="1" ht="15.75" customHeight="1" x14ac:dyDescent="0.3"/>
    <row r="472" s="1" customFormat="1" ht="15.75" customHeight="1" x14ac:dyDescent="0.3"/>
    <row r="473" s="1" customFormat="1" ht="15.75" customHeight="1" x14ac:dyDescent="0.3"/>
    <row r="474" s="1" customFormat="1" ht="15.75" customHeight="1" x14ac:dyDescent="0.3"/>
    <row r="475" s="1" customFormat="1" ht="15.75" customHeight="1" x14ac:dyDescent="0.3"/>
    <row r="476" s="1" customFormat="1" ht="15.75" customHeight="1" x14ac:dyDescent="0.3"/>
    <row r="477" s="1" customFormat="1" ht="15.75" customHeight="1" x14ac:dyDescent="0.3"/>
    <row r="478" s="1" customFormat="1" ht="15.75" customHeight="1" x14ac:dyDescent="0.3"/>
    <row r="479" s="1" customFormat="1" ht="15.75" customHeight="1" x14ac:dyDescent="0.3"/>
    <row r="480" s="1" customFormat="1" ht="15.75" customHeight="1" x14ac:dyDescent="0.3"/>
    <row r="481" s="1" customFormat="1" ht="15.75" customHeight="1" x14ac:dyDescent="0.3"/>
    <row r="482" s="1" customFormat="1" ht="15.75" customHeight="1" x14ac:dyDescent="0.3"/>
    <row r="483" s="1" customFormat="1" ht="15.75" customHeight="1" x14ac:dyDescent="0.3"/>
    <row r="484" s="1" customFormat="1" ht="15.75" customHeight="1" x14ac:dyDescent="0.3"/>
    <row r="485" s="1" customFormat="1" ht="15.75" customHeight="1" x14ac:dyDescent="0.3"/>
    <row r="486" s="1" customFormat="1" ht="15.75" customHeight="1" x14ac:dyDescent="0.3"/>
    <row r="487" s="1" customFormat="1" ht="15.75" customHeight="1" x14ac:dyDescent="0.3"/>
    <row r="488" s="1" customFormat="1" ht="15.75" customHeight="1" x14ac:dyDescent="0.3"/>
    <row r="489" s="1" customFormat="1" ht="15.75" customHeight="1" x14ac:dyDescent="0.3"/>
    <row r="490" s="1" customFormat="1" ht="15.75" customHeight="1" x14ac:dyDescent="0.3"/>
    <row r="491" s="1" customFormat="1" ht="15.75" customHeight="1" x14ac:dyDescent="0.3"/>
    <row r="492" s="1" customFormat="1" ht="15.75" customHeight="1" x14ac:dyDescent="0.3"/>
    <row r="493" s="1" customFormat="1" ht="15.75" customHeight="1" x14ac:dyDescent="0.3"/>
    <row r="494" s="1" customFormat="1" ht="15.75" customHeight="1" x14ac:dyDescent="0.3"/>
    <row r="495" s="1" customFormat="1" ht="15.75" customHeight="1" x14ac:dyDescent="0.3"/>
    <row r="496" s="1" customFormat="1" ht="15.75" customHeight="1" x14ac:dyDescent="0.3"/>
    <row r="497" s="1" customFormat="1" ht="15.75" customHeight="1" x14ac:dyDescent="0.3"/>
    <row r="498" s="1" customFormat="1" ht="15.75" customHeight="1" x14ac:dyDescent="0.3"/>
    <row r="499" s="1" customFormat="1" ht="15.75" customHeight="1" x14ac:dyDescent="0.3"/>
    <row r="500" s="1" customFormat="1" ht="15.75" customHeight="1" x14ac:dyDescent="0.3"/>
    <row r="501" s="1" customFormat="1" ht="15.75" customHeight="1" x14ac:dyDescent="0.3"/>
    <row r="502" s="1" customFormat="1" ht="15.75" customHeight="1" x14ac:dyDescent="0.3"/>
    <row r="503" s="1" customFormat="1" ht="15.75" customHeight="1" x14ac:dyDescent="0.3"/>
    <row r="504" s="1" customFormat="1" ht="15.75" customHeight="1" x14ac:dyDescent="0.3"/>
    <row r="505" s="1" customFormat="1" ht="15.75" customHeight="1" x14ac:dyDescent="0.3"/>
    <row r="506" s="1" customFormat="1" ht="15.75" customHeight="1" x14ac:dyDescent="0.3"/>
    <row r="507" s="1" customFormat="1" ht="15.75" customHeight="1" x14ac:dyDescent="0.3"/>
    <row r="508" s="1" customFormat="1" ht="15.75" customHeight="1" x14ac:dyDescent="0.3"/>
    <row r="509" s="1" customFormat="1" ht="15.75" customHeight="1" x14ac:dyDescent="0.3"/>
    <row r="510" s="1" customFormat="1" ht="15.75" customHeight="1" x14ac:dyDescent="0.3"/>
    <row r="511" s="1" customFormat="1" ht="15.75" customHeight="1" x14ac:dyDescent="0.3"/>
    <row r="512" s="1" customFormat="1" ht="15.75" customHeight="1" x14ac:dyDescent="0.3"/>
    <row r="513" s="1" customFormat="1" ht="15.75" customHeight="1" x14ac:dyDescent="0.3"/>
    <row r="514" s="1" customFormat="1" ht="15.75" customHeight="1" x14ac:dyDescent="0.3"/>
    <row r="515" s="1" customFormat="1" ht="15.75" customHeight="1" x14ac:dyDescent="0.3"/>
    <row r="516" s="1" customFormat="1" ht="15.75" customHeight="1" x14ac:dyDescent="0.3"/>
    <row r="517" s="1" customFormat="1" ht="15.75" customHeight="1" x14ac:dyDescent="0.3"/>
    <row r="518" s="1" customFormat="1" ht="15.75" customHeight="1" x14ac:dyDescent="0.3"/>
    <row r="519" s="1" customFormat="1" ht="15.75" customHeight="1" x14ac:dyDescent="0.3"/>
    <row r="520" s="1" customFormat="1" ht="15.75" customHeight="1" x14ac:dyDescent="0.3"/>
    <row r="521" s="1" customFormat="1" ht="15.75" customHeight="1" x14ac:dyDescent="0.3"/>
    <row r="522" s="1" customFormat="1" ht="15.75" customHeight="1" x14ac:dyDescent="0.3"/>
    <row r="523" s="1" customFormat="1" ht="15.75" customHeight="1" x14ac:dyDescent="0.3"/>
    <row r="524" s="1" customFormat="1" ht="15.75" customHeight="1" x14ac:dyDescent="0.3"/>
    <row r="525" s="1" customFormat="1" ht="15.75" customHeight="1" x14ac:dyDescent="0.3"/>
    <row r="526" s="1" customFormat="1" ht="15.75" customHeight="1" x14ac:dyDescent="0.3"/>
    <row r="527" s="1" customFormat="1" ht="15.75" customHeight="1" x14ac:dyDescent="0.3"/>
    <row r="528" s="1" customFormat="1" ht="15.75" customHeight="1" x14ac:dyDescent="0.3"/>
    <row r="529" s="1" customFormat="1" ht="15.75" customHeight="1" x14ac:dyDescent="0.3"/>
    <row r="530" s="1" customFormat="1" ht="15.75" customHeight="1" x14ac:dyDescent="0.3"/>
    <row r="531" s="1" customFormat="1" ht="15.75" customHeight="1" x14ac:dyDescent="0.3"/>
    <row r="532" s="1" customFormat="1" ht="15.75" customHeight="1" x14ac:dyDescent="0.3"/>
    <row r="533" s="1" customFormat="1" ht="15.75" customHeight="1" x14ac:dyDescent="0.3"/>
    <row r="534" s="1" customFormat="1" ht="15.75" customHeight="1" x14ac:dyDescent="0.3"/>
    <row r="535" s="1" customFormat="1" ht="15.75" customHeight="1" x14ac:dyDescent="0.3"/>
    <row r="536" s="1" customFormat="1" ht="15.75" customHeight="1" x14ac:dyDescent="0.3"/>
    <row r="537" s="1" customFormat="1" ht="15.75" customHeight="1" x14ac:dyDescent="0.3"/>
    <row r="538" s="1" customFormat="1" ht="15.75" customHeight="1" x14ac:dyDescent="0.3"/>
    <row r="539" s="1" customFormat="1" ht="15.75" customHeight="1" x14ac:dyDescent="0.3"/>
    <row r="540" s="1" customFormat="1" ht="15.75" customHeight="1" x14ac:dyDescent="0.3"/>
    <row r="541" s="1" customFormat="1" ht="15.75" customHeight="1" x14ac:dyDescent="0.3"/>
    <row r="542" s="1" customFormat="1" ht="15.75" customHeight="1" x14ac:dyDescent="0.3"/>
    <row r="543" s="1" customFormat="1" ht="15.75" customHeight="1" x14ac:dyDescent="0.3"/>
    <row r="544" s="1" customFormat="1" ht="15.75" customHeight="1" x14ac:dyDescent="0.3"/>
    <row r="545" s="1" customFormat="1" ht="15.75" customHeight="1" x14ac:dyDescent="0.3"/>
    <row r="546" s="1" customFormat="1" ht="15.75" customHeight="1" x14ac:dyDescent="0.3"/>
    <row r="547" s="1" customFormat="1" ht="15.75" customHeight="1" x14ac:dyDescent="0.3"/>
    <row r="548" s="1" customFormat="1" ht="15.75" customHeight="1" x14ac:dyDescent="0.3"/>
    <row r="549" s="1" customFormat="1" ht="15.75" customHeight="1" x14ac:dyDescent="0.3"/>
    <row r="550" s="1" customFormat="1" ht="15.75" customHeight="1" x14ac:dyDescent="0.3"/>
    <row r="551" s="1" customFormat="1" ht="15.75" customHeight="1" x14ac:dyDescent="0.3"/>
    <row r="552" s="1" customFormat="1" ht="15.75" customHeight="1" x14ac:dyDescent="0.3"/>
    <row r="553" s="1" customFormat="1" ht="15.75" customHeight="1" x14ac:dyDescent="0.3"/>
    <row r="554" s="1" customFormat="1" ht="15.75" customHeight="1" x14ac:dyDescent="0.3"/>
    <row r="555" s="1" customFormat="1" ht="15.75" customHeight="1" x14ac:dyDescent="0.3"/>
    <row r="556" s="1" customFormat="1" ht="15.75" customHeight="1" x14ac:dyDescent="0.3"/>
    <row r="557" s="1" customFormat="1" ht="15.75" customHeight="1" x14ac:dyDescent="0.3"/>
    <row r="558" s="1" customFormat="1" ht="15.75" customHeight="1" x14ac:dyDescent="0.3"/>
    <row r="559" s="1" customFormat="1" ht="15.75" customHeight="1" x14ac:dyDescent="0.3"/>
    <row r="560" s="1" customFormat="1" ht="15.75" customHeight="1" x14ac:dyDescent="0.3"/>
    <row r="561" s="1" customFormat="1" ht="15.75" customHeight="1" x14ac:dyDescent="0.3"/>
    <row r="562" s="1" customFormat="1" ht="15.75" customHeight="1" x14ac:dyDescent="0.3"/>
    <row r="563" s="1" customFormat="1" ht="15.75" customHeight="1" x14ac:dyDescent="0.3"/>
    <row r="564" s="1" customFormat="1" ht="15.75" customHeight="1" x14ac:dyDescent="0.3"/>
    <row r="565" s="1" customFormat="1" ht="15.75" customHeight="1" x14ac:dyDescent="0.3"/>
    <row r="566" s="1" customFormat="1" ht="15.75" customHeight="1" x14ac:dyDescent="0.3"/>
    <row r="567" s="1" customFormat="1" ht="15.75" customHeight="1" x14ac:dyDescent="0.3"/>
    <row r="568" s="1" customFormat="1" ht="15.75" customHeight="1" x14ac:dyDescent="0.3"/>
    <row r="569" s="1" customFormat="1" ht="15.75" customHeight="1" x14ac:dyDescent="0.3"/>
    <row r="570" s="1" customFormat="1" ht="15.75" customHeight="1" x14ac:dyDescent="0.3"/>
    <row r="571" s="1" customFormat="1" ht="15.75" customHeight="1" x14ac:dyDescent="0.3"/>
    <row r="572" s="1" customFormat="1" ht="15.75" customHeight="1" x14ac:dyDescent="0.3"/>
    <row r="573" s="1" customFormat="1" ht="15.75" customHeight="1" x14ac:dyDescent="0.3"/>
    <row r="574" s="1" customFormat="1" ht="15.75" customHeight="1" x14ac:dyDescent="0.3"/>
    <row r="575" s="1" customFormat="1" ht="15.75" customHeight="1" x14ac:dyDescent="0.3"/>
    <row r="576" s="1" customFormat="1" ht="15.75" customHeight="1" x14ac:dyDescent="0.3"/>
    <row r="577" s="1" customFormat="1" ht="15.75" customHeight="1" x14ac:dyDescent="0.3"/>
    <row r="578" s="1" customFormat="1" ht="15.75" customHeight="1" x14ac:dyDescent="0.3"/>
    <row r="579" s="1" customFormat="1" ht="15.75" customHeight="1" x14ac:dyDescent="0.3"/>
    <row r="580" s="1" customFormat="1" ht="15.75" customHeight="1" x14ac:dyDescent="0.3"/>
    <row r="581" s="1" customFormat="1" ht="15.75" customHeight="1" x14ac:dyDescent="0.3"/>
    <row r="582" s="1" customFormat="1" ht="15.75" customHeight="1" x14ac:dyDescent="0.3"/>
    <row r="583" s="1" customFormat="1" ht="15.75" customHeight="1" x14ac:dyDescent="0.3"/>
    <row r="584" s="1" customFormat="1" ht="15.75" customHeight="1" x14ac:dyDescent="0.3"/>
    <row r="585" s="1" customFormat="1" ht="15.75" customHeight="1" x14ac:dyDescent="0.3"/>
    <row r="586" s="1" customFormat="1" ht="15.75" customHeight="1" x14ac:dyDescent="0.3"/>
    <row r="587" s="1" customFormat="1" ht="15.75" customHeight="1" x14ac:dyDescent="0.3"/>
    <row r="588" s="1" customFormat="1" ht="15.75" customHeight="1" x14ac:dyDescent="0.3"/>
    <row r="589" s="1" customFormat="1" ht="15.75" customHeight="1" x14ac:dyDescent="0.3"/>
    <row r="590" s="1" customFormat="1" ht="15.75" customHeight="1" x14ac:dyDescent="0.3"/>
    <row r="591" s="1" customFormat="1" ht="15.75" customHeight="1" x14ac:dyDescent="0.3"/>
    <row r="592" s="1" customFormat="1" ht="15.75" customHeight="1" x14ac:dyDescent="0.3"/>
    <row r="593" s="1" customFormat="1" ht="15.75" customHeight="1" x14ac:dyDescent="0.3"/>
    <row r="594" s="1" customFormat="1" ht="15.75" customHeight="1" x14ac:dyDescent="0.3"/>
    <row r="595" s="1" customFormat="1" ht="15.75" customHeight="1" x14ac:dyDescent="0.3"/>
    <row r="596" s="1" customFormat="1" ht="15.75" customHeight="1" x14ac:dyDescent="0.3"/>
    <row r="597" s="1" customFormat="1" ht="15.75" customHeight="1" x14ac:dyDescent="0.3"/>
    <row r="598" s="1" customFormat="1" ht="15.75" customHeight="1" x14ac:dyDescent="0.3"/>
    <row r="599" s="1" customFormat="1" ht="15.75" customHeight="1" x14ac:dyDescent="0.3"/>
    <row r="600" s="1" customFormat="1" ht="15.75" customHeight="1" x14ac:dyDescent="0.3"/>
    <row r="601" s="1" customFormat="1" ht="15.75" customHeight="1" x14ac:dyDescent="0.3"/>
    <row r="602" s="1" customFormat="1" ht="15.75" customHeight="1" x14ac:dyDescent="0.3"/>
    <row r="603" s="1" customFormat="1" ht="15.75" customHeight="1" x14ac:dyDescent="0.3"/>
    <row r="604" s="1" customFormat="1" ht="15.75" customHeight="1" x14ac:dyDescent="0.3"/>
    <row r="605" s="1" customFormat="1" ht="15.75" customHeight="1" x14ac:dyDescent="0.3"/>
    <row r="606" s="1" customFormat="1" ht="15.75" customHeight="1" x14ac:dyDescent="0.3"/>
    <row r="607" s="1" customFormat="1" ht="15.75" customHeight="1" x14ac:dyDescent="0.3"/>
    <row r="608" s="1" customFormat="1" ht="15.75" customHeight="1" x14ac:dyDescent="0.3"/>
    <row r="609" s="1" customFormat="1" ht="15.75" customHeight="1" x14ac:dyDescent="0.3"/>
    <row r="610" s="1" customFormat="1" ht="15.75" customHeight="1" x14ac:dyDescent="0.3"/>
    <row r="611" s="1" customFormat="1" ht="15.75" customHeight="1" x14ac:dyDescent="0.3"/>
    <row r="612" s="1" customFormat="1" ht="15.75" customHeight="1" x14ac:dyDescent="0.3"/>
    <row r="613" s="1" customFormat="1" ht="15.75" customHeight="1" x14ac:dyDescent="0.3"/>
    <row r="614" s="1" customFormat="1" ht="15.75" customHeight="1" x14ac:dyDescent="0.3"/>
    <row r="615" s="1" customFormat="1" ht="15.75" customHeight="1" x14ac:dyDescent="0.3"/>
    <row r="616" s="1" customFormat="1" ht="15.75" customHeight="1" x14ac:dyDescent="0.3"/>
    <row r="617" s="1" customFormat="1" ht="15.75" customHeight="1" x14ac:dyDescent="0.3"/>
    <row r="618" s="1" customFormat="1" ht="15.75" customHeight="1" x14ac:dyDescent="0.3"/>
    <row r="619" s="1" customFormat="1" ht="15.75" customHeight="1" x14ac:dyDescent="0.3"/>
    <row r="620" s="1" customFormat="1" ht="15.75" customHeight="1" x14ac:dyDescent="0.3"/>
    <row r="621" s="1" customFormat="1" ht="15.75" customHeight="1" x14ac:dyDescent="0.3"/>
    <row r="622" s="1" customFormat="1" ht="15.75" customHeight="1" x14ac:dyDescent="0.3"/>
    <row r="623" s="1" customFormat="1" ht="15.75" customHeight="1" x14ac:dyDescent="0.3"/>
    <row r="624" s="1" customFormat="1" ht="15.75" customHeight="1" x14ac:dyDescent="0.3"/>
    <row r="625" s="1" customFormat="1" ht="15.75" customHeight="1" x14ac:dyDescent="0.3"/>
    <row r="626" s="1" customFormat="1" ht="15.75" customHeight="1" x14ac:dyDescent="0.3"/>
    <row r="627" s="1" customFormat="1" ht="15.75" customHeight="1" x14ac:dyDescent="0.3"/>
    <row r="628" s="1" customFormat="1" ht="15.75" customHeight="1" x14ac:dyDescent="0.3"/>
    <row r="629" s="1" customFormat="1" ht="15.75" customHeight="1" x14ac:dyDescent="0.3"/>
    <row r="630" s="1" customFormat="1" ht="15.75" customHeight="1" x14ac:dyDescent="0.3"/>
    <row r="631" s="1" customFormat="1" ht="15.75" customHeight="1" x14ac:dyDescent="0.3"/>
    <row r="632" s="1" customFormat="1" ht="15.75" customHeight="1" x14ac:dyDescent="0.3"/>
    <row r="633" s="1" customFormat="1" ht="15.75" customHeight="1" x14ac:dyDescent="0.3"/>
    <row r="634" s="1" customFormat="1" ht="15.75" customHeight="1" x14ac:dyDescent="0.3"/>
    <row r="635" s="1" customFormat="1" ht="15.75" customHeight="1" x14ac:dyDescent="0.3"/>
    <row r="636" s="1" customFormat="1" ht="15.75" customHeight="1" x14ac:dyDescent="0.3"/>
    <row r="637" s="1" customFormat="1" ht="15.75" customHeight="1" x14ac:dyDescent="0.3"/>
    <row r="638" s="1" customFormat="1" ht="15.75" customHeight="1" x14ac:dyDescent="0.3"/>
    <row r="639" s="1" customFormat="1" ht="15.75" customHeight="1" x14ac:dyDescent="0.3"/>
    <row r="640" s="1" customFormat="1" ht="15.75" customHeight="1" x14ac:dyDescent="0.3"/>
    <row r="641" s="1" customFormat="1" ht="15.75" customHeight="1" x14ac:dyDescent="0.3"/>
    <row r="642" s="1" customFormat="1" ht="15.75" customHeight="1" x14ac:dyDescent="0.3"/>
    <row r="643" s="1" customFormat="1" ht="15.75" customHeight="1" x14ac:dyDescent="0.3"/>
    <row r="644" s="1" customFormat="1" ht="15.75" customHeight="1" x14ac:dyDescent="0.3"/>
    <row r="645" s="1" customFormat="1" ht="15.75" customHeight="1" x14ac:dyDescent="0.3"/>
    <row r="646" s="1" customFormat="1" ht="15.75" customHeight="1" x14ac:dyDescent="0.3"/>
    <row r="647" s="1" customFormat="1" ht="15.75" customHeight="1" x14ac:dyDescent="0.3"/>
    <row r="648" s="1" customFormat="1" ht="15.75" customHeight="1" x14ac:dyDescent="0.3"/>
    <row r="649" s="1" customFormat="1" ht="15.75" customHeight="1" x14ac:dyDescent="0.3"/>
    <row r="650" s="1" customFormat="1" ht="15.75" customHeight="1" x14ac:dyDescent="0.3"/>
    <row r="651" s="1" customFormat="1" ht="15.75" customHeight="1" x14ac:dyDescent="0.3"/>
    <row r="652" s="1" customFormat="1" ht="15.75" customHeight="1" x14ac:dyDescent="0.3"/>
    <row r="653" s="1" customFormat="1" ht="15.75" customHeight="1" x14ac:dyDescent="0.3"/>
    <row r="654" s="1" customFormat="1" ht="15.75" customHeight="1" x14ac:dyDescent="0.3"/>
    <row r="655" s="1" customFormat="1" ht="15.75" customHeight="1" x14ac:dyDescent="0.3"/>
    <row r="656" s="1" customFormat="1" ht="15.75" customHeight="1" x14ac:dyDescent="0.3"/>
    <row r="657" s="1" customFormat="1" ht="15.75" customHeight="1" x14ac:dyDescent="0.3"/>
    <row r="658" s="1" customFormat="1" ht="15.75" customHeight="1" x14ac:dyDescent="0.3"/>
    <row r="659" s="1" customFormat="1" ht="15.75" customHeight="1" x14ac:dyDescent="0.3"/>
    <row r="660" s="1" customFormat="1" ht="15.75" customHeight="1" x14ac:dyDescent="0.3"/>
    <row r="661" s="1" customFormat="1" ht="15.75" customHeight="1" x14ac:dyDescent="0.3"/>
    <row r="662" s="1" customFormat="1" ht="15.75" customHeight="1" x14ac:dyDescent="0.3"/>
    <row r="663" s="1" customFormat="1" ht="15.75" customHeight="1" x14ac:dyDescent="0.3"/>
    <row r="664" s="1" customFormat="1" ht="15.75" customHeight="1" x14ac:dyDescent="0.3"/>
    <row r="665" s="1" customFormat="1" ht="15.75" customHeight="1" x14ac:dyDescent="0.3"/>
    <row r="666" s="1" customFormat="1" ht="15.75" customHeight="1" x14ac:dyDescent="0.3"/>
    <row r="667" s="1" customFormat="1" ht="15.75" customHeight="1" x14ac:dyDescent="0.3"/>
    <row r="668" s="1" customFormat="1" ht="15.75" customHeight="1" x14ac:dyDescent="0.3"/>
    <row r="669" s="1" customFormat="1" ht="15.75" customHeight="1" x14ac:dyDescent="0.3"/>
    <row r="670" s="1" customFormat="1" ht="15.75" customHeight="1" x14ac:dyDescent="0.3"/>
    <row r="671" s="1" customFormat="1" ht="15.75" customHeight="1" x14ac:dyDescent="0.3"/>
    <row r="672" s="1" customFormat="1" ht="15.75" customHeight="1" x14ac:dyDescent="0.3"/>
    <row r="673" s="1" customFormat="1" ht="15.75" customHeight="1" x14ac:dyDescent="0.3"/>
    <row r="674" s="1" customFormat="1" ht="15.75" customHeight="1" x14ac:dyDescent="0.3"/>
    <row r="675" s="1" customFormat="1" ht="15.75" customHeight="1" x14ac:dyDescent="0.3"/>
    <row r="676" s="1" customFormat="1" ht="15.75" customHeight="1" x14ac:dyDescent="0.3"/>
    <row r="677" s="1" customFormat="1" ht="15.75" customHeight="1" x14ac:dyDescent="0.3"/>
    <row r="678" s="1" customFormat="1" ht="15.75" customHeight="1" x14ac:dyDescent="0.3"/>
    <row r="679" s="1" customFormat="1" ht="15.75" customHeight="1" x14ac:dyDescent="0.3"/>
    <row r="680" s="1" customFormat="1" ht="15.75" customHeight="1" x14ac:dyDescent="0.3"/>
    <row r="681" s="1" customFormat="1" ht="15.75" customHeight="1" x14ac:dyDescent="0.3"/>
    <row r="682" s="1" customFormat="1" ht="15.75" customHeight="1" x14ac:dyDescent="0.3"/>
    <row r="683" s="1" customFormat="1" ht="15.75" customHeight="1" x14ac:dyDescent="0.3"/>
    <row r="684" s="1" customFormat="1" ht="15.75" customHeight="1" x14ac:dyDescent="0.3"/>
    <row r="685" s="1" customFormat="1" ht="15.75" customHeight="1" x14ac:dyDescent="0.3"/>
    <row r="686" s="1" customFormat="1" ht="15.75" customHeight="1" x14ac:dyDescent="0.3"/>
    <row r="687" s="1" customFormat="1" ht="15.75" customHeight="1" x14ac:dyDescent="0.3"/>
    <row r="688" s="1" customFormat="1" ht="15.75" customHeight="1" x14ac:dyDescent="0.3"/>
    <row r="689" s="1" customFormat="1" ht="15.75" customHeight="1" x14ac:dyDescent="0.3"/>
    <row r="690" s="1" customFormat="1" ht="15.75" customHeight="1" x14ac:dyDescent="0.3"/>
    <row r="691" s="1" customFormat="1" ht="15.75" customHeight="1" x14ac:dyDescent="0.3"/>
    <row r="692" s="1" customFormat="1" ht="15.75" customHeight="1" x14ac:dyDescent="0.3"/>
    <row r="693" s="1" customFormat="1" ht="15.75" customHeight="1" x14ac:dyDescent="0.3"/>
    <row r="694" s="1" customFormat="1" ht="15.75" customHeight="1" x14ac:dyDescent="0.3"/>
    <row r="695" s="1" customFormat="1" ht="15.75" customHeight="1" x14ac:dyDescent="0.3"/>
    <row r="696" s="1" customFormat="1" ht="15.75" customHeight="1" x14ac:dyDescent="0.3"/>
    <row r="697" s="1" customFormat="1" ht="15.75" customHeight="1" x14ac:dyDescent="0.3"/>
    <row r="698" s="1" customFormat="1" ht="15.75" customHeight="1" x14ac:dyDescent="0.3"/>
    <row r="699" s="1" customFormat="1" ht="15.75" customHeight="1" x14ac:dyDescent="0.3"/>
    <row r="700" s="1" customFormat="1" ht="15.75" customHeight="1" x14ac:dyDescent="0.3"/>
    <row r="701" s="1" customFormat="1" ht="15.75" customHeight="1" x14ac:dyDescent="0.3"/>
    <row r="702" s="1" customFormat="1" ht="15.75" customHeight="1" x14ac:dyDescent="0.3"/>
    <row r="703" s="1" customFormat="1" ht="15.75" customHeight="1" x14ac:dyDescent="0.3"/>
    <row r="704" s="1" customFormat="1" ht="15.75" customHeight="1" x14ac:dyDescent="0.3"/>
    <row r="705" s="1" customFormat="1" ht="15.75" customHeight="1" x14ac:dyDescent="0.3"/>
    <row r="706" s="1" customFormat="1" ht="15.75" customHeight="1" x14ac:dyDescent="0.3"/>
    <row r="707" s="1" customFormat="1" ht="15.75" customHeight="1" x14ac:dyDescent="0.3"/>
    <row r="708" s="1" customFormat="1" ht="15.75" customHeight="1" x14ac:dyDescent="0.3"/>
    <row r="709" s="1" customFormat="1" ht="15.75" customHeight="1" x14ac:dyDescent="0.3"/>
    <row r="710" s="1" customFormat="1" ht="15.75" customHeight="1" x14ac:dyDescent="0.3"/>
    <row r="711" s="1" customFormat="1" ht="15.75" customHeight="1" x14ac:dyDescent="0.3"/>
    <row r="712" s="1" customFormat="1" ht="15.75" customHeight="1" x14ac:dyDescent="0.3"/>
    <row r="713" s="1" customFormat="1" ht="15.75" customHeight="1" x14ac:dyDescent="0.3"/>
    <row r="714" s="1" customFormat="1" ht="15.75" customHeight="1" x14ac:dyDescent="0.3"/>
    <row r="715" s="1" customFormat="1" ht="15.75" customHeight="1" x14ac:dyDescent="0.3"/>
    <row r="716" s="1" customFormat="1" ht="15.75" customHeight="1" x14ac:dyDescent="0.3"/>
    <row r="717" s="1" customFormat="1" ht="15.75" customHeight="1" x14ac:dyDescent="0.3"/>
    <row r="718" s="1" customFormat="1" ht="15.75" customHeight="1" x14ac:dyDescent="0.3"/>
    <row r="719" s="1" customFormat="1" ht="15.75" customHeight="1" x14ac:dyDescent="0.3"/>
    <row r="720" s="1" customFormat="1" ht="15.75" customHeight="1" x14ac:dyDescent="0.3"/>
    <row r="721" s="1" customFormat="1" ht="15.75" customHeight="1" x14ac:dyDescent="0.3"/>
    <row r="722" s="1" customFormat="1" ht="15.75" customHeight="1" x14ac:dyDescent="0.3"/>
    <row r="723" s="1" customFormat="1" ht="15.75" customHeight="1" x14ac:dyDescent="0.3"/>
    <row r="724" s="1" customFormat="1" ht="15.75" customHeight="1" x14ac:dyDescent="0.3"/>
    <row r="725" s="1" customFormat="1" ht="15.75" customHeight="1" x14ac:dyDescent="0.3"/>
    <row r="726" s="1" customFormat="1" ht="15.75" customHeight="1" x14ac:dyDescent="0.3"/>
    <row r="727" s="1" customFormat="1" ht="15.75" customHeight="1" x14ac:dyDescent="0.3"/>
    <row r="728" s="1" customFormat="1" ht="15.75" customHeight="1" x14ac:dyDescent="0.3"/>
    <row r="729" s="1" customFormat="1" ht="15.75" customHeight="1" x14ac:dyDescent="0.3"/>
    <row r="730" s="1" customFormat="1" ht="15.75" customHeight="1" x14ac:dyDescent="0.3"/>
    <row r="731" s="1" customFormat="1" ht="15.75" customHeight="1" x14ac:dyDescent="0.3"/>
    <row r="732" s="1" customFormat="1" ht="15.75" customHeight="1" x14ac:dyDescent="0.3"/>
    <row r="733" s="1" customFormat="1" ht="15.75" customHeight="1" x14ac:dyDescent="0.3"/>
    <row r="734" s="1" customFormat="1" ht="15.75" customHeight="1" x14ac:dyDescent="0.3"/>
    <row r="735" s="1" customFormat="1" ht="15.75" customHeight="1" x14ac:dyDescent="0.3"/>
    <row r="736" s="1" customFormat="1" ht="15.75" customHeight="1" x14ac:dyDescent="0.3"/>
    <row r="737" s="1" customFormat="1" ht="15.75" customHeight="1" x14ac:dyDescent="0.3"/>
    <row r="738" s="1" customFormat="1" ht="15.75" customHeight="1" x14ac:dyDescent="0.3"/>
    <row r="739" s="1" customFormat="1" ht="15.75" customHeight="1" x14ac:dyDescent="0.3"/>
    <row r="740" s="1" customFormat="1" ht="15.75" customHeight="1" x14ac:dyDescent="0.3"/>
    <row r="741" s="1" customFormat="1" ht="15.75" customHeight="1" x14ac:dyDescent="0.3"/>
    <row r="742" s="1" customFormat="1" ht="15.75" customHeight="1" x14ac:dyDescent="0.3"/>
    <row r="743" s="1" customFormat="1" ht="15.75" customHeight="1" x14ac:dyDescent="0.3"/>
    <row r="744" s="1" customFormat="1" ht="15.75" customHeight="1" x14ac:dyDescent="0.3"/>
    <row r="745" s="1" customFormat="1" ht="15.75" customHeight="1" x14ac:dyDescent="0.3"/>
    <row r="746" s="1" customFormat="1" ht="15.75" customHeight="1" x14ac:dyDescent="0.3"/>
    <row r="747" s="1" customFormat="1" ht="15.75" customHeight="1" x14ac:dyDescent="0.3"/>
    <row r="748" s="1" customFormat="1" ht="15.75" customHeight="1" x14ac:dyDescent="0.3"/>
    <row r="749" s="1" customFormat="1" ht="15.75" customHeight="1" x14ac:dyDescent="0.3"/>
    <row r="750" s="1" customFormat="1" ht="15.75" customHeight="1" x14ac:dyDescent="0.3"/>
    <row r="751" s="1" customFormat="1" ht="15.75" customHeight="1" x14ac:dyDescent="0.3"/>
    <row r="752" s="1" customFormat="1" ht="15.75" customHeight="1" x14ac:dyDescent="0.3"/>
    <row r="753" s="1" customFormat="1" ht="15.75" customHeight="1" x14ac:dyDescent="0.3"/>
    <row r="754" s="1" customFormat="1" ht="15.75" customHeight="1" x14ac:dyDescent="0.3"/>
    <row r="755" s="1" customFormat="1" ht="15.75" customHeight="1" x14ac:dyDescent="0.3"/>
    <row r="756" s="1" customFormat="1" ht="15.75" customHeight="1" x14ac:dyDescent="0.3"/>
    <row r="757" s="1" customFormat="1" ht="15.75" customHeight="1" x14ac:dyDescent="0.3"/>
    <row r="758" s="1" customFormat="1" ht="15.75" customHeight="1" x14ac:dyDescent="0.3"/>
    <row r="759" s="1" customFormat="1" ht="15.75" customHeight="1" x14ac:dyDescent="0.3"/>
    <row r="760" s="1" customFormat="1" ht="15.75" customHeight="1" x14ac:dyDescent="0.3"/>
    <row r="761" s="1" customFormat="1" ht="15.75" customHeight="1" x14ac:dyDescent="0.3"/>
    <row r="762" s="1" customFormat="1" ht="15.75" customHeight="1" x14ac:dyDescent="0.3"/>
    <row r="763" s="1" customFormat="1" ht="15.75" customHeight="1" x14ac:dyDescent="0.3"/>
    <row r="764" s="1" customFormat="1" ht="15.75" customHeight="1" x14ac:dyDescent="0.3"/>
    <row r="765" s="1" customFormat="1" ht="15.75" customHeight="1" x14ac:dyDescent="0.3"/>
    <row r="766" s="1" customFormat="1" ht="15.75" customHeight="1" x14ac:dyDescent="0.3"/>
    <row r="767" s="1" customFormat="1" ht="15.75" customHeight="1" x14ac:dyDescent="0.3"/>
    <row r="768" s="1" customFormat="1" ht="15.75" customHeight="1" x14ac:dyDescent="0.3"/>
    <row r="769" s="1" customFormat="1" ht="15.75" customHeight="1" x14ac:dyDescent="0.3"/>
    <row r="770" s="1" customFormat="1" ht="15.75" customHeight="1" x14ac:dyDescent="0.3"/>
    <row r="771" s="1" customFormat="1" ht="15.75" customHeight="1" x14ac:dyDescent="0.3"/>
    <row r="772" s="1" customFormat="1" ht="15.75" customHeight="1" x14ac:dyDescent="0.3"/>
    <row r="773" s="1" customFormat="1" ht="15.75" customHeight="1" x14ac:dyDescent="0.3"/>
    <row r="774" s="1" customFormat="1" ht="15.75" customHeight="1" x14ac:dyDescent="0.3"/>
    <row r="775" s="1" customFormat="1" ht="15.75" customHeight="1" x14ac:dyDescent="0.3"/>
    <row r="776" s="1" customFormat="1" ht="15.75" customHeight="1" x14ac:dyDescent="0.3"/>
    <row r="777" s="1" customFormat="1" ht="15.75" customHeight="1" x14ac:dyDescent="0.3"/>
    <row r="778" s="1" customFormat="1" ht="15.75" customHeight="1" x14ac:dyDescent="0.3"/>
    <row r="779" s="1" customFormat="1" ht="15.75" customHeight="1" x14ac:dyDescent="0.3"/>
    <row r="780" s="1" customFormat="1" ht="15.75" customHeight="1" x14ac:dyDescent="0.3"/>
    <row r="781" s="1" customFormat="1" ht="15.75" customHeight="1" x14ac:dyDescent="0.3"/>
    <row r="782" s="1" customFormat="1" ht="15.75" customHeight="1" x14ac:dyDescent="0.3"/>
    <row r="783" s="1" customFormat="1" ht="15.75" customHeight="1" x14ac:dyDescent="0.3"/>
    <row r="784" s="1" customFormat="1" ht="15.75" customHeight="1" x14ac:dyDescent="0.3"/>
    <row r="785" s="1" customFormat="1" ht="15.75" customHeight="1" x14ac:dyDescent="0.3"/>
    <row r="786" s="1" customFormat="1" ht="15.75" customHeight="1" x14ac:dyDescent="0.3"/>
    <row r="787" s="1" customFormat="1" ht="15.75" customHeight="1" x14ac:dyDescent="0.3"/>
    <row r="788" s="1" customFormat="1" ht="15.75" customHeight="1" x14ac:dyDescent="0.3"/>
    <row r="789" s="1" customFormat="1" ht="15.75" customHeight="1" x14ac:dyDescent="0.3"/>
    <row r="790" s="1" customFormat="1" ht="15.75" customHeight="1" x14ac:dyDescent="0.3"/>
    <row r="791" s="1" customFormat="1" ht="15.75" customHeight="1" x14ac:dyDescent="0.3"/>
    <row r="792" s="1" customFormat="1" ht="15.75" customHeight="1" x14ac:dyDescent="0.3"/>
    <row r="793" s="1" customFormat="1" ht="15.75" customHeight="1" x14ac:dyDescent="0.3"/>
    <row r="794" s="1" customFormat="1" ht="15.75" customHeight="1" x14ac:dyDescent="0.3"/>
    <row r="795" s="1" customFormat="1" ht="15.75" customHeight="1" x14ac:dyDescent="0.3"/>
    <row r="796" s="1" customFormat="1" ht="15.75" customHeight="1" x14ac:dyDescent="0.3"/>
    <row r="797" s="1" customFormat="1" ht="15.75" customHeight="1" x14ac:dyDescent="0.3"/>
    <row r="798" s="1" customFormat="1" ht="15.75" customHeight="1" x14ac:dyDescent="0.3"/>
    <row r="799" s="1" customFormat="1" ht="15.75" customHeight="1" x14ac:dyDescent="0.3"/>
    <row r="800" s="1" customFormat="1" ht="15.75" customHeight="1" x14ac:dyDescent="0.3"/>
    <row r="801" s="1" customFormat="1" ht="15.75" customHeight="1" x14ac:dyDescent="0.3"/>
    <row r="802" s="1" customFormat="1" ht="15.75" customHeight="1" x14ac:dyDescent="0.3"/>
    <row r="803" s="1" customFormat="1" ht="15.75" customHeight="1" x14ac:dyDescent="0.3"/>
    <row r="804" s="1" customFormat="1" ht="15.75" customHeight="1" x14ac:dyDescent="0.3"/>
    <row r="805" s="1" customFormat="1" ht="15.75" customHeight="1" x14ac:dyDescent="0.3"/>
    <row r="806" s="1" customFormat="1" ht="15.75" customHeight="1" x14ac:dyDescent="0.3"/>
    <row r="807" s="1" customFormat="1" ht="15.75" customHeight="1" x14ac:dyDescent="0.3"/>
    <row r="808" s="1" customFormat="1" ht="15.75" customHeight="1" x14ac:dyDescent="0.3"/>
    <row r="809" s="1" customFormat="1" ht="15.75" customHeight="1" x14ac:dyDescent="0.3"/>
    <row r="810" s="1" customFormat="1" ht="15.75" customHeight="1" x14ac:dyDescent="0.3"/>
    <row r="811" s="1" customFormat="1" ht="15.75" customHeight="1" x14ac:dyDescent="0.3"/>
    <row r="812" s="1" customFormat="1" ht="15.75" customHeight="1" x14ac:dyDescent="0.3"/>
    <row r="813" s="1" customFormat="1" ht="15.75" customHeight="1" x14ac:dyDescent="0.3"/>
    <row r="814" s="1" customFormat="1" ht="15.75" customHeight="1" x14ac:dyDescent="0.3"/>
    <row r="815" s="1" customFormat="1" ht="15.75" customHeight="1" x14ac:dyDescent="0.3"/>
    <row r="816" s="1" customFormat="1" ht="15.75" customHeight="1" x14ac:dyDescent="0.3"/>
    <row r="817" s="1" customFormat="1" ht="15.75" customHeight="1" x14ac:dyDescent="0.3"/>
    <row r="818" s="1" customFormat="1" ht="15.75" customHeight="1" x14ac:dyDescent="0.3"/>
    <row r="819" s="1" customFormat="1" ht="15.75" customHeight="1" x14ac:dyDescent="0.3"/>
    <row r="820" s="1" customFormat="1" ht="15.75" customHeight="1" x14ac:dyDescent="0.3"/>
    <row r="821" s="1" customFormat="1" ht="15.75" customHeight="1" x14ac:dyDescent="0.3"/>
    <row r="822" s="1" customFormat="1" ht="15.75" customHeight="1" x14ac:dyDescent="0.3"/>
    <row r="823" s="1" customFormat="1" ht="15.75" customHeight="1" x14ac:dyDescent="0.3"/>
    <row r="824" s="1" customFormat="1" ht="15.75" customHeight="1" x14ac:dyDescent="0.3"/>
    <row r="825" s="1" customFormat="1" ht="15.75" customHeight="1" x14ac:dyDescent="0.3"/>
    <row r="826" s="1" customFormat="1" ht="15.75" customHeight="1" x14ac:dyDescent="0.3"/>
    <row r="827" s="1" customFormat="1" ht="15.75" customHeight="1" x14ac:dyDescent="0.3"/>
    <row r="828" s="1" customFormat="1" ht="15.75" customHeight="1" x14ac:dyDescent="0.3"/>
    <row r="829" s="1" customFormat="1" ht="15.75" customHeight="1" x14ac:dyDescent="0.3"/>
    <row r="830" s="1" customFormat="1" ht="15.75" customHeight="1" x14ac:dyDescent="0.3"/>
    <row r="831" s="1" customFormat="1" ht="15.75" customHeight="1" x14ac:dyDescent="0.3"/>
    <row r="832" s="1" customFormat="1" ht="15.75" customHeight="1" x14ac:dyDescent="0.3"/>
    <row r="833" s="1" customFormat="1" ht="15.75" customHeight="1" x14ac:dyDescent="0.3"/>
    <row r="834" s="1" customFormat="1" ht="15.75" customHeight="1" x14ac:dyDescent="0.3"/>
    <row r="835" s="1" customFormat="1" ht="15.75" customHeight="1" x14ac:dyDescent="0.3"/>
    <row r="836" s="1" customFormat="1" ht="15.75" customHeight="1" x14ac:dyDescent="0.3"/>
    <row r="837" s="1" customFormat="1" ht="15.75" customHeight="1" x14ac:dyDescent="0.3"/>
    <row r="838" s="1" customFormat="1" ht="15.75" customHeight="1" x14ac:dyDescent="0.3"/>
    <row r="839" s="1" customFormat="1" ht="15.75" customHeight="1" x14ac:dyDescent="0.3"/>
    <row r="840" s="1" customFormat="1" ht="15.75" customHeight="1" x14ac:dyDescent="0.3"/>
    <row r="841" s="1" customFormat="1" ht="15.75" customHeight="1" x14ac:dyDescent="0.3"/>
    <row r="842" s="1" customFormat="1" ht="15.75" customHeight="1" x14ac:dyDescent="0.3"/>
    <row r="843" s="1" customFormat="1" ht="15.75" customHeight="1" x14ac:dyDescent="0.3"/>
    <row r="844" s="1" customFormat="1" ht="15.75" customHeight="1" x14ac:dyDescent="0.3"/>
    <row r="845" s="1" customFormat="1" ht="15.75" customHeight="1" x14ac:dyDescent="0.3"/>
    <row r="846" s="1" customFormat="1" ht="15.75" customHeight="1" x14ac:dyDescent="0.3"/>
    <row r="847" s="1" customFormat="1" ht="15.75" customHeight="1" x14ac:dyDescent="0.3"/>
    <row r="848" s="1" customFormat="1" ht="15.75" customHeight="1" x14ac:dyDescent="0.3"/>
    <row r="849" s="1" customFormat="1" ht="15.75" customHeight="1" x14ac:dyDescent="0.3"/>
    <row r="850" s="1" customFormat="1" ht="15.75" customHeight="1" x14ac:dyDescent="0.3"/>
    <row r="851" s="1" customFormat="1" ht="15.75" customHeight="1" x14ac:dyDescent="0.3"/>
    <row r="852" s="1" customFormat="1" ht="15.75" customHeight="1" x14ac:dyDescent="0.3"/>
    <row r="853" s="1" customFormat="1" ht="15.75" customHeight="1" x14ac:dyDescent="0.3"/>
    <row r="854" s="1" customFormat="1" ht="15.75" customHeight="1" x14ac:dyDescent="0.3"/>
    <row r="855" s="1" customFormat="1" ht="15.75" customHeight="1" x14ac:dyDescent="0.3"/>
    <row r="856" s="1" customFormat="1" ht="15.75" customHeight="1" x14ac:dyDescent="0.3"/>
    <row r="857" s="1" customFormat="1" ht="15.75" customHeight="1" x14ac:dyDescent="0.3"/>
    <row r="858" s="1" customFormat="1" ht="15.75" customHeight="1" x14ac:dyDescent="0.3"/>
    <row r="859" s="1" customFormat="1" ht="15.75" customHeight="1" x14ac:dyDescent="0.3"/>
    <row r="860" s="1" customFormat="1" ht="15.75" customHeight="1" x14ac:dyDescent="0.3"/>
    <row r="861" s="1" customFormat="1" ht="15.75" customHeight="1" x14ac:dyDescent="0.3"/>
    <row r="862" s="1" customFormat="1" ht="15.75" customHeight="1" x14ac:dyDescent="0.3"/>
    <row r="863" s="1" customFormat="1" ht="15.75" customHeight="1" x14ac:dyDescent="0.3"/>
    <row r="864" s="1" customFormat="1" ht="15.75" customHeight="1" x14ac:dyDescent="0.3"/>
    <row r="865" s="1" customFormat="1" ht="15.75" customHeight="1" x14ac:dyDescent="0.3"/>
    <row r="866" s="1" customFormat="1" ht="15.75" customHeight="1" x14ac:dyDescent="0.3"/>
    <row r="867" s="1" customFormat="1" ht="15.75" customHeight="1" x14ac:dyDescent="0.3"/>
    <row r="868" s="1" customFormat="1" ht="15.75" customHeight="1" x14ac:dyDescent="0.3"/>
    <row r="869" s="1" customFormat="1" ht="15.75" customHeight="1" x14ac:dyDescent="0.3"/>
    <row r="870" s="1" customFormat="1" ht="15.75" customHeight="1" x14ac:dyDescent="0.3"/>
    <row r="871" s="1" customFormat="1" ht="15.75" customHeight="1" x14ac:dyDescent="0.3"/>
    <row r="872" s="1" customFormat="1" ht="15.75" customHeight="1" x14ac:dyDescent="0.3"/>
    <row r="873" s="1" customFormat="1" ht="15.75" customHeight="1" x14ac:dyDescent="0.3"/>
    <row r="874" s="1" customFormat="1" ht="15.75" customHeight="1" x14ac:dyDescent="0.3"/>
    <row r="875" s="1" customFormat="1" ht="15.75" customHeight="1" x14ac:dyDescent="0.3"/>
    <row r="876" s="1" customFormat="1" ht="15.75" customHeight="1" x14ac:dyDescent="0.3"/>
    <row r="877" s="1" customFormat="1" ht="15.75" customHeight="1" x14ac:dyDescent="0.3"/>
    <row r="878" s="1" customFormat="1" ht="15.75" customHeight="1" x14ac:dyDescent="0.3"/>
    <row r="879" s="1" customFormat="1" ht="15.75" customHeight="1" x14ac:dyDescent="0.3"/>
    <row r="880" s="1" customFormat="1" ht="15.75" customHeight="1" x14ac:dyDescent="0.3"/>
    <row r="881" s="1" customFormat="1" ht="15.75" customHeight="1" x14ac:dyDescent="0.3"/>
    <row r="882" s="1" customFormat="1" ht="15.75" customHeight="1" x14ac:dyDescent="0.3"/>
    <row r="883" s="1" customFormat="1" ht="15.75" customHeight="1" x14ac:dyDescent="0.3"/>
    <row r="884" s="1" customFormat="1" ht="15.75" customHeight="1" x14ac:dyDescent="0.3"/>
    <row r="885" s="1" customFormat="1" ht="15.75" customHeight="1" x14ac:dyDescent="0.3"/>
    <row r="886" s="1" customFormat="1" ht="15.75" customHeight="1" x14ac:dyDescent="0.3"/>
    <row r="887" s="1" customFormat="1" ht="15.75" customHeight="1" x14ac:dyDescent="0.3"/>
    <row r="888" s="1" customFormat="1" ht="15.75" customHeight="1" x14ac:dyDescent="0.3"/>
    <row r="889" s="1" customFormat="1" ht="15.75" customHeight="1" x14ac:dyDescent="0.3"/>
    <row r="890" s="1" customFormat="1" ht="15.75" customHeight="1" x14ac:dyDescent="0.3"/>
    <row r="891" s="1" customFormat="1" ht="15.75" customHeight="1" x14ac:dyDescent="0.3"/>
    <row r="892" s="1" customFormat="1" ht="15.75" customHeight="1" x14ac:dyDescent="0.3"/>
    <row r="893" s="1" customFormat="1" ht="15.75" customHeight="1" x14ac:dyDescent="0.3"/>
    <row r="894" s="1" customFormat="1" ht="15.75" customHeight="1" x14ac:dyDescent="0.3"/>
    <row r="895" s="1" customFormat="1" ht="15.75" customHeight="1" x14ac:dyDescent="0.3"/>
    <row r="896" s="1" customFormat="1" ht="15.75" customHeight="1" x14ac:dyDescent="0.3"/>
    <row r="897" s="1" customFormat="1" ht="15.75" customHeight="1" x14ac:dyDescent="0.3"/>
    <row r="898" s="1" customFormat="1" ht="15.75" customHeight="1" x14ac:dyDescent="0.3"/>
    <row r="899" s="1" customFormat="1" ht="15.75" customHeight="1" x14ac:dyDescent="0.3"/>
    <row r="900" s="1" customFormat="1" ht="15.75" customHeight="1" x14ac:dyDescent="0.3"/>
    <row r="901" s="1" customFormat="1" ht="15.75" customHeight="1" x14ac:dyDescent="0.3"/>
    <row r="902" s="1" customFormat="1" ht="15.75" customHeight="1" x14ac:dyDescent="0.3"/>
    <row r="903" s="1" customFormat="1" ht="15.75" customHeight="1" x14ac:dyDescent="0.3"/>
    <row r="904" s="1" customFormat="1" ht="15.75" customHeight="1" x14ac:dyDescent="0.3"/>
    <row r="905" s="1" customFormat="1" ht="15.75" customHeight="1" x14ac:dyDescent="0.3"/>
    <row r="906" s="1" customFormat="1" ht="15.75" customHeight="1" x14ac:dyDescent="0.3"/>
    <row r="907" s="1" customFormat="1" ht="15.75" customHeight="1" x14ac:dyDescent="0.3"/>
    <row r="908" s="1" customFormat="1" ht="15.75" customHeight="1" x14ac:dyDescent="0.3"/>
    <row r="909" s="1" customFormat="1" ht="15.75" customHeight="1" x14ac:dyDescent="0.3"/>
    <row r="910" s="1" customFormat="1" ht="15.75" customHeight="1" x14ac:dyDescent="0.3"/>
    <row r="911" s="1" customFormat="1" ht="15.75" customHeight="1" x14ac:dyDescent="0.3"/>
    <row r="912" s="1" customFormat="1" ht="15.75" customHeight="1" x14ac:dyDescent="0.3"/>
    <row r="913" s="1" customFormat="1" ht="15.75" customHeight="1" x14ac:dyDescent="0.3"/>
    <row r="914" s="1" customFormat="1" ht="15.75" customHeight="1" x14ac:dyDescent="0.3"/>
    <row r="915" s="1" customFormat="1" ht="15.75" customHeight="1" x14ac:dyDescent="0.3"/>
    <row r="916" s="1" customFormat="1" ht="15.75" customHeight="1" x14ac:dyDescent="0.3"/>
    <row r="917" s="1" customFormat="1" ht="15.75" customHeight="1" x14ac:dyDescent="0.3"/>
    <row r="918" s="1" customFormat="1" ht="15.75" customHeight="1" x14ac:dyDescent="0.3"/>
    <row r="919" s="1" customFormat="1" ht="15.75" customHeight="1" x14ac:dyDescent="0.3"/>
    <row r="920" s="1" customFormat="1" ht="15.75" customHeight="1" x14ac:dyDescent="0.3"/>
    <row r="921" s="1" customFormat="1" ht="15.75" customHeight="1" x14ac:dyDescent="0.3"/>
    <row r="922" s="1" customFormat="1" ht="15.75" customHeight="1" x14ac:dyDescent="0.3"/>
    <row r="923" s="1" customFormat="1" ht="15.75" customHeight="1" x14ac:dyDescent="0.3"/>
    <row r="924" s="1" customFormat="1" ht="15.75" customHeight="1" x14ac:dyDescent="0.3"/>
    <row r="925" s="1" customFormat="1" ht="15.75" customHeight="1" x14ac:dyDescent="0.3"/>
    <row r="926" s="1" customFormat="1" ht="15.75" customHeight="1" x14ac:dyDescent="0.3"/>
    <row r="927" s="1" customFormat="1" ht="15.75" customHeight="1" x14ac:dyDescent="0.3"/>
    <row r="928" s="1" customFormat="1" ht="15.75" customHeight="1" x14ac:dyDescent="0.3"/>
    <row r="929" s="1" customFormat="1" ht="15.75" customHeight="1" x14ac:dyDescent="0.3"/>
    <row r="930" s="1" customFormat="1" ht="15.75" customHeight="1" x14ac:dyDescent="0.3"/>
    <row r="931" s="1" customFormat="1" ht="15.75" customHeight="1" x14ac:dyDescent="0.3"/>
    <row r="932" s="1" customFormat="1" ht="15.75" customHeight="1" x14ac:dyDescent="0.3"/>
    <row r="933" s="1" customFormat="1" ht="15.75" customHeight="1" x14ac:dyDescent="0.3"/>
    <row r="934" s="1" customFormat="1" ht="15.75" customHeight="1" x14ac:dyDescent="0.3"/>
    <row r="935" s="1" customFormat="1" ht="15.75" customHeight="1" x14ac:dyDescent="0.3"/>
    <row r="936" s="1" customFormat="1" ht="15.75" customHeight="1" x14ac:dyDescent="0.3"/>
    <row r="937" s="1" customFormat="1" ht="15.75" customHeight="1" x14ac:dyDescent="0.3"/>
    <row r="938" s="1" customFormat="1" ht="15.75" customHeight="1" x14ac:dyDescent="0.3"/>
    <row r="939" s="1" customFormat="1" ht="15.75" customHeight="1" x14ac:dyDescent="0.3"/>
    <row r="940" s="1" customFormat="1" ht="15.75" customHeight="1" x14ac:dyDescent="0.3"/>
    <row r="941" s="1" customFormat="1" ht="15.75" customHeight="1" x14ac:dyDescent="0.3"/>
    <row r="942" s="1" customFormat="1" ht="15.75" customHeight="1" x14ac:dyDescent="0.3"/>
    <row r="943" s="1" customFormat="1" ht="15.75" customHeight="1" x14ac:dyDescent="0.3"/>
    <row r="944" s="1" customFormat="1" ht="15.75" customHeight="1" x14ac:dyDescent="0.3"/>
    <row r="945" s="1" customFormat="1" ht="15.75" customHeight="1" x14ac:dyDescent="0.3"/>
    <row r="946" s="1" customFormat="1" ht="15.75" customHeight="1" x14ac:dyDescent="0.3"/>
    <row r="947" s="1" customFormat="1" ht="15.75" customHeight="1" x14ac:dyDescent="0.3"/>
    <row r="948" s="1" customFormat="1" ht="15.75" customHeight="1" x14ac:dyDescent="0.3"/>
    <row r="949" s="1" customFormat="1" ht="15.75" customHeight="1" x14ac:dyDescent="0.3"/>
    <row r="950" s="1" customFormat="1" ht="15.75" customHeight="1" x14ac:dyDescent="0.3"/>
    <row r="951" s="1" customFormat="1" ht="15.75" customHeight="1" x14ac:dyDescent="0.3"/>
    <row r="952" s="1" customFormat="1" ht="15.75" customHeight="1" x14ac:dyDescent="0.3"/>
    <row r="953" s="1" customFormat="1" ht="15.75" customHeight="1" x14ac:dyDescent="0.3"/>
    <row r="954" s="1" customFormat="1" ht="15.75" customHeight="1" x14ac:dyDescent="0.3"/>
    <row r="955" s="1" customFormat="1" ht="15.75" customHeight="1" x14ac:dyDescent="0.3"/>
    <row r="956" s="1" customFormat="1" ht="15.75" customHeight="1" x14ac:dyDescent="0.3"/>
    <row r="957" s="1" customFormat="1" ht="15.75" customHeight="1" x14ac:dyDescent="0.3"/>
    <row r="958" s="1" customFormat="1" ht="15.75" customHeight="1" x14ac:dyDescent="0.3"/>
    <row r="959" s="1" customFormat="1" ht="15.75" customHeight="1" x14ac:dyDescent="0.3"/>
    <row r="960" s="1" customFormat="1" ht="15.75" customHeight="1" x14ac:dyDescent="0.3"/>
    <row r="961" s="1" customFormat="1" ht="15.75" customHeight="1" x14ac:dyDescent="0.3"/>
    <row r="962" s="1" customFormat="1" ht="15.75" customHeight="1" x14ac:dyDescent="0.3"/>
    <row r="963" s="1" customFormat="1" ht="15.75" customHeight="1" x14ac:dyDescent="0.3"/>
    <row r="964" s="1" customFormat="1" ht="15.75" customHeight="1" x14ac:dyDescent="0.3"/>
    <row r="965" s="1" customFormat="1" ht="15.75" customHeight="1" x14ac:dyDescent="0.3"/>
    <row r="966" s="1" customFormat="1" ht="15.75" customHeight="1" x14ac:dyDescent="0.3"/>
    <row r="967" s="1" customFormat="1" ht="15.75" customHeight="1" x14ac:dyDescent="0.3"/>
    <row r="968" s="1" customFormat="1" ht="15.75" customHeight="1" x14ac:dyDescent="0.3"/>
    <row r="969" s="1" customFormat="1" ht="15.75" customHeight="1" x14ac:dyDescent="0.3"/>
    <row r="970" s="1" customFormat="1" ht="15.75" customHeight="1" x14ac:dyDescent="0.3"/>
    <row r="971" s="1" customFormat="1" ht="15.75" customHeight="1" x14ac:dyDescent="0.3"/>
    <row r="972" s="1" customFormat="1" ht="15.75" customHeight="1" x14ac:dyDescent="0.3"/>
    <row r="973" s="1" customFormat="1" ht="15.75" customHeight="1" x14ac:dyDescent="0.3"/>
    <row r="974" s="1" customFormat="1" ht="15.75" customHeight="1" x14ac:dyDescent="0.3"/>
    <row r="975" s="1" customFormat="1" ht="15.75" customHeight="1" x14ac:dyDescent="0.3"/>
    <row r="976" s="1" customFormat="1" ht="15.75" customHeight="1" x14ac:dyDescent="0.3"/>
    <row r="977" s="1" customFormat="1" ht="15.75" customHeight="1" x14ac:dyDescent="0.3"/>
    <row r="978" s="1" customFormat="1" ht="15.75" customHeight="1" x14ac:dyDescent="0.3"/>
    <row r="979" s="1" customFormat="1" ht="15.75" customHeight="1" x14ac:dyDescent="0.3"/>
    <row r="980" s="1" customFormat="1" ht="15.75" customHeight="1" x14ac:dyDescent="0.3"/>
    <row r="981" s="1" customFormat="1" ht="15.75" customHeight="1" x14ac:dyDescent="0.3"/>
    <row r="982" s="1" customFormat="1" ht="15.75" customHeight="1" x14ac:dyDescent="0.3"/>
    <row r="983" s="1" customFormat="1" ht="15.75" customHeight="1" x14ac:dyDescent="0.3"/>
    <row r="984" s="1" customFormat="1" ht="15.75" customHeight="1" x14ac:dyDescent="0.3"/>
    <row r="985" s="1" customFormat="1" ht="15.75" customHeight="1" x14ac:dyDescent="0.3"/>
    <row r="986" s="1" customFormat="1" ht="15.75" customHeight="1" x14ac:dyDescent="0.3"/>
    <row r="987" s="1" customFormat="1" ht="15.75" customHeight="1" x14ac:dyDescent="0.3"/>
    <row r="988" s="1" customFormat="1" ht="15.75" customHeight="1" x14ac:dyDescent="0.3"/>
    <row r="989" s="1" customFormat="1" ht="15.75" customHeight="1" x14ac:dyDescent="0.3"/>
    <row r="990" s="1" customFormat="1" ht="15.75" customHeight="1" x14ac:dyDescent="0.3"/>
    <row r="991" s="1" customFormat="1" ht="15.75" customHeight="1" x14ac:dyDescent="0.3"/>
    <row r="992" s="1" customFormat="1" ht="15.75" customHeight="1" x14ac:dyDescent="0.3"/>
    <row r="993" s="1" customFormat="1" ht="15.75" customHeight="1" x14ac:dyDescent="0.3"/>
    <row r="994" s="1" customFormat="1" ht="15.75" customHeight="1" x14ac:dyDescent="0.3"/>
    <row r="995" s="1" customFormat="1" ht="15.75" customHeight="1" x14ac:dyDescent="0.3"/>
    <row r="996" s="1" customFormat="1" ht="15.75" customHeight="1" x14ac:dyDescent="0.3"/>
    <row r="997" s="1" customFormat="1" ht="15.75" customHeight="1" x14ac:dyDescent="0.3"/>
    <row r="998" s="1" customFormat="1" ht="15.75" customHeight="1" x14ac:dyDescent="0.3"/>
    <row r="999" s="1" customFormat="1" ht="15.75" customHeight="1" x14ac:dyDescent="0.3"/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043A8-818B-4454-BF34-4633C1F34308}">
  <dimension ref="A1:M999"/>
  <sheetViews>
    <sheetView workbookViewId="0">
      <selection activeCell="G16" sqref="G16"/>
    </sheetView>
  </sheetViews>
  <sheetFormatPr baseColWidth="10" defaultColWidth="12.6328125" defaultRowHeight="15" customHeight="1" x14ac:dyDescent="0.3"/>
  <cols>
    <col min="1" max="1" width="15.7265625" style="1" customWidth="1"/>
    <col min="2" max="7" width="10.6328125" style="1" customWidth="1"/>
    <col min="8" max="8" width="11.36328125" style="1" customWidth="1"/>
    <col min="9" max="25" width="10.6328125" style="1" customWidth="1"/>
    <col min="26" max="16384" width="12.6328125" style="1"/>
  </cols>
  <sheetData>
    <row r="1" spans="1:13" ht="14.25" customHeight="1" x14ac:dyDescent="0.3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4.25" customHeight="1" x14ac:dyDescent="0.3">
      <c r="A2" s="1" t="s">
        <v>12</v>
      </c>
      <c r="B2" s="1" t="s">
        <v>13</v>
      </c>
      <c r="C2" s="1">
        <v>1</v>
      </c>
      <c r="H2" s="2" t="s">
        <v>14</v>
      </c>
      <c r="I2" s="3">
        <f t="shared" ref="I2:L2" si="0">SUM(C22+C37+C55+C65+C66+C96+C105+C113+C128+C146+C150)</f>
        <v>11</v>
      </c>
      <c r="J2" s="3">
        <f t="shared" si="0"/>
        <v>0</v>
      </c>
      <c r="K2" s="3">
        <f t="shared" si="0"/>
        <v>0</v>
      </c>
      <c r="L2" s="3">
        <f t="shared" si="0"/>
        <v>0</v>
      </c>
      <c r="M2" s="3">
        <f t="shared" ref="M2:M13" si="1">SUM(I2:L2)</f>
        <v>11</v>
      </c>
    </row>
    <row r="3" spans="1:13" ht="14.25" customHeight="1" x14ac:dyDescent="0.3">
      <c r="A3" s="1" t="s">
        <v>15</v>
      </c>
      <c r="B3" s="1" t="s">
        <v>16</v>
      </c>
      <c r="C3" s="1">
        <v>1</v>
      </c>
      <c r="H3" s="2" t="s">
        <v>17</v>
      </c>
      <c r="I3" s="3">
        <f t="shared" ref="I3:L3" si="2">SUM(C6+C32+C50+C52+C58+C69+C76+C94+C115+C122+C123+C152)</f>
        <v>12</v>
      </c>
      <c r="J3" s="3">
        <f t="shared" si="2"/>
        <v>0</v>
      </c>
      <c r="K3" s="3">
        <f t="shared" si="2"/>
        <v>0</v>
      </c>
      <c r="L3" s="3">
        <f t="shared" si="2"/>
        <v>0</v>
      </c>
      <c r="M3" s="3">
        <f t="shared" si="1"/>
        <v>12</v>
      </c>
    </row>
    <row r="4" spans="1:13" ht="14.25" customHeight="1" x14ac:dyDescent="0.3">
      <c r="A4" s="1" t="s">
        <v>18</v>
      </c>
      <c r="B4" s="1" t="s">
        <v>13</v>
      </c>
      <c r="C4" s="1">
        <v>1</v>
      </c>
      <c r="H4" s="2" t="s">
        <v>19</v>
      </c>
      <c r="I4" s="3">
        <f t="shared" ref="I4:L4" si="3">SUM(C26+C14+C27+C62+C68+C124+C138+C142+C153+C155)</f>
        <v>10</v>
      </c>
      <c r="J4" s="3">
        <f t="shared" si="3"/>
        <v>0</v>
      </c>
      <c r="K4" s="3">
        <f t="shared" si="3"/>
        <v>0</v>
      </c>
      <c r="L4" s="3">
        <f t="shared" si="3"/>
        <v>0</v>
      </c>
      <c r="M4" s="3">
        <f t="shared" si="1"/>
        <v>10</v>
      </c>
    </row>
    <row r="5" spans="1:13" ht="14.25" customHeight="1" x14ac:dyDescent="0.3">
      <c r="A5" s="1" t="s">
        <v>20</v>
      </c>
      <c r="B5" s="1" t="s">
        <v>21</v>
      </c>
      <c r="C5" s="1">
        <v>1</v>
      </c>
      <c r="H5" s="2" t="s">
        <v>22</v>
      </c>
      <c r="I5" s="3">
        <f t="shared" ref="I5:L5" si="4">SUM(C5+C36+C56+C63+C73+C85+C87+C95+C135)</f>
        <v>7</v>
      </c>
      <c r="J5" s="3">
        <f t="shared" si="4"/>
        <v>0</v>
      </c>
      <c r="K5" s="3">
        <f t="shared" si="4"/>
        <v>0</v>
      </c>
      <c r="L5" s="3">
        <f t="shared" si="4"/>
        <v>2</v>
      </c>
      <c r="M5" s="3">
        <f t="shared" si="1"/>
        <v>9</v>
      </c>
    </row>
    <row r="6" spans="1:13" ht="14.25" customHeight="1" x14ac:dyDescent="0.3">
      <c r="A6" s="1" t="s">
        <v>23</v>
      </c>
      <c r="B6" s="1" t="s">
        <v>24</v>
      </c>
      <c r="C6" s="1">
        <v>1</v>
      </c>
      <c r="H6" s="2" t="s">
        <v>25</v>
      </c>
      <c r="I6" s="3">
        <f t="shared" ref="I6:L6" si="5">SUM(C12+C15+C18+C28+C41+C59+C78+C64+C82+C83+C86+C106+C119+C143+C148+C154)</f>
        <v>16</v>
      </c>
      <c r="J6" s="3">
        <f t="shared" si="5"/>
        <v>0</v>
      </c>
      <c r="K6" s="3">
        <f t="shared" si="5"/>
        <v>0</v>
      </c>
      <c r="L6" s="3">
        <f t="shared" si="5"/>
        <v>0</v>
      </c>
      <c r="M6" s="3">
        <f t="shared" si="1"/>
        <v>16</v>
      </c>
    </row>
    <row r="7" spans="1:13" ht="14.25" customHeight="1" x14ac:dyDescent="0.3">
      <c r="A7" s="1" t="s">
        <v>26</v>
      </c>
      <c r="B7" s="1" t="s">
        <v>27</v>
      </c>
      <c r="C7" s="1">
        <v>1</v>
      </c>
      <c r="H7" s="2" t="s">
        <v>28</v>
      </c>
      <c r="I7" s="3">
        <f t="shared" ref="I7:L7" si="6">SUM(C3+C20+C46+C49+C54+C89+C90+C102+C112+C114+C129+C141)</f>
        <v>7</v>
      </c>
      <c r="J7" s="3">
        <f t="shared" si="6"/>
        <v>4</v>
      </c>
      <c r="K7" s="3">
        <f t="shared" si="6"/>
        <v>1</v>
      </c>
      <c r="L7" s="3">
        <f t="shared" si="6"/>
        <v>0</v>
      </c>
      <c r="M7" s="3">
        <f t="shared" si="1"/>
        <v>12</v>
      </c>
    </row>
    <row r="8" spans="1:13" ht="14.25" customHeight="1" x14ac:dyDescent="0.3">
      <c r="A8" s="1" t="s">
        <v>29</v>
      </c>
      <c r="B8" s="1" t="s">
        <v>30</v>
      </c>
      <c r="D8" s="1">
        <v>1</v>
      </c>
      <c r="H8" s="2" t="s">
        <v>27</v>
      </c>
      <c r="I8" s="3">
        <f t="shared" ref="I8:L8" si="7">SUM(C7+C30+C29+C44+C51+C60+C72+C79+C101+C99+C107+C111+C117+C140+C144)</f>
        <v>8</v>
      </c>
      <c r="J8" s="3">
        <f t="shared" si="7"/>
        <v>4</v>
      </c>
      <c r="K8" s="3">
        <f t="shared" si="7"/>
        <v>3</v>
      </c>
      <c r="L8" s="3">
        <f t="shared" si="7"/>
        <v>0</v>
      </c>
      <c r="M8" s="3">
        <f t="shared" si="1"/>
        <v>15</v>
      </c>
    </row>
    <row r="9" spans="1:13" ht="14.25" customHeight="1" x14ac:dyDescent="0.3">
      <c r="A9" s="1" t="s">
        <v>31</v>
      </c>
      <c r="B9" s="1" t="s">
        <v>13</v>
      </c>
      <c r="C9" s="1">
        <v>1</v>
      </c>
      <c r="H9" s="2" t="s">
        <v>13</v>
      </c>
      <c r="I9" s="3">
        <f t="shared" ref="I9:J9" si="8">SUM(C4+C9+C17+C19+C2+C48+C92+C120+C126+C127+C130+C133+C151)</f>
        <v>12</v>
      </c>
      <c r="J9" s="3">
        <f t="shared" si="8"/>
        <v>1</v>
      </c>
      <c r="K9" s="3">
        <f>SUM(D4+D9+D17+D19+D2+D48+D92+D120+D126+D127+D130+D133+D151)</f>
        <v>1</v>
      </c>
      <c r="L9" s="3">
        <f>SUM(F4+F9+F17+F19+F2+F48+F92+F120+F126+F127+F130+F133+F151)</f>
        <v>0</v>
      </c>
      <c r="M9" s="3">
        <f t="shared" si="1"/>
        <v>14</v>
      </c>
    </row>
    <row r="10" spans="1:13" ht="14.25" customHeight="1" x14ac:dyDescent="0.3">
      <c r="A10" s="1" t="s">
        <v>32</v>
      </c>
      <c r="B10" s="1" t="s">
        <v>33</v>
      </c>
      <c r="E10" s="1">
        <v>1</v>
      </c>
      <c r="H10" s="2" t="s">
        <v>30</v>
      </c>
      <c r="I10" s="3">
        <f t="shared" ref="I10:L10" si="9">SUM(C8+C13+C16+C25+C31+C35+C43+C45+C70+C71+C75+C81+C88+C93+C98+C100+C104+C118+C136+C137+C156)</f>
        <v>0</v>
      </c>
      <c r="J10" s="3">
        <f t="shared" si="9"/>
        <v>21</v>
      </c>
      <c r="K10" s="3">
        <f t="shared" si="9"/>
        <v>0</v>
      </c>
      <c r="L10" s="3">
        <f t="shared" si="9"/>
        <v>0</v>
      </c>
      <c r="M10" s="3">
        <f t="shared" si="1"/>
        <v>21</v>
      </c>
    </row>
    <row r="11" spans="1:13" ht="14.25" customHeight="1" x14ac:dyDescent="0.3">
      <c r="A11" s="1" t="s">
        <v>34</v>
      </c>
      <c r="B11" s="1" t="s">
        <v>33</v>
      </c>
      <c r="C11" s="1">
        <v>1</v>
      </c>
      <c r="H11" s="2" t="s">
        <v>35</v>
      </c>
      <c r="I11" s="3">
        <f t="shared" ref="I11:L11" si="10">SUM(C38+C42+C47+C53+C74+C77+C80+C91+C97+C103+C108+C116+C131+C145+C147)</f>
        <v>0</v>
      </c>
      <c r="J11" s="3">
        <f t="shared" si="10"/>
        <v>11</v>
      </c>
      <c r="K11" s="3">
        <f t="shared" si="10"/>
        <v>2</v>
      </c>
      <c r="L11" s="3">
        <f t="shared" si="10"/>
        <v>2</v>
      </c>
      <c r="M11" s="3">
        <f t="shared" si="1"/>
        <v>15</v>
      </c>
    </row>
    <row r="12" spans="1:13" ht="14.25" customHeight="1" x14ac:dyDescent="0.3">
      <c r="A12" s="1" t="s">
        <v>36</v>
      </c>
      <c r="B12" s="1" t="s">
        <v>37</v>
      </c>
      <c r="C12" s="1">
        <v>1</v>
      </c>
      <c r="H12" s="2" t="s">
        <v>38</v>
      </c>
      <c r="I12" s="3">
        <f t="shared" ref="I12:L12" si="11">SUM(C21+C24+C34+C40+C67+C84+C132)</f>
        <v>4</v>
      </c>
      <c r="J12" s="3">
        <f t="shared" si="11"/>
        <v>3</v>
      </c>
      <c r="K12" s="3">
        <f t="shared" si="11"/>
        <v>0</v>
      </c>
      <c r="L12" s="3">
        <f t="shared" si="11"/>
        <v>0</v>
      </c>
      <c r="M12" s="3">
        <f t="shared" si="1"/>
        <v>7</v>
      </c>
    </row>
    <row r="13" spans="1:13" ht="14.25" customHeight="1" x14ac:dyDescent="0.3">
      <c r="A13" s="1" t="s">
        <v>39</v>
      </c>
      <c r="B13" s="1" t="s">
        <v>30</v>
      </c>
      <c r="D13" s="1">
        <v>1</v>
      </c>
      <c r="H13" s="2" t="s">
        <v>33</v>
      </c>
      <c r="I13" s="3">
        <f t="shared" ref="I13:L13" si="12">SUM(C10+C11+C57+C125+C149)</f>
        <v>4</v>
      </c>
      <c r="J13" s="3">
        <f t="shared" si="12"/>
        <v>0</v>
      </c>
      <c r="K13" s="3">
        <f t="shared" si="12"/>
        <v>1</v>
      </c>
      <c r="L13" s="3">
        <f t="shared" si="12"/>
        <v>0</v>
      </c>
      <c r="M13" s="3">
        <f t="shared" si="1"/>
        <v>5</v>
      </c>
    </row>
    <row r="14" spans="1:13" ht="14.25" customHeight="1" x14ac:dyDescent="0.3">
      <c r="A14" s="1" t="s">
        <v>40</v>
      </c>
      <c r="B14" s="1" t="s">
        <v>19</v>
      </c>
      <c r="C14" s="1">
        <v>1</v>
      </c>
      <c r="I14" s="4"/>
      <c r="J14" s="4"/>
      <c r="K14" s="4"/>
      <c r="L14" s="4"/>
    </row>
    <row r="15" spans="1:13" ht="14.25" customHeight="1" x14ac:dyDescent="0.3">
      <c r="A15" s="1" t="s">
        <v>41</v>
      </c>
      <c r="B15" s="1" t="s">
        <v>42</v>
      </c>
      <c r="C15" s="1">
        <v>1</v>
      </c>
      <c r="I15" s="4"/>
      <c r="J15" s="4"/>
      <c r="K15" s="4"/>
      <c r="L15" s="4"/>
    </row>
    <row r="16" spans="1:13" ht="14.25" customHeight="1" x14ac:dyDescent="0.3">
      <c r="A16" s="1" t="s">
        <v>43</v>
      </c>
      <c r="B16" s="1" t="s">
        <v>30</v>
      </c>
      <c r="D16" s="1">
        <v>1</v>
      </c>
      <c r="I16" s="4"/>
      <c r="J16" s="4"/>
      <c r="K16" s="4"/>
      <c r="L16" s="4"/>
    </row>
    <row r="17" spans="1:12" ht="14.25" customHeight="1" x14ac:dyDescent="0.3">
      <c r="A17" s="1" t="s">
        <v>44</v>
      </c>
      <c r="B17" s="1" t="s">
        <v>13</v>
      </c>
      <c r="D17" s="1">
        <v>1</v>
      </c>
      <c r="I17" s="4"/>
      <c r="J17" s="4"/>
      <c r="K17" s="4"/>
      <c r="L17" s="4"/>
    </row>
    <row r="18" spans="1:12" ht="14.25" customHeight="1" x14ac:dyDescent="0.3">
      <c r="A18" s="1" t="s">
        <v>45</v>
      </c>
      <c r="B18" s="1" t="s">
        <v>37</v>
      </c>
      <c r="C18" s="1">
        <v>1</v>
      </c>
      <c r="I18" s="4"/>
      <c r="J18" s="4"/>
      <c r="K18" s="4"/>
      <c r="L18" s="4"/>
    </row>
    <row r="19" spans="1:12" ht="14.25" customHeight="1" x14ac:dyDescent="0.3">
      <c r="A19" s="1" t="s">
        <v>46</v>
      </c>
      <c r="B19" s="1" t="s">
        <v>13</v>
      </c>
      <c r="C19" s="1">
        <v>1</v>
      </c>
    </row>
    <row r="20" spans="1:12" ht="14.25" customHeight="1" x14ac:dyDescent="0.3">
      <c r="A20" s="1" t="s">
        <v>47</v>
      </c>
      <c r="B20" s="1" t="s">
        <v>16</v>
      </c>
      <c r="C20" s="1">
        <v>1</v>
      </c>
    </row>
    <row r="21" spans="1:12" ht="14.25" customHeight="1" x14ac:dyDescent="0.3">
      <c r="A21" s="1" t="s">
        <v>48</v>
      </c>
      <c r="B21" s="1" t="s">
        <v>38</v>
      </c>
      <c r="C21" s="1">
        <v>1</v>
      </c>
    </row>
    <row r="22" spans="1:12" ht="14.25" customHeight="1" x14ac:dyDescent="0.3">
      <c r="A22" s="1" t="s">
        <v>49</v>
      </c>
      <c r="B22" s="1" t="s">
        <v>14</v>
      </c>
      <c r="C22" s="1">
        <v>1</v>
      </c>
    </row>
    <row r="23" spans="1:12" ht="14.25" customHeight="1" x14ac:dyDescent="0.3">
      <c r="A23" s="1" t="s">
        <v>50</v>
      </c>
      <c r="B23" s="1" t="s">
        <v>13</v>
      </c>
      <c r="C23" s="1">
        <v>1</v>
      </c>
    </row>
    <row r="24" spans="1:12" ht="14.25" customHeight="1" x14ac:dyDescent="0.3">
      <c r="A24" s="1" t="s">
        <v>51</v>
      </c>
      <c r="B24" s="1" t="s">
        <v>38</v>
      </c>
      <c r="C24" s="1">
        <v>1</v>
      </c>
    </row>
    <row r="25" spans="1:12" ht="14.25" customHeight="1" x14ac:dyDescent="0.3">
      <c r="A25" s="1" t="s">
        <v>52</v>
      </c>
      <c r="B25" s="1" t="s">
        <v>30</v>
      </c>
      <c r="D25" s="1">
        <v>1</v>
      </c>
    </row>
    <row r="26" spans="1:12" ht="14.25" customHeight="1" x14ac:dyDescent="0.3">
      <c r="A26" s="1" t="s">
        <v>53</v>
      </c>
      <c r="B26" s="1" t="s">
        <v>19</v>
      </c>
      <c r="C26" s="1">
        <v>1</v>
      </c>
    </row>
    <row r="27" spans="1:12" ht="14.25" customHeight="1" x14ac:dyDescent="0.3">
      <c r="A27" s="1" t="s">
        <v>54</v>
      </c>
      <c r="B27" s="1" t="s">
        <v>19</v>
      </c>
      <c r="C27" s="1">
        <v>1</v>
      </c>
    </row>
    <row r="28" spans="1:12" ht="14.25" customHeight="1" x14ac:dyDescent="0.3">
      <c r="A28" s="1" t="s">
        <v>55</v>
      </c>
      <c r="B28" s="1" t="s">
        <v>37</v>
      </c>
      <c r="C28" s="1">
        <v>1</v>
      </c>
    </row>
    <row r="29" spans="1:12" ht="14.25" customHeight="1" x14ac:dyDescent="0.3">
      <c r="A29" s="1" t="s">
        <v>56</v>
      </c>
      <c r="B29" s="1" t="s">
        <v>27</v>
      </c>
      <c r="C29" s="1">
        <v>1</v>
      </c>
    </row>
    <row r="30" spans="1:12" ht="14.25" customHeight="1" x14ac:dyDescent="0.3">
      <c r="A30" s="1" t="s">
        <v>57</v>
      </c>
      <c r="B30" s="1" t="s">
        <v>27</v>
      </c>
      <c r="D30" s="1">
        <v>1</v>
      </c>
    </row>
    <row r="31" spans="1:12" ht="14.25" customHeight="1" x14ac:dyDescent="0.3">
      <c r="A31" s="1" t="s">
        <v>58</v>
      </c>
      <c r="B31" s="1" t="s">
        <v>30</v>
      </c>
      <c r="D31" s="1">
        <v>1</v>
      </c>
    </row>
    <row r="32" spans="1:12" ht="14.25" customHeight="1" x14ac:dyDescent="0.3">
      <c r="A32" s="1" t="s">
        <v>59</v>
      </c>
      <c r="B32" s="1" t="s">
        <v>24</v>
      </c>
      <c r="C32" s="1">
        <v>1</v>
      </c>
    </row>
    <row r="33" spans="1:12" ht="14.25" customHeight="1" x14ac:dyDescent="0.3">
      <c r="A33" s="1" t="s">
        <v>60</v>
      </c>
      <c r="B33" s="1" t="s">
        <v>27</v>
      </c>
      <c r="C33" s="1">
        <v>1</v>
      </c>
    </row>
    <row r="34" spans="1:12" ht="14.25" customHeight="1" x14ac:dyDescent="0.3">
      <c r="A34" s="1" t="s">
        <v>61</v>
      </c>
      <c r="B34" s="1" t="s">
        <v>38</v>
      </c>
      <c r="D34" s="1">
        <v>1</v>
      </c>
    </row>
    <row r="35" spans="1:12" ht="14.25" customHeight="1" x14ac:dyDescent="0.3">
      <c r="A35" s="1" t="s">
        <v>62</v>
      </c>
      <c r="B35" s="1" t="s">
        <v>30</v>
      </c>
      <c r="D35" s="1">
        <v>1</v>
      </c>
    </row>
    <row r="36" spans="1:12" ht="14.25" customHeight="1" x14ac:dyDescent="0.3">
      <c r="A36" s="1" t="s">
        <v>63</v>
      </c>
      <c r="B36" s="1" t="s">
        <v>21</v>
      </c>
      <c r="C36" s="1">
        <v>1</v>
      </c>
    </row>
    <row r="37" spans="1:12" ht="14.25" customHeight="1" x14ac:dyDescent="0.3">
      <c r="A37" s="1" t="s">
        <v>64</v>
      </c>
      <c r="B37" s="1" t="s">
        <v>14</v>
      </c>
      <c r="C37" s="1">
        <v>1</v>
      </c>
    </row>
    <row r="38" spans="1:12" ht="14.25" customHeight="1" x14ac:dyDescent="0.3">
      <c r="A38" s="1" t="s">
        <v>65</v>
      </c>
      <c r="B38" s="1" t="s">
        <v>66</v>
      </c>
      <c r="D38" s="1">
        <v>1</v>
      </c>
    </row>
    <row r="39" spans="1:12" ht="14.25" customHeight="1" x14ac:dyDescent="0.3">
      <c r="A39" s="1" t="s">
        <v>67</v>
      </c>
      <c r="B39" s="1" t="s">
        <v>16</v>
      </c>
      <c r="D39" s="1">
        <v>1</v>
      </c>
    </row>
    <row r="40" spans="1:12" ht="14.25" customHeight="1" x14ac:dyDescent="0.3">
      <c r="A40" s="1" t="s">
        <v>68</v>
      </c>
      <c r="B40" s="1" t="s">
        <v>38</v>
      </c>
      <c r="C40" s="1">
        <v>1</v>
      </c>
    </row>
    <row r="41" spans="1:12" ht="14.25" customHeight="1" x14ac:dyDescent="0.3">
      <c r="A41" s="1" t="s">
        <v>69</v>
      </c>
      <c r="B41" s="1" t="s">
        <v>37</v>
      </c>
      <c r="C41" s="1">
        <v>1</v>
      </c>
    </row>
    <row r="42" spans="1:12" ht="14.25" customHeight="1" x14ac:dyDescent="0.3">
      <c r="A42" s="1" t="s">
        <v>70</v>
      </c>
      <c r="B42" s="1" t="s">
        <v>66</v>
      </c>
      <c r="D42" s="1">
        <v>1</v>
      </c>
    </row>
    <row r="43" spans="1:12" ht="14.25" customHeight="1" x14ac:dyDescent="0.3">
      <c r="A43" s="1" t="s">
        <v>71</v>
      </c>
      <c r="B43" s="1" t="s">
        <v>30</v>
      </c>
      <c r="D43" s="1">
        <v>1</v>
      </c>
    </row>
    <row r="44" spans="1:12" ht="14.25" customHeight="1" x14ac:dyDescent="0.3">
      <c r="A44" s="1" t="s">
        <v>72</v>
      </c>
      <c r="B44" s="1" t="s">
        <v>27</v>
      </c>
      <c r="D44" s="1">
        <v>1</v>
      </c>
    </row>
    <row r="45" spans="1:12" ht="14.25" customHeight="1" x14ac:dyDescent="0.3">
      <c r="A45" s="1" t="s">
        <v>73</v>
      </c>
      <c r="B45" s="1" t="s">
        <v>30</v>
      </c>
      <c r="D45" s="1">
        <v>1</v>
      </c>
      <c r="H45" s="1" t="s">
        <v>6</v>
      </c>
      <c r="I45" s="1" t="s">
        <v>7</v>
      </c>
      <c r="J45" s="1" t="s">
        <v>8</v>
      </c>
      <c r="K45" s="1" t="s">
        <v>9</v>
      </c>
      <c r="L45" s="1" t="s">
        <v>10</v>
      </c>
    </row>
    <row r="46" spans="1:12" ht="14.25" customHeight="1" x14ac:dyDescent="0.3">
      <c r="A46" s="1" t="s">
        <v>74</v>
      </c>
      <c r="B46" s="1" t="s">
        <v>16</v>
      </c>
      <c r="C46" s="1">
        <v>1</v>
      </c>
      <c r="H46" s="2" t="s">
        <v>14</v>
      </c>
      <c r="I46" s="4">
        <f t="shared" ref="I46:I57" si="13">I2/M2</f>
        <v>1</v>
      </c>
      <c r="J46" s="4">
        <f t="shared" ref="J46:J57" si="14">J2/M2</f>
        <v>0</v>
      </c>
      <c r="K46" s="4">
        <f t="shared" ref="K46:K57" si="15">K2/M2</f>
        <v>0</v>
      </c>
      <c r="L46" s="4">
        <f t="shared" ref="L46:L57" si="16">L2/M2</f>
        <v>0</v>
      </c>
    </row>
    <row r="47" spans="1:12" ht="14.25" customHeight="1" x14ac:dyDescent="0.3">
      <c r="A47" s="1" t="s">
        <v>75</v>
      </c>
      <c r="B47" s="1" t="s">
        <v>66</v>
      </c>
      <c r="D47" s="1">
        <v>1</v>
      </c>
      <c r="H47" s="2" t="s">
        <v>17</v>
      </c>
      <c r="I47" s="4">
        <f t="shared" si="13"/>
        <v>1</v>
      </c>
      <c r="J47" s="4">
        <f t="shared" si="14"/>
        <v>0</v>
      </c>
      <c r="K47" s="4">
        <f t="shared" si="15"/>
        <v>0</v>
      </c>
      <c r="L47" s="4">
        <f t="shared" si="16"/>
        <v>0</v>
      </c>
    </row>
    <row r="48" spans="1:12" ht="14.25" customHeight="1" x14ac:dyDescent="0.3">
      <c r="A48" s="1" t="s">
        <v>76</v>
      </c>
      <c r="B48" s="1" t="s">
        <v>13</v>
      </c>
      <c r="C48" s="1">
        <v>1</v>
      </c>
      <c r="H48" s="2" t="s">
        <v>19</v>
      </c>
      <c r="I48" s="4">
        <f t="shared" si="13"/>
        <v>1</v>
      </c>
      <c r="J48" s="4">
        <f t="shared" si="14"/>
        <v>0</v>
      </c>
      <c r="K48" s="4">
        <f t="shared" si="15"/>
        <v>0</v>
      </c>
      <c r="L48" s="4">
        <f t="shared" si="16"/>
        <v>0</v>
      </c>
    </row>
    <row r="49" spans="1:12" ht="14.25" customHeight="1" x14ac:dyDescent="0.3">
      <c r="A49" s="1" t="s">
        <v>77</v>
      </c>
      <c r="B49" s="1" t="s">
        <v>16</v>
      </c>
      <c r="D49" s="1">
        <v>1</v>
      </c>
      <c r="H49" s="2" t="s">
        <v>22</v>
      </c>
      <c r="I49" s="4">
        <f t="shared" si="13"/>
        <v>0.77777777777777779</v>
      </c>
      <c r="J49" s="4">
        <f t="shared" si="14"/>
        <v>0</v>
      </c>
      <c r="K49" s="4">
        <f t="shared" si="15"/>
        <v>0</v>
      </c>
      <c r="L49" s="4">
        <f t="shared" si="16"/>
        <v>0.22222222222222221</v>
      </c>
    </row>
    <row r="50" spans="1:12" ht="14.25" customHeight="1" x14ac:dyDescent="0.3">
      <c r="A50" s="1" t="s">
        <v>78</v>
      </c>
      <c r="B50" s="1" t="s">
        <v>24</v>
      </c>
      <c r="C50" s="1">
        <v>1</v>
      </c>
      <c r="H50" s="2" t="s">
        <v>25</v>
      </c>
      <c r="I50" s="4">
        <f t="shared" si="13"/>
        <v>1</v>
      </c>
      <c r="J50" s="4">
        <f t="shared" si="14"/>
        <v>0</v>
      </c>
      <c r="K50" s="4">
        <f t="shared" si="15"/>
        <v>0</v>
      </c>
      <c r="L50" s="4">
        <f t="shared" si="16"/>
        <v>0</v>
      </c>
    </row>
    <row r="51" spans="1:12" ht="14.25" customHeight="1" x14ac:dyDescent="0.3">
      <c r="A51" s="1" t="s">
        <v>79</v>
      </c>
      <c r="B51" s="1" t="s">
        <v>27</v>
      </c>
      <c r="D51" s="1">
        <v>1</v>
      </c>
      <c r="H51" s="2" t="s">
        <v>28</v>
      </c>
      <c r="I51" s="4">
        <f t="shared" si="13"/>
        <v>0.58333333333333337</v>
      </c>
      <c r="J51" s="4">
        <f t="shared" si="14"/>
        <v>0.33333333333333331</v>
      </c>
      <c r="K51" s="4">
        <f t="shared" si="15"/>
        <v>8.3333333333333329E-2</v>
      </c>
      <c r="L51" s="4">
        <f t="shared" si="16"/>
        <v>0</v>
      </c>
    </row>
    <row r="52" spans="1:12" ht="14.25" customHeight="1" x14ac:dyDescent="0.3">
      <c r="A52" s="1" t="s">
        <v>80</v>
      </c>
      <c r="B52" s="1" t="s">
        <v>24</v>
      </c>
      <c r="C52" s="1">
        <v>1</v>
      </c>
      <c r="H52" s="2" t="s">
        <v>27</v>
      </c>
      <c r="I52" s="4">
        <f t="shared" si="13"/>
        <v>0.53333333333333333</v>
      </c>
      <c r="J52" s="4">
        <f t="shared" si="14"/>
        <v>0.26666666666666666</v>
      </c>
      <c r="K52" s="4">
        <f t="shared" si="15"/>
        <v>0.2</v>
      </c>
      <c r="L52" s="4">
        <f t="shared" si="16"/>
        <v>0</v>
      </c>
    </row>
    <row r="53" spans="1:12" ht="14.25" customHeight="1" x14ac:dyDescent="0.3">
      <c r="A53" s="1" t="s">
        <v>81</v>
      </c>
      <c r="B53" s="1" t="s">
        <v>66</v>
      </c>
      <c r="F53" s="1">
        <v>1</v>
      </c>
      <c r="H53" s="2" t="s">
        <v>13</v>
      </c>
      <c r="I53" s="4">
        <f t="shared" si="13"/>
        <v>0.8571428571428571</v>
      </c>
      <c r="J53" s="4">
        <f t="shared" si="14"/>
        <v>7.1428571428571425E-2</v>
      </c>
      <c r="K53" s="4">
        <f t="shared" si="15"/>
        <v>7.1428571428571425E-2</v>
      </c>
      <c r="L53" s="4">
        <f t="shared" si="16"/>
        <v>0</v>
      </c>
    </row>
    <row r="54" spans="1:12" ht="14.25" customHeight="1" x14ac:dyDescent="0.3">
      <c r="A54" s="1" t="s">
        <v>82</v>
      </c>
      <c r="B54" s="1" t="s">
        <v>16</v>
      </c>
      <c r="D54" s="1">
        <v>1</v>
      </c>
      <c r="H54" s="2" t="s">
        <v>30</v>
      </c>
      <c r="I54" s="4">
        <f t="shared" si="13"/>
        <v>0</v>
      </c>
      <c r="J54" s="4">
        <f t="shared" si="14"/>
        <v>1</v>
      </c>
      <c r="K54" s="4">
        <f t="shared" si="15"/>
        <v>0</v>
      </c>
      <c r="L54" s="4">
        <f t="shared" si="16"/>
        <v>0</v>
      </c>
    </row>
    <row r="55" spans="1:12" ht="14.25" customHeight="1" x14ac:dyDescent="0.3">
      <c r="A55" s="1" t="s">
        <v>83</v>
      </c>
      <c r="B55" s="1" t="s">
        <v>14</v>
      </c>
      <c r="C55" s="1">
        <v>1</v>
      </c>
      <c r="H55" s="2" t="s">
        <v>35</v>
      </c>
      <c r="I55" s="4">
        <f t="shared" si="13"/>
        <v>0</v>
      </c>
      <c r="J55" s="4">
        <f t="shared" si="14"/>
        <v>0.73333333333333328</v>
      </c>
      <c r="K55" s="4">
        <f t="shared" si="15"/>
        <v>0.13333333333333333</v>
      </c>
      <c r="L55" s="4">
        <f t="shared" si="16"/>
        <v>0.13333333333333333</v>
      </c>
    </row>
    <row r="56" spans="1:12" ht="14.25" customHeight="1" x14ac:dyDescent="0.3">
      <c r="A56" s="1" t="s">
        <v>84</v>
      </c>
      <c r="B56" s="1" t="s">
        <v>21</v>
      </c>
      <c r="C56" s="1">
        <v>1</v>
      </c>
      <c r="H56" s="2" t="s">
        <v>38</v>
      </c>
      <c r="I56" s="4">
        <f t="shared" si="13"/>
        <v>0.5714285714285714</v>
      </c>
      <c r="J56" s="4">
        <f t="shared" si="14"/>
        <v>0.42857142857142855</v>
      </c>
      <c r="K56" s="4">
        <f t="shared" si="15"/>
        <v>0</v>
      </c>
      <c r="L56" s="4">
        <f t="shared" si="16"/>
        <v>0</v>
      </c>
    </row>
    <row r="57" spans="1:12" ht="14.25" customHeight="1" x14ac:dyDescent="0.3">
      <c r="A57" s="1" t="s">
        <v>85</v>
      </c>
      <c r="B57" s="1" t="s">
        <v>33</v>
      </c>
      <c r="C57" s="1">
        <v>1</v>
      </c>
      <c r="H57" s="2" t="s">
        <v>33</v>
      </c>
      <c r="I57" s="4">
        <f t="shared" si="13"/>
        <v>0.8</v>
      </c>
      <c r="J57" s="4">
        <f t="shared" si="14"/>
        <v>0</v>
      </c>
      <c r="K57" s="4">
        <f t="shared" si="15"/>
        <v>0.2</v>
      </c>
      <c r="L57" s="4">
        <f t="shared" si="16"/>
        <v>0</v>
      </c>
    </row>
    <row r="58" spans="1:12" ht="14.25" customHeight="1" x14ac:dyDescent="0.3">
      <c r="A58" s="1" t="s">
        <v>86</v>
      </c>
      <c r="B58" s="1" t="s">
        <v>24</v>
      </c>
      <c r="C58" s="1">
        <v>1</v>
      </c>
    </row>
    <row r="59" spans="1:12" ht="14.25" customHeight="1" x14ac:dyDescent="0.3">
      <c r="A59" s="1" t="s">
        <v>87</v>
      </c>
      <c r="B59" s="1" t="s">
        <v>37</v>
      </c>
      <c r="C59" s="1">
        <v>1</v>
      </c>
    </row>
    <row r="60" spans="1:12" ht="14.25" customHeight="1" x14ac:dyDescent="0.3">
      <c r="A60" s="1" t="s">
        <v>88</v>
      </c>
      <c r="B60" s="1" t="s">
        <v>27</v>
      </c>
      <c r="C60" s="1">
        <v>1</v>
      </c>
    </row>
    <row r="61" spans="1:12" ht="14.25" customHeight="1" x14ac:dyDescent="0.3">
      <c r="A61" s="1" t="s">
        <v>89</v>
      </c>
      <c r="B61" s="1" t="s">
        <v>13</v>
      </c>
      <c r="C61" s="1">
        <v>1</v>
      </c>
    </row>
    <row r="62" spans="1:12" ht="14.25" customHeight="1" x14ac:dyDescent="0.3">
      <c r="A62" s="1" t="s">
        <v>90</v>
      </c>
      <c r="B62" s="1" t="s">
        <v>19</v>
      </c>
      <c r="C62" s="1">
        <v>1</v>
      </c>
    </row>
    <row r="63" spans="1:12" ht="14.25" customHeight="1" x14ac:dyDescent="0.3">
      <c r="A63" s="1" t="s">
        <v>91</v>
      </c>
      <c r="B63" s="1" t="s">
        <v>21</v>
      </c>
      <c r="F63" s="1">
        <v>1</v>
      </c>
    </row>
    <row r="64" spans="1:12" ht="14.25" customHeight="1" x14ac:dyDescent="0.3">
      <c r="A64" s="1" t="s">
        <v>92</v>
      </c>
      <c r="B64" s="1" t="s">
        <v>42</v>
      </c>
      <c r="C64" s="1">
        <v>1</v>
      </c>
    </row>
    <row r="65" spans="1:6" ht="14.25" customHeight="1" x14ac:dyDescent="0.3">
      <c r="A65" s="1" t="s">
        <v>93</v>
      </c>
      <c r="B65" s="1" t="s">
        <v>14</v>
      </c>
      <c r="C65" s="1">
        <v>1</v>
      </c>
    </row>
    <row r="66" spans="1:6" ht="14.25" customHeight="1" x14ac:dyDescent="0.3">
      <c r="A66" s="1" t="s">
        <v>94</v>
      </c>
      <c r="B66" s="1" t="s">
        <v>14</v>
      </c>
      <c r="C66" s="1">
        <v>1</v>
      </c>
    </row>
    <row r="67" spans="1:6" ht="14.25" customHeight="1" x14ac:dyDescent="0.3">
      <c r="A67" s="1" t="s">
        <v>95</v>
      </c>
      <c r="B67" s="1" t="s">
        <v>38</v>
      </c>
      <c r="D67" s="1">
        <v>1</v>
      </c>
    </row>
    <row r="68" spans="1:6" ht="14.25" customHeight="1" x14ac:dyDescent="0.3">
      <c r="A68" s="1" t="s">
        <v>96</v>
      </c>
      <c r="B68" s="1" t="s">
        <v>19</v>
      </c>
      <c r="C68" s="1">
        <v>1</v>
      </c>
    </row>
    <row r="69" spans="1:6" ht="14.25" customHeight="1" x14ac:dyDescent="0.3">
      <c r="A69" s="1" t="s">
        <v>97</v>
      </c>
      <c r="B69" s="1" t="s">
        <v>24</v>
      </c>
      <c r="C69" s="1">
        <v>1</v>
      </c>
    </row>
    <row r="70" spans="1:6" ht="14.25" customHeight="1" x14ac:dyDescent="0.3">
      <c r="A70" s="1" t="s">
        <v>98</v>
      </c>
      <c r="B70" s="1" t="s">
        <v>30</v>
      </c>
      <c r="D70" s="1">
        <v>1</v>
      </c>
    </row>
    <row r="71" spans="1:6" ht="14.25" customHeight="1" x14ac:dyDescent="0.3">
      <c r="A71" s="1" t="s">
        <v>99</v>
      </c>
      <c r="B71" s="1" t="s">
        <v>30</v>
      </c>
      <c r="D71" s="1">
        <v>1</v>
      </c>
    </row>
    <row r="72" spans="1:6" ht="14.25" customHeight="1" x14ac:dyDescent="0.3">
      <c r="A72" s="1" t="s">
        <v>100</v>
      </c>
      <c r="B72" s="1" t="s">
        <v>27</v>
      </c>
      <c r="D72" s="1">
        <v>1</v>
      </c>
    </row>
    <row r="73" spans="1:6" ht="14.25" customHeight="1" x14ac:dyDescent="0.3">
      <c r="A73" s="1" t="s">
        <v>101</v>
      </c>
      <c r="B73" s="1" t="s">
        <v>21</v>
      </c>
      <c r="F73" s="1">
        <v>1</v>
      </c>
    </row>
    <row r="74" spans="1:6" ht="14.25" customHeight="1" x14ac:dyDescent="0.3">
      <c r="A74" s="1" t="s">
        <v>102</v>
      </c>
      <c r="B74" s="1" t="s">
        <v>66</v>
      </c>
      <c r="D74" s="1">
        <v>1</v>
      </c>
    </row>
    <row r="75" spans="1:6" ht="14.25" customHeight="1" x14ac:dyDescent="0.3">
      <c r="A75" s="1" t="s">
        <v>103</v>
      </c>
      <c r="B75" s="1" t="s">
        <v>30</v>
      </c>
      <c r="D75" s="1">
        <v>1</v>
      </c>
    </row>
    <row r="76" spans="1:6" ht="14.25" customHeight="1" x14ac:dyDescent="0.3">
      <c r="A76" s="1" t="s">
        <v>104</v>
      </c>
      <c r="B76" s="1" t="s">
        <v>24</v>
      </c>
      <c r="C76" s="1">
        <v>1</v>
      </c>
    </row>
    <row r="77" spans="1:6" ht="14.25" customHeight="1" x14ac:dyDescent="0.3">
      <c r="A77" s="1" t="s">
        <v>105</v>
      </c>
      <c r="B77" s="1" t="s">
        <v>66</v>
      </c>
      <c r="D77" s="1">
        <v>1</v>
      </c>
    </row>
    <row r="78" spans="1:6" ht="14.25" customHeight="1" x14ac:dyDescent="0.3">
      <c r="A78" s="1" t="s">
        <v>106</v>
      </c>
      <c r="B78" s="1" t="s">
        <v>42</v>
      </c>
      <c r="C78" s="1">
        <v>1</v>
      </c>
    </row>
    <row r="79" spans="1:6" ht="14.25" customHeight="1" x14ac:dyDescent="0.3">
      <c r="A79" s="1" t="s">
        <v>107</v>
      </c>
      <c r="B79" s="1" t="s">
        <v>27</v>
      </c>
      <c r="C79" s="1">
        <v>1</v>
      </c>
    </row>
    <row r="80" spans="1:6" ht="14.25" customHeight="1" x14ac:dyDescent="0.3">
      <c r="A80" s="1" t="s">
        <v>108</v>
      </c>
      <c r="B80" s="1" t="s">
        <v>66</v>
      </c>
      <c r="D80" s="1">
        <v>1</v>
      </c>
    </row>
    <row r="81" spans="1:5" ht="14.25" customHeight="1" x14ac:dyDescent="0.3">
      <c r="A81" s="1" t="s">
        <v>109</v>
      </c>
      <c r="B81" s="1" t="s">
        <v>30</v>
      </c>
      <c r="D81" s="1">
        <v>1</v>
      </c>
    </row>
    <row r="82" spans="1:5" ht="14.25" customHeight="1" x14ac:dyDescent="0.3">
      <c r="A82" s="1" t="s">
        <v>110</v>
      </c>
      <c r="B82" s="1" t="s">
        <v>37</v>
      </c>
      <c r="C82" s="1">
        <v>1</v>
      </c>
    </row>
    <row r="83" spans="1:5" ht="14.25" customHeight="1" x14ac:dyDescent="0.3">
      <c r="A83" s="1" t="s">
        <v>111</v>
      </c>
      <c r="B83" s="1" t="s">
        <v>37</v>
      </c>
      <c r="C83" s="1">
        <v>1</v>
      </c>
    </row>
    <row r="84" spans="1:5" ht="14.25" customHeight="1" x14ac:dyDescent="0.3">
      <c r="A84" s="1" t="s">
        <v>112</v>
      </c>
      <c r="B84" s="1" t="s">
        <v>38</v>
      </c>
      <c r="C84" s="1">
        <v>1</v>
      </c>
    </row>
    <row r="85" spans="1:5" ht="14.25" customHeight="1" x14ac:dyDescent="0.3">
      <c r="A85" s="1" t="s">
        <v>113</v>
      </c>
      <c r="B85" s="1" t="s">
        <v>21</v>
      </c>
      <c r="C85" s="1">
        <v>1</v>
      </c>
    </row>
    <row r="86" spans="1:5" ht="14.25" customHeight="1" x14ac:dyDescent="0.3">
      <c r="A86" s="1" t="s">
        <v>114</v>
      </c>
      <c r="B86" s="1" t="s">
        <v>42</v>
      </c>
      <c r="C86" s="1">
        <v>1</v>
      </c>
    </row>
    <row r="87" spans="1:5" ht="14.25" customHeight="1" x14ac:dyDescent="0.3">
      <c r="A87" s="1" t="s">
        <v>115</v>
      </c>
      <c r="B87" s="1" t="s">
        <v>21</v>
      </c>
      <c r="C87" s="1">
        <v>1</v>
      </c>
    </row>
    <row r="88" spans="1:5" ht="14.25" customHeight="1" x14ac:dyDescent="0.3">
      <c r="A88" s="1" t="s">
        <v>116</v>
      </c>
      <c r="B88" s="1" t="s">
        <v>30</v>
      </c>
      <c r="D88" s="1">
        <v>1</v>
      </c>
    </row>
    <row r="89" spans="1:5" ht="14.25" customHeight="1" x14ac:dyDescent="0.3">
      <c r="A89" s="1" t="s">
        <v>117</v>
      </c>
      <c r="B89" s="1" t="s">
        <v>16</v>
      </c>
      <c r="C89" s="1">
        <v>1</v>
      </c>
    </row>
    <row r="90" spans="1:5" ht="14.25" customHeight="1" x14ac:dyDescent="0.3">
      <c r="A90" s="1" t="s">
        <v>118</v>
      </c>
      <c r="B90" s="1" t="s">
        <v>16</v>
      </c>
      <c r="E90" s="1">
        <v>1</v>
      </c>
    </row>
    <row r="91" spans="1:5" ht="14.25" customHeight="1" x14ac:dyDescent="0.3">
      <c r="A91" s="1" t="s">
        <v>119</v>
      </c>
      <c r="B91" s="1" t="s">
        <v>66</v>
      </c>
      <c r="D91" s="1">
        <v>1</v>
      </c>
    </row>
    <row r="92" spans="1:5" ht="14.25" customHeight="1" x14ac:dyDescent="0.3">
      <c r="A92" s="1" t="s">
        <v>120</v>
      </c>
      <c r="B92" s="1" t="s">
        <v>13</v>
      </c>
      <c r="C92" s="1">
        <v>1</v>
      </c>
    </row>
    <row r="93" spans="1:5" ht="14.25" customHeight="1" x14ac:dyDescent="0.3">
      <c r="A93" s="1" t="s">
        <v>121</v>
      </c>
      <c r="B93" s="1" t="s">
        <v>30</v>
      </c>
      <c r="D93" s="1">
        <v>1</v>
      </c>
    </row>
    <row r="94" spans="1:5" ht="14.25" customHeight="1" x14ac:dyDescent="0.3">
      <c r="A94" s="1" t="s">
        <v>122</v>
      </c>
      <c r="B94" s="1" t="s">
        <v>24</v>
      </c>
      <c r="C94" s="1">
        <v>1</v>
      </c>
    </row>
    <row r="95" spans="1:5" ht="14.25" customHeight="1" x14ac:dyDescent="0.3">
      <c r="A95" s="1" t="s">
        <v>123</v>
      </c>
      <c r="B95" s="1" t="s">
        <v>21</v>
      </c>
      <c r="C95" s="1">
        <v>1</v>
      </c>
    </row>
    <row r="96" spans="1:5" ht="14.25" customHeight="1" x14ac:dyDescent="0.3">
      <c r="A96" s="1" t="s">
        <v>124</v>
      </c>
      <c r="B96" s="1" t="s">
        <v>14</v>
      </c>
      <c r="C96" s="1">
        <v>1</v>
      </c>
    </row>
    <row r="97" spans="1:6" ht="14.25" customHeight="1" x14ac:dyDescent="0.3">
      <c r="A97" s="1" t="s">
        <v>125</v>
      </c>
      <c r="B97" s="1" t="s">
        <v>66</v>
      </c>
      <c r="E97" s="1">
        <v>1</v>
      </c>
    </row>
    <row r="98" spans="1:6" ht="14.25" customHeight="1" x14ac:dyDescent="0.3">
      <c r="A98" s="1" t="s">
        <v>126</v>
      </c>
      <c r="B98" s="1" t="s">
        <v>30</v>
      </c>
      <c r="D98" s="1">
        <v>1</v>
      </c>
    </row>
    <row r="99" spans="1:6" ht="14.25" customHeight="1" x14ac:dyDescent="0.3">
      <c r="A99" s="1" t="s">
        <v>127</v>
      </c>
      <c r="B99" s="1" t="s">
        <v>27</v>
      </c>
      <c r="E99" s="1">
        <v>1</v>
      </c>
    </row>
    <row r="100" spans="1:6" ht="14.25" customHeight="1" x14ac:dyDescent="0.3">
      <c r="A100" s="1" t="s">
        <v>128</v>
      </c>
      <c r="B100" s="1" t="s">
        <v>30</v>
      </c>
      <c r="D100" s="1">
        <v>1</v>
      </c>
    </row>
    <row r="101" spans="1:6" ht="14.25" customHeight="1" x14ac:dyDescent="0.3">
      <c r="A101" s="1" t="s">
        <v>129</v>
      </c>
      <c r="B101" s="1" t="s">
        <v>27</v>
      </c>
      <c r="E101" s="1">
        <v>1</v>
      </c>
    </row>
    <row r="102" spans="1:6" ht="14.25" customHeight="1" x14ac:dyDescent="0.3">
      <c r="A102" s="1" t="s">
        <v>130</v>
      </c>
      <c r="B102" s="1" t="s">
        <v>16</v>
      </c>
      <c r="C102" s="1">
        <v>1</v>
      </c>
    </row>
    <row r="103" spans="1:6" ht="14.25" customHeight="1" x14ac:dyDescent="0.3">
      <c r="A103" s="1" t="s">
        <v>131</v>
      </c>
      <c r="B103" s="1" t="s">
        <v>66</v>
      </c>
      <c r="D103" s="1">
        <v>1</v>
      </c>
    </row>
    <row r="104" spans="1:6" ht="14.25" customHeight="1" x14ac:dyDescent="0.3">
      <c r="A104" s="1" t="s">
        <v>132</v>
      </c>
      <c r="B104" s="1" t="s">
        <v>30</v>
      </c>
      <c r="D104" s="1">
        <v>1</v>
      </c>
    </row>
    <row r="105" spans="1:6" ht="14.25" customHeight="1" x14ac:dyDescent="0.3">
      <c r="A105" s="1" t="s">
        <v>133</v>
      </c>
      <c r="B105" s="1" t="s">
        <v>14</v>
      </c>
      <c r="C105" s="1">
        <v>1</v>
      </c>
    </row>
    <row r="106" spans="1:6" ht="14.25" customHeight="1" x14ac:dyDescent="0.3">
      <c r="A106" s="1" t="s">
        <v>134</v>
      </c>
      <c r="B106" s="1" t="s">
        <v>42</v>
      </c>
      <c r="C106" s="1">
        <v>1</v>
      </c>
    </row>
    <row r="107" spans="1:6" ht="14.25" customHeight="1" x14ac:dyDescent="0.3">
      <c r="A107" s="1" t="s">
        <v>135</v>
      </c>
      <c r="B107" s="1" t="s">
        <v>27</v>
      </c>
      <c r="C107" s="1">
        <v>1</v>
      </c>
    </row>
    <row r="108" spans="1:6" ht="14.25" customHeight="1" x14ac:dyDescent="0.3">
      <c r="A108" s="1" t="s">
        <v>136</v>
      </c>
      <c r="B108" s="1" t="s">
        <v>66</v>
      </c>
      <c r="F108" s="1">
        <v>1</v>
      </c>
    </row>
    <row r="109" spans="1:6" ht="14.25" customHeight="1" x14ac:dyDescent="0.3">
      <c r="A109" s="1" t="s">
        <v>137</v>
      </c>
      <c r="B109" s="1" t="s">
        <v>13</v>
      </c>
      <c r="D109" s="1">
        <v>1</v>
      </c>
    </row>
    <row r="110" spans="1:6" ht="14.25" customHeight="1" x14ac:dyDescent="0.3">
      <c r="A110" s="1" t="s">
        <v>138</v>
      </c>
      <c r="B110" s="1" t="s">
        <v>42</v>
      </c>
      <c r="C110" s="1">
        <v>1</v>
      </c>
    </row>
    <row r="111" spans="1:6" ht="14.25" customHeight="1" x14ac:dyDescent="0.3">
      <c r="A111" s="1" t="s">
        <v>139</v>
      </c>
      <c r="B111" s="1" t="s">
        <v>27</v>
      </c>
      <c r="C111" s="1">
        <v>1</v>
      </c>
    </row>
    <row r="112" spans="1:6" ht="14.25" customHeight="1" x14ac:dyDescent="0.3">
      <c r="A112" s="1" t="s">
        <v>140</v>
      </c>
      <c r="B112" s="1" t="s">
        <v>16</v>
      </c>
      <c r="D112" s="1">
        <v>1</v>
      </c>
    </row>
    <row r="113" spans="1:6" ht="14.25" customHeight="1" x14ac:dyDescent="0.3">
      <c r="A113" s="1" t="s">
        <v>141</v>
      </c>
      <c r="B113" s="1" t="s">
        <v>14</v>
      </c>
      <c r="C113" s="1">
        <v>1</v>
      </c>
    </row>
    <row r="114" spans="1:6" ht="14.25" customHeight="1" x14ac:dyDescent="0.3">
      <c r="A114" s="1" t="s">
        <v>142</v>
      </c>
      <c r="B114" s="1" t="s">
        <v>16</v>
      </c>
      <c r="D114" s="1">
        <v>1</v>
      </c>
    </row>
    <row r="115" spans="1:6" ht="14.25" customHeight="1" x14ac:dyDescent="0.3">
      <c r="A115" s="1" t="s">
        <v>143</v>
      </c>
      <c r="B115" s="1" t="s">
        <v>24</v>
      </c>
      <c r="C115" s="1">
        <v>1</v>
      </c>
    </row>
    <row r="116" spans="1:6" ht="14.25" customHeight="1" x14ac:dyDescent="0.3">
      <c r="A116" s="1" t="s">
        <v>144</v>
      </c>
      <c r="B116" s="1" t="s">
        <v>66</v>
      </c>
      <c r="D116" s="1">
        <v>1</v>
      </c>
    </row>
    <row r="117" spans="1:6" ht="14.25" customHeight="1" x14ac:dyDescent="0.3">
      <c r="A117" s="1" t="s">
        <v>145</v>
      </c>
      <c r="B117" s="1" t="s">
        <v>27</v>
      </c>
      <c r="C117" s="1">
        <v>1</v>
      </c>
    </row>
    <row r="118" spans="1:6" ht="14.25" customHeight="1" x14ac:dyDescent="0.3">
      <c r="A118" s="1" t="s">
        <v>146</v>
      </c>
      <c r="B118" s="1" t="s">
        <v>30</v>
      </c>
      <c r="D118" s="1">
        <v>1</v>
      </c>
    </row>
    <row r="119" spans="1:6" ht="14.25" customHeight="1" x14ac:dyDescent="0.3">
      <c r="A119" s="1" t="s">
        <v>147</v>
      </c>
      <c r="B119" s="1" t="s">
        <v>42</v>
      </c>
      <c r="C119" s="1">
        <v>1</v>
      </c>
    </row>
    <row r="120" spans="1:6" ht="14.25" customHeight="1" x14ac:dyDescent="0.3">
      <c r="A120" s="1" t="s">
        <v>148</v>
      </c>
      <c r="B120" s="1" t="s">
        <v>13</v>
      </c>
      <c r="C120" s="1">
        <v>1</v>
      </c>
    </row>
    <row r="121" spans="1:6" ht="14.25" customHeight="1" x14ac:dyDescent="0.3">
      <c r="A121" s="1" t="s">
        <v>149</v>
      </c>
      <c r="B121" s="1" t="s">
        <v>150</v>
      </c>
      <c r="F121" s="1">
        <v>1</v>
      </c>
    </row>
    <row r="122" spans="1:6" ht="14.25" customHeight="1" x14ac:dyDescent="0.3">
      <c r="A122" s="1" t="s">
        <v>151</v>
      </c>
      <c r="B122" s="1" t="s">
        <v>24</v>
      </c>
      <c r="C122" s="1">
        <v>1</v>
      </c>
    </row>
    <row r="123" spans="1:6" ht="14.25" customHeight="1" x14ac:dyDescent="0.3">
      <c r="A123" s="1" t="s">
        <v>152</v>
      </c>
      <c r="B123" s="1" t="s">
        <v>24</v>
      </c>
      <c r="C123" s="1">
        <v>1</v>
      </c>
    </row>
    <row r="124" spans="1:6" ht="14.25" customHeight="1" x14ac:dyDescent="0.3">
      <c r="A124" s="1" t="s">
        <v>153</v>
      </c>
      <c r="B124" s="1" t="s">
        <v>19</v>
      </c>
      <c r="C124" s="1">
        <v>1</v>
      </c>
    </row>
    <row r="125" spans="1:6" ht="14.25" customHeight="1" x14ac:dyDescent="0.3">
      <c r="A125" s="1" t="s">
        <v>154</v>
      </c>
      <c r="B125" s="1" t="s">
        <v>33</v>
      </c>
      <c r="C125" s="1">
        <v>1</v>
      </c>
    </row>
    <row r="126" spans="1:6" ht="14.25" customHeight="1" x14ac:dyDescent="0.3">
      <c r="A126" s="1" t="s">
        <v>155</v>
      </c>
      <c r="B126" s="1" t="s">
        <v>13</v>
      </c>
      <c r="C126" s="1">
        <v>1</v>
      </c>
    </row>
    <row r="127" spans="1:6" ht="14.25" customHeight="1" x14ac:dyDescent="0.3">
      <c r="A127" s="1" t="s">
        <v>156</v>
      </c>
      <c r="B127" s="1" t="s">
        <v>13</v>
      </c>
      <c r="C127" s="1">
        <v>1</v>
      </c>
    </row>
    <row r="128" spans="1:6" ht="14.25" customHeight="1" x14ac:dyDescent="0.3">
      <c r="A128" s="1" t="s">
        <v>157</v>
      </c>
      <c r="B128" s="1" t="s">
        <v>14</v>
      </c>
      <c r="C128" s="1">
        <v>1</v>
      </c>
    </row>
    <row r="129" spans="1:5" ht="14.25" customHeight="1" x14ac:dyDescent="0.3">
      <c r="A129" s="1" t="s">
        <v>158</v>
      </c>
      <c r="B129" s="1" t="s">
        <v>16</v>
      </c>
      <c r="C129" s="1">
        <v>1</v>
      </c>
    </row>
    <row r="130" spans="1:5" ht="14.25" customHeight="1" x14ac:dyDescent="0.3">
      <c r="A130" s="1" t="s">
        <v>159</v>
      </c>
      <c r="B130" s="1" t="s">
        <v>13</v>
      </c>
      <c r="C130" s="1">
        <v>1</v>
      </c>
    </row>
    <row r="131" spans="1:5" ht="14.25" customHeight="1" x14ac:dyDescent="0.3">
      <c r="A131" s="1" t="s">
        <v>160</v>
      </c>
      <c r="B131" s="1" t="s">
        <v>66</v>
      </c>
      <c r="E131" s="1">
        <v>1</v>
      </c>
    </row>
    <row r="132" spans="1:5" ht="14.25" customHeight="1" x14ac:dyDescent="0.3">
      <c r="A132" s="1" t="s">
        <v>161</v>
      </c>
      <c r="B132" s="1" t="s">
        <v>38</v>
      </c>
      <c r="D132" s="1">
        <v>1</v>
      </c>
    </row>
    <row r="133" spans="1:5" ht="14.25" customHeight="1" x14ac:dyDescent="0.3">
      <c r="A133" s="1" t="s">
        <v>162</v>
      </c>
      <c r="B133" s="1" t="s">
        <v>13</v>
      </c>
      <c r="C133" s="1">
        <v>1</v>
      </c>
    </row>
    <row r="134" spans="1:5" ht="14.25" customHeight="1" x14ac:dyDescent="0.3">
      <c r="A134" s="1" t="s">
        <v>163</v>
      </c>
      <c r="B134" s="1" t="s">
        <v>66</v>
      </c>
      <c r="D134" s="1">
        <v>1</v>
      </c>
    </row>
    <row r="135" spans="1:5" ht="14.25" customHeight="1" x14ac:dyDescent="0.3">
      <c r="A135" s="1" t="s">
        <v>164</v>
      </c>
      <c r="B135" s="1" t="s">
        <v>21</v>
      </c>
      <c r="C135" s="1">
        <v>1</v>
      </c>
    </row>
    <row r="136" spans="1:5" ht="14.25" customHeight="1" x14ac:dyDescent="0.3">
      <c r="A136" s="1" t="s">
        <v>165</v>
      </c>
      <c r="B136" s="1" t="s">
        <v>30</v>
      </c>
      <c r="D136" s="1">
        <v>1</v>
      </c>
    </row>
    <row r="137" spans="1:5" ht="14.25" customHeight="1" x14ac:dyDescent="0.3">
      <c r="A137" s="1" t="s">
        <v>166</v>
      </c>
      <c r="B137" s="1" t="s">
        <v>30</v>
      </c>
      <c r="D137" s="1">
        <v>1</v>
      </c>
    </row>
    <row r="138" spans="1:5" ht="14.25" customHeight="1" x14ac:dyDescent="0.3">
      <c r="A138" s="1" t="s">
        <v>167</v>
      </c>
      <c r="B138" s="1" t="s">
        <v>19</v>
      </c>
      <c r="C138" s="1">
        <v>1</v>
      </c>
    </row>
    <row r="139" spans="1:5" ht="14.25" customHeight="1" x14ac:dyDescent="0.3">
      <c r="A139" s="1" t="s">
        <v>168</v>
      </c>
      <c r="B139" s="1" t="s">
        <v>13</v>
      </c>
      <c r="C139" s="1">
        <v>1</v>
      </c>
    </row>
    <row r="140" spans="1:5" ht="14.25" customHeight="1" x14ac:dyDescent="0.3">
      <c r="A140" s="1" t="s">
        <v>169</v>
      </c>
      <c r="B140" s="1" t="s">
        <v>27</v>
      </c>
      <c r="E140" s="1">
        <v>1</v>
      </c>
    </row>
    <row r="141" spans="1:5" ht="14.25" customHeight="1" x14ac:dyDescent="0.3">
      <c r="A141" s="1" t="s">
        <v>170</v>
      </c>
      <c r="B141" s="1" t="s">
        <v>16</v>
      </c>
      <c r="C141" s="1">
        <v>1</v>
      </c>
    </row>
    <row r="142" spans="1:5" ht="14.25" customHeight="1" x14ac:dyDescent="0.3">
      <c r="A142" s="1" t="s">
        <v>171</v>
      </c>
      <c r="B142" s="1" t="s">
        <v>19</v>
      </c>
      <c r="C142" s="1">
        <v>1</v>
      </c>
    </row>
    <row r="143" spans="1:5" ht="14.25" customHeight="1" x14ac:dyDescent="0.3">
      <c r="A143" s="1" t="s">
        <v>172</v>
      </c>
      <c r="B143" s="1" t="s">
        <v>37</v>
      </c>
      <c r="C143" s="1">
        <v>1</v>
      </c>
    </row>
    <row r="144" spans="1:5" ht="14.25" customHeight="1" x14ac:dyDescent="0.3">
      <c r="A144" s="1" t="s">
        <v>173</v>
      </c>
      <c r="B144" s="1" t="s">
        <v>27</v>
      </c>
      <c r="C144" s="1">
        <v>1</v>
      </c>
    </row>
    <row r="145" spans="1:4" ht="14.25" customHeight="1" x14ac:dyDescent="0.3">
      <c r="A145" s="1" t="s">
        <v>174</v>
      </c>
      <c r="B145" s="1" t="s">
        <v>66</v>
      </c>
      <c r="D145" s="1">
        <v>1</v>
      </c>
    </row>
    <row r="146" spans="1:4" ht="14.25" customHeight="1" x14ac:dyDescent="0.3">
      <c r="A146" s="1" t="s">
        <v>175</v>
      </c>
      <c r="B146" s="1" t="s">
        <v>14</v>
      </c>
      <c r="C146" s="1">
        <v>1</v>
      </c>
    </row>
    <row r="147" spans="1:4" ht="14.25" customHeight="1" x14ac:dyDescent="0.3">
      <c r="A147" s="1" t="s">
        <v>176</v>
      </c>
      <c r="B147" s="1" t="s">
        <v>66</v>
      </c>
      <c r="D147" s="1">
        <v>1</v>
      </c>
    </row>
    <row r="148" spans="1:4" ht="14.25" customHeight="1" x14ac:dyDescent="0.3">
      <c r="A148" s="1" t="s">
        <v>177</v>
      </c>
      <c r="B148" s="1" t="s">
        <v>42</v>
      </c>
      <c r="C148" s="1">
        <v>1</v>
      </c>
    </row>
    <row r="149" spans="1:4" ht="14.25" customHeight="1" x14ac:dyDescent="0.3">
      <c r="A149" s="1" t="s">
        <v>178</v>
      </c>
      <c r="B149" s="1" t="s">
        <v>33</v>
      </c>
      <c r="C149" s="1">
        <v>1</v>
      </c>
    </row>
    <row r="150" spans="1:4" ht="14.25" customHeight="1" x14ac:dyDescent="0.3">
      <c r="A150" s="1" t="s">
        <v>179</v>
      </c>
      <c r="B150" s="1" t="s">
        <v>14</v>
      </c>
      <c r="C150" s="1">
        <v>1</v>
      </c>
    </row>
    <row r="151" spans="1:4" ht="14.25" customHeight="1" x14ac:dyDescent="0.3">
      <c r="A151" s="1" t="s">
        <v>180</v>
      </c>
      <c r="B151" s="1" t="s">
        <v>13</v>
      </c>
      <c r="C151" s="1">
        <v>1</v>
      </c>
    </row>
    <row r="152" spans="1:4" ht="14.25" customHeight="1" x14ac:dyDescent="0.3">
      <c r="A152" s="1" t="s">
        <v>181</v>
      </c>
      <c r="B152" s="1" t="s">
        <v>24</v>
      </c>
      <c r="C152" s="1">
        <v>1</v>
      </c>
    </row>
    <row r="153" spans="1:4" ht="14.25" customHeight="1" x14ac:dyDescent="0.3">
      <c r="A153" s="1" t="s">
        <v>182</v>
      </c>
      <c r="B153" s="1" t="s">
        <v>19</v>
      </c>
      <c r="C153" s="1">
        <v>1</v>
      </c>
    </row>
    <row r="154" spans="1:4" ht="14.25" customHeight="1" x14ac:dyDescent="0.3">
      <c r="A154" s="1" t="s">
        <v>183</v>
      </c>
      <c r="B154" s="1" t="s">
        <v>42</v>
      </c>
      <c r="C154" s="1">
        <v>1</v>
      </c>
    </row>
    <row r="155" spans="1:4" ht="14.25" customHeight="1" x14ac:dyDescent="0.3">
      <c r="A155" s="1" t="s">
        <v>184</v>
      </c>
      <c r="B155" s="1" t="s">
        <v>19</v>
      </c>
      <c r="C155" s="1">
        <v>1</v>
      </c>
    </row>
    <row r="156" spans="1:4" ht="14.25" customHeight="1" x14ac:dyDescent="0.3">
      <c r="A156" s="1" t="s">
        <v>185</v>
      </c>
      <c r="B156" s="1" t="s">
        <v>30</v>
      </c>
      <c r="D156" s="1">
        <v>1</v>
      </c>
    </row>
    <row r="157" spans="1:4" ht="14.25" customHeight="1" x14ac:dyDescent="0.3"/>
    <row r="158" spans="1:4" ht="14.25" customHeight="1" x14ac:dyDescent="0.3"/>
    <row r="159" spans="1:4" ht="14.25" customHeight="1" x14ac:dyDescent="0.3"/>
    <row r="160" spans="1:4" ht="14.25" customHeight="1" x14ac:dyDescent="0.3"/>
    <row r="161" s="1" customFormat="1" ht="14.25" customHeight="1" x14ac:dyDescent="0.3"/>
    <row r="162" s="1" customFormat="1" ht="14.25" customHeight="1" x14ac:dyDescent="0.3"/>
    <row r="163" s="1" customFormat="1" ht="14.25" customHeight="1" x14ac:dyDescent="0.3"/>
    <row r="164" s="1" customFormat="1" ht="14.25" customHeight="1" x14ac:dyDescent="0.3"/>
    <row r="165" s="1" customFormat="1" ht="14.25" customHeight="1" x14ac:dyDescent="0.3"/>
    <row r="166" s="1" customFormat="1" ht="14.25" customHeight="1" x14ac:dyDescent="0.3"/>
    <row r="167" s="1" customFormat="1" ht="14.25" customHeight="1" x14ac:dyDescent="0.3"/>
    <row r="168" s="1" customFormat="1" ht="14.25" customHeight="1" x14ac:dyDescent="0.3"/>
    <row r="169" s="1" customFormat="1" ht="14.25" customHeight="1" x14ac:dyDescent="0.3"/>
    <row r="170" s="1" customFormat="1" ht="14.25" customHeight="1" x14ac:dyDescent="0.3"/>
    <row r="171" s="1" customFormat="1" ht="14.25" customHeight="1" x14ac:dyDescent="0.3"/>
    <row r="172" s="1" customFormat="1" ht="14.25" customHeight="1" x14ac:dyDescent="0.3"/>
    <row r="173" s="1" customFormat="1" ht="14.25" customHeight="1" x14ac:dyDescent="0.3"/>
    <row r="174" s="1" customFormat="1" ht="14.25" customHeight="1" x14ac:dyDescent="0.3"/>
    <row r="175" s="1" customFormat="1" ht="14.25" customHeight="1" x14ac:dyDescent="0.3"/>
    <row r="176" s="1" customFormat="1" ht="14.25" customHeight="1" x14ac:dyDescent="0.3"/>
    <row r="177" s="1" customFormat="1" ht="14.25" customHeight="1" x14ac:dyDescent="0.3"/>
    <row r="178" s="1" customFormat="1" ht="14.25" customHeight="1" x14ac:dyDescent="0.3"/>
    <row r="179" s="1" customFormat="1" ht="14.25" customHeight="1" x14ac:dyDescent="0.3"/>
    <row r="180" s="1" customFormat="1" ht="14.25" customHeight="1" x14ac:dyDescent="0.3"/>
    <row r="181" s="1" customFormat="1" ht="14.25" customHeight="1" x14ac:dyDescent="0.3"/>
    <row r="182" s="1" customFormat="1" ht="14.25" customHeight="1" x14ac:dyDescent="0.3"/>
    <row r="183" s="1" customFormat="1" ht="14.25" customHeight="1" x14ac:dyDescent="0.3"/>
    <row r="184" s="1" customFormat="1" ht="14.25" customHeight="1" x14ac:dyDescent="0.3"/>
    <row r="185" s="1" customFormat="1" ht="14.25" customHeight="1" x14ac:dyDescent="0.3"/>
    <row r="186" s="1" customFormat="1" ht="14.25" customHeight="1" x14ac:dyDescent="0.3"/>
    <row r="187" s="1" customFormat="1" ht="14.25" customHeight="1" x14ac:dyDescent="0.3"/>
    <row r="188" s="1" customFormat="1" ht="14.25" customHeight="1" x14ac:dyDescent="0.3"/>
    <row r="189" s="1" customFormat="1" ht="14.25" customHeight="1" x14ac:dyDescent="0.3"/>
    <row r="190" s="1" customFormat="1" ht="14.25" customHeight="1" x14ac:dyDescent="0.3"/>
    <row r="191" s="1" customFormat="1" ht="14.25" customHeight="1" x14ac:dyDescent="0.3"/>
    <row r="192" s="1" customFormat="1" ht="14.25" customHeight="1" x14ac:dyDescent="0.3"/>
    <row r="193" s="1" customFormat="1" ht="14.25" customHeight="1" x14ac:dyDescent="0.3"/>
    <row r="194" s="1" customFormat="1" ht="14.25" customHeight="1" x14ac:dyDescent="0.3"/>
    <row r="195" s="1" customFormat="1" ht="14.25" customHeight="1" x14ac:dyDescent="0.3"/>
    <row r="196" s="1" customFormat="1" ht="14.25" customHeight="1" x14ac:dyDescent="0.3"/>
    <row r="197" s="1" customFormat="1" ht="14.25" customHeight="1" x14ac:dyDescent="0.3"/>
    <row r="198" s="1" customFormat="1" ht="14.25" customHeight="1" x14ac:dyDescent="0.3"/>
    <row r="199" s="1" customFormat="1" ht="14.25" customHeight="1" x14ac:dyDescent="0.3"/>
    <row r="200" s="1" customFormat="1" ht="14.25" customHeight="1" x14ac:dyDescent="0.3"/>
    <row r="201" s="1" customFormat="1" ht="14.25" customHeight="1" x14ac:dyDescent="0.3"/>
    <row r="202" s="1" customFormat="1" ht="14.25" customHeight="1" x14ac:dyDescent="0.3"/>
    <row r="203" s="1" customFormat="1" ht="14.25" customHeight="1" x14ac:dyDescent="0.3"/>
    <row r="204" s="1" customFormat="1" ht="14.25" customHeight="1" x14ac:dyDescent="0.3"/>
    <row r="205" s="1" customFormat="1" ht="14.25" customHeight="1" x14ac:dyDescent="0.3"/>
    <row r="206" s="1" customFormat="1" ht="14.25" customHeight="1" x14ac:dyDescent="0.3"/>
    <row r="207" s="1" customFormat="1" ht="14.25" customHeight="1" x14ac:dyDescent="0.3"/>
    <row r="208" s="1" customFormat="1" ht="14.25" customHeight="1" x14ac:dyDescent="0.3"/>
    <row r="209" s="1" customFormat="1" ht="14.25" customHeight="1" x14ac:dyDescent="0.3"/>
    <row r="210" s="1" customFormat="1" ht="14.25" customHeight="1" x14ac:dyDescent="0.3"/>
    <row r="211" s="1" customFormat="1" ht="14.25" customHeight="1" x14ac:dyDescent="0.3"/>
    <row r="212" s="1" customFormat="1" ht="14.25" customHeight="1" x14ac:dyDescent="0.3"/>
    <row r="213" s="1" customFormat="1" ht="14.25" customHeight="1" x14ac:dyDescent="0.3"/>
    <row r="214" s="1" customFormat="1" ht="14.25" customHeight="1" x14ac:dyDescent="0.3"/>
    <row r="215" s="1" customFormat="1" ht="14.25" customHeight="1" x14ac:dyDescent="0.3"/>
    <row r="216" s="1" customFormat="1" ht="14.25" customHeight="1" x14ac:dyDescent="0.3"/>
    <row r="217" s="1" customFormat="1" ht="14.25" customHeight="1" x14ac:dyDescent="0.3"/>
    <row r="218" s="1" customFormat="1" ht="14.25" customHeight="1" x14ac:dyDescent="0.3"/>
    <row r="219" s="1" customFormat="1" ht="14.25" customHeight="1" x14ac:dyDescent="0.3"/>
    <row r="220" s="1" customFormat="1" ht="14.25" customHeight="1" x14ac:dyDescent="0.3"/>
    <row r="221" s="1" customFormat="1" ht="14.25" customHeight="1" x14ac:dyDescent="0.3"/>
    <row r="222" s="1" customFormat="1" ht="14.25" customHeight="1" x14ac:dyDescent="0.3"/>
    <row r="223" s="1" customFormat="1" ht="14.25" customHeight="1" x14ac:dyDescent="0.3"/>
    <row r="224" s="1" customFormat="1" ht="14.25" customHeight="1" x14ac:dyDescent="0.3"/>
    <row r="225" s="1" customFormat="1" ht="14.25" customHeight="1" x14ac:dyDescent="0.3"/>
    <row r="226" s="1" customFormat="1" ht="14.25" customHeight="1" x14ac:dyDescent="0.3"/>
    <row r="227" s="1" customFormat="1" ht="14.25" customHeight="1" x14ac:dyDescent="0.3"/>
    <row r="228" s="1" customFormat="1" ht="14.25" customHeight="1" x14ac:dyDescent="0.3"/>
    <row r="229" s="1" customFormat="1" ht="14.25" customHeight="1" x14ac:dyDescent="0.3"/>
    <row r="230" s="1" customFormat="1" ht="14.25" customHeight="1" x14ac:dyDescent="0.3"/>
    <row r="231" s="1" customFormat="1" ht="14.25" customHeight="1" x14ac:dyDescent="0.3"/>
    <row r="232" s="1" customFormat="1" ht="14.25" customHeight="1" x14ac:dyDescent="0.3"/>
    <row r="233" s="1" customFormat="1" ht="14.25" customHeight="1" x14ac:dyDescent="0.3"/>
    <row r="234" s="1" customFormat="1" ht="14.25" customHeight="1" x14ac:dyDescent="0.3"/>
    <row r="235" s="1" customFormat="1" ht="14.25" customHeight="1" x14ac:dyDescent="0.3"/>
    <row r="236" s="1" customFormat="1" ht="14.25" customHeight="1" x14ac:dyDescent="0.3"/>
    <row r="237" s="1" customFormat="1" ht="14.25" customHeight="1" x14ac:dyDescent="0.3"/>
    <row r="238" s="1" customFormat="1" ht="14.25" customHeight="1" x14ac:dyDescent="0.3"/>
    <row r="239" s="1" customFormat="1" ht="14.25" customHeight="1" x14ac:dyDescent="0.3"/>
    <row r="240" s="1" customFormat="1" ht="14.25" customHeight="1" x14ac:dyDescent="0.3"/>
    <row r="241" s="1" customFormat="1" ht="14.25" customHeight="1" x14ac:dyDescent="0.3"/>
    <row r="242" s="1" customFormat="1" ht="14.25" customHeight="1" x14ac:dyDescent="0.3"/>
    <row r="243" s="1" customFormat="1" ht="14.25" customHeight="1" x14ac:dyDescent="0.3"/>
    <row r="244" s="1" customFormat="1" ht="14.25" customHeight="1" x14ac:dyDescent="0.3"/>
    <row r="245" s="1" customFormat="1" ht="14.25" customHeight="1" x14ac:dyDescent="0.3"/>
    <row r="246" s="1" customFormat="1" ht="14.25" customHeight="1" x14ac:dyDescent="0.3"/>
    <row r="247" s="1" customFormat="1" ht="14.25" customHeight="1" x14ac:dyDescent="0.3"/>
    <row r="248" s="1" customFormat="1" ht="14.25" customHeight="1" x14ac:dyDescent="0.3"/>
    <row r="249" s="1" customFormat="1" ht="14.25" customHeight="1" x14ac:dyDescent="0.3"/>
    <row r="250" s="1" customFormat="1" ht="14.25" customHeight="1" x14ac:dyDescent="0.3"/>
    <row r="251" s="1" customFormat="1" ht="14.25" customHeight="1" x14ac:dyDescent="0.3"/>
    <row r="252" s="1" customFormat="1" ht="14.25" customHeight="1" x14ac:dyDescent="0.3"/>
    <row r="253" s="1" customFormat="1" ht="14.25" customHeight="1" x14ac:dyDescent="0.3"/>
    <row r="254" s="1" customFormat="1" ht="14.25" customHeight="1" x14ac:dyDescent="0.3"/>
    <row r="255" s="1" customFormat="1" ht="14.25" customHeight="1" x14ac:dyDescent="0.3"/>
    <row r="256" s="1" customFormat="1" ht="14.25" customHeight="1" x14ac:dyDescent="0.3"/>
    <row r="257" s="1" customFormat="1" ht="14.25" customHeight="1" x14ac:dyDescent="0.3"/>
    <row r="258" s="1" customFormat="1" ht="14.25" customHeight="1" x14ac:dyDescent="0.3"/>
    <row r="259" s="1" customFormat="1" ht="14.25" customHeight="1" x14ac:dyDescent="0.3"/>
    <row r="260" s="1" customFormat="1" ht="14.25" customHeight="1" x14ac:dyDescent="0.3"/>
    <row r="261" s="1" customFormat="1" ht="14.25" customHeight="1" x14ac:dyDescent="0.3"/>
    <row r="262" s="1" customFormat="1" ht="14.25" customHeight="1" x14ac:dyDescent="0.3"/>
    <row r="263" s="1" customFormat="1" ht="14.25" customHeight="1" x14ac:dyDescent="0.3"/>
    <row r="264" s="1" customFormat="1" ht="14.25" customHeight="1" x14ac:dyDescent="0.3"/>
    <row r="265" s="1" customFormat="1" ht="14.25" customHeight="1" x14ac:dyDescent="0.3"/>
    <row r="266" s="1" customFormat="1" ht="14.25" customHeight="1" x14ac:dyDescent="0.3"/>
    <row r="267" s="1" customFormat="1" ht="14.25" customHeight="1" x14ac:dyDescent="0.3"/>
    <row r="268" s="1" customFormat="1" ht="14.25" customHeight="1" x14ac:dyDescent="0.3"/>
    <row r="269" s="1" customFormat="1" ht="14.25" customHeight="1" x14ac:dyDescent="0.3"/>
    <row r="270" s="1" customFormat="1" ht="14.25" customHeight="1" x14ac:dyDescent="0.3"/>
    <row r="271" s="1" customFormat="1" ht="14.25" customHeight="1" x14ac:dyDescent="0.3"/>
    <row r="272" s="1" customFormat="1" ht="14.25" customHeight="1" x14ac:dyDescent="0.3"/>
    <row r="273" s="1" customFormat="1" ht="14.25" customHeight="1" x14ac:dyDescent="0.3"/>
    <row r="274" s="1" customFormat="1" ht="14.25" customHeight="1" x14ac:dyDescent="0.3"/>
    <row r="275" s="1" customFormat="1" ht="14.25" customHeight="1" x14ac:dyDescent="0.3"/>
    <row r="276" s="1" customFormat="1" ht="14.25" customHeight="1" x14ac:dyDescent="0.3"/>
    <row r="277" s="1" customFormat="1" ht="14.25" customHeight="1" x14ac:dyDescent="0.3"/>
    <row r="278" s="1" customFormat="1" ht="14.25" customHeight="1" x14ac:dyDescent="0.3"/>
    <row r="279" s="1" customFormat="1" ht="14.25" customHeight="1" x14ac:dyDescent="0.3"/>
    <row r="280" s="1" customFormat="1" ht="14.25" customHeight="1" x14ac:dyDescent="0.3"/>
    <row r="281" s="1" customFormat="1" ht="14.25" customHeight="1" x14ac:dyDescent="0.3"/>
    <row r="282" s="1" customFormat="1" ht="14.25" customHeight="1" x14ac:dyDescent="0.3"/>
    <row r="283" s="1" customFormat="1" ht="14.25" customHeight="1" x14ac:dyDescent="0.3"/>
    <row r="284" s="1" customFormat="1" ht="14.25" customHeight="1" x14ac:dyDescent="0.3"/>
    <row r="285" s="1" customFormat="1" ht="14.25" customHeight="1" x14ac:dyDescent="0.3"/>
    <row r="286" s="1" customFormat="1" ht="14.25" customHeight="1" x14ac:dyDescent="0.3"/>
    <row r="287" s="1" customFormat="1" ht="14.25" customHeight="1" x14ac:dyDescent="0.3"/>
    <row r="288" s="1" customFormat="1" ht="14.25" customHeight="1" x14ac:dyDescent="0.3"/>
    <row r="289" s="1" customFormat="1" ht="14.25" customHeight="1" x14ac:dyDescent="0.3"/>
    <row r="290" s="1" customFormat="1" ht="14.25" customHeight="1" x14ac:dyDescent="0.3"/>
    <row r="291" s="1" customFormat="1" ht="14.25" customHeight="1" x14ac:dyDescent="0.3"/>
    <row r="292" s="1" customFormat="1" ht="14.25" customHeight="1" x14ac:dyDescent="0.3"/>
    <row r="293" s="1" customFormat="1" ht="14.25" customHeight="1" x14ac:dyDescent="0.3"/>
    <row r="294" s="1" customFormat="1" ht="14.25" customHeight="1" x14ac:dyDescent="0.3"/>
    <row r="295" s="1" customFormat="1" ht="14.25" customHeight="1" x14ac:dyDescent="0.3"/>
    <row r="296" s="1" customFormat="1" ht="14.25" customHeight="1" x14ac:dyDescent="0.3"/>
    <row r="297" s="1" customFormat="1" ht="14.25" customHeight="1" x14ac:dyDescent="0.3"/>
    <row r="298" s="1" customFormat="1" ht="14.25" customHeight="1" x14ac:dyDescent="0.3"/>
    <row r="299" s="1" customFormat="1" ht="14.25" customHeight="1" x14ac:dyDescent="0.3"/>
    <row r="300" s="1" customFormat="1" ht="14.25" customHeight="1" x14ac:dyDescent="0.3"/>
    <row r="301" s="1" customFormat="1" ht="14.25" customHeight="1" x14ac:dyDescent="0.3"/>
    <row r="302" s="1" customFormat="1" ht="14.25" customHeight="1" x14ac:dyDescent="0.3"/>
    <row r="303" s="1" customFormat="1" ht="14.25" customHeight="1" x14ac:dyDescent="0.3"/>
    <row r="304" s="1" customFormat="1" ht="14.25" customHeight="1" x14ac:dyDescent="0.3"/>
    <row r="305" s="1" customFormat="1" ht="14.25" customHeight="1" x14ac:dyDescent="0.3"/>
    <row r="306" s="1" customFormat="1" ht="14.25" customHeight="1" x14ac:dyDescent="0.3"/>
    <row r="307" s="1" customFormat="1" ht="14.25" customHeight="1" x14ac:dyDescent="0.3"/>
    <row r="308" s="1" customFormat="1" ht="14.25" customHeight="1" x14ac:dyDescent="0.3"/>
    <row r="309" s="1" customFormat="1" ht="14.25" customHeight="1" x14ac:dyDescent="0.3"/>
    <row r="310" s="1" customFormat="1" ht="14.25" customHeight="1" x14ac:dyDescent="0.3"/>
    <row r="311" s="1" customFormat="1" ht="14.25" customHeight="1" x14ac:dyDescent="0.3"/>
    <row r="312" s="1" customFormat="1" ht="14.25" customHeight="1" x14ac:dyDescent="0.3"/>
    <row r="313" s="1" customFormat="1" ht="14.25" customHeight="1" x14ac:dyDescent="0.3"/>
    <row r="314" s="1" customFormat="1" ht="14.25" customHeight="1" x14ac:dyDescent="0.3"/>
    <row r="315" s="1" customFormat="1" ht="14.25" customHeight="1" x14ac:dyDescent="0.3"/>
    <row r="316" s="1" customFormat="1" ht="14.25" customHeight="1" x14ac:dyDescent="0.3"/>
    <row r="317" s="1" customFormat="1" ht="14.25" customHeight="1" x14ac:dyDescent="0.3"/>
    <row r="318" s="1" customFormat="1" ht="14.25" customHeight="1" x14ac:dyDescent="0.3"/>
    <row r="319" s="1" customFormat="1" ht="14.25" customHeight="1" x14ac:dyDescent="0.3"/>
    <row r="320" s="1" customFormat="1" ht="14.25" customHeight="1" x14ac:dyDescent="0.3"/>
    <row r="321" s="1" customFormat="1" ht="14.25" customHeight="1" x14ac:dyDescent="0.3"/>
    <row r="322" s="1" customFormat="1" ht="14.25" customHeight="1" x14ac:dyDescent="0.3"/>
    <row r="323" s="1" customFormat="1" ht="14.25" customHeight="1" x14ac:dyDescent="0.3"/>
    <row r="324" s="1" customFormat="1" ht="14.25" customHeight="1" x14ac:dyDescent="0.3"/>
    <row r="325" s="1" customFormat="1" ht="14.25" customHeight="1" x14ac:dyDescent="0.3"/>
    <row r="326" s="1" customFormat="1" ht="14.25" customHeight="1" x14ac:dyDescent="0.3"/>
    <row r="327" s="1" customFormat="1" ht="14.25" customHeight="1" x14ac:dyDescent="0.3"/>
    <row r="328" s="1" customFormat="1" ht="14.25" customHeight="1" x14ac:dyDescent="0.3"/>
    <row r="329" s="1" customFormat="1" ht="14.25" customHeight="1" x14ac:dyDescent="0.3"/>
    <row r="330" s="1" customFormat="1" ht="14.25" customHeight="1" x14ac:dyDescent="0.3"/>
    <row r="331" s="1" customFormat="1" ht="14.25" customHeight="1" x14ac:dyDescent="0.3"/>
    <row r="332" s="1" customFormat="1" ht="14.25" customHeight="1" x14ac:dyDescent="0.3"/>
    <row r="333" s="1" customFormat="1" ht="14.25" customHeight="1" x14ac:dyDescent="0.3"/>
    <row r="334" s="1" customFormat="1" ht="14.25" customHeight="1" x14ac:dyDescent="0.3"/>
    <row r="335" s="1" customFormat="1" ht="14.25" customHeight="1" x14ac:dyDescent="0.3"/>
    <row r="336" s="1" customFormat="1" ht="14.25" customHeight="1" x14ac:dyDescent="0.3"/>
    <row r="337" s="1" customFormat="1" ht="14.25" customHeight="1" x14ac:dyDescent="0.3"/>
    <row r="338" s="1" customFormat="1" ht="14.25" customHeight="1" x14ac:dyDescent="0.3"/>
    <row r="339" s="1" customFormat="1" ht="14.25" customHeight="1" x14ac:dyDescent="0.3"/>
    <row r="340" s="1" customFormat="1" ht="14.25" customHeight="1" x14ac:dyDescent="0.3"/>
    <row r="341" s="1" customFormat="1" ht="14.25" customHeight="1" x14ac:dyDescent="0.3"/>
    <row r="342" s="1" customFormat="1" ht="14.25" customHeight="1" x14ac:dyDescent="0.3"/>
    <row r="343" s="1" customFormat="1" ht="14.25" customHeight="1" x14ac:dyDescent="0.3"/>
    <row r="344" s="1" customFormat="1" ht="14.25" customHeight="1" x14ac:dyDescent="0.3"/>
    <row r="345" s="1" customFormat="1" ht="14.25" customHeight="1" x14ac:dyDescent="0.3"/>
    <row r="346" s="1" customFormat="1" ht="14.25" customHeight="1" x14ac:dyDescent="0.3"/>
    <row r="347" s="1" customFormat="1" ht="14.25" customHeight="1" x14ac:dyDescent="0.3"/>
    <row r="348" s="1" customFormat="1" ht="14.25" customHeight="1" x14ac:dyDescent="0.3"/>
    <row r="349" s="1" customFormat="1" ht="14.25" customHeight="1" x14ac:dyDescent="0.3"/>
    <row r="350" s="1" customFormat="1" ht="14.25" customHeight="1" x14ac:dyDescent="0.3"/>
    <row r="351" s="1" customFormat="1" ht="14.25" customHeight="1" x14ac:dyDescent="0.3"/>
    <row r="352" s="1" customFormat="1" ht="14.25" customHeight="1" x14ac:dyDescent="0.3"/>
    <row r="353" s="1" customFormat="1" ht="14.25" customHeight="1" x14ac:dyDescent="0.3"/>
    <row r="354" s="1" customFormat="1" ht="14.25" customHeight="1" x14ac:dyDescent="0.3"/>
    <row r="355" s="1" customFormat="1" ht="14.25" customHeight="1" x14ac:dyDescent="0.3"/>
    <row r="356" s="1" customFormat="1" ht="14.25" customHeight="1" x14ac:dyDescent="0.3"/>
    <row r="357" s="1" customFormat="1" ht="14.25" customHeight="1" x14ac:dyDescent="0.3"/>
    <row r="358" s="1" customFormat="1" ht="14.25" customHeight="1" x14ac:dyDescent="0.3"/>
    <row r="359" s="1" customFormat="1" ht="14.25" customHeight="1" x14ac:dyDescent="0.3"/>
    <row r="360" s="1" customFormat="1" ht="14.25" customHeight="1" x14ac:dyDescent="0.3"/>
    <row r="361" s="1" customFormat="1" ht="14.25" customHeight="1" x14ac:dyDescent="0.3"/>
    <row r="362" s="1" customFormat="1" ht="14.25" customHeight="1" x14ac:dyDescent="0.3"/>
    <row r="363" s="1" customFormat="1" ht="14.25" customHeight="1" x14ac:dyDescent="0.3"/>
    <row r="364" s="1" customFormat="1" ht="14.25" customHeight="1" x14ac:dyDescent="0.3"/>
    <row r="365" s="1" customFormat="1" ht="14.25" customHeight="1" x14ac:dyDescent="0.3"/>
    <row r="366" s="1" customFormat="1" ht="14.25" customHeight="1" x14ac:dyDescent="0.3"/>
    <row r="367" s="1" customFormat="1" ht="14.25" customHeight="1" x14ac:dyDescent="0.3"/>
    <row r="368" s="1" customFormat="1" ht="14.25" customHeight="1" x14ac:dyDescent="0.3"/>
    <row r="369" s="1" customFormat="1" ht="14.25" customHeight="1" x14ac:dyDescent="0.3"/>
    <row r="370" s="1" customFormat="1" ht="14.25" customHeight="1" x14ac:dyDescent="0.3"/>
    <row r="371" s="1" customFormat="1" ht="14.25" customHeight="1" x14ac:dyDescent="0.3"/>
    <row r="372" s="1" customFormat="1" ht="14.25" customHeight="1" x14ac:dyDescent="0.3"/>
    <row r="373" s="1" customFormat="1" ht="14.25" customHeight="1" x14ac:dyDescent="0.3"/>
    <row r="374" s="1" customFormat="1" ht="14.25" customHeight="1" x14ac:dyDescent="0.3"/>
    <row r="375" s="1" customFormat="1" ht="14.25" customHeight="1" x14ac:dyDescent="0.3"/>
    <row r="376" s="1" customFormat="1" ht="14.25" customHeight="1" x14ac:dyDescent="0.3"/>
    <row r="377" s="1" customFormat="1" ht="14.25" customHeight="1" x14ac:dyDescent="0.3"/>
    <row r="378" s="1" customFormat="1" ht="14.25" customHeight="1" x14ac:dyDescent="0.3"/>
    <row r="379" s="1" customFormat="1" ht="14.25" customHeight="1" x14ac:dyDescent="0.3"/>
    <row r="380" s="1" customFormat="1" ht="14.25" customHeight="1" x14ac:dyDescent="0.3"/>
    <row r="381" s="1" customFormat="1" ht="14.25" customHeight="1" x14ac:dyDescent="0.3"/>
    <row r="382" s="1" customFormat="1" ht="14.25" customHeight="1" x14ac:dyDescent="0.3"/>
    <row r="383" s="1" customFormat="1" ht="14.25" customHeight="1" x14ac:dyDescent="0.3"/>
    <row r="384" s="1" customFormat="1" ht="14.25" customHeight="1" x14ac:dyDescent="0.3"/>
    <row r="385" s="1" customFormat="1" ht="14.25" customHeight="1" x14ac:dyDescent="0.3"/>
    <row r="386" s="1" customFormat="1" ht="14.25" customHeight="1" x14ac:dyDescent="0.3"/>
    <row r="387" s="1" customFormat="1" ht="14.25" customHeight="1" x14ac:dyDescent="0.3"/>
    <row r="388" s="1" customFormat="1" ht="14.25" customHeight="1" x14ac:dyDescent="0.3"/>
    <row r="389" s="1" customFormat="1" ht="14.25" customHeight="1" x14ac:dyDescent="0.3"/>
    <row r="390" s="1" customFormat="1" ht="14.25" customHeight="1" x14ac:dyDescent="0.3"/>
    <row r="391" s="1" customFormat="1" ht="14.25" customHeight="1" x14ac:dyDescent="0.3"/>
    <row r="392" s="1" customFormat="1" ht="14.25" customHeight="1" x14ac:dyDescent="0.3"/>
    <row r="393" s="1" customFormat="1" ht="14.25" customHeight="1" x14ac:dyDescent="0.3"/>
    <row r="394" s="1" customFormat="1" ht="14.25" customHeight="1" x14ac:dyDescent="0.3"/>
    <row r="395" s="1" customFormat="1" ht="14.25" customHeight="1" x14ac:dyDescent="0.3"/>
    <row r="396" s="1" customFormat="1" ht="14.25" customHeight="1" x14ac:dyDescent="0.3"/>
    <row r="397" s="1" customFormat="1" ht="14.25" customHeight="1" x14ac:dyDescent="0.3"/>
    <row r="398" s="1" customFormat="1" ht="14.25" customHeight="1" x14ac:dyDescent="0.3"/>
    <row r="399" s="1" customFormat="1" ht="14.25" customHeight="1" x14ac:dyDescent="0.3"/>
    <row r="400" s="1" customFormat="1" ht="14.25" customHeight="1" x14ac:dyDescent="0.3"/>
    <row r="401" s="1" customFormat="1" ht="14.25" customHeight="1" x14ac:dyDescent="0.3"/>
    <row r="402" s="1" customFormat="1" ht="14.25" customHeight="1" x14ac:dyDescent="0.3"/>
    <row r="403" s="1" customFormat="1" ht="14.25" customHeight="1" x14ac:dyDescent="0.3"/>
    <row r="404" s="1" customFormat="1" ht="14.25" customHeight="1" x14ac:dyDescent="0.3"/>
    <row r="405" s="1" customFormat="1" ht="14.25" customHeight="1" x14ac:dyDescent="0.3"/>
    <row r="406" s="1" customFormat="1" ht="14.25" customHeight="1" x14ac:dyDescent="0.3"/>
    <row r="407" s="1" customFormat="1" ht="14.25" customHeight="1" x14ac:dyDescent="0.3"/>
    <row r="408" s="1" customFormat="1" ht="14.25" customHeight="1" x14ac:dyDescent="0.3"/>
    <row r="409" s="1" customFormat="1" ht="14.25" customHeight="1" x14ac:dyDescent="0.3"/>
    <row r="410" s="1" customFormat="1" ht="14.25" customHeight="1" x14ac:dyDescent="0.3"/>
    <row r="411" s="1" customFormat="1" ht="14.25" customHeight="1" x14ac:dyDescent="0.3"/>
    <row r="412" s="1" customFormat="1" ht="14.25" customHeight="1" x14ac:dyDescent="0.3"/>
    <row r="413" s="1" customFormat="1" ht="14.25" customHeight="1" x14ac:dyDescent="0.3"/>
    <row r="414" s="1" customFormat="1" ht="14.25" customHeight="1" x14ac:dyDescent="0.3"/>
    <row r="415" s="1" customFormat="1" ht="14.25" customHeight="1" x14ac:dyDescent="0.3"/>
    <row r="416" s="1" customFormat="1" ht="14.25" customHeight="1" x14ac:dyDescent="0.3"/>
    <row r="417" s="1" customFormat="1" ht="14.25" customHeight="1" x14ac:dyDescent="0.3"/>
    <row r="418" s="1" customFormat="1" ht="14.25" customHeight="1" x14ac:dyDescent="0.3"/>
    <row r="419" s="1" customFormat="1" ht="14.25" customHeight="1" x14ac:dyDescent="0.3"/>
    <row r="420" s="1" customFormat="1" ht="14.25" customHeight="1" x14ac:dyDescent="0.3"/>
    <row r="421" s="1" customFormat="1" ht="14.25" customHeight="1" x14ac:dyDescent="0.3"/>
    <row r="422" s="1" customFormat="1" ht="14.25" customHeight="1" x14ac:dyDescent="0.3"/>
    <row r="423" s="1" customFormat="1" ht="14.25" customHeight="1" x14ac:dyDescent="0.3"/>
    <row r="424" s="1" customFormat="1" ht="14.25" customHeight="1" x14ac:dyDescent="0.3"/>
    <row r="425" s="1" customFormat="1" ht="14.25" customHeight="1" x14ac:dyDescent="0.3"/>
    <row r="426" s="1" customFormat="1" ht="14.25" customHeight="1" x14ac:dyDescent="0.3"/>
    <row r="427" s="1" customFormat="1" ht="14.25" customHeight="1" x14ac:dyDescent="0.3"/>
    <row r="428" s="1" customFormat="1" ht="14.25" customHeight="1" x14ac:dyDescent="0.3"/>
    <row r="429" s="1" customFormat="1" ht="14.25" customHeight="1" x14ac:dyDescent="0.3"/>
    <row r="430" s="1" customFormat="1" ht="14.25" customHeight="1" x14ac:dyDescent="0.3"/>
    <row r="431" s="1" customFormat="1" ht="14.25" customHeight="1" x14ac:dyDescent="0.3"/>
    <row r="432" s="1" customFormat="1" ht="14.25" customHeight="1" x14ac:dyDescent="0.3"/>
    <row r="433" s="1" customFormat="1" ht="14.25" customHeight="1" x14ac:dyDescent="0.3"/>
    <row r="434" s="1" customFormat="1" ht="14.25" customHeight="1" x14ac:dyDescent="0.3"/>
    <row r="435" s="1" customFormat="1" ht="14.25" customHeight="1" x14ac:dyDescent="0.3"/>
    <row r="436" s="1" customFormat="1" ht="14.25" customHeight="1" x14ac:dyDescent="0.3"/>
    <row r="437" s="1" customFormat="1" ht="14.25" customHeight="1" x14ac:dyDescent="0.3"/>
    <row r="438" s="1" customFormat="1" ht="14.25" customHeight="1" x14ac:dyDescent="0.3"/>
    <row r="439" s="1" customFormat="1" ht="14.25" customHeight="1" x14ac:dyDescent="0.3"/>
    <row r="440" s="1" customFormat="1" ht="14.25" customHeight="1" x14ac:dyDescent="0.3"/>
    <row r="441" s="1" customFormat="1" ht="14.25" customHeight="1" x14ac:dyDescent="0.3"/>
    <row r="442" s="1" customFormat="1" ht="14.25" customHeight="1" x14ac:dyDescent="0.3"/>
    <row r="443" s="1" customFormat="1" ht="14.25" customHeight="1" x14ac:dyDescent="0.3"/>
    <row r="444" s="1" customFormat="1" ht="14.25" customHeight="1" x14ac:dyDescent="0.3"/>
    <row r="445" s="1" customFormat="1" ht="14.25" customHeight="1" x14ac:dyDescent="0.3"/>
    <row r="446" s="1" customFormat="1" ht="14.25" customHeight="1" x14ac:dyDescent="0.3"/>
    <row r="447" s="1" customFormat="1" ht="14.25" customHeight="1" x14ac:dyDescent="0.3"/>
    <row r="448" s="1" customFormat="1" ht="14.25" customHeight="1" x14ac:dyDescent="0.3"/>
    <row r="449" s="1" customFormat="1" ht="14.25" customHeight="1" x14ac:dyDescent="0.3"/>
    <row r="450" s="1" customFormat="1" ht="14.25" customHeight="1" x14ac:dyDescent="0.3"/>
    <row r="451" s="1" customFormat="1" ht="14.25" customHeight="1" x14ac:dyDescent="0.3"/>
    <row r="452" s="1" customFormat="1" ht="14.25" customHeight="1" x14ac:dyDescent="0.3"/>
    <row r="453" s="1" customFormat="1" ht="14.25" customHeight="1" x14ac:dyDescent="0.3"/>
    <row r="454" s="1" customFormat="1" ht="14.25" customHeight="1" x14ac:dyDescent="0.3"/>
    <row r="455" s="1" customFormat="1" ht="14.25" customHeight="1" x14ac:dyDescent="0.3"/>
    <row r="456" s="1" customFormat="1" ht="14.25" customHeight="1" x14ac:dyDescent="0.3"/>
    <row r="457" s="1" customFormat="1" ht="14.25" customHeight="1" x14ac:dyDescent="0.3"/>
    <row r="458" s="1" customFormat="1" ht="14.25" customHeight="1" x14ac:dyDescent="0.3"/>
    <row r="459" s="1" customFormat="1" ht="14.25" customHeight="1" x14ac:dyDescent="0.3"/>
    <row r="460" s="1" customFormat="1" ht="14.25" customHeight="1" x14ac:dyDescent="0.3"/>
    <row r="461" s="1" customFormat="1" ht="14.25" customHeight="1" x14ac:dyDescent="0.3"/>
    <row r="462" s="1" customFormat="1" ht="14.25" customHeight="1" x14ac:dyDescent="0.3"/>
    <row r="463" s="1" customFormat="1" ht="14.25" customHeight="1" x14ac:dyDescent="0.3"/>
    <row r="464" s="1" customFormat="1" ht="14.25" customHeight="1" x14ac:dyDescent="0.3"/>
    <row r="465" s="1" customFormat="1" ht="14.25" customHeight="1" x14ac:dyDescent="0.3"/>
    <row r="466" s="1" customFormat="1" ht="14.25" customHeight="1" x14ac:dyDescent="0.3"/>
    <row r="467" s="1" customFormat="1" ht="14.25" customHeight="1" x14ac:dyDescent="0.3"/>
    <row r="468" s="1" customFormat="1" ht="14.25" customHeight="1" x14ac:dyDescent="0.3"/>
    <row r="469" s="1" customFormat="1" ht="14.25" customHeight="1" x14ac:dyDescent="0.3"/>
    <row r="470" s="1" customFormat="1" ht="14.25" customHeight="1" x14ac:dyDescent="0.3"/>
    <row r="471" s="1" customFormat="1" ht="14.25" customHeight="1" x14ac:dyDescent="0.3"/>
    <row r="472" s="1" customFormat="1" ht="14.25" customHeight="1" x14ac:dyDescent="0.3"/>
    <row r="473" s="1" customFormat="1" ht="14.25" customHeight="1" x14ac:dyDescent="0.3"/>
    <row r="474" s="1" customFormat="1" ht="14.25" customHeight="1" x14ac:dyDescent="0.3"/>
    <row r="475" s="1" customFormat="1" ht="14.25" customHeight="1" x14ac:dyDescent="0.3"/>
    <row r="476" s="1" customFormat="1" ht="14.25" customHeight="1" x14ac:dyDescent="0.3"/>
    <row r="477" s="1" customFormat="1" ht="14.25" customHeight="1" x14ac:dyDescent="0.3"/>
    <row r="478" s="1" customFormat="1" ht="14.25" customHeight="1" x14ac:dyDescent="0.3"/>
    <row r="479" s="1" customFormat="1" ht="14.25" customHeight="1" x14ac:dyDescent="0.3"/>
    <row r="480" s="1" customFormat="1" ht="14.25" customHeight="1" x14ac:dyDescent="0.3"/>
    <row r="481" s="1" customFormat="1" ht="14.25" customHeight="1" x14ac:dyDescent="0.3"/>
    <row r="482" s="1" customFormat="1" ht="14.25" customHeight="1" x14ac:dyDescent="0.3"/>
    <row r="483" s="1" customFormat="1" ht="14.25" customHeight="1" x14ac:dyDescent="0.3"/>
    <row r="484" s="1" customFormat="1" ht="14.25" customHeight="1" x14ac:dyDescent="0.3"/>
    <row r="485" s="1" customFormat="1" ht="14.25" customHeight="1" x14ac:dyDescent="0.3"/>
    <row r="486" s="1" customFormat="1" ht="14.25" customHeight="1" x14ac:dyDescent="0.3"/>
    <row r="487" s="1" customFormat="1" ht="14.25" customHeight="1" x14ac:dyDescent="0.3"/>
    <row r="488" s="1" customFormat="1" ht="14.25" customHeight="1" x14ac:dyDescent="0.3"/>
    <row r="489" s="1" customFormat="1" ht="14.25" customHeight="1" x14ac:dyDescent="0.3"/>
    <row r="490" s="1" customFormat="1" ht="14.25" customHeight="1" x14ac:dyDescent="0.3"/>
    <row r="491" s="1" customFormat="1" ht="14.25" customHeight="1" x14ac:dyDescent="0.3"/>
    <row r="492" s="1" customFormat="1" ht="14.25" customHeight="1" x14ac:dyDescent="0.3"/>
    <row r="493" s="1" customFormat="1" ht="14.25" customHeight="1" x14ac:dyDescent="0.3"/>
    <row r="494" s="1" customFormat="1" ht="14.25" customHeight="1" x14ac:dyDescent="0.3"/>
    <row r="495" s="1" customFormat="1" ht="14.25" customHeight="1" x14ac:dyDescent="0.3"/>
    <row r="496" s="1" customFormat="1" ht="14.25" customHeight="1" x14ac:dyDescent="0.3"/>
    <row r="497" s="1" customFormat="1" ht="14.25" customHeight="1" x14ac:dyDescent="0.3"/>
    <row r="498" s="1" customFormat="1" ht="14.25" customHeight="1" x14ac:dyDescent="0.3"/>
    <row r="499" s="1" customFormat="1" ht="14.25" customHeight="1" x14ac:dyDescent="0.3"/>
    <row r="500" s="1" customFormat="1" ht="14.25" customHeight="1" x14ac:dyDescent="0.3"/>
    <row r="501" s="1" customFormat="1" ht="14.25" customHeight="1" x14ac:dyDescent="0.3"/>
    <row r="502" s="1" customFormat="1" ht="14.25" customHeight="1" x14ac:dyDescent="0.3"/>
    <row r="503" s="1" customFormat="1" ht="14.25" customHeight="1" x14ac:dyDescent="0.3"/>
    <row r="504" s="1" customFormat="1" ht="14.25" customHeight="1" x14ac:dyDescent="0.3"/>
    <row r="505" s="1" customFormat="1" ht="14.25" customHeight="1" x14ac:dyDescent="0.3"/>
    <row r="506" s="1" customFormat="1" ht="14.25" customHeight="1" x14ac:dyDescent="0.3"/>
    <row r="507" s="1" customFormat="1" ht="14.25" customHeight="1" x14ac:dyDescent="0.3"/>
    <row r="508" s="1" customFormat="1" ht="14.25" customHeight="1" x14ac:dyDescent="0.3"/>
    <row r="509" s="1" customFormat="1" ht="14.25" customHeight="1" x14ac:dyDescent="0.3"/>
    <row r="510" s="1" customFormat="1" ht="14.25" customHeight="1" x14ac:dyDescent="0.3"/>
    <row r="511" s="1" customFormat="1" ht="14.25" customHeight="1" x14ac:dyDescent="0.3"/>
    <row r="512" s="1" customFormat="1" ht="14.25" customHeight="1" x14ac:dyDescent="0.3"/>
    <row r="513" s="1" customFormat="1" ht="14.25" customHeight="1" x14ac:dyDescent="0.3"/>
    <row r="514" s="1" customFormat="1" ht="14.25" customHeight="1" x14ac:dyDescent="0.3"/>
    <row r="515" s="1" customFormat="1" ht="14.25" customHeight="1" x14ac:dyDescent="0.3"/>
    <row r="516" s="1" customFormat="1" ht="14.25" customHeight="1" x14ac:dyDescent="0.3"/>
    <row r="517" s="1" customFormat="1" ht="14.25" customHeight="1" x14ac:dyDescent="0.3"/>
    <row r="518" s="1" customFormat="1" ht="14.25" customHeight="1" x14ac:dyDescent="0.3"/>
    <row r="519" s="1" customFormat="1" ht="14.25" customHeight="1" x14ac:dyDescent="0.3"/>
    <row r="520" s="1" customFormat="1" ht="14.25" customHeight="1" x14ac:dyDescent="0.3"/>
    <row r="521" s="1" customFormat="1" ht="14.25" customHeight="1" x14ac:dyDescent="0.3"/>
    <row r="522" s="1" customFormat="1" ht="14.25" customHeight="1" x14ac:dyDescent="0.3"/>
    <row r="523" s="1" customFormat="1" ht="14.25" customHeight="1" x14ac:dyDescent="0.3"/>
    <row r="524" s="1" customFormat="1" ht="14.25" customHeight="1" x14ac:dyDescent="0.3"/>
    <row r="525" s="1" customFormat="1" ht="14.25" customHeight="1" x14ac:dyDescent="0.3"/>
    <row r="526" s="1" customFormat="1" ht="14.25" customHeight="1" x14ac:dyDescent="0.3"/>
    <row r="527" s="1" customFormat="1" ht="14.25" customHeight="1" x14ac:dyDescent="0.3"/>
    <row r="528" s="1" customFormat="1" ht="14.25" customHeight="1" x14ac:dyDescent="0.3"/>
    <row r="529" s="1" customFormat="1" ht="14.25" customHeight="1" x14ac:dyDescent="0.3"/>
    <row r="530" s="1" customFormat="1" ht="14.25" customHeight="1" x14ac:dyDescent="0.3"/>
    <row r="531" s="1" customFormat="1" ht="14.25" customHeight="1" x14ac:dyDescent="0.3"/>
    <row r="532" s="1" customFormat="1" ht="14.25" customHeight="1" x14ac:dyDescent="0.3"/>
    <row r="533" s="1" customFormat="1" ht="14.25" customHeight="1" x14ac:dyDescent="0.3"/>
    <row r="534" s="1" customFormat="1" ht="14.25" customHeight="1" x14ac:dyDescent="0.3"/>
    <row r="535" s="1" customFormat="1" ht="14.25" customHeight="1" x14ac:dyDescent="0.3"/>
    <row r="536" s="1" customFormat="1" ht="14.25" customHeight="1" x14ac:dyDescent="0.3"/>
    <row r="537" s="1" customFormat="1" ht="14.25" customHeight="1" x14ac:dyDescent="0.3"/>
    <row r="538" s="1" customFormat="1" ht="14.25" customHeight="1" x14ac:dyDescent="0.3"/>
    <row r="539" s="1" customFormat="1" ht="14.25" customHeight="1" x14ac:dyDescent="0.3"/>
    <row r="540" s="1" customFormat="1" ht="14.25" customHeight="1" x14ac:dyDescent="0.3"/>
    <row r="541" s="1" customFormat="1" ht="14.25" customHeight="1" x14ac:dyDescent="0.3"/>
    <row r="542" s="1" customFormat="1" ht="14.25" customHeight="1" x14ac:dyDescent="0.3"/>
    <row r="543" s="1" customFormat="1" ht="14.25" customHeight="1" x14ac:dyDescent="0.3"/>
    <row r="544" s="1" customFormat="1" ht="14.25" customHeight="1" x14ac:dyDescent="0.3"/>
    <row r="545" s="1" customFormat="1" ht="14.25" customHeight="1" x14ac:dyDescent="0.3"/>
    <row r="546" s="1" customFormat="1" ht="14.25" customHeight="1" x14ac:dyDescent="0.3"/>
    <row r="547" s="1" customFormat="1" ht="14.25" customHeight="1" x14ac:dyDescent="0.3"/>
    <row r="548" s="1" customFormat="1" ht="14.25" customHeight="1" x14ac:dyDescent="0.3"/>
    <row r="549" s="1" customFormat="1" ht="14.25" customHeight="1" x14ac:dyDescent="0.3"/>
    <row r="550" s="1" customFormat="1" ht="14.25" customHeight="1" x14ac:dyDescent="0.3"/>
    <row r="551" s="1" customFormat="1" ht="14.25" customHeight="1" x14ac:dyDescent="0.3"/>
    <row r="552" s="1" customFormat="1" ht="14.25" customHeight="1" x14ac:dyDescent="0.3"/>
    <row r="553" s="1" customFormat="1" ht="14.25" customHeight="1" x14ac:dyDescent="0.3"/>
    <row r="554" s="1" customFormat="1" ht="14.25" customHeight="1" x14ac:dyDescent="0.3"/>
    <row r="555" s="1" customFormat="1" ht="14.25" customHeight="1" x14ac:dyDescent="0.3"/>
    <row r="556" s="1" customFormat="1" ht="14.25" customHeight="1" x14ac:dyDescent="0.3"/>
    <row r="557" s="1" customFormat="1" ht="14.25" customHeight="1" x14ac:dyDescent="0.3"/>
    <row r="558" s="1" customFormat="1" ht="14.25" customHeight="1" x14ac:dyDescent="0.3"/>
    <row r="559" s="1" customFormat="1" ht="14.25" customHeight="1" x14ac:dyDescent="0.3"/>
    <row r="560" s="1" customFormat="1" ht="14.25" customHeight="1" x14ac:dyDescent="0.3"/>
    <row r="561" s="1" customFormat="1" ht="14.25" customHeight="1" x14ac:dyDescent="0.3"/>
    <row r="562" s="1" customFormat="1" ht="14.25" customHeight="1" x14ac:dyDescent="0.3"/>
    <row r="563" s="1" customFormat="1" ht="14.25" customHeight="1" x14ac:dyDescent="0.3"/>
    <row r="564" s="1" customFormat="1" ht="14.25" customHeight="1" x14ac:dyDescent="0.3"/>
    <row r="565" s="1" customFormat="1" ht="14.25" customHeight="1" x14ac:dyDescent="0.3"/>
    <row r="566" s="1" customFormat="1" ht="14.25" customHeight="1" x14ac:dyDescent="0.3"/>
    <row r="567" s="1" customFormat="1" ht="14.25" customHeight="1" x14ac:dyDescent="0.3"/>
    <row r="568" s="1" customFormat="1" ht="14.25" customHeight="1" x14ac:dyDescent="0.3"/>
    <row r="569" s="1" customFormat="1" ht="14.25" customHeight="1" x14ac:dyDescent="0.3"/>
    <row r="570" s="1" customFormat="1" ht="14.25" customHeight="1" x14ac:dyDescent="0.3"/>
    <row r="571" s="1" customFormat="1" ht="14.25" customHeight="1" x14ac:dyDescent="0.3"/>
    <row r="572" s="1" customFormat="1" ht="14.25" customHeight="1" x14ac:dyDescent="0.3"/>
    <row r="573" s="1" customFormat="1" ht="14.25" customHeight="1" x14ac:dyDescent="0.3"/>
    <row r="574" s="1" customFormat="1" ht="14.25" customHeight="1" x14ac:dyDescent="0.3"/>
    <row r="575" s="1" customFormat="1" ht="14.25" customHeight="1" x14ac:dyDescent="0.3"/>
    <row r="576" s="1" customFormat="1" ht="14.25" customHeight="1" x14ac:dyDescent="0.3"/>
    <row r="577" s="1" customFormat="1" ht="14.25" customHeight="1" x14ac:dyDescent="0.3"/>
    <row r="578" s="1" customFormat="1" ht="14.25" customHeight="1" x14ac:dyDescent="0.3"/>
    <row r="579" s="1" customFormat="1" ht="14.25" customHeight="1" x14ac:dyDescent="0.3"/>
    <row r="580" s="1" customFormat="1" ht="14.25" customHeight="1" x14ac:dyDescent="0.3"/>
    <row r="581" s="1" customFormat="1" ht="14.25" customHeight="1" x14ac:dyDescent="0.3"/>
    <row r="582" s="1" customFormat="1" ht="14.25" customHeight="1" x14ac:dyDescent="0.3"/>
    <row r="583" s="1" customFormat="1" ht="14.25" customHeight="1" x14ac:dyDescent="0.3"/>
    <row r="584" s="1" customFormat="1" ht="14.25" customHeight="1" x14ac:dyDescent="0.3"/>
    <row r="585" s="1" customFormat="1" ht="14.25" customHeight="1" x14ac:dyDescent="0.3"/>
    <row r="586" s="1" customFormat="1" ht="14.25" customHeight="1" x14ac:dyDescent="0.3"/>
    <row r="587" s="1" customFormat="1" ht="14.25" customHeight="1" x14ac:dyDescent="0.3"/>
    <row r="588" s="1" customFormat="1" ht="14.25" customHeight="1" x14ac:dyDescent="0.3"/>
    <row r="589" s="1" customFormat="1" ht="14.25" customHeight="1" x14ac:dyDescent="0.3"/>
    <row r="590" s="1" customFormat="1" ht="14.25" customHeight="1" x14ac:dyDescent="0.3"/>
    <row r="591" s="1" customFormat="1" ht="14.25" customHeight="1" x14ac:dyDescent="0.3"/>
    <row r="592" s="1" customFormat="1" ht="14.25" customHeight="1" x14ac:dyDescent="0.3"/>
    <row r="593" s="1" customFormat="1" ht="14.25" customHeight="1" x14ac:dyDescent="0.3"/>
    <row r="594" s="1" customFormat="1" ht="14.25" customHeight="1" x14ac:dyDescent="0.3"/>
    <row r="595" s="1" customFormat="1" ht="14.25" customHeight="1" x14ac:dyDescent="0.3"/>
    <row r="596" s="1" customFormat="1" ht="14.25" customHeight="1" x14ac:dyDescent="0.3"/>
    <row r="597" s="1" customFormat="1" ht="14.25" customHeight="1" x14ac:dyDescent="0.3"/>
    <row r="598" s="1" customFormat="1" ht="14.25" customHeight="1" x14ac:dyDescent="0.3"/>
    <row r="599" s="1" customFormat="1" ht="14.25" customHeight="1" x14ac:dyDescent="0.3"/>
    <row r="600" s="1" customFormat="1" ht="14.25" customHeight="1" x14ac:dyDescent="0.3"/>
    <row r="601" s="1" customFormat="1" ht="14.25" customHeight="1" x14ac:dyDescent="0.3"/>
    <row r="602" s="1" customFormat="1" ht="14.25" customHeight="1" x14ac:dyDescent="0.3"/>
    <row r="603" s="1" customFormat="1" ht="14.25" customHeight="1" x14ac:dyDescent="0.3"/>
    <row r="604" s="1" customFormat="1" ht="14.25" customHeight="1" x14ac:dyDescent="0.3"/>
    <row r="605" s="1" customFormat="1" ht="14.25" customHeight="1" x14ac:dyDescent="0.3"/>
    <row r="606" s="1" customFormat="1" ht="14.25" customHeight="1" x14ac:dyDescent="0.3"/>
    <row r="607" s="1" customFormat="1" ht="14.25" customHeight="1" x14ac:dyDescent="0.3"/>
    <row r="608" s="1" customFormat="1" ht="14.25" customHeight="1" x14ac:dyDescent="0.3"/>
    <row r="609" s="1" customFormat="1" ht="14.25" customHeight="1" x14ac:dyDescent="0.3"/>
    <row r="610" s="1" customFormat="1" ht="14.25" customHeight="1" x14ac:dyDescent="0.3"/>
    <row r="611" s="1" customFormat="1" ht="14.25" customHeight="1" x14ac:dyDescent="0.3"/>
    <row r="612" s="1" customFormat="1" ht="14.25" customHeight="1" x14ac:dyDescent="0.3"/>
    <row r="613" s="1" customFormat="1" ht="14.25" customHeight="1" x14ac:dyDescent="0.3"/>
    <row r="614" s="1" customFormat="1" ht="14.25" customHeight="1" x14ac:dyDescent="0.3"/>
    <row r="615" s="1" customFormat="1" ht="14.25" customHeight="1" x14ac:dyDescent="0.3"/>
    <row r="616" s="1" customFormat="1" ht="14.25" customHeight="1" x14ac:dyDescent="0.3"/>
    <row r="617" s="1" customFormat="1" ht="14.25" customHeight="1" x14ac:dyDescent="0.3"/>
    <row r="618" s="1" customFormat="1" ht="14.25" customHeight="1" x14ac:dyDescent="0.3"/>
    <row r="619" s="1" customFormat="1" ht="14.25" customHeight="1" x14ac:dyDescent="0.3"/>
    <row r="620" s="1" customFormat="1" ht="14.25" customHeight="1" x14ac:dyDescent="0.3"/>
    <row r="621" s="1" customFormat="1" ht="14.25" customHeight="1" x14ac:dyDescent="0.3"/>
    <row r="622" s="1" customFormat="1" ht="14.25" customHeight="1" x14ac:dyDescent="0.3"/>
    <row r="623" s="1" customFormat="1" ht="14.25" customHeight="1" x14ac:dyDescent="0.3"/>
    <row r="624" s="1" customFormat="1" ht="14.25" customHeight="1" x14ac:dyDescent="0.3"/>
    <row r="625" s="1" customFormat="1" ht="14.25" customHeight="1" x14ac:dyDescent="0.3"/>
    <row r="626" s="1" customFormat="1" ht="14.25" customHeight="1" x14ac:dyDescent="0.3"/>
    <row r="627" s="1" customFormat="1" ht="14.25" customHeight="1" x14ac:dyDescent="0.3"/>
    <row r="628" s="1" customFormat="1" ht="14.25" customHeight="1" x14ac:dyDescent="0.3"/>
    <row r="629" s="1" customFormat="1" ht="14.25" customHeight="1" x14ac:dyDescent="0.3"/>
    <row r="630" s="1" customFormat="1" ht="14.25" customHeight="1" x14ac:dyDescent="0.3"/>
    <row r="631" s="1" customFormat="1" ht="14.25" customHeight="1" x14ac:dyDescent="0.3"/>
    <row r="632" s="1" customFormat="1" ht="14.25" customHeight="1" x14ac:dyDescent="0.3"/>
    <row r="633" s="1" customFormat="1" ht="14.25" customHeight="1" x14ac:dyDescent="0.3"/>
    <row r="634" s="1" customFormat="1" ht="14.25" customHeight="1" x14ac:dyDescent="0.3"/>
    <row r="635" s="1" customFormat="1" ht="14.25" customHeight="1" x14ac:dyDescent="0.3"/>
    <row r="636" s="1" customFormat="1" ht="14.25" customHeight="1" x14ac:dyDescent="0.3"/>
    <row r="637" s="1" customFormat="1" ht="14.25" customHeight="1" x14ac:dyDescent="0.3"/>
    <row r="638" s="1" customFormat="1" ht="14.25" customHeight="1" x14ac:dyDescent="0.3"/>
    <row r="639" s="1" customFormat="1" ht="14.25" customHeight="1" x14ac:dyDescent="0.3"/>
    <row r="640" s="1" customFormat="1" ht="14.25" customHeight="1" x14ac:dyDescent="0.3"/>
    <row r="641" s="1" customFormat="1" ht="14.25" customHeight="1" x14ac:dyDescent="0.3"/>
    <row r="642" s="1" customFormat="1" ht="14.25" customHeight="1" x14ac:dyDescent="0.3"/>
    <row r="643" s="1" customFormat="1" ht="14.25" customHeight="1" x14ac:dyDescent="0.3"/>
    <row r="644" s="1" customFormat="1" ht="14.25" customHeight="1" x14ac:dyDescent="0.3"/>
    <row r="645" s="1" customFormat="1" ht="14.25" customHeight="1" x14ac:dyDescent="0.3"/>
    <row r="646" s="1" customFormat="1" ht="14.25" customHeight="1" x14ac:dyDescent="0.3"/>
    <row r="647" s="1" customFormat="1" ht="14.25" customHeight="1" x14ac:dyDescent="0.3"/>
    <row r="648" s="1" customFormat="1" ht="14.25" customHeight="1" x14ac:dyDescent="0.3"/>
    <row r="649" s="1" customFormat="1" ht="14.25" customHeight="1" x14ac:dyDescent="0.3"/>
    <row r="650" s="1" customFormat="1" ht="14.25" customHeight="1" x14ac:dyDescent="0.3"/>
    <row r="651" s="1" customFormat="1" ht="14.25" customHeight="1" x14ac:dyDescent="0.3"/>
    <row r="652" s="1" customFormat="1" ht="14.25" customHeight="1" x14ac:dyDescent="0.3"/>
    <row r="653" s="1" customFormat="1" ht="14.25" customHeight="1" x14ac:dyDescent="0.3"/>
    <row r="654" s="1" customFormat="1" ht="14.25" customHeight="1" x14ac:dyDescent="0.3"/>
    <row r="655" s="1" customFormat="1" ht="14.25" customHeight="1" x14ac:dyDescent="0.3"/>
    <row r="656" s="1" customFormat="1" ht="14.25" customHeight="1" x14ac:dyDescent="0.3"/>
    <row r="657" s="1" customFormat="1" ht="14.25" customHeight="1" x14ac:dyDescent="0.3"/>
    <row r="658" s="1" customFormat="1" ht="14.25" customHeight="1" x14ac:dyDescent="0.3"/>
    <row r="659" s="1" customFormat="1" ht="14.25" customHeight="1" x14ac:dyDescent="0.3"/>
    <row r="660" s="1" customFormat="1" ht="14.25" customHeight="1" x14ac:dyDescent="0.3"/>
    <row r="661" s="1" customFormat="1" ht="14.25" customHeight="1" x14ac:dyDescent="0.3"/>
    <row r="662" s="1" customFormat="1" ht="14.25" customHeight="1" x14ac:dyDescent="0.3"/>
    <row r="663" s="1" customFormat="1" ht="14.25" customHeight="1" x14ac:dyDescent="0.3"/>
    <row r="664" s="1" customFormat="1" ht="14.25" customHeight="1" x14ac:dyDescent="0.3"/>
    <row r="665" s="1" customFormat="1" ht="14.25" customHeight="1" x14ac:dyDescent="0.3"/>
    <row r="666" s="1" customFormat="1" ht="14.25" customHeight="1" x14ac:dyDescent="0.3"/>
    <row r="667" s="1" customFormat="1" ht="14.25" customHeight="1" x14ac:dyDescent="0.3"/>
    <row r="668" s="1" customFormat="1" ht="14.25" customHeight="1" x14ac:dyDescent="0.3"/>
    <row r="669" s="1" customFormat="1" ht="14.25" customHeight="1" x14ac:dyDescent="0.3"/>
    <row r="670" s="1" customFormat="1" ht="14.25" customHeight="1" x14ac:dyDescent="0.3"/>
    <row r="671" s="1" customFormat="1" ht="14.25" customHeight="1" x14ac:dyDescent="0.3"/>
    <row r="672" s="1" customFormat="1" ht="14.25" customHeight="1" x14ac:dyDescent="0.3"/>
    <row r="673" s="1" customFormat="1" ht="14.25" customHeight="1" x14ac:dyDescent="0.3"/>
    <row r="674" s="1" customFormat="1" ht="14.25" customHeight="1" x14ac:dyDescent="0.3"/>
    <row r="675" s="1" customFormat="1" ht="14.25" customHeight="1" x14ac:dyDescent="0.3"/>
    <row r="676" s="1" customFormat="1" ht="14.25" customHeight="1" x14ac:dyDescent="0.3"/>
    <row r="677" s="1" customFormat="1" ht="14.25" customHeight="1" x14ac:dyDescent="0.3"/>
    <row r="678" s="1" customFormat="1" ht="14.25" customHeight="1" x14ac:dyDescent="0.3"/>
    <row r="679" s="1" customFormat="1" ht="14.25" customHeight="1" x14ac:dyDescent="0.3"/>
    <row r="680" s="1" customFormat="1" ht="14.25" customHeight="1" x14ac:dyDescent="0.3"/>
    <row r="681" s="1" customFormat="1" ht="14.25" customHeight="1" x14ac:dyDescent="0.3"/>
    <row r="682" s="1" customFormat="1" ht="14.25" customHeight="1" x14ac:dyDescent="0.3"/>
    <row r="683" s="1" customFormat="1" ht="14.25" customHeight="1" x14ac:dyDescent="0.3"/>
    <row r="684" s="1" customFormat="1" ht="14.25" customHeight="1" x14ac:dyDescent="0.3"/>
    <row r="685" s="1" customFormat="1" ht="14.25" customHeight="1" x14ac:dyDescent="0.3"/>
    <row r="686" s="1" customFormat="1" ht="14.25" customHeight="1" x14ac:dyDescent="0.3"/>
    <row r="687" s="1" customFormat="1" ht="14.25" customHeight="1" x14ac:dyDescent="0.3"/>
    <row r="688" s="1" customFormat="1" ht="14.25" customHeight="1" x14ac:dyDescent="0.3"/>
    <row r="689" s="1" customFormat="1" ht="14.25" customHeight="1" x14ac:dyDescent="0.3"/>
    <row r="690" s="1" customFormat="1" ht="14.25" customHeight="1" x14ac:dyDescent="0.3"/>
    <row r="691" s="1" customFormat="1" ht="14.25" customHeight="1" x14ac:dyDescent="0.3"/>
    <row r="692" s="1" customFormat="1" ht="14.25" customHeight="1" x14ac:dyDescent="0.3"/>
    <row r="693" s="1" customFormat="1" ht="14.25" customHeight="1" x14ac:dyDescent="0.3"/>
    <row r="694" s="1" customFormat="1" ht="14.25" customHeight="1" x14ac:dyDescent="0.3"/>
    <row r="695" s="1" customFormat="1" ht="14.25" customHeight="1" x14ac:dyDescent="0.3"/>
    <row r="696" s="1" customFormat="1" ht="14.25" customHeight="1" x14ac:dyDescent="0.3"/>
    <row r="697" s="1" customFormat="1" ht="14.25" customHeight="1" x14ac:dyDescent="0.3"/>
    <row r="698" s="1" customFormat="1" ht="14.25" customHeight="1" x14ac:dyDescent="0.3"/>
    <row r="699" s="1" customFormat="1" ht="14.25" customHeight="1" x14ac:dyDescent="0.3"/>
    <row r="700" s="1" customFormat="1" ht="14.25" customHeight="1" x14ac:dyDescent="0.3"/>
    <row r="701" s="1" customFormat="1" ht="14.25" customHeight="1" x14ac:dyDescent="0.3"/>
    <row r="702" s="1" customFormat="1" ht="14.25" customHeight="1" x14ac:dyDescent="0.3"/>
    <row r="703" s="1" customFormat="1" ht="14.25" customHeight="1" x14ac:dyDescent="0.3"/>
    <row r="704" s="1" customFormat="1" ht="14.25" customHeight="1" x14ac:dyDescent="0.3"/>
    <row r="705" s="1" customFormat="1" ht="14.25" customHeight="1" x14ac:dyDescent="0.3"/>
    <row r="706" s="1" customFormat="1" ht="14.25" customHeight="1" x14ac:dyDescent="0.3"/>
    <row r="707" s="1" customFormat="1" ht="14.25" customHeight="1" x14ac:dyDescent="0.3"/>
    <row r="708" s="1" customFormat="1" ht="14.25" customHeight="1" x14ac:dyDescent="0.3"/>
    <row r="709" s="1" customFormat="1" ht="14.25" customHeight="1" x14ac:dyDescent="0.3"/>
    <row r="710" s="1" customFormat="1" ht="14.25" customHeight="1" x14ac:dyDescent="0.3"/>
    <row r="711" s="1" customFormat="1" ht="14.25" customHeight="1" x14ac:dyDescent="0.3"/>
    <row r="712" s="1" customFormat="1" ht="14.25" customHeight="1" x14ac:dyDescent="0.3"/>
    <row r="713" s="1" customFormat="1" ht="14.25" customHeight="1" x14ac:dyDescent="0.3"/>
    <row r="714" s="1" customFormat="1" ht="14.25" customHeight="1" x14ac:dyDescent="0.3"/>
    <row r="715" s="1" customFormat="1" ht="14.25" customHeight="1" x14ac:dyDescent="0.3"/>
    <row r="716" s="1" customFormat="1" ht="14.25" customHeight="1" x14ac:dyDescent="0.3"/>
    <row r="717" s="1" customFormat="1" ht="14.25" customHeight="1" x14ac:dyDescent="0.3"/>
    <row r="718" s="1" customFormat="1" ht="14.25" customHeight="1" x14ac:dyDescent="0.3"/>
    <row r="719" s="1" customFormat="1" ht="14.25" customHeight="1" x14ac:dyDescent="0.3"/>
    <row r="720" s="1" customFormat="1" ht="14.25" customHeight="1" x14ac:dyDescent="0.3"/>
    <row r="721" s="1" customFormat="1" ht="14.25" customHeight="1" x14ac:dyDescent="0.3"/>
    <row r="722" s="1" customFormat="1" ht="14.25" customHeight="1" x14ac:dyDescent="0.3"/>
    <row r="723" s="1" customFormat="1" ht="14.25" customHeight="1" x14ac:dyDescent="0.3"/>
    <row r="724" s="1" customFormat="1" ht="14.25" customHeight="1" x14ac:dyDescent="0.3"/>
    <row r="725" s="1" customFormat="1" ht="14.25" customHeight="1" x14ac:dyDescent="0.3"/>
    <row r="726" s="1" customFormat="1" ht="14.25" customHeight="1" x14ac:dyDescent="0.3"/>
    <row r="727" s="1" customFormat="1" ht="14.25" customHeight="1" x14ac:dyDescent="0.3"/>
    <row r="728" s="1" customFormat="1" ht="14.25" customHeight="1" x14ac:dyDescent="0.3"/>
    <row r="729" s="1" customFormat="1" ht="14.25" customHeight="1" x14ac:dyDescent="0.3"/>
    <row r="730" s="1" customFormat="1" ht="14.25" customHeight="1" x14ac:dyDescent="0.3"/>
    <row r="731" s="1" customFormat="1" ht="14.25" customHeight="1" x14ac:dyDescent="0.3"/>
    <row r="732" s="1" customFormat="1" ht="14.25" customHeight="1" x14ac:dyDescent="0.3"/>
    <row r="733" s="1" customFormat="1" ht="14.25" customHeight="1" x14ac:dyDescent="0.3"/>
    <row r="734" s="1" customFormat="1" ht="14.25" customHeight="1" x14ac:dyDescent="0.3"/>
    <row r="735" s="1" customFormat="1" ht="14.25" customHeight="1" x14ac:dyDescent="0.3"/>
    <row r="736" s="1" customFormat="1" ht="14.25" customHeight="1" x14ac:dyDescent="0.3"/>
    <row r="737" s="1" customFormat="1" ht="14.25" customHeight="1" x14ac:dyDescent="0.3"/>
    <row r="738" s="1" customFormat="1" ht="14.25" customHeight="1" x14ac:dyDescent="0.3"/>
    <row r="739" s="1" customFormat="1" ht="14.25" customHeight="1" x14ac:dyDescent="0.3"/>
    <row r="740" s="1" customFormat="1" ht="14.25" customHeight="1" x14ac:dyDescent="0.3"/>
    <row r="741" s="1" customFormat="1" ht="14.25" customHeight="1" x14ac:dyDescent="0.3"/>
    <row r="742" s="1" customFormat="1" ht="14.25" customHeight="1" x14ac:dyDescent="0.3"/>
    <row r="743" s="1" customFormat="1" ht="14.25" customHeight="1" x14ac:dyDescent="0.3"/>
    <row r="744" s="1" customFormat="1" ht="14.25" customHeight="1" x14ac:dyDescent="0.3"/>
    <row r="745" s="1" customFormat="1" ht="14.25" customHeight="1" x14ac:dyDescent="0.3"/>
    <row r="746" s="1" customFormat="1" ht="14.25" customHeight="1" x14ac:dyDescent="0.3"/>
    <row r="747" s="1" customFormat="1" ht="14.25" customHeight="1" x14ac:dyDescent="0.3"/>
    <row r="748" s="1" customFormat="1" ht="14.25" customHeight="1" x14ac:dyDescent="0.3"/>
    <row r="749" s="1" customFormat="1" ht="14.25" customHeight="1" x14ac:dyDescent="0.3"/>
    <row r="750" s="1" customFormat="1" ht="14.25" customHeight="1" x14ac:dyDescent="0.3"/>
    <row r="751" s="1" customFormat="1" ht="14.25" customHeight="1" x14ac:dyDescent="0.3"/>
    <row r="752" s="1" customFormat="1" ht="14.25" customHeight="1" x14ac:dyDescent="0.3"/>
    <row r="753" s="1" customFormat="1" ht="14.25" customHeight="1" x14ac:dyDescent="0.3"/>
    <row r="754" s="1" customFormat="1" ht="14.25" customHeight="1" x14ac:dyDescent="0.3"/>
    <row r="755" s="1" customFormat="1" ht="14.25" customHeight="1" x14ac:dyDescent="0.3"/>
    <row r="756" s="1" customFormat="1" ht="14.25" customHeight="1" x14ac:dyDescent="0.3"/>
    <row r="757" s="1" customFormat="1" ht="14.25" customHeight="1" x14ac:dyDescent="0.3"/>
    <row r="758" s="1" customFormat="1" ht="14.25" customHeight="1" x14ac:dyDescent="0.3"/>
    <row r="759" s="1" customFormat="1" ht="14.25" customHeight="1" x14ac:dyDescent="0.3"/>
    <row r="760" s="1" customFormat="1" ht="14.25" customHeight="1" x14ac:dyDescent="0.3"/>
    <row r="761" s="1" customFormat="1" ht="14.25" customHeight="1" x14ac:dyDescent="0.3"/>
    <row r="762" s="1" customFormat="1" ht="14.25" customHeight="1" x14ac:dyDescent="0.3"/>
    <row r="763" s="1" customFormat="1" ht="14.25" customHeight="1" x14ac:dyDescent="0.3"/>
    <row r="764" s="1" customFormat="1" ht="14.25" customHeight="1" x14ac:dyDescent="0.3"/>
    <row r="765" s="1" customFormat="1" ht="14.25" customHeight="1" x14ac:dyDescent="0.3"/>
    <row r="766" s="1" customFormat="1" ht="14.25" customHeight="1" x14ac:dyDescent="0.3"/>
    <row r="767" s="1" customFormat="1" ht="14.25" customHeight="1" x14ac:dyDescent="0.3"/>
    <row r="768" s="1" customFormat="1" ht="14.25" customHeight="1" x14ac:dyDescent="0.3"/>
    <row r="769" s="1" customFormat="1" ht="14.25" customHeight="1" x14ac:dyDescent="0.3"/>
    <row r="770" s="1" customFormat="1" ht="14.25" customHeight="1" x14ac:dyDescent="0.3"/>
    <row r="771" s="1" customFormat="1" ht="14.25" customHeight="1" x14ac:dyDescent="0.3"/>
    <row r="772" s="1" customFormat="1" ht="14.25" customHeight="1" x14ac:dyDescent="0.3"/>
    <row r="773" s="1" customFormat="1" ht="14.25" customHeight="1" x14ac:dyDescent="0.3"/>
    <row r="774" s="1" customFormat="1" ht="14.25" customHeight="1" x14ac:dyDescent="0.3"/>
    <row r="775" s="1" customFormat="1" ht="14.25" customHeight="1" x14ac:dyDescent="0.3"/>
    <row r="776" s="1" customFormat="1" ht="14.25" customHeight="1" x14ac:dyDescent="0.3"/>
    <row r="777" s="1" customFormat="1" ht="14.25" customHeight="1" x14ac:dyDescent="0.3"/>
    <row r="778" s="1" customFormat="1" ht="14.25" customHeight="1" x14ac:dyDescent="0.3"/>
    <row r="779" s="1" customFormat="1" ht="14.25" customHeight="1" x14ac:dyDescent="0.3"/>
    <row r="780" s="1" customFormat="1" ht="14.25" customHeight="1" x14ac:dyDescent="0.3"/>
    <row r="781" s="1" customFormat="1" ht="14.25" customHeight="1" x14ac:dyDescent="0.3"/>
    <row r="782" s="1" customFormat="1" ht="14.25" customHeight="1" x14ac:dyDescent="0.3"/>
    <row r="783" s="1" customFormat="1" ht="14.25" customHeight="1" x14ac:dyDescent="0.3"/>
    <row r="784" s="1" customFormat="1" ht="14.25" customHeight="1" x14ac:dyDescent="0.3"/>
    <row r="785" s="1" customFormat="1" ht="14.25" customHeight="1" x14ac:dyDescent="0.3"/>
    <row r="786" s="1" customFormat="1" ht="14.25" customHeight="1" x14ac:dyDescent="0.3"/>
    <row r="787" s="1" customFormat="1" ht="14.25" customHeight="1" x14ac:dyDescent="0.3"/>
    <row r="788" s="1" customFormat="1" ht="14.25" customHeight="1" x14ac:dyDescent="0.3"/>
    <row r="789" s="1" customFormat="1" ht="14.25" customHeight="1" x14ac:dyDescent="0.3"/>
    <row r="790" s="1" customFormat="1" ht="14.25" customHeight="1" x14ac:dyDescent="0.3"/>
    <row r="791" s="1" customFormat="1" ht="14.25" customHeight="1" x14ac:dyDescent="0.3"/>
    <row r="792" s="1" customFormat="1" ht="14.25" customHeight="1" x14ac:dyDescent="0.3"/>
    <row r="793" s="1" customFormat="1" ht="14.25" customHeight="1" x14ac:dyDescent="0.3"/>
    <row r="794" s="1" customFormat="1" ht="14.25" customHeight="1" x14ac:dyDescent="0.3"/>
    <row r="795" s="1" customFormat="1" ht="14.25" customHeight="1" x14ac:dyDescent="0.3"/>
    <row r="796" s="1" customFormat="1" ht="14.25" customHeight="1" x14ac:dyDescent="0.3"/>
    <row r="797" s="1" customFormat="1" ht="14.25" customHeight="1" x14ac:dyDescent="0.3"/>
    <row r="798" s="1" customFormat="1" ht="14.25" customHeight="1" x14ac:dyDescent="0.3"/>
    <row r="799" s="1" customFormat="1" ht="14.25" customHeight="1" x14ac:dyDescent="0.3"/>
    <row r="800" s="1" customFormat="1" ht="14.25" customHeight="1" x14ac:dyDescent="0.3"/>
    <row r="801" s="1" customFormat="1" ht="14.25" customHeight="1" x14ac:dyDescent="0.3"/>
    <row r="802" s="1" customFormat="1" ht="14.25" customHeight="1" x14ac:dyDescent="0.3"/>
    <row r="803" s="1" customFormat="1" ht="14.25" customHeight="1" x14ac:dyDescent="0.3"/>
    <row r="804" s="1" customFormat="1" ht="14.25" customHeight="1" x14ac:dyDescent="0.3"/>
    <row r="805" s="1" customFormat="1" ht="14.25" customHeight="1" x14ac:dyDescent="0.3"/>
    <row r="806" s="1" customFormat="1" ht="14.25" customHeight="1" x14ac:dyDescent="0.3"/>
    <row r="807" s="1" customFormat="1" ht="14.25" customHeight="1" x14ac:dyDescent="0.3"/>
    <row r="808" s="1" customFormat="1" ht="14.25" customHeight="1" x14ac:dyDescent="0.3"/>
    <row r="809" s="1" customFormat="1" ht="14.25" customHeight="1" x14ac:dyDescent="0.3"/>
    <row r="810" s="1" customFormat="1" ht="14.25" customHeight="1" x14ac:dyDescent="0.3"/>
    <row r="811" s="1" customFormat="1" ht="14.25" customHeight="1" x14ac:dyDescent="0.3"/>
    <row r="812" s="1" customFormat="1" ht="14.25" customHeight="1" x14ac:dyDescent="0.3"/>
    <row r="813" s="1" customFormat="1" ht="14.25" customHeight="1" x14ac:dyDescent="0.3"/>
    <row r="814" s="1" customFormat="1" ht="14.25" customHeight="1" x14ac:dyDescent="0.3"/>
    <row r="815" s="1" customFormat="1" ht="14.25" customHeight="1" x14ac:dyDescent="0.3"/>
    <row r="816" s="1" customFormat="1" ht="14.25" customHeight="1" x14ac:dyDescent="0.3"/>
    <row r="817" s="1" customFormat="1" ht="14.25" customHeight="1" x14ac:dyDescent="0.3"/>
    <row r="818" s="1" customFormat="1" ht="14.25" customHeight="1" x14ac:dyDescent="0.3"/>
    <row r="819" s="1" customFormat="1" ht="14.25" customHeight="1" x14ac:dyDescent="0.3"/>
    <row r="820" s="1" customFormat="1" ht="14.25" customHeight="1" x14ac:dyDescent="0.3"/>
    <row r="821" s="1" customFormat="1" ht="14.25" customHeight="1" x14ac:dyDescent="0.3"/>
    <row r="822" s="1" customFormat="1" ht="14.25" customHeight="1" x14ac:dyDescent="0.3"/>
    <row r="823" s="1" customFormat="1" ht="14.25" customHeight="1" x14ac:dyDescent="0.3"/>
    <row r="824" s="1" customFormat="1" ht="14.25" customHeight="1" x14ac:dyDescent="0.3"/>
    <row r="825" s="1" customFormat="1" ht="14.25" customHeight="1" x14ac:dyDescent="0.3"/>
    <row r="826" s="1" customFormat="1" ht="14.25" customHeight="1" x14ac:dyDescent="0.3"/>
    <row r="827" s="1" customFormat="1" ht="14.25" customHeight="1" x14ac:dyDescent="0.3"/>
    <row r="828" s="1" customFormat="1" ht="14.25" customHeight="1" x14ac:dyDescent="0.3"/>
    <row r="829" s="1" customFormat="1" ht="14.25" customHeight="1" x14ac:dyDescent="0.3"/>
    <row r="830" s="1" customFormat="1" ht="14.25" customHeight="1" x14ac:dyDescent="0.3"/>
    <row r="831" s="1" customFormat="1" ht="14.25" customHeight="1" x14ac:dyDescent="0.3"/>
    <row r="832" s="1" customFormat="1" ht="14.25" customHeight="1" x14ac:dyDescent="0.3"/>
    <row r="833" s="1" customFormat="1" ht="14.25" customHeight="1" x14ac:dyDescent="0.3"/>
    <row r="834" s="1" customFormat="1" ht="14.25" customHeight="1" x14ac:dyDescent="0.3"/>
    <row r="835" s="1" customFormat="1" ht="14.25" customHeight="1" x14ac:dyDescent="0.3"/>
    <row r="836" s="1" customFormat="1" ht="14.25" customHeight="1" x14ac:dyDescent="0.3"/>
    <row r="837" s="1" customFormat="1" ht="14.25" customHeight="1" x14ac:dyDescent="0.3"/>
    <row r="838" s="1" customFormat="1" ht="14.25" customHeight="1" x14ac:dyDescent="0.3"/>
    <row r="839" s="1" customFormat="1" ht="14.25" customHeight="1" x14ac:dyDescent="0.3"/>
    <row r="840" s="1" customFormat="1" ht="14.25" customHeight="1" x14ac:dyDescent="0.3"/>
    <row r="841" s="1" customFormat="1" ht="14.25" customHeight="1" x14ac:dyDescent="0.3"/>
    <row r="842" s="1" customFormat="1" ht="14.25" customHeight="1" x14ac:dyDescent="0.3"/>
    <row r="843" s="1" customFormat="1" ht="14.25" customHeight="1" x14ac:dyDescent="0.3"/>
    <row r="844" s="1" customFormat="1" ht="14.25" customHeight="1" x14ac:dyDescent="0.3"/>
    <row r="845" s="1" customFormat="1" ht="14.25" customHeight="1" x14ac:dyDescent="0.3"/>
    <row r="846" s="1" customFormat="1" ht="14.25" customHeight="1" x14ac:dyDescent="0.3"/>
    <row r="847" s="1" customFormat="1" ht="14.25" customHeight="1" x14ac:dyDescent="0.3"/>
    <row r="848" s="1" customFormat="1" ht="14.25" customHeight="1" x14ac:dyDescent="0.3"/>
    <row r="849" s="1" customFormat="1" ht="14.25" customHeight="1" x14ac:dyDescent="0.3"/>
    <row r="850" s="1" customFormat="1" ht="14.25" customHeight="1" x14ac:dyDescent="0.3"/>
    <row r="851" s="1" customFormat="1" ht="14.25" customHeight="1" x14ac:dyDescent="0.3"/>
    <row r="852" s="1" customFormat="1" ht="14.25" customHeight="1" x14ac:dyDescent="0.3"/>
    <row r="853" s="1" customFormat="1" ht="14.25" customHeight="1" x14ac:dyDescent="0.3"/>
    <row r="854" s="1" customFormat="1" ht="14.25" customHeight="1" x14ac:dyDescent="0.3"/>
    <row r="855" s="1" customFormat="1" ht="14.25" customHeight="1" x14ac:dyDescent="0.3"/>
    <row r="856" s="1" customFormat="1" ht="14.25" customHeight="1" x14ac:dyDescent="0.3"/>
    <row r="857" s="1" customFormat="1" ht="14.25" customHeight="1" x14ac:dyDescent="0.3"/>
    <row r="858" s="1" customFormat="1" ht="14.25" customHeight="1" x14ac:dyDescent="0.3"/>
    <row r="859" s="1" customFormat="1" ht="14.25" customHeight="1" x14ac:dyDescent="0.3"/>
    <row r="860" s="1" customFormat="1" ht="14.25" customHeight="1" x14ac:dyDescent="0.3"/>
    <row r="861" s="1" customFormat="1" ht="14.25" customHeight="1" x14ac:dyDescent="0.3"/>
    <row r="862" s="1" customFormat="1" ht="14.25" customHeight="1" x14ac:dyDescent="0.3"/>
    <row r="863" s="1" customFormat="1" ht="14.25" customHeight="1" x14ac:dyDescent="0.3"/>
    <row r="864" s="1" customFormat="1" ht="14.25" customHeight="1" x14ac:dyDescent="0.3"/>
    <row r="865" s="1" customFormat="1" ht="14.25" customHeight="1" x14ac:dyDescent="0.3"/>
    <row r="866" s="1" customFormat="1" ht="14.25" customHeight="1" x14ac:dyDescent="0.3"/>
    <row r="867" s="1" customFormat="1" ht="14.25" customHeight="1" x14ac:dyDescent="0.3"/>
    <row r="868" s="1" customFormat="1" ht="14.25" customHeight="1" x14ac:dyDescent="0.3"/>
    <row r="869" s="1" customFormat="1" ht="14.25" customHeight="1" x14ac:dyDescent="0.3"/>
    <row r="870" s="1" customFormat="1" ht="14.25" customHeight="1" x14ac:dyDescent="0.3"/>
    <row r="871" s="1" customFormat="1" ht="14.25" customHeight="1" x14ac:dyDescent="0.3"/>
    <row r="872" s="1" customFormat="1" ht="14.25" customHeight="1" x14ac:dyDescent="0.3"/>
    <row r="873" s="1" customFormat="1" ht="14.25" customHeight="1" x14ac:dyDescent="0.3"/>
    <row r="874" s="1" customFormat="1" ht="14.25" customHeight="1" x14ac:dyDescent="0.3"/>
    <row r="875" s="1" customFormat="1" ht="14.25" customHeight="1" x14ac:dyDescent="0.3"/>
    <row r="876" s="1" customFormat="1" ht="14.25" customHeight="1" x14ac:dyDescent="0.3"/>
    <row r="877" s="1" customFormat="1" ht="14.25" customHeight="1" x14ac:dyDescent="0.3"/>
    <row r="878" s="1" customFormat="1" ht="14.25" customHeight="1" x14ac:dyDescent="0.3"/>
    <row r="879" s="1" customFormat="1" ht="14.25" customHeight="1" x14ac:dyDescent="0.3"/>
    <row r="880" s="1" customFormat="1" ht="14.25" customHeight="1" x14ac:dyDescent="0.3"/>
    <row r="881" s="1" customFormat="1" ht="14.25" customHeight="1" x14ac:dyDescent="0.3"/>
    <row r="882" s="1" customFormat="1" ht="14.25" customHeight="1" x14ac:dyDescent="0.3"/>
    <row r="883" s="1" customFormat="1" ht="14.25" customHeight="1" x14ac:dyDescent="0.3"/>
    <row r="884" s="1" customFormat="1" ht="14.25" customHeight="1" x14ac:dyDescent="0.3"/>
    <row r="885" s="1" customFormat="1" ht="14.25" customHeight="1" x14ac:dyDescent="0.3"/>
    <row r="886" s="1" customFormat="1" ht="14.25" customHeight="1" x14ac:dyDescent="0.3"/>
    <row r="887" s="1" customFormat="1" ht="14.25" customHeight="1" x14ac:dyDescent="0.3"/>
    <row r="888" s="1" customFormat="1" ht="14.25" customHeight="1" x14ac:dyDescent="0.3"/>
    <row r="889" s="1" customFormat="1" ht="14.25" customHeight="1" x14ac:dyDescent="0.3"/>
    <row r="890" s="1" customFormat="1" ht="14.25" customHeight="1" x14ac:dyDescent="0.3"/>
    <row r="891" s="1" customFormat="1" ht="14.25" customHeight="1" x14ac:dyDescent="0.3"/>
    <row r="892" s="1" customFormat="1" ht="14.25" customHeight="1" x14ac:dyDescent="0.3"/>
    <row r="893" s="1" customFormat="1" ht="14.25" customHeight="1" x14ac:dyDescent="0.3"/>
    <row r="894" s="1" customFormat="1" ht="14.25" customHeight="1" x14ac:dyDescent="0.3"/>
    <row r="895" s="1" customFormat="1" ht="14.25" customHeight="1" x14ac:dyDescent="0.3"/>
    <row r="896" s="1" customFormat="1" ht="14.25" customHeight="1" x14ac:dyDescent="0.3"/>
    <row r="897" s="1" customFormat="1" ht="14.25" customHeight="1" x14ac:dyDescent="0.3"/>
    <row r="898" s="1" customFormat="1" ht="14.25" customHeight="1" x14ac:dyDescent="0.3"/>
    <row r="899" s="1" customFormat="1" ht="14.25" customHeight="1" x14ac:dyDescent="0.3"/>
    <row r="900" s="1" customFormat="1" ht="14.25" customHeight="1" x14ac:dyDescent="0.3"/>
    <row r="901" s="1" customFormat="1" ht="14.25" customHeight="1" x14ac:dyDescent="0.3"/>
    <row r="902" s="1" customFormat="1" ht="14.25" customHeight="1" x14ac:dyDescent="0.3"/>
    <row r="903" s="1" customFormat="1" ht="14.25" customHeight="1" x14ac:dyDescent="0.3"/>
    <row r="904" s="1" customFormat="1" ht="14.25" customHeight="1" x14ac:dyDescent="0.3"/>
    <row r="905" s="1" customFormat="1" ht="14.25" customHeight="1" x14ac:dyDescent="0.3"/>
    <row r="906" s="1" customFormat="1" ht="14.25" customHeight="1" x14ac:dyDescent="0.3"/>
    <row r="907" s="1" customFormat="1" ht="14.25" customHeight="1" x14ac:dyDescent="0.3"/>
    <row r="908" s="1" customFormat="1" ht="14.25" customHeight="1" x14ac:dyDescent="0.3"/>
    <row r="909" s="1" customFormat="1" ht="14.25" customHeight="1" x14ac:dyDescent="0.3"/>
    <row r="910" s="1" customFormat="1" ht="14.25" customHeight="1" x14ac:dyDescent="0.3"/>
    <row r="911" s="1" customFormat="1" ht="14.25" customHeight="1" x14ac:dyDescent="0.3"/>
    <row r="912" s="1" customFormat="1" ht="14.25" customHeight="1" x14ac:dyDescent="0.3"/>
    <row r="913" s="1" customFormat="1" ht="14.25" customHeight="1" x14ac:dyDescent="0.3"/>
    <row r="914" s="1" customFormat="1" ht="14.25" customHeight="1" x14ac:dyDescent="0.3"/>
    <row r="915" s="1" customFormat="1" ht="14.25" customHeight="1" x14ac:dyDescent="0.3"/>
    <row r="916" s="1" customFormat="1" ht="14.25" customHeight="1" x14ac:dyDescent="0.3"/>
    <row r="917" s="1" customFormat="1" ht="14.25" customHeight="1" x14ac:dyDescent="0.3"/>
    <row r="918" s="1" customFormat="1" ht="14.25" customHeight="1" x14ac:dyDescent="0.3"/>
    <row r="919" s="1" customFormat="1" ht="14.25" customHeight="1" x14ac:dyDescent="0.3"/>
    <row r="920" s="1" customFormat="1" ht="14.25" customHeight="1" x14ac:dyDescent="0.3"/>
    <row r="921" s="1" customFormat="1" ht="14.25" customHeight="1" x14ac:dyDescent="0.3"/>
    <row r="922" s="1" customFormat="1" ht="14.25" customHeight="1" x14ac:dyDescent="0.3"/>
    <row r="923" s="1" customFormat="1" ht="14.25" customHeight="1" x14ac:dyDescent="0.3"/>
    <row r="924" s="1" customFormat="1" ht="14.25" customHeight="1" x14ac:dyDescent="0.3"/>
    <row r="925" s="1" customFormat="1" ht="14.25" customHeight="1" x14ac:dyDescent="0.3"/>
    <row r="926" s="1" customFormat="1" ht="14.25" customHeight="1" x14ac:dyDescent="0.3"/>
    <row r="927" s="1" customFormat="1" ht="14.25" customHeight="1" x14ac:dyDescent="0.3"/>
    <row r="928" s="1" customFormat="1" ht="14.25" customHeight="1" x14ac:dyDescent="0.3"/>
    <row r="929" s="1" customFormat="1" ht="14.25" customHeight="1" x14ac:dyDescent="0.3"/>
    <row r="930" s="1" customFormat="1" ht="14.25" customHeight="1" x14ac:dyDescent="0.3"/>
    <row r="931" s="1" customFormat="1" ht="14.25" customHeight="1" x14ac:dyDescent="0.3"/>
    <row r="932" s="1" customFormat="1" ht="14.25" customHeight="1" x14ac:dyDescent="0.3"/>
    <row r="933" s="1" customFormat="1" ht="14.25" customHeight="1" x14ac:dyDescent="0.3"/>
    <row r="934" s="1" customFormat="1" ht="14.25" customHeight="1" x14ac:dyDescent="0.3"/>
    <row r="935" s="1" customFormat="1" ht="14.25" customHeight="1" x14ac:dyDescent="0.3"/>
    <row r="936" s="1" customFormat="1" ht="14.25" customHeight="1" x14ac:dyDescent="0.3"/>
    <row r="937" s="1" customFormat="1" ht="14.25" customHeight="1" x14ac:dyDescent="0.3"/>
    <row r="938" s="1" customFormat="1" ht="14.25" customHeight="1" x14ac:dyDescent="0.3"/>
    <row r="939" s="1" customFormat="1" ht="14.25" customHeight="1" x14ac:dyDescent="0.3"/>
    <row r="940" s="1" customFormat="1" ht="14.25" customHeight="1" x14ac:dyDescent="0.3"/>
    <row r="941" s="1" customFormat="1" ht="14.25" customHeight="1" x14ac:dyDescent="0.3"/>
    <row r="942" s="1" customFormat="1" ht="14.25" customHeight="1" x14ac:dyDescent="0.3"/>
    <row r="943" s="1" customFormat="1" ht="14.25" customHeight="1" x14ac:dyDescent="0.3"/>
    <row r="944" s="1" customFormat="1" ht="14.25" customHeight="1" x14ac:dyDescent="0.3"/>
    <row r="945" s="1" customFormat="1" ht="14.25" customHeight="1" x14ac:dyDescent="0.3"/>
    <row r="946" s="1" customFormat="1" ht="14.25" customHeight="1" x14ac:dyDescent="0.3"/>
    <row r="947" s="1" customFormat="1" ht="14.25" customHeight="1" x14ac:dyDescent="0.3"/>
    <row r="948" s="1" customFormat="1" ht="14.25" customHeight="1" x14ac:dyDescent="0.3"/>
    <row r="949" s="1" customFormat="1" ht="14.25" customHeight="1" x14ac:dyDescent="0.3"/>
    <row r="950" s="1" customFormat="1" ht="14.25" customHeight="1" x14ac:dyDescent="0.3"/>
    <row r="951" s="1" customFormat="1" ht="14.25" customHeight="1" x14ac:dyDescent="0.3"/>
    <row r="952" s="1" customFormat="1" ht="14.25" customHeight="1" x14ac:dyDescent="0.3"/>
    <row r="953" s="1" customFormat="1" ht="14.25" customHeight="1" x14ac:dyDescent="0.3"/>
    <row r="954" s="1" customFormat="1" ht="14.25" customHeight="1" x14ac:dyDescent="0.3"/>
    <row r="955" s="1" customFormat="1" ht="14.25" customHeight="1" x14ac:dyDescent="0.3"/>
    <row r="956" s="1" customFormat="1" ht="14.25" customHeight="1" x14ac:dyDescent="0.3"/>
    <row r="957" s="1" customFormat="1" ht="14.25" customHeight="1" x14ac:dyDescent="0.3"/>
    <row r="958" s="1" customFormat="1" ht="14.25" customHeight="1" x14ac:dyDescent="0.3"/>
    <row r="959" s="1" customFormat="1" ht="14.25" customHeight="1" x14ac:dyDescent="0.3"/>
    <row r="960" s="1" customFormat="1" ht="14.25" customHeight="1" x14ac:dyDescent="0.3"/>
    <row r="961" s="1" customFormat="1" ht="14.25" customHeight="1" x14ac:dyDescent="0.3"/>
    <row r="962" s="1" customFormat="1" ht="14.25" customHeight="1" x14ac:dyDescent="0.3"/>
    <row r="963" s="1" customFormat="1" ht="14.25" customHeight="1" x14ac:dyDescent="0.3"/>
    <row r="964" s="1" customFormat="1" ht="14.25" customHeight="1" x14ac:dyDescent="0.3"/>
    <row r="965" s="1" customFormat="1" ht="14.25" customHeight="1" x14ac:dyDescent="0.3"/>
    <row r="966" s="1" customFormat="1" ht="14.25" customHeight="1" x14ac:dyDescent="0.3"/>
    <row r="967" s="1" customFormat="1" ht="14.25" customHeight="1" x14ac:dyDescent="0.3"/>
    <row r="968" s="1" customFormat="1" ht="14.25" customHeight="1" x14ac:dyDescent="0.3"/>
    <row r="969" s="1" customFormat="1" ht="14.25" customHeight="1" x14ac:dyDescent="0.3"/>
    <row r="970" s="1" customFormat="1" ht="14.25" customHeight="1" x14ac:dyDescent="0.3"/>
    <row r="971" s="1" customFormat="1" ht="14.25" customHeight="1" x14ac:dyDescent="0.3"/>
    <row r="972" s="1" customFormat="1" ht="14.25" customHeight="1" x14ac:dyDescent="0.3"/>
    <row r="973" s="1" customFormat="1" ht="14.25" customHeight="1" x14ac:dyDescent="0.3"/>
    <row r="974" s="1" customFormat="1" ht="14.25" customHeight="1" x14ac:dyDescent="0.3"/>
    <row r="975" s="1" customFormat="1" ht="14.25" customHeight="1" x14ac:dyDescent="0.3"/>
    <row r="976" s="1" customFormat="1" ht="14.25" customHeight="1" x14ac:dyDescent="0.3"/>
    <row r="977" s="1" customFormat="1" ht="14.25" customHeight="1" x14ac:dyDescent="0.3"/>
    <row r="978" s="1" customFormat="1" ht="14.25" customHeight="1" x14ac:dyDescent="0.3"/>
    <row r="979" s="1" customFormat="1" ht="14.25" customHeight="1" x14ac:dyDescent="0.3"/>
    <row r="980" s="1" customFormat="1" ht="14.25" customHeight="1" x14ac:dyDescent="0.3"/>
    <row r="981" s="1" customFormat="1" ht="14.25" customHeight="1" x14ac:dyDescent="0.3"/>
    <row r="982" s="1" customFormat="1" ht="14.25" customHeight="1" x14ac:dyDescent="0.3"/>
    <row r="983" s="1" customFormat="1" ht="14.25" customHeight="1" x14ac:dyDescent="0.3"/>
    <row r="984" s="1" customFormat="1" ht="14.25" customHeight="1" x14ac:dyDescent="0.3"/>
    <row r="985" s="1" customFormat="1" ht="14.25" customHeight="1" x14ac:dyDescent="0.3"/>
    <row r="986" s="1" customFormat="1" ht="14.25" customHeight="1" x14ac:dyDescent="0.3"/>
    <row r="987" s="1" customFormat="1" ht="14.25" customHeight="1" x14ac:dyDescent="0.3"/>
    <row r="988" s="1" customFormat="1" ht="14.25" customHeight="1" x14ac:dyDescent="0.3"/>
    <row r="989" s="1" customFormat="1" ht="14.25" customHeight="1" x14ac:dyDescent="0.3"/>
    <row r="990" s="1" customFormat="1" ht="14.25" customHeight="1" x14ac:dyDescent="0.3"/>
    <row r="991" s="1" customFormat="1" ht="14.25" customHeight="1" x14ac:dyDescent="0.3"/>
    <row r="992" s="1" customFormat="1" ht="14.25" customHeight="1" x14ac:dyDescent="0.3"/>
    <row r="993" s="1" customFormat="1" ht="14.25" customHeight="1" x14ac:dyDescent="0.3"/>
    <row r="994" s="1" customFormat="1" ht="14.25" customHeight="1" x14ac:dyDescent="0.3"/>
    <row r="995" s="1" customFormat="1" ht="14.25" customHeight="1" x14ac:dyDescent="0.3"/>
    <row r="996" s="1" customFormat="1" ht="14.25" customHeight="1" x14ac:dyDescent="0.3"/>
    <row r="997" s="1" customFormat="1" ht="14.25" customHeight="1" x14ac:dyDescent="0.3"/>
    <row r="998" s="1" customFormat="1" ht="14.25" customHeight="1" x14ac:dyDescent="0.3"/>
    <row r="999" s="1" customFormat="1" ht="14.25" customHeight="1" x14ac:dyDescent="0.3"/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DFC6D-DC61-4CFB-A344-978F8AB8F0FA}">
  <dimension ref="A1:M999"/>
  <sheetViews>
    <sheetView workbookViewId="0">
      <selection activeCell="F17" sqref="F17"/>
    </sheetView>
  </sheetViews>
  <sheetFormatPr baseColWidth="10" defaultColWidth="12.6328125" defaultRowHeight="15" customHeight="1" x14ac:dyDescent="0.3"/>
  <cols>
    <col min="1" max="1" width="15.7265625" style="1" customWidth="1"/>
    <col min="2" max="7" width="10.6328125" style="1" customWidth="1"/>
    <col min="8" max="8" width="11.36328125" style="1" customWidth="1"/>
    <col min="9" max="25" width="10.6328125" style="1" customWidth="1"/>
    <col min="26" max="16384" width="12.6328125" style="1"/>
  </cols>
  <sheetData>
    <row r="1" spans="1:13" ht="14.25" customHeight="1" x14ac:dyDescent="0.3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4.25" customHeight="1" x14ac:dyDescent="0.3">
      <c r="A2" s="1" t="s">
        <v>12</v>
      </c>
      <c r="B2" s="1" t="s">
        <v>13</v>
      </c>
      <c r="C2" s="1">
        <v>1</v>
      </c>
      <c r="H2" s="2" t="s">
        <v>14</v>
      </c>
      <c r="I2" s="3">
        <f t="shared" ref="I2:L2" si="0">SUM(C22+C37+C55+C65+C66+C96+C105+C113+C128+C146+C150)</f>
        <v>11</v>
      </c>
      <c r="J2" s="3">
        <f t="shared" si="0"/>
        <v>0</v>
      </c>
      <c r="K2" s="3">
        <f t="shared" si="0"/>
        <v>0</v>
      </c>
      <c r="L2" s="3">
        <f t="shared" si="0"/>
        <v>0</v>
      </c>
      <c r="M2" s="3">
        <f t="shared" ref="M2:M13" si="1">SUM(I2:L2)</f>
        <v>11</v>
      </c>
    </row>
    <row r="3" spans="1:13" ht="14.25" customHeight="1" x14ac:dyDescent="0.3">
      <c r="A3" s="1" t="s">
        <v>15</v>
      </c>
      <c r="B3" s="1" t="s">
        <v>16</v>
      </c>
      <c r="C3" s="1">
        <v>1</v>
      </c>
      <c r="H3" s="2" t="s">
        <v>17</v>
      </c>
      <c r="I3" s="3">
        <f t="shared" ref="I3:L3" si="2">SUM(C6+C32+C50+C52+C58+C69+C76+C94+C115+C122+C123+C152)</f>
        <v>12</v>
      </c>
      <c r="J3" s="3">
        <f t="shared" si="2"/>
        <v>0</v>
      </c>
      <c r="K3" s="3">
        <f t="shared" si="2"/>
        <v>0</v>
      </c>
      <c r="L3" s="3">
        <f t="shared" si="2"/>
        <v>0</v>
      </c>
      <c r="M3" s="3">
        <f t="shared" si="1"/>
        <v>12</v>
      </c>
    </row>
    <row r="4" spans="1:13" ht="14.25" customHeight="1" x14ac:dyDescent="0.3">
      <c r="A4" s="1" t="s">
        <v>18</v>
      </c>
      <c r="B4" s="1" t="s">
        <v>13</v>
      </c>
      <c r="C4" s="1">
        <v>1</v>
      </c>
      <c r="H4" s="2" t="s">
        <v>19</v>
      </c>
      <c r="I4" s="3">
        <f t="shared" ref="I4:L4" si="3">SUM(C26+C14+C27+C62+C68+C124+C138+C142+C153+C155)</f>
        <v>10</v>
      </c>
      <c r="J4" s="3">
        <f t="shared" si="3"/>
        <v>0</v>
      </c>
      <c r="K4" s="3">
        <f t="shared" si="3"/>
        <v>0</v>
      </c>
      <c r="L4" s="3">
        <f t="shared" si="3"/>
        <v>0</v>
      </c>
      <c r="M4" s="3">
        <f t="shared" si="1"/>
        <v>10</v>
      </c>
    </row>
    <row r="5" spans="1:13" ht="14.25" customHeight="1" x14ac:dyDescent="0.3">
      <c r="A5" s="1" t="s">
        <v>20</v>
      </c>
      <c r="B5" s="1" t="s">
        <v>21</v>
      </c>
      <c r="C5" s="1">
        <v>1</v>
      </c>
      <c r="H5" s="2" t="s">
        <v>22</v>
      </c>
      <c r="I5" s="3">
        <f t="shared" ref="I5:L5" si="4">SUM(C5+C36+C56+C63+C73+C85+C87+C95+C135)</f>
        <v>8</v>
      </c>
      <c r="J5" s="3">
        <f t="shared" si="4"/>
        <v>0</v>
      </c>
      <c r="K5" s="3">
        <f t="shared" si="4"/>
        <v>0</v>
      </c>
      <c r="L5" s="3">
        <f t="shared" si="4"/>
        <v>1</v>
      </c>
      <c r="M5" s="3">
        <f t="shared" si="1"/>
        <v>9</v>
      </c>
    </row>
    <row r="6" spans="1:13" ht="14.25" customHeight="1" x14ac:dyDescent="0.3">
      <c r="A6" s="1" t="s">
        <v>23</v>
      </c>
      <c r="B6" s="1" t="s">
        <v>24</v>
      </c>
      <c r="C6" s="1">
        <v>1</v>
      </c>
      <c r="H6" s="2" t="s">
        <v>25</v>
      </c>
      <c r="I6" s="3">
        <f t="shared" ref="I6:L6" si="5">SUM(C12+C15+C18+C28+C41+C59+C78+C64+C82+C83+C86+C106+C119+C143+C148+C154)</f>
        <v>16</v>
      </c>
      <c r="J6" s="3">
        <f t="shared" si="5"/>
        <v>0</v>
      </c>
      <c r="K6" s="3">
        <f t="shared" si="5"/>
        <v>0</v>
      </c>
      <c r="L6" s="3">
        <f t="shared" si="5"/>
        <v>0</v>
      </c>
      <c r="M6" s="3">
        <f t="shared" si="1"/>
        <v>16</v>
      </c>
    </row>
    <row r="7" spans="1:13" ht="14.25" customHeight="1" x14ac:dyDescent="0.3">
      <c r="A7" s="1" t="s">
        <v>26</v>
      </c>
      <c r="B7" s="1" t="s">
        <v>27</v>
      </c>
      <c r="C7" s="1">
        <v>1</v>
      </c>
      <c r="H7" s="2" t="s">
        <v>28</v>
      </c>
      <c r="I7" s="3">
        <f t="shared" ref="I7:L7" si="6">SUM(C3+C20+C46+C49+C54+C89+C90+C102+C112+C114+C129+C141)</f>
        <v>6</v>
      </c>
      <c r="J7" s="3">
        <f t="shared" si="6"/>
        <v>3</v>
      </c>
      <c r="K7" s="3">
        <f t="shared" si="6"/>
        <v>3</v>
      </c>
      <c r="L7" s="3">
        <f t="shared" si="6"/>
        <v>0</v>
      </c>
      <c r="M7" s="3">
        <f t="shared" si="1"/>
        <v>12</v>
      </c>
    </row>
    <row r="8" spans="1:13" ht="14.25" customHeight="1" x14ac:dyDescent="0.3">
      <c r="A8" s="1" t="s">
        <v>29</v>
      </c>
      <c r="B8" s="1" t="s">
        <v>30</v>
      </c>
      <c r="E8" s="1">
        <v>1</v>
      </c>
      <c r="H8" s="2" t="s">
        <v>27</v>
      </c>
      <c r="I8" s="3">
        <f t="shared" ref="I8:L8" si="7">SUM(C7+C30+C29+C44+C51+C60+C72+C79+C101+C99+C107+C111+C117+C140+C144)</f>
        <v>6</v>
      </c>
      <c r="J8" s="3">
        <f t="shared" si="7"/>
        <v>8</v>
      </c>
      <c r="K8" s="3">
        <f t="shared" si="7"/>
        <v>1</v>
      </c>
      <c r="L8" s="3">
        <f t="shared" si="7"/>
        <v>0</v>
      </c>
      <c r="M8" s="3">
        <f t="shared" si="1"/>
        <v>15</v>
      </c>
    </row>
    <row r="9" spans="1:13" ht="14.25" customHeight="1" x14ac:dyDescent="0.3">
      <c r="A9" s="1" t="s">
        <v>31</v>
      </c>
      <c r="B9" s="1" t="s">
        <v>13</v>
      </c>
      <c r="C9" s="1">
        <v>1</v>
      </c>
      <c r="H9" s="2" t="s">
        <v>13</v>
      </c>
      <c r="I9" s="3">
        <f t="shared" ref="I9:J9" si="8">SUM(C4+C9+C17+C19+C2+C48+C92+C120+C126+C127+C130+C133+C151)</f>
        <v>9</v>
      </c>
      <c r="J9" s="3">
        <f t="shared" si="8"/>
        <v>2</v>
      </c>
      <c r="K9" s="3">
        <f>SUM(D4+D9+D17+D19+D2+D48+D92+D120+D126+D127+D130+D133+D151)</f>
        <v>2</v>
      </c>
      <c r="L9" s="3">
        <f>SUM(F4+F9+F17+F19+F2+F48+F92+F120+F126+F127+F130+F133+F151)</f>
        <v>0</v>
      </c>
      <c r="M9" s="3">
        <f t="shared" si="1"/>
        <v>13</v>
      </c>
    </row>
    <row r="10" spans="1:13" ht="14.25" customHeight="1" x14ac:dyDescent="0.3">
      <c r="A10" s="1" t="s">
        <v>32</v>
      </c>
      <c r="B10" s="1" t="s">
        <v>33</v>
      </c>
      <c r="C10" s="1">
        <v>1</v>
      </c>
      <c r="H10" s="2" t="s">
        <v>30</v>
      </c>
      <c r="I10" s="3">
        <f t="shared" ref="I10:L10" si="9">SUM(C8+C13+C16+C25+C31+C35+C43+C45+C70+C71+C75+C81+C88+C93+C98+C100+C104+C118+C136+C137+C156)</f>
        <v>0</v>
      </c>
      <c r="J10" s="3">
        <f t="shared" si="9"/>
        <v>7</v>
      </c>
      <c r="K10" s="3">
        <f t="shared" si="9"/>
        <v>14</v>
      </c>
      <c r="L10" s="3">
        <f t="shared" si="9"/>
        <v>0</v>
      </c>
      <c r="M10" s="3">
        <f t="shared" si="1"/>
        <v>21</v>
      </c>
    </row>
    <row r="11" spans="1:13" ht="14.25" customHeight="1" x14ac:dyDescent="0.3">
      <c r="A11" s="1" t="s">
        <v>34</v>
      </c>
      <c r="B11" s="1" t="s">
        <v>33</v>
      </c>
      <c r="C11" s="1">
        <v>1</v>
      </c>
      <c r="H11" s="2" t="s">
        <v>35</v>
      </c>
      <c r="I11" s="3">
        <f t="shared" ref="I11:L11" si="10">SUM(C38+C42+C47+C53+C74+C77+C80+C91+C97+C103+C108+C116+C131+C145+C147)</f>
        <v>3</v>
      </c>
      <c r="J11" s="3">
        <f t="shared" si="10"/>
        <v>1</v>
      </c>
      <c r="K11" s="3">
        <f t="shared" si="10"/>
        <v>11</v>
      </c>
      <c r="L11" s="3">
        <f t="shared" si="10"/>
        <v>0</v>
      </c>
      <c r="M11" s="3">
        <f t="shared" si="1"/>
        <v>15</v>
      </c>
    </row>
    <row r="12" spans="1:13" ht="14.25" customHeight="1" x14ac:dyDescent="0.3">
      <c r="A12" s="1" t="s">
        <v>36</v>
      </c>
      <c r="B12" s="1" t="s">
        <v>37</v>
      </c>
      <c r="C12" s="1">
        <v>1</v>
      </c>
      <c r="H12" s="2" t="s">
        <v>38</v>
      </c>
      <c r="I12" s="3">
        <f t="shared" ref="I12:L12" si="11">SUM(C21+C24+C34+C40+C67+C84+C132)</f>
        <v>1</v>
      </c>
      <c r="J12" s="3">
        <f t="shared" si="11"/>
        <v>4</v>
      </c>
      <c r="K12" s="3">
        <f t="shared" si="11"/>
        <v>2</v>
      </c>
      <c r="L12" s="3">
        <f t="shared" si="11"/>
        <v>0</v>
      </c>
      <c r="M12" s="3">
        <f t="shared" si="1"/>
        <v>7</v>
      </c>
    </row>
    <row r="13" spans="1:13" ht="14.25" customHeight="1" x14ac:dyDescent="0.3">
      <c r="A13" s="1" t="s">
        <v>39</v>
      </c>
      <c r="B13" s="1" t="s">
        <v>30</v>
      </c>
      <c r="E13" s="1">
        <v>1</v>
      </c>
      <c r="H13" s="2" t="s">
        <v>33</v>
      </c>
      <c r="I13" s="3">
        <f t="shared" ref="I13:L13" si="12">SUM(C10+C11+C57+C125+C149)</f>
        <v>5</v>
      </c>
      <c r="J13" s="3">
        <f t="shared" si="12"/>
        <v>0</v>
      </c>
      <c r="K13" s="3">
        <f t="shared" si="12"/>
        <v>0</v>
      </c>
      <c r="L13" s="3">
        <f t="shared" si="12"/>
        <v>0</v>
      </c>
      <c r="M13" s="3">
        <f t="shared" si="1"/>
        <v>5</v>
      </c>
    </row>
    <row r="14" spans="1:13" ht="14.25" customHeight="1" x14ac:dyDescent="0.3">
      <c r="A14" s="1" t="s">
        <v>40</v>
      </c>
      <c r="B14" s="1" t="s">
        <v>19</v>
      </c>
      <c r="C14" s="1">
        <v>1</v>
      </c>
      <c r="I14" s="4"/>
      <c r="J14" s="4"/>
      <c r="K14" s="4"/>
      <c r="L14" s="4"/>
    </row>
    <row r="15" spans="1:13" ht="14.25" customHeight="1" x14ac:dyDescent="0.3">
      <c r="A15" s="1" t="s">
        <v>41</v>
      </c>
      <c r="B15" s="1" t="s">
        <v>42</v>
      </c>
      <c r="C15" s="1">
        <v>1</v>
      </c>
      <c r="I15" s="4"/>
      <c r="J15" s="4"/>
      <c r="K15" s="4"/>
      <c r="L15" s="4"/>
    </row>
    <row r="16" spans="1:13" ht="14.25" customHeight="1" x14ac:dyDescent="0.3">
      <c r="A16" s="1" t="s">
        <v>43</v>
      </c>
      <c r="B16" s="1" t="s">
        <v>30</v>
      </c>
      <c r="D16" s="1">
        <v>1</v>
      </c>
      <c r="I16" s="4"/>
      <c r="J16" s="4"/>
      <c r="K16" s="4"/>
      <c r="L16" s="4"/>
    </row>
    <row r="17" spans="1:12" ht="14.25" customHeight="1" x14ac:dyDescent="0.3">
      <c r="A17" s="1" t="s">
        <v>44</v>
      </c>
      <c r="B17" s="1" t="s">
        <v>13</v>
      </c>
      <c r="D17" s="1">
        <v>1</v>
      </c>
      <c r="I17" s="4"/>
      <c r="J17" s="4"/>
      <c r="K17" s="4"/>
      <c r="L17" s="4"/>
    </row>
    <row r="18" spans="1:12" ht="14.25" customHeight="1" x14ac:dyDescent="0.3">
      <c r="A18" s="1" t="s">
        <v>45</v>
      </c>
      <c r="B18" s="1" t="s">
        <v>37</v>
      </c>
      <c r="C18" s="1">
        <v>1</v>
      </c>
      <c r="I18" s="4"/>
      <c r="J18" s="4"/>
      <c r="K18" s="4"/>
      <c r="L18" s="4"/>
    </row>
    <row r="19" spans="1:12" ht="14.25" customHeight="1" x14ac:dyDescent="0.3">
      <c r="A19" s="1" t="s">
        <v>46</v>
      </c>
      <c r="B19" s="1" t="s">
        <v>13</v>
      </c>
      <c r="C19" s="1">
        <v>1</v>
      </c>
    </row>
    <row r="20" spans="1:12" ht="14.25" customHeight="1" x14ac:dyDescent="0.3">
      <c r="A20" s="1" t="s">
        <v>47</v>
      </c>
      <c r="B20" s="1" t="s">
        <v>16</v>
      </c>
      <c r="D20" s="1">
        <v>1</v>
      </c>
    </row>
    <row r="21" spans="1:12" ht="14.25" customHeight="1" x14ac:dyDescent="0.3">
      <c r="A21" s="1" t="s">
        <v>48</v>
      </c>
      <c r="B21" s="1" t="s">
        <v>38</v>
      </c>
      <c r="D21" s="1">
        <v>1</v>
      </c>
    </row>
    <row r="22" spans="1:12" ht="14.25" customHeight="1" x14ac:dyDescent="0.3">
      <c r="A22" s="1" t="s">
        <v>49</v>
      </c>
      <c r="B22" s="1" t="s">
        <v>14</v>
      </c>
      <c r="C22" s="1">
        <v>1</v>
      </c>
    </row>
    <row r="23" spans="1:12" ht="14.25" customHeight="1" x14ac:dyDescent="0.3">
      <c r="A23" s="1" t="s">
        <v>50</v>
      </c>
      <c r="B23" s="1" t="s">
        <v>13</v>
      </c>
      <c r="E23" s="1">
        <v>1</v>
      </c>
    </row>
    <row r="24" spans="1:12" ht="14.25" customHeight="1" x14ac:dyDescent="0.3">
      <c r="A24" s="1" t="s">
        <v>51</v>
      </c>
      <c r="B24" s="1" t="s">
        <v>38</v>
      </c>
      <c r="E24" s="1">
        <v>1</v>
      </c>
    </row>
    <row r="25" spans="1:12" ht="14.25" customHeight="1" x14ac:dyDescent="0.3">
      <c r="A25" s="1" t="s">
        <v>52</v>
      </c>
      <c r="B25" s="1" t="s">
        <v>30</v>
      </c>
      <c r="E25" s="1">
        <v>1</v>
      </c>
    </row>
    <row r="26" spans="1:12" ht="14.25" customHeight="1" x14ac:dyDescent="0.3">
      <c r="A26" s="1" t="s">
        <v>53</v>
      </c>
      <c r="B26" s="1" t="s">
        <v>19</v>
      </c>
      <c r="C26" s="1">
        <v>1</v>
      </c>
    </row>
    <row r="27" spans="1:12" ht="14.25" customHeight="1" x14ac:dyDescent="0.3">
      <c r="A27" s="1" t="s">
        <v>54</v>
      </c>
      <c r="B27" s="1" t="s">
        <v>19</v>
      </c>
      <c r="C27" s="1">
        <v>1</v>
      </c>
    </row>
    <row r="28" spans="1:12" ht="14.25" customHeight="1" x14ac:dyDescent="0.3">
      <c r="A28" s="1" t="s">
        <v>55</v>
      </c>
      <c r="B28" s="1" t="s">
        <v>37</v>
      </c>
      <c r="C28" s="1">
        <v>1</v>
      </c>
    </row>
    <row r="29" spans="1:12" ht="14.25" customHeight="1" x14ac:dyDescent="0.3">
      <c r="A29" s="1" t="s">
        <v>56</v>
      </c>
      <c r="B29" s="1" t="s">
        <v>27</v>
      </c>
      <c r="D29" s="1">
        <v>1</v>
      </c>
    </row>
    <row r="30" spans="1:12" ht="14.25" customHeight="1" x14ac:dyDescent="0.3">
      <c r="A30" s="1" t="s">
        <v>57</v>
      </c>
      <c r="B30" s="1" t="s">
        <v>27</v>
      </c>
      <c r="C30" s="1">
        <v>1</v>
      </c>
    </row>
    <row r="31" spans="1:12" ht="14.25" customHeight="1" x14ac:dyDescent="0.3">
      <c r="A31" s="1" t="s">
        <v>58</v>
      </c>
      <c r="B31" s="1" t="s">
        <v>30</v>
      </c>
      <c r="D31" s="1">
        <v>1</v>
      </c>
    </row>
    <row r="32" spans="1:12" ht="14.25" customHeight="1" x14ac:dyDescent="0.3">
      <c r="A32" s="1" t="s">
        <v>59</v>
      </c>
      <c r="B32" s="1" t="s">
        <v>24</v>
      </c>
      <c r="C32" s="1">
        <v>1</v>
      </c>
    </row>
    <row r="33" spans="1:12" ht="14.25" customHeight="1" x14ac:dyDescent="0.3">
      <c r="A33" s="1" t="s">
        <v>60</v>
      </c>
      <c r="B33" s="1" t="s">
        <v>27</v>
      </c>
      <c r="D33" s="1">
        <v>1</v>
      </c>
    </row>
    <row r="34" spans="1:12" ht="14.25" customHeight="1" x14ac:dyDescent="0.3">
      <c r="A34" s="1" t="s">
        <v>61</v>
      </c>
      <c r="B34" s="1" t="s">
        <v>38</v>
      </c>
      <c r="D34" s="1">
        <v>1</v>
      </c>
    </row>
    <row r="35" spans="1:12" ht="14.25" customHeight="1" x14ac:dyDescent="0.3">
      <c r="A35" s="1" t="s">
        <v>62</v>
      </c>
      <c r="B35" s="1" t="s">
        <v>30</v>
      </c>
      <c r="E35" s="1">
        <v>1</v>
      </c>
    </row>
    <row r="36" spans="1:12" ht="14.25" customHeight="1" x14ac:dyDescent="0.3">
      <c r="A36" s="1" t="s">
        <v>63</v>
      </c>
      <c r="B36" s="1" t="s">
        <v>21</v>
      </c>
      <c r="C36" s="1">
        <v>1</v>
      </c>
    </row>
    <row r="37" spans="1:12" ht="14.25" customHeight="1" x14ac:dyDescent="0.3">
      <c r="A37" s="1" t="s">
        <v>64</v>
      </c>
      <c r="B37" s="1" t="s">
        <v>14</v>
      </c>
      <c r="C37" s="1">
        <v>1</v>
      </c>
    </row>
    <row r="38" spans="1:12" ht="14.25" customHeight="1" x14ac:dyDescent="0.3">
      <c r="A38" s="1" t="s">
        <v>65</v>
      </c>
      <c r="B38" s="1" t="s">
        <v>66</v>
      </c>
      <c r="E38" s="1">
        <v>1</v>
      </c>
    </row>
    <row r="39" spans="1:12" ht="14.25" customHeight="1" x14ac:dyDescent="0.3">
      <c r="A39" s="1" t="s">
        <v>67</v>
      </c>
      <c r="B39" s="1" t="s">
        <v>16</v>
      </c>
      <c r="C39" s="1">
        <v>1</v>
      </c>
    </row>
    <row r="40" spans="1:12" ht="14.25" customHeight="1" x14ac:dyDescent="0.3">
      <c r="A40" s="1" t="s">
        <v>68</v>
      </c>
      <c r="B40" s="1" t="s">
        <v>38</v>
      </c>
      <c r="C40" s="1">
        <v>1</v>
      </c>
    </row>
    <row r="41" spans="1:12" ht="14.25" customHeight="1" x14ac:dyDescent="0.3">
      <c r="A41" s="1" t="s">
        <v>69</v>
      </c>
      <c r="B41" s="1" t="s">
        <v>37</v>
      </c>
      <c r="C41" s="1">
        <v>1</v>
      </c>
    </row>
    <row r="42" spans="1:12" ht="14.25" customHeight="1" x14ac:dyDescent="0.3">
      <c r="A42" s="1" t="s">
        <v>70</v>
      </c>
      <c r="B42" s="1" t="s">
        <v>66</v>
      </c>
      <c r="E42" s="1">
        <v>1</v>
      </c>
    </row>
    <row r="43" spans="1:12" ht="14.25" customHeight="1" x14ac:dyDescent="0.3">
      <c r="A43" s="1" t="s">
        <v>71</v>
      </c>
      <c r="B43" s="1" t="s">
        <v>30</v>
      </c>
      <c r="D43" s="1">
        <v>1</v>
      </c>
    </row>
    <row r="44" spans="1:12" ht="14.25" customHeight="1" x14ac:dyDescent="0.3">
      <c r="A44" s="1" t="s">
        <v>72</v>
      </c>
      <c r="B44" s="1" t="s">
        <v>27</v>
      </c>
      <c r="D44" s="1">
        <v>1</v>
      </c>
    </row>
    <row r="45" spans="1:12" ht="14.25" customHeight="1" x14ac:dyDescent="0.3">
      <c r="A45" s="1" t="s">
        <v>73</v>
      </c>
      <c r="B45" s="1" t="s">
        <v>30</v>
      </c>
      <c r="E45" s="1">
        <v>1</v>
      </c>
      <c r="H45" s="1" t="s">
        <v>6</v>
      </c>
      <c r="I45" s="1" t="s">
        <v>7</v>
      </c>
      <c r="J45" s="1" t="s">
        <v>8</v>
      </c>
      <c r="K45" s="1" t="s">
        <v>9</v>
      </c>
      <c r="L45" s="1" t="s">
        <v>10</v>
      </c>
    </row>
    <row r="46" spans="1:12" ht="14.25" customHeight="1" x14ac:dyDescent="0.3">
      <c r="A46" s="1" t="s">
        <v>74</v>
      </c>
      <c r="B46" s="1" t="s">
        <v>16</v>
      </c>
      <c r="E46" s="1">
        <v>1</v>
      </c>
      <c r="H46" s="2" t="s">
        <v>14</v>
      </c>
      <c r="I46" s="4">
        <f t="shared" ref="I46:I57" si="13">I2/M2</f>
        <v>1</v>
      </c>
      <c r="J46" s="4">
        <f t="shared" ref="J46:J57" si="14">J2/M2</f>
        <v>0</v>
      </c>
      <c r="K46" s="4">
        <f t="shared" ref="K46:K57" si="15">K2/M2</f>
        <v>0</v>
      </c>
      <c r="L46" s="4">
        <f t="shared" ref="L46:L57" si="16">L2/M2</f>
        <v>0</v>
      </c>
    </row>
    <row r="47" spans="1:12" ht="14.25" customHeight="1" x14ac:dyDescent="0.3">
      <c r="A47" s="1" t="s">
        <v>75</v>
      </c>
      <c r="B47" s="1" t="s">
        <v>66</v>
      </c>
      <c r="C47" s="1">
        <v>1</v>
      </c>
      <c r="H47" s="2" t="s">
        <v>17</v>
      </c>
      <c r="I47" s="4">
        <f t="shared" si="13"/>
        <v>1</v>
      </c>
      <c r="J47" s="4">
        <f t="shared" si="14"/>
        <v>0</v>
      </c>
      <c r="K47" s="4">
        <f t="shared" si="15"/>
        <v>0</v>
      </c>
      <c r="L47" s="4">
        <f t="shared" si="16"/>
        <v>0</v>
      </c>
    </row>
    <row r="48" spans="1:12" ht="14.25" customHeight="1" x14ac:dyDescent="0.3">
      <c r="A48" s="1" t="s">
        <v>76</v>
      </c>
      <c r="B48" s="1" t="s">
        <v>13</v>
      </c>
      <c r="E48" s="1">
        <v>1</v>
      </c>
      <c r="H48" s="2" t="s">
        <v>19</v>
      </c>
      <c r="I48" s="4">
        <f t="shared" si="13"/>
        <v>1</v>
      </c>
      <c r="J48" s="4">
        <f t="shared" si="14"/>
        <v>0</v>
      </c>
      <c r="K48" s="4">
        <f t="shared" si="15"/>
        <v>0</v>
      </c>
      <c r="L48" s="4">
        <f t="shared" si="16"/>
        <v>0</v>
      </c>
    </row>
    <row r="49" spans="1:12" ht="14.25" customHeight="1" x14ac:dyDescent="0.3">
      <c r="A49" s="1" t="s">
        <v>77</v>
      </c>
      <c r="B49" s="1" t="s">
        <v>16</v>
      </c>
      <c r="C49" s="1">
        <v>1</v>
      </c>
      <c r="H49" s="2" t="s">
        <v>22</v>
      </c>
      <c r="I49" s="4">
        <f t="shared" si="13"/>
        <v>0.88888888888888884</v>
      </c>
      <c r="J49" s="4">
        <f t="shared" si="14"/>
        <v>0</v>
      </c>
      <c r="K49" s="4">
        <f t="shared" si="15"/>
        <v>0</v>
      </c>
      <c r="L49" s="4">
        <f t="shared" si="16"/>
        <v>0.1111111111111111</v>
      </c>
    </row>
    <row r="50" spans="1:12" ht="14.25" customHeight="1" x14ac:dyDescent="0.3">
      <c r="A50" s="1" t="s">
        <v>78</v>
      </c>
      <c r="B50" s="1" t="s">
        <v>24</v>
      </c>
      <c r="C50" s="1">
        <v>1</v>
      </c>
      <c r="H50" s="2" t="s">
        <v>25</v>
      </c>
      <c r="I50" s="4">
        <f t="shared" si="13"/>
        <v>1</v>
      </c>
      <c r="J50" s="4">
        <f t="shared" si="14"/>
        <v>0</v>
      </c>
      <c r="K50" s="4">
        <f t="shared" si="15"/>
        <v>0</v>
      </c>
      <c r="L50" s="4">
        <f t="shared" si="16"/>
        <v>0</v>
      </c>
    </row>
    <row r="51" spans="1:12" ht="14.25" customHeight="1" x14ac:dyDescent="0.3">
      <c r="A51" s="1" t="s">
        <v>79</v>
      </c>
      <c r="B51" s="1" t="s">
        <v>27</v>
      </c>
      <c r="D51" s="1">
        <v>1</v>
      </c>
      <c r="H51" s="2" t="s">
        <v>28</v>
      </c>
      <c r="I51" s="4">
        <f t="shared" si="13"/>
        <v>0.5</v>
      </c>
      <c r="J51" s="4">
        <f t="shared" si="14"/>
        <v>0.25</v>
      </c>
      <c r="K51" s="4">
        <f t="shared" si="15"/>
        <v>0.25</v>
      </c>
      <c r="L51" s="4">
        <f t="shared" si="16"/>
        <v>0</v>
      </c>
    </row>
    <row r="52" spans="1:12" ht="14.25" customHeight="1" x14ac:dyDescent="0.3">
      <c r="A52" s="1" t="s">
        <v>80</v>
      </c>
      <c r="B52" s="1" t="s">
        <v>24</v>
      </c>
      <c r="C52" s="1">
        <v>1</v>
      </c>
      <c r="H52" s="2" t="s">
        <v>27</v>
      </c>
      <c r="I52" s="4">
        <f t="shared" si="13"/>
        <v>0.4</v>
      </c>
      <c r="J52" s="4">
        <f t="shared" si="14"/>
        <v>0.53333333333333333</v>
      </c>
      <c r="K52" s="4">
        <f t="shared" si="15"/>
        <v>6.6666666666666666E-2</v>
      </c>
      <c r="L52" s="4">
        <f t="shared" si="16"/>
        <v>0</v>
      </c>
    </row>
    <row r="53" spans="1:12" ht="14.25" customHeight="1" x14ac:dyDescent="0.3">
      <c r="A53" s="1" t="s">
        <v>81</v>
      </c>
      <c r="B53" s="1" t="s">
        <v>66</v>
      </c>
      <c r="E53" s="1">
        <v>1</v>
      </c>
      <c r="H53" s="2" t="s">
        <v>13</v>
      </c>
      <c r="I53" s="4">
        <f t="shared" si="13"/>
        <v>0.69230769230769229</v>
      </c>
      <c r="J53" s="4">
        <f t="shared" si="14"/>
        <v>0.15384615384615385</v>
      </c>
      <c r="K53" s="4">
        <f t="shared" si="15"/>
        <v>0.15384615384615385</v>
      </c>
      <c r="L53" s="4">
        <f t="shared" si="16"/>
        <v>0</v>
      </c>
    </row>
    <row r="54" spans="1:12" ht="14.25" customHeight="1" x14ac:dyDescent="0.3">
      <c r="A54" s="1" t="s">
        <v>82</v>
      </c>
      <c r="B54" s="1" t="s">
        <v>16</v>
      </c>
      <c r="E54" s="1">
        <v>1</v>
      </c>
      <c r="H54" s="2" t="s">
        <v>30</v>
      </c>
      <c r="I54" s="4">
        <f t="shared" si="13"/>
        <v>0</v>
      </c>
      <c r="J54" s="4">
        <f t="shared" si="14"/>
        <v>0.33333333333333331</v>
      </c>
      <c r="K54" s="4">
        <f t="shared" si="15"/>
        <v>0.66666666666666663</v>
      </c>
      <c r="L54" s="4">
        <f t="shared" si="16"/>
        <v>0</v>
      </c>
    </row>
    <row r="55" spans="1:12" ht="14.25" customHeight="1" x14ac:dyDescent="0.3">
      <c r="A55" s="1" t="s">
        <v>83</v>
      </c>
      <c r="B55" s="1" t="s">
        <v>14</v>
      </c>
      <c r="C55" s="1">
        <v>1</v>
      </c>
      <c r="H55" s="2" t="s">
        <v>35</v>
      </c>
      <c r="I55" s="4">
        <f t="shared" si="13"/>
        <v>0.2</v>
      </c>
      <c r="J55" s="4">
        <f t="shared" si="14"/>
        <v>6.6666666666666666E-2</v>
      </c>
      <c r="K55" s="4">
        <f t="shared" si="15"/>
        <v>0.73333333333333328</v>
      </c>
      <c r="L55" s="4">
        <f t="shared" si="16"/>
        <v>0</v>
      </c>
    </row>
    <row r="56" spans="1:12" ht="14.25" customHeight="1" x14ac:dyDescent="0.3">
      <c r="A56" s="1" t="s">
        <v>84</v>
      </c>
      <c r="B56" s="1" t="s">
        <v>21</v>
      </c>
      <c r="C56" s="1">
        <v>1</v>
      </c>
      <c r="H56" s="2" t="s">
        <v>38</v>
      </c>
      <c r="I56" s="4">
        <f t="shared" si="13"/>
        <v>0.14285714285714285</v>
      </c>
      <c r="J56" s="4">
        <f t="shared" si="14"/>
        <v>0.5714285714285714</v>
      </c>
      <c r="K56" s="4">
        <f t="shared" si="15"/>
        <v>0.2857142857142857</v>
      </c>
      <c r="L56" s="4">
        <f t="shared" si="16"/>
        <v>0</v>
      </c>
    </row>
    <row r="57" spans="1:12" ht="14.25" customHeight="1" x14ac:dyDescent="0.3">
      <c r="A57" s="1" t="s">
        <v>85</v>
      </c>
      <c r="B57" s="1" t="s">
        <v>33</v>
      </c>
      <c r="C57" s="1">
        <v>1</v>
      </c>
      <c r="H57" s="2" t="s">
        <v>33</v>
      </c>
      <c r="I57" s="4">
        <f t="shared" si="13"/>
        <v>1</v>
      </c>
      <c r="J57" s="4">
        <f t="shared" si="14"/>
        <v>0</v>
      </c>
      <c r="K57" s="4">
        <f t="shared" si="15"/>
        <v>0</v>
      </c>
      <c r="L57" s="4">
        <f t="shared" si="16"/>
        <v>0</v>
      </c>
    </row>
    <row r="58" spans="1:12" ht="14.25" customHeight="1" x14ac:dyDescent="0.3">
      <c r="A58" s="1" t="s">
        <v>86</v>
      </c>
      <c r="B58" s="1" t="s">
        <v>24</v>
      </c>
      <c r="C58" s="1">
        <v>1</v>
      </c>
    </row>
    <row r="59" spans="1:12" ht="14.25" customHeight="1" x14ac:dyDescent="0.3">
      <c r="A59" s="1" t="s">
        <v>87</v>
      </c>
      <c r="B59" s="1" t="s">
        <v>37</v>
      </c>
      <c r="C59" s="1">
        <v>1</v>
      </c>
    </row>
    <row r="60" spans="1:12" ht="14.25" customHeight="1" x14ac:dyDescent="0.3">
      <c r="A60" s="1" t="s">
        <v>88</v>
      </c>
      <c r="B60" s="1" t="s">
        <v>27</v>
      </c>
      <c r="C60" s="1">
        <v>1</v>
      </c>
    </row>
    <row r="61" spans="1:12" ht="14.25" customHeight="1" x14ac:dyDescent="0.3">
      <c r="A61" s="1" t="s">
        <v>89</v>
      </c>
      <c r="B61" s="1" t="s">
        <v>13</v>
      </c>
      <c r="C61" s="1">
        <v>1</v>
      </c>
    </row>
    <row r="62" spans="1:12" ht="14.25" customHeight="1" x14ac:dyDescent="0.3">
      <c r="A62" s="1" t="s">
        <v>90</v>
      </c>
      <c r="B62" s="1" t="s">
        <v>19</v>
      </c>
      <c r="C62" s="1">
        <v>1</v>
      </c>
    </row>
    <row r="63" spans="1:12" ht="14.25" customHeight="1" x14ac:dyDescent="0.3">
      <c r="A63" s="1" t="s">
        <v>91</v>
      </c>
      <c r="B63" s="1" t="s">
        <v>21</v>
      </c>
      <c r="F63" s="1">
        <v>1</v>
      </c>
    </row>
    <row r="64" spans="1:12" ht="14.25" customHeight="1" x14ac:dyDescent="0.3">
      <c r="A64" s="1" t="s">
        <v>92</v>
      </c>
      <c r="B64" s="1" t="s">
        <v>42</v>
      </c>
      <c r="C64" s="1">
        <v>1</v>
      </c>
    </row>
    <row r="65" spans="1:5" ht="14.25" customHeight="1" x14ac:dyDescent="0.3">
      <c r="A65" s="1" t="s">
        <v>93</v>
      </c>
      <c r="B65" s="1" t="s">
        <v>14</v>
      </c>
      <c r="C65" s="1">
        <v>1</v>
      </c>
    </row>
    <row r="66" spans="1:5" ht="14.25" customHeight="1" x14ac:dyDescent="0.3">
      <c r="A66" s="1" t="s">
        <v>94</v>
      </c>
      <c r="B66" s="1" t="s">
        <v>14</v>
      </c>
      <c r="C66" s="1">
        <v>1</v>
      </c>
    </row>
    <row r="67" spans="1:5" ht="14.25" customHeight="1" x14ac:dyDescent="0.3">
      <c r="A67" s="1" t="s">
        <v>95</v>
      </c>
      <c r="B67" s="1" t="s">
        <v>38</v>
      </c>
      <c r="D67" s="1">
        <v>1</v>
      </c>
    </row>
    <row r="68" spans="1:5" ht="14.25" customHeight="1" x14ac:dyDescent="0.3">
      <c r="A68" s="1" t="s">
        <v>96</v>
      </c>
      <c r="B68" s="1" t="s">
        <v>19</v>
      </c>
      <c r="C68" s="1">
        <v>1</v>
      </c>
    </row>
    <row r="69" spans="1:5" ht="14.25" customHeight="1" x14ac:dyDescent="0.3">
      <c r="A69" s="1" t="s">
        <v>97</v>
      </c>
      <c r="B69" s="1" t="s">
        <v>24</v>
      </c>
      <c r="C69" s="1">
        <v>1</v>
      </c>
    </row>
    <row r="70" spans="1:5" ht="14.25" customHeight="1" x14ac:dyDescent="0.3">
      <c r="A70" s="1" t="s">
        <v>98</v>
      </c>
      <c r="B70" s="1" t="s">
        <v>30</v>
      </c>
      <c r="D70" s="1">
        <v>1</v>
      </c>
    </row>
    <row r="71" spans="1:5" ht="14.25" customHeight="1" x14ac:dyDescent="0.3">
      <c r="A71" s="1" t="s">
        <v>99</v>
      </c>
      <c r="B71" s="1" t="s">
        <v>30</v>
      </c>
      <c r="D71" s="1">
        <v>1</v>
      </c>
    </row>
    <row r="72" spans="1:5" ht="14.25" customHeight="1" x14ac:dyDescent="0.3">
      <c r="A72" s="1" t="s">
        <v>100</v>
      </c>
      <c r="B72" s="1" t="s">
        <v>27</v>
      </c>
      <c r="D72" s="1">
        <v>1</v>
      </c>
    </row>
    <row r="73" spans="1:5" ht="14.25" customHeight="1" x14ac:dyDescent="0.3">
      <c r="A73" s="1" t="s">
        <v>101</v>
      </c>
      <c r="B73" s="1" t="s">
        <v>21</v>
      </c>
      <c r="C73" s="1">
        <v>1</v>
      </c>
    </row>
    <row r="74" spans="1:5" ht="14.25" customHeight="1" x14ac:dyDescent="0.3">
      <c r="A74" s="1" t="s">
        <v>102</v>
      </c>
      <c r="B74" s="1" t="s">
        <v>66</v>
      </c>
      <c r="E74" s="1">
        <v>1</v>
      </c>
    </row>
    <row r="75" spans="1:5" ht="14.25" customHeight="1" x14ac:dyDescent="0.3">
      <c r="A75" s="1" t="s">
        <v>103</v>
      </c>
      <c r="B75" s="1" t="s">
        <v>30</v>
      </c>
      <c r="E75" s="1">
        <v>1</v>
      </c>
    </row>
    <row r="76" spans="1:5" ht="14.25" customHeight="1" x14ac:dyDescent="0.3">
      <c r="A76" s="1" t="s">
        <v>104</v>
      </c>
      <c r="B76" s="1" t="s">
        <v>24</v>
      </c>
      <c r="C76" s="1">
        <v>1</v>
      </c>
    </row>
    <row r="77" spans="1:5" ht="14.25" customHeight="1" x14ac:dyDescent="0.3">
      <c r="A77" s="1" t="s">
        <v>105</v>
      </c>
      <c r="B77" s="1" t="s">
        <v>66</v>
      </c>
      <c r="C77" s="1">
        <v>1</v>
      </c>
    </row>
    <row r="78" spans="1:5" ht="14.25" customHeight="1" x14ac:dyDescent="0.3">
      <c r="A78" s="1" t="s">
        <v>106</v>
      </c>
      <c r="B78" s="1" t="s">
        <v>42</v>
      </c>
      <c r="C78" s="1">
        <v>1</v>
      </c>
    </row>
    <row r="79" spans="1:5" ht="14.25" customHeight="1" x14ac:dyDescent="0.3">
      <c r="A79" s="1" t="s">
        <v>107</v>
      </c>
      <c r="B79" s="1" t="s">
        <v>27</v>
      </c>
      <c r="D79" s="1">
        <v>1</v>
      </c>
    </row>
    <row r="80" spans="1:5" ht="14.25" customHeight="1" x14ac:dyDescent="0.3">
      <c r="A80" s="1" t="s">
        <v>108</v>
      </c>
      <c r="B80" s="1" t="s">
        <v>66</v>
      </c>
      <c r="E80" s="1">
        <v>1</v>
      </c>
    </row>
    <row r="81" spans="1:5" ht="14.25" customHeight="1" x14ac:dyDescent="0.3">
      <c r="A81" s="1" t="s">
        <v>109</v>
      </c>
      <c r="B81" s="1" t="s">
        <v>30</v>
      </c>
      <c r="E81" s="1">
        <v>1</v>
      </c>
    </row>
    <row r="82" spans="1:5" ht="14.25" customHeight="1" x14ac:dyDescent="0.3">
      <c r="A82" s="1" t="s">
        <v>110</v>
      </c>
      <c r="B82" s="1" t="s">
        <v>37</v>
      </c>
      <c r="C82" s="1">
        <v>1</v>
      </c>
    </row>
    <row r="83" spans="1:5" ht="14.25" customHeight="1" x14ac:dyDescent="0.3">
      <c r="A83" s="1" t="s">
        <v>111</v>
      </c>
      <c r="B83" s="1" t="s">
        <v>37</v>
      </c>
      <c r="C83" s="1">
        <v>1</v>
      </c>
    </row>
    <row r="84" spans="1:5" ht="14.25" customHeight="1" x14ac:dyDescent="0.3">
      <c r="A84" s="1" t="s">
        <v>112</v>
      </c>
      <c r="B84" s="1" t="s">
        <v>38</v>
      </c>
      <c r="E84" s="1">
        <v>1</v>
      </c>
    </row>
    <row r="85" spans="1:5" ht="14.25" customHeight="1" x14ac:dyDescent="0.3">
      <c r="A85" s="1" t="s">
        <v>113</v>
      </c>
      <c r="B85" s="1" t="s">
        <v>21</v>
      </c>
      <c r="C85" s="1">
        <v>1</v>
      </c>
    </row>
    <row r="86" spans="1:5" ht="14.25" customHeight="1" x14ac:dyDescent="0.3">
      <c r="A86" s="1" t="s">
        <v>114</v>
      </c>
      <c r="B86" s="1" t="s">
        <v>42</v>
      </c>
      <c r="C86" s="1">
        <v>1</v>
      </c>
    </row>
    <row r="87" spans="1:5" ht="14.25" customHeight="1" x14ac:dyDescent="0.3">
      <c r="A87" s="1" t="s">
        <v>115</v>
      </c>
      <c r="B87" s="1" t="s">
        <v>21</v>
      </c>
      <c r="C87" s="1">
        <v>1</v>
      </c>
    </row>
    <row r="88" spans="1:5" ht="14.25" customHeight="1" x14ac:dyDescent="0.3">
      <c r="A88" s="1" t="s">
        <v>116</v>
      </c>
      <c r="B88" s="1" t="s">
        <v>30</v>
      </c>
      <c r="D88" s="1">
        <v>1</v>
      </c>
    </row>
    <row r="89" spans="1:5" ht="14.25" customHeight="1" x14ac:dyDescent="0.3">
      <c r="A89" s="1" t="s">
        <v>117</v>
      </c>
      <c r="B89" s="1" t="s">
        <v>16</v>
      </c>
      <c r="C89" s="1">
        <v>1</v>
      </c>
    </row>
    <row r="90" spans="1:5" ht="14.25" customHeight="1" x14ac:dyDescent="0.3">
      <c r="A90" s="1" t="s">
        <v>118</v>
      </c>
      <c r="B90" s="1" t="s">
        <v>16</v>
      </c>
      <c r="E90" s="1">
        <v>1</v>
      </c>
    </row>
    <row r="91" spans="1:5" ht="14.25" customHeight="1" x14ac:dyDescent="0.3">
      <c r="A91" s="1" t="s">
        <v>119</v>
      </c>
      <c r="B91" s="1" t="s">
        <v>66</v>
      </c>
      <c r="E91" s="1">
        <v>1</v>
      </c>
    </row>
    <row r="92" spans="1:5" ht="14.25" customHeight="1" x14ac:dyDescent="0.3">
      <c r="A92" s="1" t="s">
        <v>120</v>
      </c>
      <c r="B92" s="1" t="s">
        <v>13</v>
      </c>
      <c r="C92" s="1">
        <v>1</v>
      </c>
    </row>
    <row r="93" spans="1:5" ht="14.25" customHeight="1" x14ac:dyDescent="0.3">
      <c r="A93" s="1" t="s">
        <v>121</v>
      </c>
      <c r="B93" s="1" t="s">
        <v>30</v>
      </c>
      <c r="E93" s="1">
        <v>1</v>
      </c>
    </row>
    <row r="94" spans="1:5" ht="14.25" customHeight="1" x14ac:dyDescent="0.3">
      <c r="A94" s="1" t="s">
        <v>122</v>
      </c>
      <c r="B94" s="1" t="s">
        <v>24</v>
      </c>
      <c r="C94" s="1">
        <v>1</v>
      </c>
    </row>
    <row r="95" spans="1:5" ht="14.25" customHeight="1" x14ac:dyDescent="0.3">
      <c r="A95" s="1" t="s">
        <v>123</v>
      </c>
      <c r="B95" s="1" t="s">
        <v>21</v>
      </c>
      <c r="C95" s="1">
        <v>1</v>
      </c>
    </row>
    <row r="96" spans="1:5" ht="14.25" customHeight="1" x14ac:dyDescent="0.3">
      <c r="A96" s="1" t="s">
        <v>124</v>
      </c>
      <c r="B96" s="1" t="s">
        <v>14</v>
      </c>
      <c r="C96" s="1">
        <v>1</v>
      </c>
    </row>
    <row r="97" spans="1:5" ht="14.25" customHeight="1" x14ac:dyDescent="0.3">
      <c r="A97" s="1" t="s">
        <v>125</v>
      </c>
      <c r="B97" s="1" t="s">
        <v>66</v>
      </c>
      <c r="E97" s="1">
        <v>1</v>
      </c>
    </row>
    <row r="98" spans="1:5" ht="14.25" customHeight="1" x14ac:dyDescent="0.3">
      <c r="A98" s="1" t="s">
        <v>126</v>
      </c>
      <c r="B98" s="1" t="s">
        <v>30</v>
      </c>
      <c r="E98" s="1">
        <v>1</v>
      </c>
    </row>
    <row r="99" spans="1:5" ht="14.25" customHeight="1" x14ac:dyDescent="0.3">
      <c r="A99" s="1" t="s">
        <v>127</v>
      </c>
      <c r="B99" s="1" t="s">
        <v>27</v>
      </c>
      <c r="E99" s="1">
        <v>1</v>
      </c>
    </row>
    <row r="100" spans="1:5" ht="14.25" customHeight="1" x14ac:dyDescent="0.3">
      <c r="A100" s="1" t="s">
        <v>128</v>
      </c>
      <c r="B100" s="1" t="s">
        <v>30</v>
      </c>
      <c r="D100" s="1">
        <v>1</v>
      </c>
    </row>
    <row r="101" spans="1:5" ht="14.25" customHeight="1" x14ac:dyDescent="0.3">
      <c r="A101" s="1" t="s">
        <v>129</v>
      </c>
      <c r="B101" s="1" t="s">
        <v>27</v>
      </c>
      <c r="D101" s="1">
        <v>1</v>
      </c>
    </row>
    <row r="102" spans="1:5" ht="14.25" customHeight="1" x14ac:dyDescent="0.3">
      <c r="A102" s="1" t="s">
        <v>130</v>
      </c>
      <c r="B102" s="1" t="s">
        <v>16</v>
      </c>
      <c r="C102" s="1">
        <v>1</v>
      </c>
    </row>
    <row r="103" spans="1:5" ht="14.25" customHeight="1" x14ac:dyDescent="0.3">
      <c r="A103" s="1" t="s">
        <v>131</v>
      </c>
      <c r="B103" s="1" t="s">
        <v>66</v>
      </c>
      <c r="E103" s="1">
        <v>1</v>
      </c>
    </row>
    <row r="104" spans="1:5" ht="14.25" customHeight="1" x14ac:dyDescent="0.3">
      <c r="A104" s="1" t="s">
        <v>132</v>
      </c>
      <c r="B104" s="1" t="s">
        <v>30</v>
      </c>
      <c r="E104" s="1">
        <v>1</v>
      </c>
    </row>
    <row r="105" spans="1:5" ht="14.25" customHeight="1" x14ac:dyDescent="0.3">
      <c r="A105" s="1" t="s">
        <v>133</v>
      </c>
      <c r="B105" s="1" t="s">
        <v>14</v>
      </c>
      <c r="C105" s="1">
        <v>1</v>
      </c>
    </row>
    <row r="106" spans="1:5" ht="14.25" customHeight="1" x14ac:dyDescent="0.3">
      <c r="A106" s="1" t="s">
        <v>134</v>
      </c>
      <c r="B106" s="1" t="s">
        <v>42</v>
      </c>
      <c r="C106" s="1">
        <v>1</v>
      </c>
    </row>
    <row r="107" spans="1:5" ht="14.25" customHeight="1" x14ac:dyDescent="0.3">
      <c r="A107" s="1" t="s">
        <v>135</v>
      </c>
      <c r="B107" s="1" t="s">
        <v>27</v>
      </c>
      <c r="D107" s="1">
        <v>1</v>
      </c>
    </row>
    <row r="108" spans="1:5" ht="14.25" customHeight="1" x14ac:dyDescent="0.3">
      <c r="A108" s="1" t="s">
        <v>136</v>
      </c>
      <c r="B108" s="1" t="s">
        <v>66</v>
      </c>
      <c r="E108" s="1">
        <v>1</v>
      </c>
    </row>
    <row r="109" spans="1:5" ht="14.25" customHeight="1" x14ac:dyDescent="0.3">
      <c r="A109" s="1" t="s">
        <v>137</v>
      </c>
      <c r="B109" s="1" t="s">
        <v>13</v>
      </c>
      <c r="D109" s="1">
        <v>1</v>
      </c>
    </row>
    <row r="110" spans="1:5" ht="14.25" customHeight="1" x14ac:dyDescent="0.3">
      <c r="A110" s="1" t="s">
        <v>138</v>
      </c>
      <c r="B110" s="1" t="s">
        <v>42</v>
      </c>
      <c r="C110" s="1">
        <v>1</v>
      </c>
    </row>
    <row r="111" spans="1:5" ht="14.25" customHeight="1" x14ac:dyDescent="0.3">
      <c r="A111" s="1" t="s">
        <v>139</v>
      </c>
      <c r="B111" s="1" t="s">
        <v>27</v>
      </c>
      <c r="C111" s="1">
        <v>1</v>
      </c>
    </row>
    <row r="112" spans="1:5" ht="14.25" customHeight="1" x14ac:dyDescent="0.3">
      <c r="A112" s="1" t="s">
        <v>140</v>
      </c>
      <c r="B112" s="1" t="s">
        <v>16</v>
      </c>
      <c r="D112" s="1">
        <v>1</v>
      </c>
    </row>
    <row r="113" spans="1:6" ht="14.25" customHeight="1" x14ac:dyDescent="0.3">
      <c r="A113" s="1" t="s">
        <v>141</v>
      </c>
      <c r="B113" s="1" t="s">
        <v>14</v>
      </c>
      <c r="C113" s="1">
        <v>1</v>
      </c>
    </row>
    <row r="114" spans="1:6" ht="14.25" customHeight="1" x14ac:dyDescent="0.3">
      <c r="A114" s="1" t="s">
        <v>142</v>
      </c>
      <c r="B114" s="1" t="s">
        <v>16</v>
      </c>
      <c r="D114" s="1">
        <v>1</v>
      </c>
    </row>
    <row r="115" spans="1:6" ht="14.25" customHeight="1" x14ac:dyDescent="0.3">
      <c r="A115" s="1" t="s">
        <v>143</v>
      </c>
      <c r="B115" s="1" t="s">
        <v>24</v>
      </c>
      <c r="C115" s="1">
        <v>1</v>
      </c>
    </row>
    <row r="116" spans="1:6" ht="14.25" customHeight="1" x14ac:dyDescent="0.3">
      <c r="A116" s="1" t="s">
        <v>144</v>
      </c>
      <c r="B116" s="1" t="s">
        <v>66</v>
      </c>
      <c r="E116" s="1">
        <v>1</v>
      </c>
    </row>
    <row r="117" spans="1:6" ht="14.25" customHeight="1" x14ac:dyDescent="0.3">
      <c r="A117" s="1" t="s">
        <v>145</v>
      </c>
      <c r="B117" s="1" t="s">
        <v>27</v>
      </c>
      <c r="C117" s="1">
        <v>1</v>
      </c>
    </row>
    <row r="118" spans="1:6" ht="14.25" customHeight="1" x14ac:dyDescent="0.3">
      <c r="A118" s="1" t="s">
        <v>146</v>
      </c>
      <c r="B118" s="1" t="s">
        <v>30</v>
      </c>
      <c r="E118" s="1">
        <v>1</v>
      </c>
    </row>
    <row r="119" spans="1:6" ht="14.25" customHeight="1" x14ac:dyDescent="0.3">
      <c r="A119" s="1" t="s">
        <v>147</v>
      </c>
      <c r="B119" s="1" t="s">
        <v>42</v>
      </c>
      <c r="C119" s="1">
        <v>1</v>
      </c>
    </row>
    <row r="120" spans="1:6" ht="14.25" customHeight="1" x14ac:dyDescent="0.3">
      <c r="A120" s="1" t="s">
        <v>148</v>
      </c>
      <c r="B120" s="1" t="s">
        <v>13</v>
      </c>
      <c r="C120" s="1">
        <v>1</v>
      </c>
    </row>
    <row r="121" spans="1:6" ht="14.25" customHeight="1" x14ac:dyDescent="0.3">
      <c r="A121" s="1" t="s">
        <v>149</v>
      </c>
      <c r="B121" s="1" t="s">
        <v>150</v>
      </c>
      <c r="F121" s="1">
        <v>1</v>
      </c>
    </row>
    <row r="122" spans="1:6" ht="14.25" customHeight="1" x14ac:dyDescent="0.3">
      <c r="A122" s="1" t="s">
        <v>151</v>
      </c>
      <c r="B122" s="1" t="s">
        <v>24</v>
      </c>
      <c r="C122" s="1">
        <v>1</v>
      </c>
    </row>
    <row r="123" spans="1:6" ht="14.25" customHeight="1" x14ac:dyDescent="0.3">
      <c r="A123" s="1" t="s">
        <v>152</v>
      </c>
      <c r="B123" s="1" t="s">
        <v>24</v>
      </c>
      <c r="C123" s="1">
        <v>1</v>
      </c>
    </row>
    <row r="124" spans="1:6" ht="14.25" customHeight="1" x14ac:dyDescent="0.3">
      <c r="A124" s="1" t="s">
        <v>153</v>
      </c>
      <c r="B124" s="1" t="s">
        <v>19</v>
      </c>
      <c r="C124" s="1">
        <v>1</v>
      </c>
    </row>
    <row r="125" spans="1:6" ht="14.25" customHeight="1" x14ac:dyDescent="0.3">
      <c r="A125" s="1" t="s">
        <v>154</v>
      </c>
      <c r="B125" s="1" t="s">
        <v>33</v>
      </c>
      <c r="C125" s="1">
        <v>1</v>
      </c>
    </row>
    <row r="126" spans="1:6" ht="14.25" customHeight="1" x14ac:dyDescent="0.3">
      <c r="A126" s="1" t="s">
        <v>155</v>
      </c>
      <c r="B126" s="1" t="s">
        <v>13</v>
      </c>
      <c r="C126" s="1">
        <v>1</v>
      </c>
    </row>
    <row r="127" spans="1:6" ht="14.25" customHeight="1" x14ac:dyDescent="0.3">
      <c r="A127" s="1" t="s">
        <v>156</v>
      </c>
      <c r="B127" s="1" t="s">
        <v>13</v>
      </c>
      <c r="E127" s="1">
        <v>1</v>
      </c>
    </row>
    <row r="128" spans="1:6" ht="14.25" customHeight="1" x14ac:dyDescent="0.3">
      <c r="A128" s="1" t="s">
        <v>157</v>
      </c>
      <c r="B128" s="1" t="s">
        <v>14</v>
      </c>
      <c r="C128" s="1">
        <v>1</v>
      </c>
    </row>
    <row r="129" spans="1:5" ht="14.25" customHeight="1" x14ac:dyDescent="0.3">
      <c r="A129" s="1" t="s">
        <v>158</v>
      </c>
      <c r="B129" s="1" t="s">
        <v>16</v>
      </c>
      <c r="C129" s="1">
        <v>1</v>
      </c>
    </row>
    <row r="130" spans="1:5" ht="14.25" customHeight="1" x14ac:dyDescent="0.3">
      <c r="A130" s="1" t="s">
        <v>159</v>
      </c>
      <c r="B130" s="1" t="s">
        <v>13</v>
      </c>
      <c r="C130" s="1">
        <v>1</v>
      </c>
    </row>
    <row r="131" spans="1:5" ht="14.25" customHeight="1" x14ac:dyDescent="0.3">
      <c r="A131" s="1" t="s">
        <v>160</v>
      </c>
      <c r="B131" s="1" t="s">
        <v>66</v>
      </c>
      <c r="C131" s="1">
        <v>1</v>
      </c>
    </row>
    <row r="132" spans="1:5" ht="14.25" customHeight="1" x14ac:dyDescent="0.3">
      <c r="A132" s="1" t="s">
        <v>161</v>
      </c>
      <c r="B132" s="1" t="s">
        <v>38</v>
      </c>
      <c r="D132" s="1">
        <v>1</v>
      </c>
    </row>
    <row r="133" spans="1:5" ht="14.25" customHeight="1" x14ac:dyDescent="0.3">
      <c r="A133" s="1" t="s">
        <v>162</v>
      </c>
      <c r="B133" s="1" t="s">
        <v>13</v>
      </c>
      <c r="C133" s="1">
        <v>1</v>
      </c>
    </row>
    <row r="134" spans="1:5" ht="14.25" customHeight="1" x14ac:dyDescent="0.3">
      <c r="A134" s="1" t="s">
        <v>163</v>
      </c>
      <c r="B134" s="1" t="s">
        <v>66</v>
      </c>
      <c r="D134" s="1">
        <v>1</v>
      </c>
    </row>
    <row r="135" spans="1:5" ht="14.25" customHeight="1" x14ac:dyDescent="0.3">
      <c r="A135" s="1" t="s">
        <v>164</v>
      </c>
      <c r="B135" s="1" t="s">
        <v>21</v>
      </c>
      <c r="C135" s="1">
        <v>1</v>
      </c>
    </row>
    <row r="136" spans="1:5" ht="14.25" customHeight="1" x14ac:dyDescent="0.3">
      <c r="A136" s="1" t="s">
        <v>165</v>
      </c>
      <c r="B136" s="1" t="s">
        <v>30</v>
      </c>
      <c r="E136" s="1">
        <v>1</v>
      </c>
    </row>
    <row r="137" spans="1:5" ht="14.25" customHeight="1" x14ac:dyDescent="0.3">
      <c r="A137" s="1" t="s">
        <v>166</v>
      </c>
      <c r="B137" s="1" t="s">
        <v>30</v>
      </c>
      <c r="E137" s="1">
        <v>1</v>
      </c>
    </row>
    <row r="138" spans="1:5" ht="14.25" customHeight="1" x14ac:dyDescent="0.3">
      <c r="A138" s="1" t="s">
        <v>167</v>
      </c>
      <c r="B138" s="1" t="s">
        <v>19</v>
      </c>
      <c r="C138" s="1">
        <v>1</v>
      </c>
    </row>
    <row r="139" spans="1:5" ht="14.25" customHeight="1" x14ac:dyDescent="0.3">
      <c r="A139" s="1" t="s">
        <v>168</v>
      </c>
      <c r="B139" s="1" t="s">
        <v>13</v>
      </c>
      <c r="C139" s="1">
        <v>1</v>
      </c>
    </row>
    <row r="140" spans="1:5" ht="14.25" customHeight="1" x14ac:dyDescent="0.3">
      <c r="A140" s="1" t="s">
        <v>169</v>
      </c>
      <c r="B140" s="1" t="s">
        <v>27</v>
      </c>
      <c r="D140" s="1">
        <v>1</v>
      </c>
    </row>
    <row r="141" spans="1:5" ht="14.25" customHeight="1" x14ac:dyDescent="0.3">
      <c r="A141" s="1" t="s">
        <v>170</v>
      </c>
      <c r="B141" s="1" t="s">
        <v>16</v>
      </c>
      <c r="C141" s="1">
        <v>1</v>
      </c>
    </row>
    <row r="142" spans="1:5" ht="14.25" customHeight="1" x14ac:dyDescent="0.3">
      <c r="A142" s="1" t="s">
        <v>171</v>
      </c>
      <c r="B142" s="1" t="s">
        <v>19</v>
      </c>
      <c r="C142" s="1">
        <v>1</v>
      </c>
    </row>
    <row r="143" spans="1:5" ht="14.25" customHeight="1" x14ac:dyDescent="0.3">
      <c r="A143" s="1" t="s">
        <v>172</v>
      </c>
      <c r="B143" s="1" t="s">
        <v>37</v>
      </c>
      <c r="C143" s="1">
        <v>1</v>
      </c>
    </row>
    <row r="144" spans="1:5" ht="14.25" customHeight="1" x14ac:dyDescent="0.3">
      <c r="A144" s="1" t="s">
        <v>173</v>
      </c>
      <c r="B144" s="1" t="s">
        <v>27</v>
      </c>
      <c r="C144" s="1">
        <v>1</v>
      </c>
    </row>
    <row r="145" spans="1:5" ht="14.25" customHeight="1" x14ac:dyDescent="0.3">
      <c r="A145" s="1" t="s">
        <v>174</v>
      </c>
      <c r="B145" s="1" t="s">
        <v>66</v>
      </c>
      <c r="D145" s="1">
        <v>1</v>
      </c>
    </row>
    <row r="146" spans="1:5" ht="14.25" customHeight="1" x14ac:dyDescent="0.3">
      <c r="A146" s="1" t="s">
        <v>175</v>
      </c>
      <c r="B146" s="1" t="s">
        <v>14</v>
      </c>
      <c r="C146" s="1">
        <v>1</v>
      </c>
    </row>
    <row r="147" spans="1:5" ht="14.25" customHeight="1" x14ac:dyDescent="0.3">
      <c r="A147" s="1" t="s">
        <v>176</v>
      </c>
      <c r="B147" s="1" t="s">
        <v>66</v>
      </c>
      <c r="E147" s="1">
        <v>1</v>
      </c>
    </row>
    <row r="148" spans="1:5" ht="14.25" customHeight="1" x14ac:dyDescent="0.3">
      <c r="A148" s="1" t="s">
        <v>177</v>
      </c>
      <c r="B148" s="1" t="s">
        <v>42</v>
      </c>
      <c r="C148" s="1">
        <v>1</v>
      </c>
    </row>
    <row r="149" spans="1:5" ht="14.25" customHeight="1" x14ac:dyDescent="0.3">
      <c r="A149" s="1" t="s">
        <v>178</v>
      </c>
      <c r="B149" s="1" t="s">
        <v>33</v>
      </c>
      <c r="C149" s="1">
        <v>1</v>
      </c>
    </row>
    <row r="150" spans="1:5" ht="14.25" customHeight="1" x14ac:dyDescent="0.3">
      <c r="A150" s="1" t="s">
        <v>179</v>
      </c>
      <c r="B150" s="1" t="s">
        <v>14</v>
      </c>
      <c r="C150" s="1">
        <v>1</v>
      </c>
    </row>
    <row r="151" spans="1:5" ht="14.25" customHeight="1" x14ac:dyDescent="0.3">
      <c r="A151" s="1" t="s">
        <v>180</v>
      </c>
      <c r="B151" s="1" t="s">
        <v>13</v>
      </c>
      <c r="D151" s="1">
        <v>1</v>
      </c>
    </row>
    <row r="152" spans="1:5" ht="14.25" customHeight="1" x14ac:dyDescent="0.3">
      <c r="A152" s="1" t="s">
        <v>181</v>
      </c>
      <c r="B152" s="1" t="s">
        <v>24</v>
      </c>
      <c r="C152" s="1">
        <v>1</v>
      </c>
    </row>
    <row r="153" spans="1:5" ht="14.25" customHeight="1" x14ac:dyDescent="0.3">
      <c r="A153" s="1" t="s">
        <v>182</v>
      </c>
      <c r="B153" s="1" t="s">
        <v>19</v>
      </c>
      <c r="C153" s="1">
        <v>1</v>
      </c>
    </row>
    <row r="154" spans="1:5" ht="14.25" customHeight="1" x14ac:dyDescent="0.3">
      <c r="A154" s="1" t="s">
        <v>183</v>
      </c>
      <c r="B154" s="1" t="s">
        <v>42</v>
      </c>
      <c r="C154" s="1">
        <v>1</v>
      </c>
    </row>
    <row r="155" spans="1:5" ht="14.25" customHeight="1" x14ac:dyDescent="0.3">
      <c r="A155" s="1" t="s">
        <v>184</v>
      </c>
      <c r="B155" s="1" t="s">
        <v>19</v>
      </c>
      <c r="C155" s="1">
        <v>1</v>
      </c>
    </row>
    <row r="156" spans="1:5" ht="14.25" customHeight="1" x14ac:dyDescent="0.3">
      <c r="A156" s="1" t="s">
        <v>185</v>
      </c>
      <c r="B156" s="1" t="s">
        <v>30</v>
      </c>
      <c r="E156" s="1">
        <v>1</v>
      </c>
    </row>
    <row r="157" spans="1:5" ht="14.25" customHeight="1" x14ac:dyDescent="0.3"/>
    <row r="158" spans="1:5" ht="14.25" customHeight="1" x14ac:dyDescent="0.3"/>
    <row r="159" spans="1:5" ht="14.25" customHeight="1" x14ac:dyDescent="0.3"/>
    <row r="160" spans="1:5" ht="14.25" customHeight="1" x14ac:dyDescent="0.3"/>
    <row r="161" s="1" customFormat="1" ht="14.25" customHeight="1" x14ac:dyDescent="0.3"/>
    <row r="162" s="1" customFormat="1" ht="14.25" customHeight="1" x14ac:dyDescent="0.3"/>
    <row r="163" s="1" customFormat="1" ht="14.25" customHeight="1" x14ac:dyDescent="0.3"/>
    <row r="164" s="1" customFormat="1" ht="14.25" customHeight="1" x14ac:dyDescent="0.3"/>
    <row r="165" s="1" customFormat="1" ht="14.25" customHeight="1" x14ac:dyDescent="0.3"/>
    <row r="166" s="1" customFormat="1" ht="14.25" customHeight="1" x14ac:dyDescent="0.3"/>
    <row r="167" s="1" customFormat="1" ht="14.25" customHeight="1" x14ac:dyDescent="0.3"/>
    <row r="168" s="1" customFormat="1" ht="14.25" customHeight="1" x14ac:dyDescent="0.3"/>
    <row r="169" s="1" customFormat="1" ht="14.25" customHeight="1" x14ac:dyDescent="0.3"/>
    <row r="170" s="1" customFormat="1" ht="14.25" customHeight="1" x14ac:dyDescent="0.3"/>
    <row r="171" s="1" customFormat="1" ht="14.25" customHeight="1" x14ac:dyDescent="0.3"/>
    <row r="172" s="1" customFormat="1" ht="14.25" customHeight="1" x14ac:dyDescent="0.3"/>
    <row r="173" s="1" customFormat="1" ht="14.25" customHeight="1" x14ac:dyDescent="0.3"/>
    <row r="174" s="1" customFormat="1" ht="14.25" customHeight="1" x14ac:dyDescent="0.3"/>
    <row r="175" s="1" customFormat="1" ht="14.25" customHeight="1" x14ac:dyDescent="0.3"/>
    <row r="176" s="1" customFormat="1" ht="14.25" customHeight="1" x14ac:dyDescent="0.3"/>
    <row r="177" s="1" customFormat="1" ht="14.25" customHeight="1" x14ac:dyDescent="0.3"/>
    <row r="178" s="1" customFormat="1" ht="14.25" customHeight="1" x14ac:dyDescent="0.3"/>
    <row r="179" s="1" customFormat="1" ht="14.25" customHeight="1" x14ac:dyDescent="0.3"/>
    <row r="180" s="1" customFormat="1" ht="14.25" customHeight="1" x14ac:dyDescent="0.3"/>
    <row r="181" s="1" customFormat="1" ht="14.25" customHeight="1" x14ac:dyDescent="0.3"/>
    <row r="182" s="1" customFormat="1" ht="14.25" customHeight="1" x14ac:dyDescent="0.3"/>
    <row r="183" s="1" customFormat="1" ht="14.25" customHeight="1" x14ac:dyDescent="0.3"/>
    <row r="184" s="1" customFormat="1" ht="14.25" customHeight="1" x14ac:dyDescent="0.3"/>
    <row r="185" s="1" customFormat="1" ht="14.25" customHeight="1" x14ac:dyDescent="0.3"/>
    <row r="186" s="1" customFormat="1" ht="14.25" customHeight="1" x14ac:dyDescent="0.3"/>
    <row r="187" s="1" customFormat="1" ht="14.25" customHeight="1" x14ac:dyDescent="0.3"/>
    <row r="188" s="1" customFormat="1" ht="14.25" customHeight="1" x14ac:dyDescent="0.3"/>
    <row r="189" s="1" customFormat="1" ht="14.25" customHeight="1" x14ac:dyDescent="0.3"/>
    <row r="190" s="1" customFormat="1" ht="14.25" customHeight="1" x14ac:dyDescent="0.3"/>
    <row r="191" s="1" customFormat="1" ht="14.25" customHeight="1" x14ac:dyDescent="0.3"/>
    <row r="192" s="1" customFormat="1" ht="14.25" customHeight="1" x14ac:dyDescent="0.3"/>
    <row r="193" s="1" customFormat="1" ht="14.25" customHeight="1" x14ac:dyDescent="0.3"/>
    <row r="194" s="1" customFormat="1" ht="14.25" customHeight="1" x14ac:dyDescent="0.3"/>
    <row r="195" s="1" customFormat="1" ht="14.25" customHeight="1" x14ac:dyDescent="0.3"/>
    <row r="196" s="1" customFormat="1" ht="14.25" customHeight="1" x14ac:dyDescent="0.3"/>
    <row r="197" s="1" customFormat="1" ht="14.25" customHeight="1" x14ac:dyDescent="0.3"/>
    <row r="198" s="1" customFormat="1" ht="14.25" customHeight="1" x14ac:dyDescent="0.3"/>
    <row r="199" s="1" customFormat="1" ht="14.25" customHeight="1" x14ac:dyDescent="0.3"/>
    <row r="200" s="1" customFormat="1" ht="14.25" customHeight="1" x14ac:dyDescent="0.3"/>
    <row r="201" s="1" customFormat="1" ht="14.25" customHeight="1" x14ac:dyDescent="0.3"/>
    <row r="202" s="1" customFormat="1" ht="14.25" customHeight="1" x14ac:dyDescent="0.3"/>
    <row r="203" s="1" customFormat="1" ht="14.25" customHeight="1" x14ac:dyDescent="0.3"/>
    <row r="204" s="1" customFormat="1" ht="14.25" customHeight="1" x14ac:dyDescent="0.3"/>
    <row r="205" s="1" customFormat="1" ht="14.25" customHeight="1" x14ac:dyDescent="0.3"/>
    <row r="206" s="1" customFormat="1" ht="14.25" customHeight="1" x14ac:dyDescent="0.3"/>
    <row r="207" s="1" customFormat="1" ht="14.25" customHeight="1" x14ac:dyDescent="0.3"/>
    <row r="208" s="1" customFormat="1" ht="14.25" customHeight="1" x14ac:dyDescent="0.3"/>
    <row r="209" s="1" customFormat="1" ht="14.25" customHeight="1" x14ac:dyDescent="0.3"/>
    <row r="210" s="1" customFormat="1" ht="14.25" customHeight="1" x14ac:dyDescent="0.3"/>
    <row r="211" s="1" customFormat="1" ht="14.25" customHeight="1" x14ac:dyDescent="0.3"/>
    <row r="212" s="1" customFormat="1" ht="14.25" customHeight="1" x14ac:dyDescent="0.3"/>
    <row r="213" s="1" customFormat="1" ht="14.25" customHeight="1" x14ac:dyDescent="0.3"/>
    <row r="214" s="1" customFormat="1" ht="14.25" customHeight="1" x14ac:dyDescent="0.3"/>
    <row r="215" s="1" customFormat="1" ht="14.25" customHeight="1" x14ac:dyDescent="0.3"/>
    <row r="216" s="1" customFormat="1" ht="14.25" customHeight="1" x14ac:dyDescent="0.3"/>
    <row r="217" s="1" customFormat="1" ht="14.25" customHeight="1" x14ac:dyDescent="0.3"/>
    <row r="218" s="1" customFormat="1" ht="14.25" customHeight="1" x14ac:dyDescent="0.3"/>
    <row r="219" s="1" customFormat="1" ht="14.25" customHeight="1" x14ac:dyDescent="0.3"/>
    <row r="220" s="1" customFormat="1" ht="14.25" customHeight="1" x14ac:dyDescent="0.3"/>
    <row r="221" s="1" customFormat="1" ht="14.25" customHeight="1" x14ac:dyDescent="0.3"/>
    <row r="222" s="1" customFormat="1" ht="14.25" customHeight="1" x14ac:dyDescent="0.3"/>
    <row r="223" s="1" customFormat="1" ht="14.25" customHeight="1" x14ac:dyDescent="0.3"/>
    <row r="224" s="1" customFormat="1" ht="14.25" customHeight="1" x14ac:dyDescent="0.3"/>
    <row r="225" s="1" customFormat="1" ht="14.25" customHeight="1" x14ac:dyDescent="0.3"/>
    <row r="226" s="1" customFormat="1" ht="14.25" customHeight="1" x14ac:dyDescent="0.3"/>
    <row r="227" s="1" customFormat="1" ht="14.25" customHeight="1" x14ac:dyDescent="0.3"/>
    <row r="228" s="1" customFormat="1" ht="14.25" customHeight="1" x14ac:dyDescent="0.3"/>
    <row r="229" s="1" customFormat="1" ht="14.25" customHeight="1" x14ac:dyDescent="0.3"/>
    <row r="230" s="1" customFormat="1" ht="14.25" customHeight="1" x14ac:dyDescent="0.3"/>
    <row r="231" s="1" customFormat="1" ht="14.25" customHeight="1" x14ac:dyDescent="0.3"/>
    <row r="232" s="1" customFormat="1" ht="14.25" customHeight="1" x14ac:dyDescent="0.3"/>
    <row r="233" s="1" customFormat="1" ht="14.25" customHeight="1" x14ac:dyDescent="0.3"/>
    <row r="234" s="1" customFormat="1" ht="14.25" customHeight="1" x14ac:dyDescent="0.3"/>
    <row r="235" s="1" customFormat="1" ht="14.25" customHeight="1" x14ac:dyDescent="0.3"/>
    <row r="236" s="1" customFormat="1" ht="14.25" customHeight="1" x14ac:dyDescent="0.3"/>
    <row r="237" s="1" customFormat="1" ht="14.25" customHeight="1" x14ac:dyDescent="0.3"/>
    <row r="238" s="1" customFormat="1" ht="14.25" customHeight="1" x14ac:dyDescent="0.3"/>
    <row r="239" s="1" customFormat="1" ht="14.25" customHeight="1" x14ac:dyDescent="0.3"/>
    <row r="240" s="1" customFormat="1" ht="14.25" customHeight="1" x14ac:dyDescent="0.3"/>
    <row r="241" s="1" customFormat="1" ht="14.25" customHeight="1" x14ac:dyDescent="0.3"/>
    <row r="242" s="1" customFormat="1" ht="14.25" customHeight="1" x14ac:dyDescent="0.3"/>
    <row r="243" s="1" customFormat="1" ht="14.25" customHeight="1" x14ac:dyDescent="0.3"/>
    <row r="244" s="1" customFormat="1" ht="14.25" customHeight="1" x14ac:dyDescent="0.3"/>
    <row r="245" s="1" customFormat="1" ht="14.25" customHeight="1" x14ac:dyDescent="0.3"/>
    <row r="246" s="1" customFormat="1" ht="14.25" customHeight="1" x14ac:dyDescent="0.3"/>
    <row r="247" s="1" customFormat="1" ht="14.25" customHeight="1" x14ac:dyDescent="0.3"/>
    <row r="248" s="1" customFormat="1" ht="14.25" customHeight="1" x14ac:dyDescent="0.3"/>
    <row r="249" s="1" customFormat="1" ht="14.25" customHeight="1" x14ac:dyDescent="0.3"/>
    <row r="250" s="1" customFormat="1" ht="14.25" customHeight="1" x14ac:dyDescent="0.3"/>
    <row r="251" s="1" customFormat="1" ht="14.25" customHeight="1" x14ac:dyDescent="0.3"/>
    <row r="252" s="1" customFormat="1" ht="14.25" customHeight="1" x14ac:dyDescent="0.3"/>
    <row r="253" s="1" customFormat="1" ht="14.25" customHeight="1" x14ac:dyDescent="0.3"/>
    <row r="254" s="1" customFormat="1" ht="14.25" customHeight="1" x14ac:dyDescent="0.3"/>
    <row r="255" s="1" customFormat="1" ht="14.25" customHeight="1" x14ac:dyDescent="0.3"/>
    <row r="256" s="1" customFormat="1" ht="14.25" customHeight="1" x14ac:dyDescent="0.3"/>
    <row r="257" s="1" customFormat="1" ht="14.25" customHeight="1" x14ac:dyDescent="0.3"/>
    <row r="258" s="1" customFormat="1" ht="14.25" customHeight="1" x14ac:dyDescent="0.3"/>
    <row r="259" s="1" customFormat="1" ht="14.25" customHeight="1" x14ac:dyDescent="0.3"/>
    <row r="260" s="1" customFormat="1" ht="14.25" customHeight="1" x14ac:dyDescent="0.3"/>
    <row r="261" s="1" customFormat="1" ht="14.25" customHeight="1" x14ac:dyDescent="0.3"/>
    <row r="262" s="1" customFormat="1" ht="14.25" customHeight="1" x14ac:dyDescent="0.3"/>
    <row r="263" s="1" customFormat="1" ht="14.25" customHeight="1" x14ac:dyDescent="0.3"/>
    <row r="264" s="1" customFormat="1" ht="14.25" customHeight="1" x14ac:dyDescent="0.3"/>
    <row r="265" s="1" customFormat="1" ht="14.25" customHeight="1" x14ac:dyDescent="0.3"/>
    <row r="266" s="1" customFormat="1" ht="14.25" customHeight="1" x14ac:dyDescent="0.3"/>
    <row r="267" s="1" customFormat="1" ht="14.25" customHeight="1" x14ac:dyDescent="0.3"/>
    <row r="268" s="1" customFormat="1" ht="14.25" customHeight="1" x14ac:dyDescent="0.3"/>
    <row r="269" s="1" customFormat="1" ht="14.25" customHeight="1" x14ac:dyDescent="0.3"/>
    <row r="270" s="1" customFormat="1" ht="14.25" customHeight="1" x14ac:dyDescent="0.3"/>
    <row r="271" s="1" customFormat="1" ht="14.25" customHeight="1" x14ac:dyDescent="0.3"/>
    <row r="272" s="1" customFormat="1" ht="14.25" customHeight="1" x14ac:dyDescent="0.3"/>
    <row r="273" s="1" customFormat="1" ht="14.25" customHeight="1" x14ac:dyDescent="0.3"/>
    <row r="274" s="1" customFormat="1" ht="14.25" customHeight="1" x14ac:dyDescent="0.3"/>
    <row r="275" s="1" customFormat="1" ht="14.25" customHeight="1" x14ac:dyDescent="0.3"/>
    <row r="276" s="1" customFormat="1" ht="14.25" customHeight="1" x14ac:dyDescent="0.3"/>
    <row r="277" s="1" customFormat="1" ht="14.25" customHeight="1" x14ac:dyDescent="0.3"/>
    <row r="278" s="1" customFormat="1" ht="14.25" customHeight="1" x14ac:dyDescent="0.3"/>
    <row r="279" s="1" customFormat="1" ht="14.25" customHeight="1" x14ac:dyDescent="0.3"/>
    <row r="280" s="1" customFormat="1" ht="14.25" customHeight="1" x14ac:dyDescent="0.3"/>
    <row r="281" s="1" customFormat="1" ht="14.25" customHeight="1" x14ac:dyDescent="0.3"/>
    <row r="282" s="1" customFormat="1" ht="14.25" customHeight="1" x14ac:dyDescent="0.3"/>
    <row r="283" s="1" customFormat="1" ht="14.25" customHeight="1" x14ac:dyDescent="0.3"/>
    <row r="284" s="1" customFormat="1" ht="14.25" customHeight="1" x14ac:dyDescent="0.3"/>
    <row r="285" s="1" customFormat="1" ht="14.25" customHeight="1" x14ac:dyDescent="0.3"/>
    <row r="286" s="1" customFormat="1" ht="14.25" customHeight="1" x14ac:dyDescent="0.3"/>
    <row r="287" s="1" customFormat="1" ht="14.25" customHeight="1" x14ac:dyDescent="0.3"/>
    <row r="288" s="1" customFormat="1" ht="14.25" customHeight="1" x14ac:dyDescent="0.3"/>
    <row r="289" s="1" customFormat="1" ht="14.25" customHeight="1" x14ac:dyDescent="0.3"/>
    <row r="290" s="1" customFormat="1" ht="14.25" customHeight="1" x14ac:dyDescent="0.3"/>
    <row r="291" s="1" customFormat="1" ht="14.25" customHeight="1" x14ac:dyDescent="0.3"/>
    <row r="292" s="1" customFormat="1" ht="14.25" customHeight="1" x14ac:dyDescent="0.3"/>
    <row r="293" s="1" customFormat="1" ht="14.25" customHeight="1" x14ac:dyDescent="0.3"/>
    <row r="294" s="1" customFormat="1" ht="14.25" customHeight="1" x14ac:dyDescent="0.3"/>
    <row r="295" s="1" customFormat="1" ht="14.25" customHeight="1" x14ac:dyDescent="0.3"/>
    <row r="296" s="1" customFormat="1" ht="14.25" customHeight="1" x14ac:dyDescent="0.3"/>
    <row r="297" s="1" customFormat="1" ht="14.25" customHeight="1" x14ac:dyDescent="0.3"/>
    <row r="298" s="1" customFormat="1" ht="14.25" customHeight="1" x14ac:dyDescent="0.3"/>
    <row r="299" s="1" customFormat="1" ht="14.25" customHeight="1" x14ac:dyDescent="0.3"/>
    <row r="300" s="1" customFormat="1" ht="14.25" customHeight="1" x14ac:dyDescent="0.3"/>
    <row r="301" s="1" customFormat="1" ht="14.25" customHeight="1" x14ac:dyDescent="0.3"/>
    <row r="302" s="1" customFormat="1" ht="14.25" customHeight="1" x14ac:dyDescent="0.3"/>
    <row r="303" s="1" customFormat="1" ht="14.25" customHeight="1" x14ac:dyDescent="0.3"/>
    <row r="304" s="1" customFormat="1" ht="14.25" customHeight="1" x14ac:dyDescent="0.3"/>
    <row r="305" s="1" customFormat="1" ht="14.25" customHeight="1" x14ac:dyDescent="0.3"/>
    <row r="306" s="1" customFormat="1" ht="14.25" customHeight="1" x14ac:dyDescent="0.3"/>
    <row r="307" s="1" customFormat="1" ht="14.25" customHeight="1" x14ac:dyDescent="0.3"/>
    <row r="308" s="1" customFormat="1" ht="14.25" customHeight="1" x14ac:dyDescent="0.3"/>
    <row r="309" s="1" customFormat="1" ht="14.25" customHeight="1" x14ac:dyDescent="0.3"/>
    <row r="310" s="1" customFormat="1" ht="14.25" customHeight="1" x14ac:dyDescent="0.3"/>
    <row r="311" s="1" customFormat="1" ht="14.25" customHeight="1" x14ac:dyDescent="0.3"/>
    <row r="312" s="1" customFormat="1" ht="14.25" customHeight="1" x14ac:dyDescent="0.3"/>
    <row r="313" s="1" customFormat="1" ht="14.25" customHeight="1" x14ac:dyDescent="0.3"/>
    <row r="314" s="1" customFormat="1" ht="14.25" customHeight="1" x14ac:dyDescent="0.3"/>
    <row r="315" s="1" customFormat="1" ht="14.25" customHeight="1" x14ac:dyDescent="0.3"/>
    <row r="316" s="1" customFormat="1" ht="14.25" customHeight="1" x14ac:dyDescent="0.3"/>
    <row r="317" s="1" customFormat="1" ht="14.25" customHeight="1" x14ac:dyDescent="0.3"/>
    <row r="318" s="1" customFormat="1" ht="14.25" customHeight="1" x14ac:dyDescent="0.3"/>
    <row r="319" s="1" customFormat="1" ht="14.25" customHeight="1" x14ac:dyDescent="0.3"/>
    <row r="320" s="1" customFormat="1" ht="14.25" customHeight="1" x14ac:dyDescent="0.3"/>
    <row r="321" s="1" customFormat="1" ht="14.25" customHeight="1" x14ac:dyDescent="0.3"/>
    <row r="322" s="1" customFormat="1" ht="14.25" customHeight="1" x14ac:dyDescent="0.3"/>
    <row r="323" s="1" customFormat="1" ht="14.25" customHeight="1" x14ac:dyDescent="0.3"/>
    <row r="324" s="1" customFormat="1" ht="14.25" customHeight="1" x14ac:dyDescent="0.3"/>
    <row r="325" s="1" customFormat="1" ht="14.25" customHeight="1" x14ac:dyDescent="0.3"/>
    <row r="326" s="1" customFormat="1" ht="14.25" customHeight="1" x14ac:dyDescent="0.3"/>
    <row r="327" s="1" customFormat="1" ht="14.25" customHeight="1" x14ac:dyDescent="0.3"/>
    <row r="328" s="1" customFormat="1" ht="14.25" customHeight="1" x14ac:dyDescent="0.3"/>
    <row r="329" s="1" customFormat="1" ht="14.25" customHeight="1" x14ac:dyDescent="0.3"/>
    <row r="330" s="1" customFormat="1" ht="14.25" customHeight="1" x14ac:dyDescent="0.3"/>
    <row r="331" s="1" customFormat="1" ht="14.25" customHeight="1" x14ac:dyDescent="0.3"/>
    <row r="332" s="1" customFormat="1" ht="14.25" customHeight="1" x14ac:dyDescent="0.3"/>
    <row r="333" s="1" customFormat="1" ht="14.25" customHeight="1" x14ac:dyDescent="0.3"/>
    <row r="334" s="1" customFormat="1" ht="14.25" customHeight="1" x14ac:dyDescent="0.3"/>
    <row r="335" s="1" customFormat="1" ht="14.25" customHeight="1" x14ac:dyDescent="0.3"/>
    <row r="336" s="1" customFormat="1" ht="14.25" customHeight="1" x14ac:dyDescent="0.3"/>
    <row r="337" s="1" customFormat="1" ht="14.25" customHeight="1" x14ac:dyDescent="0.3"/>
    <row r="338" s="1" customFormat="1" ht="14.25" customHeight="1" x14ac:dyDescent="0.3"/>
    <row r="339" s="1" customFormat="1" ht="14.25" customHeight="1" x14ac:dyDescent="0.3"/>
    <row r="340" s="1" customFormat="1" ht="14.25" customHeight="1" x14ac:dyDescent="0.3"/>
    <row r="341" s="1" customFormat="1" ht="14.25" customHeight="1" x14ac:dyDescent="0.3"/>
    <row r="342" s="1" customFormat="1" ht="14.25" customHeight="1" x14ac:dyDescent="0.3"/>
    <row r="343" s="1" customFormat="1" ht="14.25" customHeight="1" x14ac:dyDescent="0.3"/>
    <row r="344" s="1" customFormat="1" ht="14.25" customHeight="1" x14ac:dyDescent="0.3"/>
    <row r="345" s="1" customFormat="1" ht="14.25" customHeight="1" x14ac:dyDescent="0.3"/>
    <row r="346" s="1" customFormat="1" ht="14.25" customHeight="1" x14ac:dyDescent="0.3"/>
    <row r="347" s="1" customFormat="1" ht="14.25" customHeight="1" x14ac:dyDescent="0.3"/>
    <row r="348" s="1" customFormat="1" ht="14.25" customHeight="1" x14ac:dyDescent="0.3"/>
    <row r="349" s="1" customFormat="1" ht="14.25" customHeight="1" x14ac:dyDescent="0.3"/>
    <row r="350" s="1" customFormat="1" ht="14.25" customHeight="1" x14ac:dyDescent="0.3"/>
    <row r="351" s="1" customFormat="1" ht="14.25" customHeight="1" x14ac:dyDescent="0.3"/>
    <row r="352" s="1" customFormat="1" ht="14.25" customHeight="1" x14ac:dyDescent="0.3"/>
    <row r="353" s="1" customFormat="1" ht="14.25" customHeight="1" x14ac:dyDescent="0.3"/>
    <row r="354" s="1" customFormat="1" ht="14.25" customHeight="1" x14ac:dyDescent="0.3"/>
    <row r="355" s="1" customFormat="1" ht="14.25" customHeight="1" x14ac:dyDescent="0.3"/>
    <row r="356" s="1" customFormat="1" ht="14.25" customHeight="1" x14ac:dyDescent="0.3"/>
    <row r="357" s="1" customFormat="1" ht="14.25" customHeight="1" x14ac:dyDescent="0.3"/>
    <row r="358" s="1" customFormat="1" ht="14.25" customHeight="1" x14ac:dyDescent="0.3"/>
    <row r="359" s="1" customFormat="1" ht="14.25" customHeight="1" x14ac:dyDescent="0.3"/>
    <row r="360" s="1" customFormat="1" ht="14.25" customHeight="1" x14ac:dyDescent="0.3"/>
    <row r="361" s="1" customFormat="1" ht="14.25" customHeight="1" x14ac:dyDescent="0.3"/>
    <row r="362" s="1" customFormat="1" ht="14.25" customHeight="1" x14ac:dyDescent="0.3"/>
    <row r="363" s="1" customFormat="1" ht="14.25" customHeight="1" x14ac:dyDescent="0.3"/>
    <row r="364" s="1" customFormat="1" ht="14.25" customHeight="1" x14ac:dyDescent="0.3"/>
    <row r="365" s="1" customFormat="1" ht="14.25" customHeight="1" x14ac:dyDescent="0.3"/>
    <row r="366" s="1" customFormat="1" ht="14.25" customHeight="1" x14ac:dyDescent="0.3"/>
    <row r="367" s="1" customFormat="1" ht="14.25" customHeight="1" x14ac:dyDescent="0.3"/>
    <row r="368" s="1" customFormat="1" ht="14.25" customHeight="1" x14ac:dyDescent="0.3"/>
    <row r="369" s="1" customFormat="1" ht="14.25" customHeight="1" x14ac:dyDescent="0.3"/>
    <row r="370" s="1" customFormat="1" ht="14.25" customHeight="1" x14ac:dyDescent="0.3"/>
    <row r="371" s="1" customFormat="1" ht="14.25" customHeight="1" x14ac:dyDescent="0.3"/>
    <row r="372" s="1" customFormat="1" ht="14.25" customHeight="1" x14ac:dyDescent="0.3"/>
    <row r="373" s="1" customFormat="1" ht="14.25" customHeight="1" x14ac:dyDescent="0.3"/>
    <row r="374" s="1" customFormat="1" ht="14.25" customHeight="1" x14ac:dyDescent="0.3"/>
    <row r="375" s="1" customFormat="1" ht="14.25" customHeight="1" x14ac:dyDescent="0.3"/>
    <row r="376" s="1" customFormat="1" ht="14.25" customHeight="1" x14ac:dyDescent="0.3"/>
    <row r="377" s="1" customFormat="1" ht="14.25" customHeight="1" x14ac:dyDescent="0.3"/>
    <row r="378" s="1" customFormat="1" ht="14.25" customHeight="1" x14ac:dyDescent="0.3"/>
    <row r="379" s="1" customFormat="1" ht="14.25" customHeight="1" x14ac:dyDescent="0.3"/>
    <row r="380" s="1" customFormat="1" ht="14.25" customHeight="1" x14ac:dyDescent="0.3"/>
    <row r="381" s="1" customFormat="1" ht="14.25" customHeight="1" x14ac:dyDescent="0.3"/>
    <row r="382" s="1" customFormat="1" ht="14.25" customHeight="1" x14ac:dyDescent="0.3"/>
    <row r="383" s="1" customFormat="1" ht="14.25" customHeight="1" x14ac:dyDescent="0.3"/>
    <row r="384" s="1" customFormat="1" ht="14.25" customHeight="1" x14ac:dyDescent="0.3"/>
    <row r="385" s="1" customFormat="1" ht="14.25" customHeight="1" x14ac:dyDescent="0.3"/>
    <row r="386" s="1" customFormat="1" ht="14.25" customHeight="1" x14ac:dyDescent="0.3"/>
    <row r="387" s="1" customFormat="1" ht="14.25" customHeight="1" x14ac:dyDescent="0.3"/>
    <row r="388" s="1" customFormat="1" ht="14.25" customHeight="1" x14ac:dyDescent="0.3"/>
    <row r="389" s="1" customFormat="1" ht="14.25" customHeight="1" x14ac:dyDescent="0.3"/>
    <row r="390" s="1" customFormat="1" ht="14.25" customHeight="1" x14ac:dyDescent="0.3"/>
    <row r="391" s="1" customFormat="1" ht="14.25" customHeight="1" x14ac:dyDescent="0.3"/>
    <row r="392" s="1" customFormat="1" ht="14.25" customHeight="1" x14ac:dyDescent="0.3"/>
    <row r="393" s="1" customFormat="1" ht="14.25" customHeight="1" x14ac:dyDescent="0.3"/>
    <row r="394" s="1" customFormat="1" ht="14.25" customHeight="1" x14ac:dyDescent="0.3"/>
    <row r="395" s="1" customFormat="1" ht="14.25" customHeight="1" x14ac:dyDescent="0.3"/>
    <row r="396" s="1" customFormat="1" ht="14.25" customHeight="1" x14ac:dyDescent="0.3"/>
    <row r="397" s="1" customFormat="1" ht="14.25" customHeight="1" x14ac:dyDescent="0.3"/>
    <row r="398" s="1" customFormat="1" ht="14.25" customHeight="1" x14ac:dyDescent="0.3"/>
    <row r="399" s="1" customFormat="1" ht="14.25" customHeight="1" x14ac:dyDescent="0.3"/>
    <row r="400" s="1" customFormat="1" ht="14.25" customHeight="1" x14ac:dyDescent="0.3"/>
    <row r="401" s="1" customFormat="1" ht="14.25" customHeight="1" x14ac:dyDescent="0.3"/>
    <row r="402" s="1" customFormat="1" ht="14.25" customHeight="1" x14ac:dyDescent="0.3"/>
    <row r="403" s="1" customFormat="1" ht="14.25" customHeight="1" x14ac:dyDescent="0.3"/>
    <row r="404" s="1" customFormat="1" ht="14.25" customHeight="1" x14ac:dyDescent="0.3"/>
    <row r="405" s="1" customFormat="1" ht="14.25" customHeight="1" x14ac:dyDescent="0.3"/>
    <row r="406" s="1" customFormat="1" ht="14.25" customHeight="1" x14ac:dyDescent="0.3"/>
    <row r="407" s="1" customFormat="1" ht="14.25" customHeight="1" x14ac:dyDescent="0.3"/>
    <row r="408" s="1" customFormat="1" ht="14.25" customHeight="1" x14ac:dyDescent="0.3"/>
    <row r="409" s="1" customFormat="1" ht="14.25" customHeight="1" x14ac:dyDescent="0.3"/>
    <row r="410" s="1" customFormat="1" ht="14.25" customHeight="1" x14ac:dyDescent="0.3"/>
    <row r="411" s="1" customFormat="1" ht="14.25" customHeight="1" x14ac:dyDescent="0.3"/>
    <row r="412" s="1" customFormat="1" ht="14.25" customHeight="1" x14ac:dyDescent="0.3"/>
    <row r="413" s="1" customFormat="1" ht="14.25" customHeight="1" x14ac:dyDescent="0.3"/>
    <row r="414" s="1" customFormat="1" ht="14.25" customHeight="1" x14ac:dyDescent="0.3"/>
    <row r="415" s="1" customFormat="1" ht="14.25" customHeight="1" x14ac:dyDescent="0.3"/>
    <row r="416" s="1" customFormat="1" ht="14.25" customHeight="1" x14ac:dyDescent="0.3"/>
    <row r="417" s="1" customFormat="1" ht="14.25" customHeight="1" x14ac:dyDescent="0.3"/>
    <row r="418" s="1" customFormat="1" ht="14.25" customHeight="1" x14ac:dyDescent="0.3"/>
    <row r="419" s="1" customFormat="1" ht="14.25" customHeight="1" x14ac:dyDescent="0.3"/>
    <row r="420" s="1" customFormat="1" ht="14.25" customHeight="1" x14ac:dyDescent="0.3"/>
    <row r="421" s="1" customFormat="1" ht="14.25" customHeight="1" x14ac:dyDescent="0.3"/>
    <row r="422" s="1" customFormat="1" ht="14.25" customHeight="1" x14ac:dyDescent="0.3"/>
    <row r="423" s="1" customFormat="1" ht="14.25" customHeight="1" x14ac:dyDescent="0.3"/>
    <row r="424" s="1" customFormat="1" ht="14.25" customHeight="1" x14ac:dyDescent="0.3"/>
    <row r="425" s="1" customFormat="1" ht="14.25" customHeight="1" x14ac:dyDescent="0.3"/>
    <row r="426" s="1" customFormat="1" ht="14.25" customHeight="1" x14ac:dyDescent="0.3"/>
    <row r="427" s="1" customFormat="1" ht="14.25" customHeight="1" x14ac:dyDescent="0.3"/>
    <row r="428" s="1" customFormat="1" ht="14.25" customHeight="1" x14ac:dyDescent="0.3"/>
    <row r="429" s="1" customFormat="1" ht="14.25" customHeight="1" x14ac:dyDescent="0.3"/>
    <row r="430" s="1" customFormat="1" ht="14.25" customHeight="1" x14ac:dyDescent="0.3"/>
    <row r="431" s="1" customFormat="1" ht="14.25" customHeight="1" x14ac:dyDescent="0.3"/>
    <row r="432" s="1" customFormat="1" ht="14.25" customHeight="1" x14ac:dyDescent="0.3"/>
    <row r="433" s="1" customFormat="1" ht="14.25" customHeight="1" x14ac:dyDescent="0.3"/>
    <row r="434" s="1" customFormat="1" ht="14.25" customHeight="1" x14ac:dyDescent="0.3"/>
    <row r="435" s="1" customFormat="1" ht="14.25" customHeight="1" x14ac:dyDescent="0.3"/>
    <row r="436" s="1" customFormat="1" ht="14.25" customHeight="1" x14ac:dyDescent="0.3"/>
    <row r="437" s="1" customFormat="1" ht="14.25" customHeight="1" x14ac:dyDescent="0.3"/>
    <row r="438" s="1" customFormat="1" ht="14.25" customHeight="1" x14ac:dyDescent="0.3"/>
    <row r="439" s="1" customFormat="1" ht="14.25" customHeight="1" x14ac:dyDescent="0.3"/>
    <row r="440" s="1" customFormat="1" ht="14.25" customHeight="1" x14ac:dyDescent="0.3"/>
    <row r="441" s="1" customFormat="1" ht="14.25" customHeight="1" x14ac:dyDescent="0.3"/>
    <row r="442" s="1" customFormat="1" ht="14.25" customHeight="1" x14ac:dyDescent="0.3"/>
    <row r="443" s="1" customFormat="1" ht="14.25" customHeight="1" x14ac:dyDescent="0.3"/>
    <row r="444" s="1" customFormat="1" ht="14.25" customHeight="1" x14ac:dyDescent="0.3"/>
    <row r="445" s="1" customFormat="1" ht="14.25" customHeight="1" x14ac:dyDescent="0.3"/>
    <row r="446" s="1" customFormat="1" ht="14.25" customHeight="1" x14ac:dyDescent="0.3"/>
    <row r="447" s="1" customFormat="1" ht="14.25" customHeight="1" x14ac:dyDescent="0.3"/>
    <row r="448" s="1" customFormat="1" ht="14.25" customHeight="1" x14ac:dyDescent="0.3"/>
    <row r="449" s="1" customFormat="1" ht="14.25" customHeight="1" x14ac:dyDescent="0.3"/>
    <row r="450" s="1" customFormat="1" ht="14.25" customHeight="1" x14ac:dyDescent="0.3"/>
    <row r="451" s="1" customFormat="1" ht="14.25" customHeight="1" x14ac:dyDescent="0.3"/>
    <row r="452" s="1" customFormat="1" ht="14.25" customHeight="1" x14ac:dyDescent="0.3"/>
    <row r="453" s="1" customFormat="1" ht="14.25" customHeight="1" x14ac:dyDescent="0.3"/>
    <row r="454" s="1" customFormat="1" ht="14.25" customHeight="1" x14ac:dyDescent="0.3"/>
    <row r="455" s="1" customFormat="1" ht="14.25" customHeight="1" x14ac:dyDescent="0.3"/>
    <row r="456" s="1" customFormat="1" ht="14.25" customHeight="1" x14ac:dyDescent="0.3"/>
    <row r="457" s="1" customFormat="1" ht="14.25" customHeight="1" x14ac:dyDescent="0.3"/>
    <row r="458" s="1" customFormat="1" ht="14.25" customHeight="1" x14ac:dyDescent="0.3"/>
    <row r="459" s="1" customFormat="1" ht="14.25" customHeight="1" x14ac:dyDescent="0.3"/>
    <row r="460" s="1" customFormat="1" ht="14.25" customHeight="1" x14ac:dyDescent="0.3"/>
    <row r="461" s="1" customFormat="1" ht="14.25" customHeight="1" x14ac:dyDescent="0.3"/>
    <row r="462" s="1" customFormat="1" ht="14.25" customHeight="1" x14ac:dyDescent="0.3"/>
    <row r="463" s="1" customFormat="1" ht="14.25" customHeight="1" x14ac:dyDescent="0.3"/>
    <row r="464" s="1" customFormat="1" ht="14.25" customHeight="1" x14ac:dyDescent="0.3"/>
    <row r="465" s="1" customFormat="1" ht="14.25" customHeight="1" x14ac:dyDescent="0.3"/>
    <row r="466" s="1" customFormat="1" ht="14.25" customHeight="1" x14ac:dyDescent="0.3"/>
    <row r="467" s="1" customFormat="1" ht="14.25" customHeight="1" x14ac:dyDescent="0.3"/>
    <row r="468" s="1" customFormat="1" ht="14.25" customHeight="1" x14ac:dyDescent="0.3"/>
    <row r="469" s="1" customFormat="1" ht="14.25" customHeight="1" x14ac:dyDescent="0.3"/>
    <row r="470" s="1" customFormat="1" ht="14.25" customHeight="1" x14ac:dyDescent="0.3"/>
    <row r="471" s="1" customFormat="1" ht="14.25" customHeight="1" x14ac:dyDescent="0.3"/>
    <row r="472" s="1" customFormat="1" ht="14.25" customHeight="1" x14ac:dyDescent="0.3"/>
    <row r="473" s="1" customFormat="1" ht="14.25" customHeight="1" x14ac:dyDescent="0.3"/>
    <row r="474" s="1" customFormat="1" ht="14.25" customHeight="1" x14ac:dyDescent="0.3"/>
    <row r="475" s="1" customFormat="1" ht="14.25" customHeight="1" x14ac:dyDescent="0.3"/>
    <row r="476" s="1" customFormat="1" ht="14.25" customHeight="1" x14ac:dyDescent="0.3"/>
    <row r="477" s="1" customFormat="1" ht="14.25" customHeight="1" x14ac:dyDescent="0.3"/>
    <row r="478" s="1" customFormat="1" ht="14.25" customHeight="1" x14ac:dyDescent="0.3"/>
    <row r="479" s="1" customFormat="1" ht="14.25" customHeight="1" x14ac:dyDescent="0.3"/>
    <row r="480" s="1" customFormat="1" ht="14.25" customHeight="1" x14ac:dyDescent="0.3"/>
    <row r="481" s="1" customFormat="1" ht="14.25" customHeight="1" x14ac:dyDescent="0.3"/>
    <row r="482" s="1" customFormat="1" ht="14.25" customHeight="1" x14ac:dyDescent="0.3"/>
    <row r="483" s="1" customFormat="1" ht="14.25" customHeight="1" x14ac:dyDescent="0.3"/>
    <row r="484" s="1" customFormat="1" ht="14.25" customHeight="1" x14ac:dyDescent="0.3"/>
    <row r="485" s="1" customFormat="1" ht="14.25" customHeight="1" x14ac:dyDescent="0.3"/>
    <row r="486" s="1" customFormat="1" ht="14.25" customHeight="1" x14ac:dyDescent="0.3"/>
    <row r="487" s="1" customFormat="1" ht="14.25" customHeight="1" x14ac:dyDescent="0.3"/>
    <row r="488" s="1" customFormat="1" ht="14.25" customHeight="1" x14ac:dyDescent="0.3"/>
    <row r="489" s="1" customFormat="1" ht="14.25" customHeight="1" x14ac:dyDescent="0.3"/>
    <row r="490" s="1" customFormat="1" ht="14.25" customHeight="1" x14ac:dyDescent="0.3"/>
    <row r="491" s="1" customFormat="1" ht="14.25" customHeight="1" x14ac:dyDescent="0.3"/>
    <row r="492" s="1" customFormat="1" ht="14.25" customHeight="1" x14ac:dyDescent="0.3"/>
    <row r="493" s="1" customFormat="1" ht="14.25" customHeight="1" x14ac:dyDescent="0.3"/>
    <row r="494" s="1" customFormat="1" ht="14.25" customHeight="1" x14ac:dyDescent="0.3"/>
    <row r="495" s="1" customFormat="1" ht="14.25" customHeight="1" x14ac:dyDescent="0.3"/>
    <row r="496" s="1" customFormat="1" ht="14.25" customHeight="1" x14ac:dyDescent="0.3"/>
    <row r="497" s="1" customFormat="1" ht="14.25" customHeight="1" x14ac:dyDescent="0.3"/>
    <row r="498" s="1" customFormat="1" ht="14.25" customHeight="1" x14ac:dyDescent="0.3"/>
    <row r="499" s="1" customFormat="1" ht="14.25" customHeight="1" x14ac:dyDescent="0.3"/>
    <row r="500" s="1" customFormat="1" ht="14.25" customHeight="1" x14ac:dyDescent="0.3"/>
    <row r="501" s="1" customFormat="1" ht="14.25" customHeight="1" x14ac:dyDescent="0.3"/>
    <row r="502" s="1" customFormat="1" ht="14.25" customHeight="1" x14ac:dyDescent="0.3"/>
    <row r="503" s="1" customFormat="1" ht="14.25" customHeight="1" x14ac:dyDescent="0.3"/>
    <row r="504" s="1" customFormat="1" ht="14.25" customHeight="1" x14ac:dyDescent="0.3"/>
    <row r="505" s="1" customFormat="1" ht="14.25" customHeight="1" x14ac:dyDescent="0.3"/>
    <row r="506" s="1" customFormat="1" ht="14.25" customHeight="1" x14ac:dyDescent="0.3"/>
    <row r="507" s="1" customFormat="1" ht="14.25" customHeight="1" x14ac:dyDescent="0.3"/>
    <row r="508" s="1" customFormat="1" ht="14.25" customHeight="1" x14ac:dyDescent="0.3"/>
    <row r="509" s="1" customFormat="1" ht="14.25" customHeight="1" x14ac:dyDescent="0.3"/>
    <row r="510" s="1" customFormat="1" ht="14.25" customHeight="1" x14ac:dyDescent="0.3"/>
    <row r="511" s="1" customFormat="1" ht="14.25" customHeight="1" x14ac:dyDescent="0.3"/>
    <row r="512" s="1" customFormat="1" ht="14.25" customHeight="1" x14ac:dyDescent="0.3"/>
    <row r="513" s="1" customFormat="1" ht="14.25" customHeight="1" x14ac:dyDescent="0.3"/>
    <row r="514" s="1" customFormat="1" ht="14.25" customHeight="1" x14ac:dyDescent="0.3"/>
    <row r="515" s="1" customFormat="1" ht="14.25" customHeight="1" x14ac:dyDescent="0.3"/>
    <row r="516" s="1" customFormat="1" ht="14.25" customHeight="1" x14ac:dyDescent="0.3"/>
    <row r="517" s="1" customFormat="1" ht="14.25" customHeight="1" x14ac:dyDescent="0.3"/>
    <row r="518" s="1" customFormat="1" ht="14.25" customHeight="1" x14ac:dyDescent="0.3"/>
    <row r="519" s="1" customFormat="1" ht="14.25" customHeight="1" x14ac:dyDescent="0.3"/>
    <row r="520" s="1" customFormat="1" ht="14.25" customHeight="1" x14ac:dyDescent="0.3"/>
    <row r="521" s="1" customFormat="1" ht="14.25" customHeight="1" x14ac:dyDescent="0.3"/>
    <row r="522" s="1" customFormat="1" ht="14.25" customHeight="1" x14ac:dyDescent="0.3"/>
    <row r="523" s="1" customFormat="1" ht="14.25" customHeight="1" x14ac:dyDescent="0.3"/>
    <row r="524" s="1" customFormat="1" ht="14.25" customHeight="1" x14ac:dyDescent="0.3"/>
    <row r="525" s="1" customFormat="1" ht="14.25" customHeight="1" x14ac:dyDescent="0.3"/>
    <row r="526" s="1" customFormat="1" ht="14.25" customHeight="1" x14ac:dyDescent="0.3"/>
    <row r="527" s="1" customFormat="1" ht="14.25" customHeight="1" x14ac:dyDescent="0.3"/>
    <row r="528" s="1" customFormat="1" ht="14.25" customHeight="1" x14ac:dyDescent="0.3"/>
    <row r="529" s="1" customFormat="1" ht="14.25" customHeight="1" x14ac:dyDescent="0.3"/>
    <row r="530" s="1" customFormat="1" ht="14.25" customHeight="1" x14ac:dyDescent="0.3"/>
    <row r="531" s="1" customFormat="1" ht="14.25" customHeight="1" x14ac:dyDescent="0.3"/>
    <row r="532" s="1" customFormat="1" ht="14.25" customHeight="1" x14ac:dyDescent="0.3"/>
    <row r="533" s="1" customFormat="1" ht="14.25" customHeight="1" x14ac:dyDescent="0.3"/>
    <row r="534" s="1" customFormat="1" ht="14.25" customHeight="1" x14ac:dyDescent="0.3"/>
    <row r="535" s="1" customFormat="1" ht="14.25" customHeight="1" x14ac:dyDescent="0.3"/>
    <row r="536" s="1" customFormat="1" ht="14.25" customHeight="1" x14ac:dyDescent="0.3"/>
    <row r="537" s="1" customFormat="1" ht="14.25" customHeight="1" x14ac:dyDescent="0.3"/>
    <row r="538" s="1" customFormat="1" ht="14.25" customHeight="1" x14ac:dyDescent="0.3"/>
    <row r="539" s="1" customFormat="1" ht="14.25" customHeight="1" x14ac:dyDescent="0.3"/>
    <row r="540" s="1" customFormat="1" ht="14.25" customHeight="1" x14ac:dyDescent="0.3"/>
    <row r="541" s="1" customFormat="1" ht="14.25" customHeight="1" x14ac:dyDescent="0.3"/>
    <row r="542" s="1" customFormat="1" ht="14.25" customHeight="1" x14ac:dyDescent="0.3"/>
    <row r="543" s="1" customFormat="1" ht="14.25" customHeight="1" x14ac:dyDescent="0.3"/>
    <row r="544" s="1" customFormat="1" ht="14.25" customHeight="1" x14ac:dyDescent="0.3"/>
    <row r="545" s="1" customFormat="1" ht="14.25" customHeight="1" x14ac:dyDescent="0.3"/>
    <row r="546" s="1" customFormat="1" ht="14.25" customHeight="1" x14ac:dyDescent="0.3"/>
    <row r="547" s="1" customFormat="1" ht="14.25" customHeight="1" x14ac:dyDescent="0.3"/>
    <row r="548" s="1" customFormat="1" ht="14.25" customHeight="1" x14ac:dyDescent="0.3"/>
    <row r="549" s="1" customFormat="1" ht="14.25" customHeight="1" x14ac:dyDescent="0.3"/>
    <row r="550" s="1" customFormat="1" ht="14.25" customHeight="1" x14ac:dyDescent="0.3"/>
    <row r="551" s="1" customFormat="1" ht="14.25" customHeight="1" x14ac:dyDescent="0.3"/>
    <row r="552" s="1" customFormat="1" ht="14.25" customHeight="1" x14ac:dyDescent="0.3"/>
    <row r="553" s="1" customFormat="1" ht="14.25" customHeight="1" x14ac:dyDescent="0.3"/>
    <row r="554" s="1" customFormat="1" ht="14.25" customHeight="1" x14ac:dyDescent="0.3"/>
    <row r="555" s="1" customFormat="1" ht="14.25" customHeight="1" x14ac:dyDescent="0.3"/>
    <row r="556" s="1" customFormat="1" ht="14.25" customHeight="1" x14ac:dyDescent="0.3"/>
    <row r="557" s="1" customFormat="1" ht="14.25" customHeight="1" x14ac:dyDescent="0.3"/>
    <row r="558" s="1" customFormat="1" ht="14.25" customHeight="1" x14ac:dyDescent="0.3"/>
    <row r="559" s="1" customFormat="1" ht="14.25" customHeight="1" x14ac:dyDescent="0.3"/>
    <row r="560" s="1" customFormat="1" ht="14.25" customHeight="1" x14ac:dyDescent="0.3"/>
    <row r="561" s="1" customFormat="1" ht="14.25" customHeight="1" x14ac:dyDescent="0.3"/>
    <row r="562" s="1" customFormat="1" ht="14.25" customHeight="1" x14ac:dyDescent="0.3"/>
    <row r="563" s="1" customFormat="1" ht="14.25" customHeight="1" x14ac:dyDescent="0.3"/>
    <row r="564" s="1" customFormat="1" ht="14.25" customHeight="1" x14ac:dyDescent="0.3"/>
    <row r="565" s="1" customFormat="1" ht="14.25" customHeight="1" x14ac:dyDescent="0.3"/>
    <row r="566" s="1" customFormat="1" ht="14.25" customHeight="1" x14ac:dyDescent="0.3"/>
    <row r="567" s="1" customFormat="1" ht="14.25" customHeight="1" x14ac:dyDescent="0.3"/>
    <row r="568" s="1" customFormat="1" ht="14.25" customHeight="1" x14ac:dyDescent="0.3"/>
    <row r="569" s="1" customFormat="1" ht="14.25" customHeight="1" x14ac:dyDescent="0.3"/>
    <row r="570" s="1" customFormat="1" ht="14.25" customHeight="1" x14ac:dyDescent="0.3"/>
    <row r="571" s="1" customFormat="1" ht="14.25" customHeight="1" x14ac:dyDescent="0.3"/>
    <row r="572" s="1" customFormat="1" ht="14.25" customHeight="1" x14ac:dyDescent="0.3"/>
    <row r="573" s="1" customFormat="1" ht="14.25" customHeight="1" x14ac:dyDescent="0.3"/>
    <row r="574" s="1" customFormat="1" ht="14.25" customHeight="1" x14ac:dyDescent="0.3"/>
    <row r="575" s="1" customFormat="1" ht="14.25" customHeight="1" x14ac:dyDescent="0.3"/>
    <row r="576" s="1" customFormat="1" ht="14.25" customHeight="1" x14ac:dyDescent="0.3"/>
    <row r="577" s="1" customFormat="1" ht="14.25" customHeight="1" x14ac:dyDescent="0.3"/>
    <row r="578" s="1" customFormat="1" ht="14.25" customHeight="1" x14ac:dyDescent="0.3"/>
    <row r="579" s="1" customFormat="1" ht="14.25" customHeight="1" x14ac:dyDescent="0.3"/>
    <row r="580" s="1" customFormat="1" ht="14.25" customHeight="1" x14ac:dyDescent="0.3"/>
    <row r="581" s="1" customFormat="1" ht="14.25" customHeight="1" x14ac:dyDescent="0.3"/>
    <row r="582" s="1" customFormat="1" ht="14.25" customHeight="1" x14ac:dyDescent="0.3"/>
    <row r="583" s="1" customFormat="1" ht="14.25" customHeight="1" x14ac:dyDescent="0.3"/>
    <row r="584" s="1" customFormat="1" ht="14.25" customHeight="1" x14ac:dyDescent="0.3"/>
    <row r="585" s="1" customFormat="1" ht="14.25" customHeight="1" x14ac:dyDescent="0.3"/>
    <row r="586" s="1" customFormat="1" ht="14.25" customHeight="1" x14ac:dyDescent="0.3"/>
    <row r="587" s="1" customFormat="1" ht="14.25" customHeight="1" x14ac:dyDescent="0.3"/>
    <row r="588" s="1" customFormat="1" ht="14.25" customHeight="1" x14ac:dyDescent="0.3"/>
    <row r="589" s="1" customFormat="1" ht="14.25" customHeight="1" x14ac:dyDescent="0.3"/>
    <row r="590" s="1" customFormat="1" ht="14.25" customHeight="1" x14ac:dyDescent="0.3"/>
    <row r="591" s="1" customFormat="1" ht="14.25" customHeight="1" x14ac:dyDescent="0.3"/>
    <row r="592" s="1" customFormat="1" ht="14.25" customHeight="1" x14ac:dyDescent="0.3"/>
    <row r="593" s="1" customFormat="1" ht="14.25" customHeight="1" x14ac:dyDescent="0.3"/>
    <row r="594" s="1" customFormat="1" ht="14.25" customHeight="1" x14ac:dyDescent="0.3"/>
    <row r="595" s="1" customFormat="1" ht="14.25" customHeight="1" x14ac:dyDescent="0.3"/>
    <row r="596" s="1" customFormat="1" ht="14.25" customHeight="1" x14ac:dyDescent="0.3"/>
    <row r="597" s="1" customFormat="1" ht="14.25" customHeight="1" x14ac:dyDescent="0.3"/>
    <row r="598" s="1" customFormat="1" ht="14.25" customHeight="1" x14ac:dyDescent="0.3"/>
    <row r="599" s="1" customFormat="1" ht="14.25" customHeight="1" x14ac:dyDescent="0.3"/>
    <row r="600" s="1" customFormat="1" ht="14.25" customHeight="1" x14ac:dyDescent="0.3"/>
    <row r="601" s="1" customFormat="1" ht="14.25" customHeight="1" x14ac:dyDescent="0.3"/>
    <row r="602" s="1" customFormat="1" ht="14.25" customHeight="1" x14ac:dyDescent="0.3"/>
    <row r="603" s="1" customFormat="1" ht="14.25" customHeight="1" x14ac:dyDescent="0.3"/>
    <row r="604" s="1" customFormat="1" ht="14.25" customHeight="1" x14ac:dyDescent="0.3"/>
    <row r="605" s="1" customFormat="1" ht="14.25" customHeight="1" x14ac:dyDescent="0.3"/>
    <row r="606" s="1" customFormat="1" ht="14.25" customHeight="1" x14ac:dyDescent="0.3"/>
    <row r="607" s="1" customFormat="1" ht="14.25" customHeight="1" x14ac:dyDescent="0.3"/>
    <row r="608" s="1" customFormat="1" ht="14.25" customHeight="1" x14ac:dyDescent="0.3"/>
    <row r="609" s="1" customFormat="1" ht="14.25" customHeight="1" x14ac:dyDescent="0.3"/>
    <row r="610" s="1" customFormat="1" ht="14.25" customHeight="1" x14ac:dyDescent="0.3"/>
    <row r="611" s="1" customFormat="1" ht="14.25" customHeight="1" x14ac:dyDescent="0.3"/>
    <row r="612" s="1" customFormat="1" ht="14.25" customHeight="1" x14ac:dyDescent="0.3"/>
    <row r="613" s="1" customFormat="1" ht="14.25" customHeight="1" x14ac:dyDescent="0.3"/>
    <row r="614" s="1" customFormat="1" ht="14.25" customHeight="1" x14ac:dyDescent="0.3"/>
    <row r="615" s="1" customFormat="1" ht="14.25" customHeight="1" x14ac:dyDescent="0.3"/>
    <row r="616" s="1" customFormat="1" ht="14.25" customHeight="1" x14ac:dyDescent="0.3"/>
    <row r="617" s="1" customFormat="1" ht="14.25" customHeight="1" x14ac:dyDescent="0.3"/>
    <row r="618" s="1" customFormat="1" ht="14.25" customHeight="1" x14ac:dyDescent="0.3"/>
    <row r="619" s="1" customFormat="1" ht="14.25" customHeight="1" x14ac:dyDescent="0.3"/>
    <row r="620" s="1" customFormat="1" ht="14.25" customHeight="1" x14ac:dyDescent="0.3"/>
    <row r="621" s="1" customFormat="1" ht="14.25" customHeight="1" x14ac:dyDescent="0.3"/>
    <row r="622" s="1" customFormat="1" ht="14.25" customHeight="1" x14ac:dyDescent="0.3"/>
    <row r="623" s="1" customFormat="1" ht="14.25" customHeight="1" x14ac:dyDescent="0.3"/>
    <row r="624" s="1" customFormat="1" ht="14.25" customHeight="1" x14ac:dyDescent="0.3"/>
    <row r="625" s="1" customFormat="1" ht="14.25" customHeight="1" x14ac:dyDescent="0.3"/>
    <row r="626" s="1" customFormat="1" ht="14.25" customHeight="1" x14ac:dyDescent="0.3"/>
    <row r="627" s="1" customFormat="1" ht="14.25" customHeight="1" x14ac:dyDescent="0.3"/>
    <row r="628" s="1" customFormat="1" ht="14.25" customHeight="1" x14ac:dyDescent="0.3"/>
    <row r="629" s="1" customFormat="1" ht="14.25" customHeight="1" x14ac:dyDescent="0.3"/>
    <row r="630" s="1" customFormat="1" ht="14.25" customHeight="1" x14ac:dyDescent="0.3"/>
    <row r="631" s="1" customFormat="1" ht="14.25" customHeight="1" x14ac:dyDescent="0.3"/>
    <row r="632" s="1" customFormat="1" ht="14.25" customHeight="1" x14ac:dyDescent="0.3"/>
    <row r="633" s="1" customFormat="1" ht="14.25" customHeight="1" x14ac:dyDescent="0.3"/>
    <row r="634" s="1" customFormat="1" ht="14.25" customHeight="1" x14ac:dyDescent="0.3"/>
    <row r="635" s="1" customFormat="1" ht="14.25" customHeight="1" x14ac:dyDescent="0.3"/>
    <row r="636" s="1" customFormat="1" ht="14.25" customHeight="1" x14ac:dyDescent="0.3"/>
    <row r="637" s="1" customFormat="1" ht="14.25" customHeight="1" x14ac:dyDescent="0.3"/>
    <row r="638" s="1" customFormat="1" ht="14.25" customHeight="1" x14ac:dyDescent="0.3"/>
    <row r="639" s="1" customFormat="1" ht="14.25" customHeight="1" x14ac:dyDescent="0.3"/>
    <row r="640" s="1" customFormat="1" ht="14.25" customHeight="1" x14ac:dyDescent="0.3"/>
    <row r="641" s="1" customFormat="1" ht="14.25" customHeight="1" x14ac:dyDescent="0.3"/>
    <row r="642" s="1" customFormat="1" ht="14.25" customHeight="1" x14ac:dyDescent="0.3"/>
    <row r="643" s="1" customFormat="1" ht="14.25" customHeight="1" x14ac:dyDescent="0.3"/>
    <row r="644" s="1" customFormat="1" ht="14.25" customHeight="1" x14ac:dyDescent="0.3"/>
    <row r="645" s="1" customFormat="1" ht="14.25" customHeight="1" x14ac:dyDescent="0.3"/>
    <row r="646" s="1" customFormat="1" ht="14.25" customHeight="1" x14ac:dyDescent="0.3"/>
    <row r="647" s="1" customFormat="1" ht="14.25" customHeight="1" x14ac:dyDescent="0.3"/>
    <row r="648" s="1" customFormat="1" ht="14.25" customHeight="1" x14ac:dyDescent="0.3"/>
    <row r="649" s="1" customFormat="1" ht="14.25" customHeight="1" x14ac:dyDescent="0.3"/>
    <row r="650" s="1" customFormat="1" ht="14.25" customHeight="1" x14ac:dyDescent="0.3"/>
    <row r="651" s="1" customFormat="1" ht="14.25" customHeight="1" x14ac:dyDescent="0.3"/>
    <row r="652" s="1" customFormat="1" ht="14.25" customHeight="1" x14ac:dyDescent="0.3"/>
    <row r="653" s="1" customFormat="1" ht="14.25" customHeight="1" x14ac:dyDescent="0.3"/>
    <row r="654" s="1" customFormat="1" ht="14.25" customHeight="1" x14ac:dyDescent="0.3"/>
    <row r="655" s="1" customFormat="1" ht="14.25" customHeight="1" x14ac:dyDescent="0.3"/>
    <row r="656" s="1" customFormat="1" ht="14.25" customHeight="1" x14ac:dyDescent="0.3"/>
    <row r="657" s="1" customFormat="1" ht="14.25" customHeight="1" x14ac:dyDescent="0.3"/>
    <row r="658" s="1" customFormat="1" ht="14.25" customHeight="1" x14ac:dyDescent="0.3"/>
    <row r="659" s="1" customFormat="1" ht="14.25" customHeight="1" x14ac:dyDescent="0.3"/>
    <row r="660" s="1" customFormat="1" ht="14.25" customHeight="1" x14ac:dyDescent="0.3"/>
    <row r="661" s="1" customFormat="1" ht="14.25" customHeight="1" x14ac:dyDescent="0.3"/>
    <row r="662" s="1" customFormat="1" ht="14.25" customHeight="1" x14ac:dyDescent="0.3"/>
    <row r="663" s="1" customFormat="1" ht="14.25" customHeight="1" x14ac:dyDescent="0.3"/>
    <row r="664" s="1" customFormat="1" ht="14.25" customHeight="1" x14ac:dyDescent="0.3"/>
    <row r="665" s="1" customFormat="1" ht="14.25" customHeight="1" x14ac:dyDescent="0.3"/>
    <row r="666" s="1" customFormat="1" ht="14.25" customHeight="1" x14ac:dyDescent="0.3"/>
    <row r="667" s="1" customFormat="1" ht="14.25" customHeight="1" x14ac:dyDescent="0.3"/>
    <row r="668" s="1" customFormat="1" ht="14.25" customHeight="1" x14ac:dyDescent="0.3"/>
    <row r="669" s="1" customFormat="1" ht="14.25" customHeight="1" x14ac:dyDescent="0.3"/>
    <row r="670" s="1" customFormat="1" ht="14.25" customHeight="1" x14ac:dyDescent="0.3"/>
    <row r="671" s="1" customFormat="1" ht="14.25" customHeight="1" x14ac:dyDescent="0.3"/>
    <row r="672" s="1" customFormat="1" ht="14.25" customHeight="1" x14ac:dyDescent="0.3"/>
    <row r="673" s="1" customFormat="1" ht="14.25" customHeight="1" x14ac:dyDescent="0.3"/>
    <row r="674" s="1" customFormat="1" ht="14.25" customHeight="1" x14ac:dyDescent="0.3"/>
    <row r="675" s="1" customFormat="1" ht="14.25" customHeight="1" x14ac:dyDescent="0.3"/>
    <row r="676" s="1" customFormat="1" ht="14.25" customHeight="1" x14ac:dyDescent="0.3"/>
    <row r="677" s="1" customFormat="1" ht="14.25" customHeight="1" x14ac:dyDescent="0.3"/>
    <row r="678" s="1" customFormat="1" ht="14.25" customHeight="1" x14ac:dyDescent="0.3"/>
    <row r="679" s="1" customFormat="1" ht="14.25" customHeight="1" x14ac:dyDescent="0.3"/>
    <row r="680" s="1" customFormat="1" ht="14.25" customHeight="1" x14ac:dyDescent="0.3"/>
    <row r="681" s="1" customFormat="1" ht="14.25" customHeight="1" x14ac:dyDescent="0.3"/>
    <row r="682" s="1" customFormat="1" ht="14.25" customHeight="1" x14ac:dyDescent="0.3"/>
    <row r="683" s="1" customFormat="1" ht="14.25" customHeight="1" x14ac:dyDescent="0.3"/>
    <row r="684" s="1" customFormat="1" ht="14.25" customHeight="1" x14ac:dyDescent="0.3"/>
    <row r="685" s="1" customFormat="1" ht="14.25" customHeight="1" x14ac:dyDescent="0.3"/>
    <row r="686" s="1" customFormat="1" ht="14.25" customHeight="1" x14ac:dyDescent="0.3"/>
    <row r="687" s="1" customFormat="1" ht="14.25" customHeight="1" x14ac:dyDescent="0.3"/>
    <row r="688" s="1" customFormat="1" ht="14.25" customHeight="1" x14ac:dyDescent="0.3"/>
    <row r="689" s="1" customFormat="1" ht="14.25" customHeight="1" x14ac:dyDescent="0.3"/>
    <row r="690" s="1" customFormat="1" ht="14.25" customHeight="1" x14ac:dyDescent="0.3"/>
    <row r="691" s="1" customFormat="1" ht="14.25" customHeight="1" x14ac:dyDescent="0.3"/>
    <row r="692" s="1" customFormat="1" ht="14.25" customHeight="1" x14ac:dyDescent="0.3"/>
    <row r="693" s="1" customFormat="1" ht="14.25" customHeight="1" x14ac:dyDescent="0.3"/>
    <row r="694" s="1" customFormat="1" ht="14.25" customHeight="1" x14ac:dyDescent="0.3"/>
    <row r="695" s="1" customFormat="1" ht="14.25" customHeight="1" x14ac:dyDescent="0.3"/>
    <row r="696" s="1" customFormat="1" ht="14.25" customHeight="1" x14ac:dyDescent="0.3"/>
    <row r="697" s="1" customFormat="1" ht="14.25" customHeight="1" x14ac:dyDescent="0.3"/>
    <row r="698" s="1" customFormat="1" ht="14.25" customHeight="1" x14ac:dyDescent="0.3"/>
    <row r="699" s="1" customFormat="1" ht="14.25" customHeight="1" x14ac:dyDescent="0.3"/>
    <row r="700" s="1" customFormat="1" ht="14.25" customHeight="1" x14ac:dyDescent="0.3"/>
    <row r="701" s="1" customFormat="1" ht="14.25" customHeight="1" x14ac:dyDescent="0.3"/>
    <row r="702" s="1" customFormat="1" ht="14.25" customHeight="1" x14ac:dyDescent="0.3"/>
    <row r="703" s="1" customFormat="1" ht="14.25" customHeight="1" x14ac:dyDescent="0.3"/>
    <row r="704" s="1" customFormat="1" ht="14.25" customHeight="1" x14ac:dyDescent="0.3"/>
    <row r="705" s="1" customFormat="1" ht="14.25" customHeight="1" x14ac:dyDescent="0.3"/>
    <row r="706" s="1" customFormat="1" ht="14.25" customHeight="1" x14ac:dyDescent="0.3"/>
    <row r="707" s="1" customFormat="1" ht="14.25" customHeight="1" x14ac:dyDescent="0.3"/>
    <row r="708" s="1" customFormat="1" ht="14.25" customHeight="1" x14ac:dyDescent="0.3"/>
    <row r="709" s="1" customFormat="1" ht="14.25" customHeight="1" x14ac:dyDescent="0.3"/>
    <row r="710" s="1" customFormat="1" ht="14.25" customHeight="1" x14ac:dyDescent="0.3"/>
    <row r="711" s="1" customFormat="1" ht="14.25" customHeight="1" x14ac:dyDescent="0.3"/>
    <row r="712" s="1" customFormat="1" ht="14.25" customHeight="1" x14ac:dyDescent="0.3"/>
    <row r="713" s="1" customFormat="1" ht="14.25" customHeight="1" x14ac:dyDescent="0.3"/>
    <row r="714" s="1" customFormat="1" ht="14.25" customHeight="1" x14ac:dyDescent="0.3"/>
    <row r="715" s="1" customFormat="1" ht="14.25" customHeight="1" x14ac:dyDescent="0.3"/>
    <row r="716" s="1" customFormat="1" ht="14.25" customHeight="1" x14ac:dyDescent="0.3"/>
    <row r="717" s="1" customFormat="1" ht="14.25" customHeight="1" x14ac:dyDescent="0.3"/>
    <row r="718" s="1" customFormat="1" ht="14.25" customHeight="1" x14ac:dyDescent="0.3"/>
    <row r="719" s="1" customFormat="1" ht="14.25" customHeight="1" x14ac:dyDescent="0.3"/>
    <row r="720" s="1" customFormat="1" ht="14.25" customHeight="1" x14ac:dyDescent="0.3"/>
    <row r="721" s="1" customFormat="1" ht="14.25" customHeight="1" x14ac:dyDescent="0.3"/>
    <row r="722" s="1" customFormat="1" ht="14.25" customHeight="1" x14ac:dyDescent="0.3"/>
    <row r="723" s="1" customFormat="1" ht="14.25" customHeight="1" x14ac:dyDescent="0.3"/>
    <row r="724" s="1" customFormat="1" ht="14.25" customHeight="1" x14ac:dyDescent="0.3"/>
    <row r="725" s="1" customFormat="1" ht="14.25" customHeight="1" x14ac:dyDescent="0.3"/>
    <row r="726" s="1" customFormat="1" ht="14.25" customHeight="1" x14ac:dyDescent="0.3"/>
    <row r="727" s="1" customFormat="1" ht="14.25" customHeight="1" x14ac:dyDescent="0.3"/>
    <row r="728" s="1" customFormat="1" ht="14.25" customHeight="1" x14ac:dyDescent="0.3"/>
    <row r="729" s="1" customFormat="1" ht="14.25" customHeight="1" x14ac:dyDescent="0.3"/>
    <row r="730" s="1" customFormat="1" ht="14.25" customHeight="1" x14ac:dyDescent="0.3"/>
    <row r="731" s="1" customFormat="1" ht="14.25" customHeight="1" x14ac:dyDescent="0.3"/>
    <row r="732" s="1" customFormat="1" ht="14.25" customHeight="1" x14ac:dyDescent="0.3"/>
    <row r="733" s="1" customFormat="1" ht="14.25" customHeight="1" x14ac:dyDescent="0.3"/>
    <row r="734" s="1" customFormat="1" ht="14.25" customHeight="1" x14ac:dyDescent="0.3"/>
    <row r="735" s="1" customFormat="1" ht="14.25" customHeight="1" x14ac:dyDescent="0.3"/>
    <row r="736" s="1" customFormat="1" ht="14.25" customHeight="1" x14ac:dyDescent="0.3"/>
    <row r="737" s="1" customFormat="1" ht="14.25" customHeight="1" x14ac:dyDescent="0.3"/>
    <row r="738" s="1" customFormat="1" ht="14.25" customHeight="1" x14ac:dyDescent="0.3"/>
    <row r="739" s="1" customFormat="1" ht="14.25" customHeight="1" x14ac:dyDescent="0.3"/>
    <row r="740" s="1" customFormat="1" ht="14.25" customHeight="1" x14ac:dyDescent="0.3"/>
    <row r="741" s="1" customFormat="1" ht="14.25" customHeight="1" x14ac:dyDescent="0.3"/>
    <row r="742" s="1" customFormat="1" ht="14.25" customHeight="1" x14ac:dyDescent="0.3"/>
    <row r="743" s="1" customFormat="1" ht="14.25" customHeight="1" x14ac:dyDescent="0.3"/>
    <row r="744" s="1" customFormat="1" ht="14.25" customHeight="1" x14ac:dyDescent="0.3"/>
    <row r="745" s="1" customFormat="1" ht="14.25" customHeight="1" x14ac:dyDescent="0.3"/>
    <row r="746" s="1" customFormat="1" ht="14.25" customHeight="1" x14ac:dyDescent="0.3"/>
    <row r="747" s="1" customFormat="1" ht="14.25" customHeight="1" x14ac:dyDescent="0.3"/>
    <row r="748" s="1" customFormat="1" ht="14.25" customHeight="1" x14ac:dyDescent="0.3"/>
    <row r="749" s="1" customFormat="1" ht="14.25" customHeight="1" x14ac:dyDescent="0.3"/>
    <row r="750" s="1" customFormat="1" ht="14.25" customHeight="1" x14ac:dyDescent="0.3"/>
    <row r="751" s="1" customFormat="1" ht="14.25" customHeight="1" x14ac:dyDescent="0.3"/>
    <row r="752" s="1" customFormat="1" ht="14.25" customHeight="1" x14ac:dyDescent="0.3"/>
    <row r="753" s="1" customFormat="1" ht="14.25" customHeight="1" x14ac:dyDescent="0.3"/>
    <row r="754" s="1" customFormat="1" ht="14.25" customHeight="1" x14ac:dyDescent="0.3"/>
    <row r="755" s="1" customFormat="1" ht="14.25" customHeight="1" x14ac:dyDescent="0.3"/>
    <row r="756" s="1" customFormat="1" ht="14.25" customHeight="1" x14ac:dyDescent="0.3"/>
    <row r="757" s="1" customFormat="1" ht="14.25" customHeight="1" x14ac:dyDescent="0.3"/>
    <row r="758" s="1" customFormat="1" ht="14.25" customHeight="1" x14ac:dyDescent="0.3"/>
    <row r="759" s="1" customFormat="1" ht="14.25" customHeight="1" x14ac:dyDescent="0.3"/>
    <row r="760" s="1" customFormat="1" ht="14.25" customHeight="1" x14ac:dyDescent="0.3"/>
    <row r="761" s="1" customFormat="1" ht="14.25" customHeight="1" x14ac:dyDescent="0.3"/>
    <row r="762" s="1" customFormat="1" ht="14.25" customHeight="1" x14ac:dyDescent="0.3"/>
    <row r="763" s="1" customFormat="1" ht="14.25" customHeight="1" x14ac:dyDescent="0.3"/>
    <row r="764" s="1" customFormat="1" ht="14.25" customHeight="1" x14ac:dyDescent="0.3"/>
    <row r="765" s="1" customFormat="1" ht="14.25" customHeight="1" x14ac:dyDescent="0.3"/>
    <row r="766" s="1" customFormat="1" ht="14.25" customHeight="1" x14ac:dyDescent="0.3"/>
    <row r="767" s="1" customFormat="1" ht="14.25" customHeight="1" x14ac:dyDescent="0.3"/>
    <row r="768" s="1" customFormat="1" ht="14.25" customHeight="1" x14ac:dyDescent="0.3"/>
    <row r="769" s="1" customFormat="1" ht="14.25" customHeight="1" x14ac:dyDescent="0.3"/>
    <row r="770" s="1" customFormat="1" ht="14.25" customHeight="1" x14ac:dyDescent="0.3"/>
    <row r="771" s="1" customFormat="1" ht="14.25" customHeight="1" x14ac:dyDescent="0.3"/>
    <row r="772" s="1" customFormat="1" ht="14.25" customHeight="1" x14ac:dyDescent="0.3"/>
    <row r="773" s="1" customFormat="1" ht="14.25" customHeight="1" x14ac:dyDescent="0.3"/>
    <row r="774" s="1" customFormat="1" ht="14.25" customHeight="1" x14ac:dyDescent="0.3"/>
    <row r="775" s="1" customFormat="1" ht="14.25" customHeight="1" x14ac:dyDescent="0.3"/>
    <row r="776" s="1" customFormat="1" ht="14.25" customHeight="1" x14ac:dyDescent="0.3"/>
    <row r="777" s="1" customFormat="1" ht="14.25" customHeight="1" x14ac:dyDescent="0.3"/>
    <row r="778" s="1" customFormat="1" ht="14.25" customHeight="1" x14ac:dyDescent="0.3"/>
    <row r="779" s="1" customFormat="1" ht="14.25" customHeight="1" x14ac:dyDescent="0.3"/>
    <row r="780" s="1" customFormat="1" ht="14.25" customHeight="1" x14ac:dyDescent="0.3"/>
    <row r="781" s="1" customFormat="1" ht="14.25" customHeight="1" x14ac:dyDescent="0.3"/>
    <row r="782" s="1" customFormat="1" ht="14.25" customHeight="1" x14ac:dyDescent="0.3"/>
    <row r="783" s="1" customFormat="1" ht="14.25" customHeight="1" x14ac:dyDescent="0.3"/>
    <row r="784" s="1" customFormat="1" ht="14.25" customHeight="1" x14ac:dyDescent="0.3"/>
    <row r="785" s="1" customFormat="1" ht="14.25" customHeight="1" x14ac:dyDescent="0.3"/>
    <row r="786" s="1" customFormat="1" ht="14.25" customHeight="1" x14ac:dyDescent="0.3"/>
    <row r="787" s="1" customFormat="1" ht="14.25" customHeight="1" x14ac:dyDescent="0.3"/>
    <row r="788" s="1" customFormat="1" ht="14.25" customHeight="1" x14ac:dyDescent="0.3"/>
    <row r="789" s="1" customFormat="1" ht="14.25" customHeight="1" x14ac:dyDescent="0.3"/>
    <row r="790" s="1" customFormat="1" ht="14.25" customHeight="1" x14ac:dyDescent="0.3"/>
    <row r="791" s="1" customFormat="1" ht="14.25" customHeight="1" x14ac:dyDescent="0.3"/>
    <row r="792" s="1" customFormat="1" ht="14.25" customHeight="1" x14ac:dyDescent="0.3"/>
    <row r="793" s="1" customFormat="1" ht="14.25" customHeight="1" x14ac:dyDescent="0.3"/>
    <row r="794" s="1" customFormat="1" ht="14.25" customHeight="1" x14ac:dyDescent="0.3"/>
    <row r="795" s="1" customFormat="1" ht="14.25" customHeight="1" x14ac:dyDescent="0.3"/>
    <row r="796" s="1" customFormat="1" ht="14.25" customHeight="1" x14ac:dyDescent="0.3"/>
    <row r="797" s="1" customFormat="1" ht="14.25" customHeight="1" x14ac:dyDescent="0.3"/>
    <row r="798" s="1" customFormat="1" ht="14.25" customHeight="1" x14ac:dyDescent="0.3"/>
    <row r="799" s="1" customFormat="1" ht="14.25" customHeight="1" x14ac:dyDescent="0.3"/>
    <row r="800" s="1" customFormat="1" ht="14.25" customHeight="1" x14ac:dyDescent="0.3"/>
    <row r="801" s="1" customFormat="1" ht="14.25" customHeight="1" x14ac:dyDescent="0.3"/>
    <row r="802" s="1" customFormat="1" ht="14.25" customHeight="1" x14ac:dyDescent="0.3"/>
    <row r="803" s="1" customFormat="1" ht="14.25" customHeight="1" x14ac:dyDescent="0.3"/>
    <row r="804" s="1" customFormat="1" ht="14.25" customHeight="1" x14ac:dyDescent="0.3"/>
    <row r="805" s="1" customFormat="1" ht="14.25" customHeight="1" x14ac:dyDescent="0.3"/>
    <row r="806" s="1" customFormat="1" ht="14.25" customHeight="1" x14ac:dyDescent="0.3"/>
    <row r="807" s="1" customFormat="1" ht="14.25" customHeight="1" x14ac:dyDescent="0.3"/>
    <row r="808" s="1" customFormat="1" ht="14.25" customHeight="1" x14ac:dyDescent="0.3"/>
    <row r="809" s="1" customFormat="1" ht="14.25" customHeight="1" x14ac:dyDescent="0.3"/>
    <row r="810" s="1" customFormat="1" ht="14.25" customHeight="1" x14ac:dyDescent="0.3"/>
    <row r="811" s="1" customFormat="1" ht="14.25" customHeight="1" x14ac:dyDescent="0.3"/>
    <row r="812" s="1" customFormat="1" ht="14.25" customHeight="1" x14ac:dyDescent="0.3"/>
    <row r="813" s="1" customFormat="1" ht="14.25" customHeight="1" x14ac:dyDescent="0.3"/>
    <row r="814" s="1" customFormat="1" ht="14.25" customHeight="1" x14ac:dyDescent="0.3"/>
    <row r="815" s="1" customFormat="1" ht="14.25" customHeight="1" x14ac:dyDescent="0.3"/>
    <row r="816" s="1" customFormat="1" ht="14.25" customHeight="1" x14ac:dyDescent="0.3"/>
    <row r="817" s="1" customFormat="1" ht="14.25" customHeight="1" x14ac:dyDescent="0.3"/>
    <row r="818" s="1" customFormat="1" ht="14.25" customHeight="1" x14ac:dyDescent="0.3"/>
    <row r="819" s="1" customFormat="1" ht="14.25" customHeight="1" x14ac:dyDescent="0.3"/>
    <row r="820" s="1" customFormat="1" ht="14.25" customHeight="1" x14ac:dyDescent="0.3"/>
    <row r="821" s="1" customFormat="1" ht="14.25" customHeight="1" x14ac:dyDescent="0.3"/>
    <row r="822" s="1" customFormat="1" ht="14.25" customHeight="1" x14ac:dyDescent="0.3"/>
    <row r="823" s="1" customFormat="1" ht="14.25" customHeight="1" x14ac:dyDescent="0.3"/>
    <row r="824" s="1" customFormat="1" ht="14.25" customHeight="1" x14ac:dyDescent="0.3"/>
    <row r="825" s="1" customFormat="1" ht="14.25" customHeight="1" x14ac:dyDescent="0.3"/>
    <row r="826" s="1" customFormat="1" ht="14.25" customHeight="1" x14ac:dyDescent="0.3"/>
    <row r="827" s="1" customFormat="1" ht="14.25" customHeight="1" x14ac:dyDescent="0.3"/>
    <row r="828" s="1" customFormat="1" ht="14.25" customHeight="1" x14ac:dyDescent="0.3"/>
    <row r="829" s="1" customFormat="1" ht="14.25" customHeight="1" x14ac:dyDescent="0.3"/>
    <row r="830" s="1" customFormat="1" ht="14.25" customHeight="1" x14ac:dyDescent="0.3"/>
    <row r="831" s="1" customFormat="1" ht="14.25" customHeight="1" x14ac:dyDescent="0.3"/>
    <row r="832" s="1" customFormat="1" ht="14.25" customHeight="1" x14ac:dyDescent="0.3"/>
    <row r="833" s="1" customFormat="1" ht="14.25" customHeight="1" x14ac:dyDescent="0.3"/>
    <row r="834" s="1" customFormat="1" ht="14.25" customHeight="1" x14ac:dyDescent="0.3"/>
    <row r="835" s="1" customFormat="1" ht="14.25" customHeight="1" x14ac:dyDescent="0.3"/>
    <row r="836" s="1" customFormat="1" ht="14.25" customHeight="1" x14ac:dyDescent="0.3"/>
    <row r="837" s="1" customFormat="1" ht="14.25" customHeight="1" x14ac:dyDescent="0.3"/>
    <row r="838" s="1" customFormat="1" ht="14.25" customHeight="1" x14ac:dyDescent="0.3"/>
    <row r="839" s="1" customFormat="1" ht="14.25" customHeight="1" x14ac:dyDescent="0.3"/>
    <row r="840" s="1" customFormat="1" ht="14.25" customHeight="1" x14ac:dyDescent="0.3"/>
    <row r="841" s="1" customFormat="1" ht="14.25" customHeight="1" x14ac:dyDescent="0.3"/>
    <row r="842" s="1" customFormat="1" ht="14.25" customHeight="1" x14ac:dyDescent="0.3"/>
    <row r="843" s="1" customFormat="1" ht="14.25" customHeight="1" x14ac:dyDescent="0.3"/>
    <row r="844" s="1" customFormat="1" ht="14.25" customHeight="1" x14ac:dyDescent="0.3"/>
    <row r="845" s="1" customFormat="1" ht="14.25" customHeight="1" x14ac:dyDescent="0.3"/>
    <row r="846" s="1" customFormat="1" ht="14.25" customHeight="1" x14ac:dyDescent="0.3"/>
    <row r="847" s="1" customFormat="1" ht="14.25" customHeight="1" x14ac:dyDescent="0.3"/>
    <row r="848" s="1" customFormat="1" ht="14.25" customHeight="1" x14ac:dyDescent="0.3"/>
    <row r="849" s="1" customFormat="1" ht="14.25" customHeight="1" x14ac:dyDescent="0.3"/>
    <row r="850" s="1" customFormat="1" ht="14.25" customHeight="1" x14ac:dyDescent="0.3"/>
    <row r="851" s="1" customFormat="1" ht="14.25" customHeight="1" x14ac:dyDescent="0.3"/>
    <row r="852" s="1" customFormat="1" ht="14.25" customHeight="1" x14ac:dyDescent="0.3"/>
    <row r="853" s="1" customFormat="1" ht="14.25" customHeight="1" x14ac:dyDescent="0.3"/>
    <row r="854" s="1" customFormat="1" ht="14.25" customHeight="1" x14ac:dyDescent="0.3"/>
    <row r="855" s="1" customFormat="1" ht="14.25" customHeight="1" x14ac:dyDescent="0.3"/>
    <row r="856" s="1" customFormat="1" ht="14.25" customHeight="1" x14ac:dyDescent="0.3"/>
    <row r="857" s="1" customFormat="1" ht="14.25" customHeight="1" x14ac:dyDescent="0.3"/>
    <row r="858" s="1" customFormat="1" ht="14.25" customHeight="1" x14ac:dyDescent="0.3"/>
    <row r="859" s="1" customFormat="1" ht="14.25" customHeight="1" x14ac:dyDescent="0.3"/>
    <row r="860" s="1" customFormat="1" ht="14.25" customHeight="1" x14ac:dyDescent="0.3"/>
    <row r="861" s="1" customFormat="1" ht="14.25" customHeight="1" x14ac:dyDescent="0.3"/>
    <row r="862" s="1" customFormat="1" ht="14.25" customHeight="1" x14ac:dyDescent="0.3"/>
    <row r="863" s="1" customFormat="1" ht="14.25" customHeight="1" x14ac:dyDescent="0.3"/>
    <row r="864" s="1" customFormat="1" ht="14.25" customHeight="1" x14ac:dyDescent="0.3"/>
    <row r="865" s="1" customFormat="1" ht="14.25" customHeight="1" x14ac:dyDescent="0.3"/>
    <row r="866" s="1" customFormat="1" ht="14.25" customHeight="1" x14ac:dyDescent="0.3"/>
    <row r="867" s="1" customFormat="1" ht="14.25" customHeight="1" x14ac:dyDescent="0.3"/>
    <row r="868" s="1" customFormat="1" ht="14.25" customHeight="1" x14ac:dyDescent="0.3"/>
    <row r="869" s="1" customFormat="1" ht="14.25" customHeight="1" x14ac:dyDescent="0.3"/>
    <row r="870" s="1" customFormat="1" ht="14.25" customHeight="1" x14ac:dyDescent="0.3"/>
    <row r="871" s="1" customFormat="1" ht="14.25" customHeight="1" x14ac:dyDescent="0.3"/>
    <row r="872" s="1" customFormat="1" ht="14.25" customHeight="1" x14ac:dyDescent="0.3"/>
    <row r="873" s="1" customFormat="1" ht="14.25" customHeight="1" x14ac:dyDescent="0.3"/>
    <row r="874" s="1" customFormat="1" ht="14.25" customHeight="1" x14ac:dyDescent="0.3"/>
    <row r="875" s="1" customFormat="1" ht="14.25" customHeight="1" x14ac:dyDescent="0.3"/>
    <row r="876" s="1" customFormat="1" ht="14.25" customHeight="1" x14ac:dyDescent="0.3"/>
    <row r="877" s="1" customFormat="1" ht="14.25" customHeight="1" x14ac:dyDescent="0.3"/>
    <row r="878" s="1" customFormat="1" ht="14.25" customHeight="1" x14ac:dyDescent="0.3"/>
    <row r="879" s="1" customFormat="1" ht="14.25" customHeight="1" x14ac:dyDescent="0.3"/>
    <row r="880" s="1" customFormat="1" ht="14.25" customHeight="1" x14ac:dyDescent="0.3"/>
    <row r="881" s="1" customFormat="1" ht="14.25" customHeight="1" x14ac:dyDescent="0.3"/>
    <row r="882" s="1" customFormat="1" ht="14.25" customHeight="1" x14ac:dyDescent="0.3"/>
    <row r="883" s="1" customFormat="1" ht="14.25" customHeight="1" x14ac:dyDescent="0.3"/>
    <row r="884" s="1" customFormat="1" ht="14.25" customHeight="1" x14ac:dyDescent="0.3"/>
    <row r="885" s="1" customFormat="1" ht="14.25" customHeight="1" x14ac:dyDescent="0.3"/>
    <row r="886" s="1" customFormat="1" ht="14.25" customHeight="1" x14ac:dyDescent="0.3"/>
    <row r="887" s="1" customFormat="1" ht="14.25" customHeight="1" x14ac:dyDescent="0.3"/>
    <row r="888" s="1" customFormat="1" ht="14.25" customHeight="1" x14ac:dyDescent="0.3"/>
    <row r="889" s="1" customFormat="1" ht="14.25" customHeight="1" x14ac:dyDescent="0.3"/>
    <row r="890" s="1" customFormat="1" ht="14.25" customHeight="1" x14ac:dyDescent="0.3"/>
    <row r="891" s="1" customFormat="1" ht="14.25" customHeight="1" x14ac:dyDescent="0.3"/>
    <row r="892" s="1" customFormat="1" ht="14.25" customHeight="1" x14ac:dyDescent="0.3"/>
    <row r="893" s="1" customFormat="1" ht="14.25" customHeight="1" x14ac:dyDescent="0.3"/>
    <row r="894" s="1" customFormat="1" ht="14.25" customHeight="1" x14ac:dyDescent="0.3"/>
    <row r="895" s="1" customFormat="1" ht="14.25" customHeight="1" x14ac:dyDescent="0.3"/>
    <row r="896" s="1" customFormat="1" ht="14.25" customHeight="1" x14ac:dyDescent="0.3"/>
    <row r="897" s="1" customFormat="1" ht="14.25" customHeight="1" x14ac:dyDescent="0.3"/>
    <row r="898" s="1" customFormat="1" ht="14.25" customHeight="1" x14ac:dyDescent="0.3"/>
    <row r="899" s="1" customFormat="1" ht="14.25" customHeight="1" x14ac:dyDescent="0.3"/>
    <row r="900" s="1" customFormat="1" ht="14.25" customHeight="1" x14ac:dyDescent="0.3"/>
    <row r="901" s="1" customFormat="1" ht="14.25" customHeight="1" x14ac:dyDescent="0.3"/>
    <row r="902" s="1" customFormat="1" ht="14.25" customHeight="1" x14ac:dyDescent="0.3"/>
    <row r="903" s="1" customFormat="1" ht="14.25" customHeight="1" x14ac:dyDescent="0.3"/>
    <row r="904" s="1" customFormat="1" ht="14.25" customHeight="1" x14ac:dyDescent="0.3"/>
    <row r="905" s="1" customFormat="1" ht="14.25" customHeight="1" x14ac:dyDescent="0.3"/>
    <row r="906" s="1" customFormat="1" ht="14.25" customHeight="1" x14ac:dyDescent="0.3"/>
    <row r="907" s="1" customFormat="1" ht="14.25" customHeight="1" x14ac:dyDescent="0.3"/>
    <row r="908" s="1" customFormat="1" ht="14.25" customHeight="1" x14ac:dyDescent="0.3"/>
    <row r="909" s="1" customFormat="1" ht="14.25" customHeight="1" x14ac:dyDescent="0.3"/>
    <row r="910" s="1" customFormat="1" ht="14.25" customHeight="1" x14ac:dyDescent="0.3"/>
    <row r="911" s="1" customFormat="1" ht="14.25" customHeight="1" x14ac:dyDescent="0.3"/>
    <row r="912" s="1" customFormat="1" ht="14.25" customHeight="1" x14ac:dyDescent="0.3"/>
    <row r="913" s="1" customFormat="1" ht="14.25" customHeight="1" x14ac:dyDescent="0.3"/>
    <row r="914" s="1" customFormat="1" ht="14.25" customHeight="1" x14ac:dyDescent="0.3"/>
    <row r="915" s="1" customFormat="1" ht="14.25" customHeight="1" x14ac:dyDescent="0.3"/>
    <row r="916" s="1" customFormat="1" ht="14.25" customHeight="1" x14ac:dyDescent="0.3"/>
    <row r="917" s="1" customFormat="1" ht="14.25" customHeight="1" x14ac:dyDescent="0.3"/>
    <row r="918" s="1" customFormat="1" ht="14.25" customHeight="1" x14ac:dyDescent="0.3"/>
    <row r="919" s="1" customFormat="1" ht="14.25" customHeight="1" x14ac:dyDescent="0.3"/>
    <row r="920" s="1" customFormat="1" ht="14.25" customHeight="1" x14ac:dyDescent="0.3"/>
    <row r="921" s="1" customFormat="1" ht="14.25" customHeight="1" x14ac:dyDescent="0.3"/>
    <row r="922" s="1" customFormat="1" ht="14.25" customHeight="1" x14ac:dyDescent="0.3"/>
    <row r="923" s="1" customFormat="1" ht="14.25" customHeight="1" x14ac:dyDescent="0.3"/>
    <row r="924" s="1" customFormat="1" ht="14.25" customHeight="1" x14ac:dyDescent="0.3"/>
    <row r="925" s="1" customFormat="1" ht="14.25" customHeight="1" x14ac:dyDescent="0.3"/>
    <row r="926" s="1" customFormat="1" ht="14.25" customHeight="1" x14ac:dyDescent="0.3"/>
    <row r="927" s="1" customFormat="1" ht="14.25" customHeight="1" x14ac:dyDescent="0.3"/>
    <row r="928" s="1" customFormat="1" ht="14.25" customHeight="1" x14ac:dyDescent="0.3"/>
    <row r="929" s="1" customFormat="1" ht="14.25" customHeight="1" x14ac:dyDescent="0.3"/>
    <row r="930" s="1" customFormat="1" ht="14.25" customHeight="1" x14ac:dyDescent="0.3"/>
    <row r="931" s="1" customFormat="1" ht="14.25" customHeight="1" x14ac:dyDescent="0.3"/>
    <row r="932" s="1" customFormat="1" ht="14.25" customHeight="1" x14ac:dyDescent="0.3"/>
    <row r="933" s="1" customFormat="1" ht="14.25" customHeight="1" x14ac:dyDescent="0.3"/>
    <row r="934" s="1" customFormat="1" ht="14.25" customHeight="1" x14ac:dyDescent="0.3"/>
    <row r="935" s="1" customFormat="1" ht="14.25" customHeight="1" x14ac:dyDescent="0.3"/>
    <row r="936" s="1" customFormat="1" ht="14.25" customHeight="1" x14ac:dyDescent="0.3"/>
    <row r="937" s="1" customFormat="1" ht="14.25" customHeight="1" x14ac:dyDescent="0.3"/>
    <row r="938" s="1" customFormat="1" ht="14.25" customHeight="1" x14ac:dyDescent="0.3"/>
    <row r="939" s="1" customFormat="1" ht="14.25" customHeight="1" x14ac:dyDescent="0.3"/>
    <row r="940" s="1" customFormat="1" ht="14.25" customHeight="1" x14ac:dyDescent="0.3"/>
    <row r="941" s="1" customFormat="1" ht="14.25" customHeight="1" x14ac:dyDescent="0.3"/>
    <row r="942" s="1" customFormat="1" ht="14.25" customHeight="1" x14ac:dyDescent="0.3"/>
    <row r="943" s="1" customFormat="1" ht="14.25" customHeight="1" x14ac:dyDescent="0.3"/>
    <row r="944" s="1" customFormat="1" ht="14.25" customHeight="1" x14ac:dyDescent="0.3"/>
    <row r="945" s="1" customFormat="1" ht="14.25" customHeight="1" x14ac:dyDescent="0.3"/>
    <row r="946" s="1" customFormat="1" ht="14.25" customHeight="1" x14ac:dyDescent="0.3"/>
    <row r="947" s="1" customFormat="1" ht="14.25" customHeight="1" x14ac:dyDescent="0.3"/>
    <row r="948" s="1" customFormat="1" ht="14.25" customHeight="1" x14ac:dyDescent="0.3"/>
    <row r="949" s="1" customFormat="1" ht="14.25" customHeight="1" x14ac:dyDescent="0.3"/>
    <row r="950" s="1" customFormat="1" ht="14.25" customHeight="1" x14ac:dyDescent="0.3"/>
    <row r="951" s="1" customFormat="1" ht="14.25" customHeight="1" x14ac:dyDescent="0.3"/>
    <row r="952" s="1" customFormat="1" ht="14.25" customHeight="1" x14ac:dyDescent="0.3"/>
    <row r="953" s="1" customFormat="1" ht="14.25" customHeight="1" x14ac:dyDescent="0.3"/>
    <row r="954" s="1" customFormat="1" ht="14.25" customHeight="1" x14ac:dyDescent="0.3"/>
    <row r="955" s="1" customFormat="1" ht="14.25" customHeight="1" x14ac:dyDescent="0.3"/>
    <row r="956" s="1" customFormat="1" ht="14.25" customHeight="1" x14ac:dyDescent="0.3"/>
    <row r="957" s="1" customFormat="1" ht="14.25" customHeight="1" x14ac:dyDescent="0.3"/>
    <row r="958" s="1" customFormat="1" ht="14.25" customHeight="1" x14ac:dyDescent="0.3"/>
    <row r="959" s="1" customFormat="1" ht="14.25" customHeight="1" x14ac:dyDescent="0.3"/>
    <row r="960" s="1" customFormat="1" ht="14.25" customHeight="1" x14ac:dyDescent="0.3"/>
    <row r="961" s="1" customFormat="1" ht="14.25" customHeight="1" x14ac:dyDescent="0.3"/>
    <row r="962" s="1" customFormat="1" ht="14.25" customHeight="1" x14ac:dyDescent="0.3"/>
    <row r="963" s="1" customFormat="1" ht="14.25" customHeight="1" x14ac:dyDescent="0.3"/>
    <row r="964" s="1" customFormat="1" ht="14.25" customHeight="1" x14ac:dyDescent="0.3"/>
    <row r="965" s="1" customFormat="1" ht="14.25" customHeight="1" x14ac:dyDescent="0.3"/>
    <row r="966" s="1" customFormat="1" ht="14.25" customHeight="1" x14ac:dyDescent="0.3"/>
    <row r="967" s="1" customFormat="1" ht="14.25" customHeight="1" x14ac:dyDescent="0.3"/>
    <row r="968" s="1" customFormat="1" ht="14.25" customHeight="1" x14ac:dyDescent="0.3"/>
    <row r="969" s="1" customFormat="1" ht="14.25" customHeight="1" x14ac:dyDescent="0.3"/>
    <row r="970" s="1" customFormat="1" ht="14.25" customHeight="1" x14ac:dyDescent="0.3"/>
    <row r="971" s="1" customFormat="1" ht="14.25" customHeight="1" x14ac:dyDescent="0.3"/>
    <row r="972" s="1" customFormat="1" ht="14.25" customHeight="1" x14ac:dyDescent="0.3"/>
    <row r="973" s="1" customFormat="1" ht="14.25" customHeight="1" x14ac:dyDescent="0.3"/>
    <row r="974" s="1" customFormat="1" ht="14.25" customHeight="1" x14ac:dyDescent="0.3"/>
    <row r="975" s="1" customFormat="1" ht="14.25" customHeight="1" x14ac:dyDescent="0.3"/>
    <row r="976" s="1" customFormat="1" ht="14.25" customHeight="1" x14ac:dyDescent="0.3"/>
    <row r="977" s="1" customFormat="1" ht="14.25" customHeight="1" x14ac:dyDescent="0.3"/>
    <row r="978" s="1" customFormat="1" ht="14.25" customHeight="1" x14ac:dyDescent="0.3"/>
    <row r="979" s="1" customFormat="1" ht="14.25" customHeight="1" x14ac:dyDescent="0.3"/>
    <row r="980" s="1" customFormat="1" ht="14.25" customHeight="1" x14ac:dyDescent="0.3"/>
    <row r="981" s="1" customFormat="1" ht="14.25" customHeight="1" x14ac:dyDescent="0.3"/>
    <row r="982" s="1" customFormat="1" ht="14.25" customHeight="1" x14ac:dyDescent="0.3"/>
    <row r="983" s="1" customFormat="1" ht="14.25" customHeight="1" x14ac:dyDescent="0.3"/>
    <row r="984" s="1" customFormat="1" ht="14.25" customHeight="1" x14ac:dyDescent="0.3"/>
    <row r="985" s="1" customFormat="1" ht="14.25" customHeight="1" x14ac:dyDescent="0.3"/>
    <row r="986" s="1" customFormat="1" ht="14.25" customHeight="1" x14ac:dyDescent="0.3"/>
    <row r="987" s="1" customFormat="1" ht="14.25" customHeight="1" x14ac:dyDescent="0.3"/>
    <row r="988" s="1" customFormat="1" ht="14.25" customHeight="1" x14ac:dyDescent="0.3"/>
    <row r="989" s="1" customFormat="1" ht="14.25" customHeight="1" x14ac:dyDescent="0.3"/>
    <row r="990" s="1" customFormat="1" ht="14.25" customHeight="1" x14ac:dyDescent="0.3"/>
    <row r="991" s="1" customFormat="1" ht="14.25" customHeight="1" x14ac:dyDescent="0.3"/>
    <row r="992" s="1" customFormat="1" ht="14.25" customHeight="1" x14ac:dyDescent="0.3"/>
    <row r="993" s="1" customFormat="1" ht="14.25" customHeight="1" x14ac:dyDescent="0.3"/>
    <row r="994" s="1" customFormat="1" ht="14.25" customHeight="1" x14ac:dyDescent="0.3"/>
    <row r="995" s="1" customFormat="1" ht="14.25" customHeight="1" x14ac:dyDescent="0.3"/>
    <row r="996" s="1" customFormat="1" ht="14.25" customHeight="1" x14ac:dyDescent="0.3"/>
    <row r="997" s="1" customFormat="1" ht="14.25" customHeight="1" x14ac:dyDescent="0.3"/>
    <row r="998" s="1" customFormat="1" ht="14.25" customHeight="1" x14ac:dyDescent="0.3"/>
    <row r="999" s="1" customFormat="1" ht="14.25" customHeight="1" x14ac:dyDescent="0.3"/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78A11-27A7-4A9E-9973-A663C175B1BD}">
  <dimension ref="A1:M999"/>
  <sheetViews>
    <sheetView workbookViewId="0">
      <selection activeCell="E6" sqref="E6"/>
    </sheetView>
  </sheetViews>
  <sheetFormatPr baseColWidth="10" defaultColWidth="12.6328125" defaultRowHeight="15" customHeight="1" x14ac:dyDescent="0.3"/>
  <cols>
    <col min="1" max="1" width="15.7265625" style="1" customWidth="1"/>
    <col min="2" max="7" width="10.6328125" style="1" customWidth="1"/>
    <col min="8" max="8" width="11.36328125" style="1" customWidth="1"/>
    <col min="9" max="25" width="10.6328125" style="1" customWidth="1"/>
    <col min="26" max="16384" width="12.6328125" style="1"/>
  </cols>
  <sheetData>
    <row r="1" spans="1:13" ht="12.75" customHeight="1" x14ac:dyDescent="0.3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2.75" customHeight="1" x14ac:dyDescent="0.3">
      <c r="A2" s="1" t="s">
        <v>12</v>
      </c>
      <c r="B2" s="1" t="s">
        <v>13</v>
      </c>
      <c r="D2" s="1">
        <v>1</v>
      </c>
      <c r="H2" s="2" t="s">
        <v>14</v>
      </c>
      <c r="I2" s="3">
        <f t="shared" ref="I2:L2" si="0">SUM(C22+C37+C55+C65+C66+C96+C105+C113+C128+C146+C150)</f>
        <v>11</v>
      </c>
      <c r="J2" s="3">
        <f t="shared" si="0"/>
        <v>0</v>
      </c>
      <c r="K2" s="3">
        <f t="shared" si="0"/>
        <v>0</v>
      </c>
      <c r="L2" s="3">
        <f t="shared" si="0"/>
        <v>0</v>
      </c>
      <c r="M2" s="3">
        <f t="shared" ref="M2:M13" si="1">SUM(I2:L2)</f>
        <v>11</v>
      </c>
    </row>
    <row r="3" spans="1:13" ht="12.75" customHeight="1" x14ac:dyDescent="0.3">
      <c r="A3" s="1" t="s">
        <v>15</v>
      </c>
      <c r="B3" s="1" t="s">
        <v>16</v>
      </c>
      <c r="C3" s="1">
        <v>1</v>
      </c>
      <c r="H3" s="2" t="s">
        <v>17</v>
      </c>
      <c r="I3" s="3">
        <f t="shared" ref="I3:L3" si="2">SUM(C6+C32+C50+C52+C58+C69+C76+C94+C115+C122+C123+C152)</f>
        <v>10</v>
      </c>
      <c r="J3" s="3">
        <f t="shared" si="2"/>
        <v>1</v>
      </c>
      <c r="K3" s="3">
        <f t="shared" si="2"/>
        <v>1</v>
      </c>
      <c r="L3" s="3">
        <f t="shared" si="2"/>
        <v>0</v>
      </c>
      <c r="M3" s="3">
        <f t="shared" si="1"/>
        <v>12</v>
      </c>
    </row>
    <row r="4" spans="1:13" ht="12.75" customHeight="1" x14ac:dyDescent="0.3">
      <c r="A4" s="1" t="s">
        <v>18</v>
      </c>
      <c r="B4" s="1" t="s">
        <v>13</v>
      </c>
      <c r="D4" s="1">
        <v>1</v>
      </c>
      <c r="H4" s="2" t="s">
        <v>19</v>
      </c>
      <c r="I4" s="3">
        <f t="shared" ref="I4:L4" si="3">SUM(C26+C14+C27+C62+C68+C124+C138+C142+C153+C155)</f>
        <v>10</v>
      </c>
      <c r="J4" s="3">
        <f t="shared" si="3"/>
        <v>0</v>
      </c>
      <c r="K4" s="3">
        <f t="shared" si="3"/>
        <v>0</v>
      </c>
      <c r="L4" s="3">
        <f t="shared" si="3"/>
        <v>0</v>
      </c>
      <c r="M4" s="3">
        <f t="shared" si="1"/>
        <v>10</v>
      </c>
    </row>
    <row r="5" spans="1:13" ht="12.75" customHeight="1" x14ac:dyDescent="0.3">
      <c r="A5" s="1" t="s">
        <v>20</v>
      </c>
      <c r="B5" s="1" t="s">
        <v>21</v>
      </c>
      <c r="E5" s="1">
        <v>1</v>
      </c>
      <c r="H5" s="2" t="s">
        <v>22</v>
      </c>
      <c r="I5" s="3">
        <f t="shared" ref="I5:L5" si="4">SUM(C5+C36+C56+C63+C73+C85+C87+C95+C135)</f>
        <v>0</v>
      </c>
      <c r="J5" s="3">
        <f t="shared" si="4"/>
        <v>0</v>
      </c>
      <c r="K5" s="3">
        <f t="shared" si="4"/>
        <v>8</v>
      </c>
      <c r="L5" s="3">
        <f t="shared" si="4"/>
        <v>1</v>
      </c>
      <c r="M5" s="3">
        <f t="shared" si="1"/>
        <v>9</v>
      </c>
    </row>
    <row r="6" spans="1:13" ht="12.75" customHeight="1" x14ac:dyDescent="0.3">
      <c r="A6" s="1" t="s">
        <v>23</v>
      </c>
      <c r="B6" s="1" t="s">
        <v>24</v>
      </c>
      <c r="C6" s="1">
        <v>1</v>
      </c>
      <c r="H6" s="2" t="s">
        <v>25</v>
      </c>
      <c r="I6" s="3">
        <f t="shared" ref="I6:L6" si="5">SUM(C12+C15+C18+C28+C41+C59+C78+C64+C82+C83+C86+C106+C119+C143+C148+C154)</f>
        <v>16</v>
      </c>
      <c r="J6" s="3">
        <f t="shared" si="5"/>
        <v>0</v>
      </c>
      <c r="K6" s="3">
        <f t="shared" si="5"/>
        <v>0</v>
      </c>
      <c r="L6" s="3">
        <f t="shared" si="5"/>
        <v>0</v>
      </c>
      <c r="M6" s="3">
        <f t="shared" si="1"/>
        <v>16</v>
      </c>
    </row>
    <row r="7" spans="1:13" ht="12.75" customHeight="1" x14ac:dyDescent="0.3">
      <c r="A7" s="1" t="s">
        <v>26</v>
      </c>
      <c r="B7" s="1" t="s">
        <v>27</v>
      </c>
      <c r="D7" s="1">
        <v>1</v>
      </c>
      <c r="H7" s="2" t="s">
        <v>28</v>
      </c>
      <c r="I7" s="3">
        <f t="shared" ref="I7:L7" si="6">SUM(C3+C20+C46+C49+C54+C89+C90+C102+C112+C114+C129+C141)</f>
        <v>3</v>
      </c>
      <c r="J7" s="3">
        <f t="shared" si="6"/>
        <v>9</v>
      </c>
      <c r="K7" s="3">
        <f t="shared" si="6"/>
        <v>0</v>
      </c>
      <c r="L7" s="3">
        <f t="shared" si="6"/>
        <v>0</v>
      </c>
      <c r="M7" s="3">
        <f t="shared" si="1"/>
        <v>12</v>
      </c>
    </row>
    <row r="8" spans="1:13" ht="12.75" customHeight="1" x14ac:dyDescent="0.3">
      <c r="A8" s="1" t="s">
        <v>29</v>
      </c>
      <c r="B8" s="1" t="s">
        <v>30</v>
      </c>
      <c r="E8" s="1">
        <v>1</v>
      </c>
      <c r="H8" s="2" t="s">
        <v>27</v>
      </c>
      <c r="I8" s="3">
        <f t="shared" ref="I8:L8" si="7">SUM(C7+C30+C29+C44+C51+C60+C72+C79+C101+C99+C107+C111+C117+C140+C144)</f>
        <v>1</v>
      </c>
      <c r="J8" s="3">
        <f t="shared" si="7"/>
        <v>12</v>
      </c>
      <c r="K8" s="3">
        <f t="shared" si="7"/>
        <v>2</v>
      </c>
      <c r="L8" s="3">
        <f t="shared" si="7"/>
        <v>0</v>
      </c>
      <c r="M8" s="3">
        <f t="shared" si="1"/>
        <v>15</v>
      </c>
    </row>
    <row r="9" spans="1:13" ht="12.75" customHeight="1" x14ac:dyDescent="0.3">
      <c r="A9" s="1" t="s">
        <v>31</v>
      </c>
      <c r="B9" s="1" t="s">
        <v>13</v>
      </c>
      <c r="D9" s="1">
        <v>1</v>
      </c>
      <c r="H9" s="2" t="s">
        <v>13</v>
      </c>
      <c r="I9" s="3">
        <f t="shared" ref="I9:J9" si="8">SUM(C4+C9+C17+C19+C2+C48+C92+C120+C126+C127+C130+C133+C151)</f>
        <v>2</v>
      </c>
      <c r="J9" s="3">
        <f t="shared" si="8"/>
        <v>10</v>
      </c>
      <c r="K9" s="3">
        <f>SUM(D4+D9+D17+D19+D2+D48+D92+D120+D126+D127+D130+D133+D151)</f>
        <v>10</v>
      </c>
      <c r="L9" s="3">
        <f>SUM(F4+F9+F17+F19+F2+F48+F92+F120+F126+F127+F130+F133+F151)</f>
        <v>0</v>
      </c>
      <c r="M9" s="3">
        <f t="shared" si="1"/>
        <v>22</v>
      </c>
    </row>
    <row r="10" spans="1:13" ht="12.75" customHeight="1" x14ac:dyDescent="0.3">
      <c r="A10" s="1" t="s">
        <v>32</v>
      </c>
      <c r="B10" s="1" t="s">
        <v>33</v>
      </c>
      <c r="E10" s="1">
        <v>1</v>
      </c>
      <c r="H10" s="2" t="s">
        <v>30</v>
      </c>
      <c r="I10" s="3">
        <f t="shared" ref="I10:L10" si="9">SUM(C8+C13+C16+C25+C31+C35+C43+C45+C70+C71+C75+C81+C88+C93+C98+C100+C104+C118+C136+C137+C156)</f>
        <v>0</v>
      </c>
      <c r="J10" s="3">
        <f t="shared" si="9"/>
        <v>7</v>
      </c>
      <c r="K10" s="3">
        <f t="shared" si="9"/>
        <v>14</v>
      </c>
      <c r="L10" s="3">
        <f t="shared" si="9"/>
        <v>0</v>
      </c>
      <c r="M10" s="3">
        <f t="shared" si="1"/>
        <v>21</v>
      </c>
    </row>
    <row r="11" spans="1:13" ht="12.75" customHeight="1" x14ac:dyDescent="0.3">
      <c r="A11" s="1" t="s">
        <v>34</v>
      </c>
      <c r="B11" s="1" t="s">
        <v>33</v>
      </c>
      <c r="C11" s="1">
        <v>1</v>
      </c>
      <c r="H11" s="2" t="s">
        <v>35</v>
      </c>
      <c r="I11" s="3">
        <f t="shared" ref="I11:L11" si="10">SUM(C38+C42+C47+C53+C74+C77+C80+C91+C97+C103+C108+C116+C131+C145+C147)</f>
        <v>1</v>
      </c>
      <c r="J11" s="3">
        <f t="shared" si="10"/>
        <v>5</v>
      </c>
      <c r="K11" s="3">
        <f t="shared" si="10"/>
        <v>9</v>
      </c>
      <c r="L11" s="3">
        <f t="shared" si="10"/>
        <v>0</v>
      </c>
      <c r="M11" s="3">
        <f t="shared" si="1"/>
        <v>15</v>
      </c>
    </row>
    <row r="12" spans="1:13" ht="12.75" customHeight="1" x14ac:dyDescent="0.3">
      <c r="A12" s="1" t="s">
        <v>36</v>
      </c>
      <c r="B12" s="1" t="s">
        <v>37</v>
      </c>
      <c r="C12" s="1">
        <v>1</v>
      </c>
      <c r="H12" s="2" t="s">
        <v>38</v>
      </c>
      <c r="I12" s="3">
        <f t="shared" ref="I12:L12" si="11">SUM(C21+C24+C34+C40+C67+C84+C132)</f>
        <v>2</v>
      </c>
      <c r="J12" s="3">
        <f t="shared" si="11"/>
        <v>1</v>
      </c>
      <c r="K12" s="3">
        <f t="shared" si="11"/>
        <v>4</v>
      </c>
      <c r="L12" s="3">
        <f t="shared" si="11"/>
        <v>0</v>
      </c>
      <c r="M12" s="3">
        <f t="shared" si="1"/>
        <v>7</v>
      </c>
    </row>
    <row r="13" spans="1:13" ht="12.75" customHeight="1" x14ac:dyDescent="0.3">
      <c r="A13" s="1" t="s">
        <v>39</v>
      </c>
      <c r="B13" s="1" t="s">
        <v>30</v>
      </c>
      <c r="E13" s="1">
        <v>1</v>
      </c>
      <c r="H13" s="2" t="s">
        <v>33</v>
      </c>
      <c r="I13" s="3">
        <f t="shared" ref="I13:L13" si="12">SUM(C10+C11+C57+C125+C149)</f>
        <v>2</v>
      </c>
      <c r="J13" s="3">
        <f t="shared" si="12"/>
        <v>2</v>
      </c>
      <c r="K13" s="3">
        <f t="shared" si="12"/>
        <v>1</v>
      </c>
      <c r="L13" s="3">
        <f t="shared" si="12"/>
        <v>0</v>
      </c>
      <c r="M13" s="3">
        <f t="shared" si="1"/>
        <v>5</v>
      </c>
    </row>
    <row r="14" spans="1:13" ht="12.75" customHeight="1" x14ac:dyDescent="0.3">
      <c r="A14" s="1" t="s">
        <v>40</v>
      </c>
      <c r="B14" s="1" t="s">
        <v>19</v>
      </c>
      <c r="C14" s="1">
        <v>1</v>
      </c>
      <c r="I14" s="4"/>
      <c r="J14" s="4"/>
      <c r="K14" s="4"/>
      <c r="L14" s="4"/>
    </row>
    <row r="15" spans="1:13" ht="12.75" customHeight="1" x14ac:dyDescent="0.3">
      <c r="A15" s="1" t="s">
        <v>41</v>
      </c>
      <c r="B15" s="1" t="s">
        <v>42</v>
      </c>
      <c r="C15" s="1">
        <v>1</v>
      </c>
      <c r="I15" s="4"/>
      <c r="J15" s="4"/>
      <c r="K15" s="4"/>
      <c r="L15" s="4"/>
    </row>
    <row r="16" spans="1:13" ht="12.75" customHeight="1" x14ac:dyDescent="0.3">
      <c r="A16" s="1" t="s">
        <v>43</v>
      </c>
      <c r="B16" s="1" t="s">
        <v>30</v>
      </c>
      <c r="D16" s="1">
        <v>1</v>
      </c>
      <c r="I16" s="4"/>
      <c r="J16" s="4"/>
      <c r="K16" s="4"/>
      <c r="L16" s="4"/>
    </row>
    <row r="17" spans="1:12" ht="12.75" customHeight="1" x14ac:dyDescent="0.3">
      <c r="A17" s="1" t="s">
        <v>44</v>
      </c>
      <c r="B17" s="1" t="s">
        <v>13</v>
      </c>
      <c r="D17" s="1">
        <v>1</v>
      </c>
      <c r="I17" s="4"/>
      <c r="J17" s="4"/>
      <c r="K17" s="4"/>
      <c r="L17" s="4"/>
    </row>
    <row r="18" spans="1:12" ht="12.75" customHeight="1" x14ac:dyDescent="0.3">
      <c r="A18" s="1" t="s">
        <v>45</v>
      </c>
      <c r="B18" s="1" t="s">
        <v>37</v>
      </c>
      <c r="C18" s="1">
        <v>1</v>
      </c>
      <c r="I18" s="4"/>
      <c r="J18" s="4"/>
      <c r="K18" s="4"/>
      <c r="L18" s="4"/>
    </row>
    <row r="19" spans="1:12" ht="12.75" customHeight="1" x14ac:dyDescent="0.3">
      <c r="A19" s="1" t="s">
        <v>46</v>
      </c>
      <c r="B19" s="1" t="s">
        <v>13</v>
      </c>
      <c r="D19" s="1">
        <v>1</v>
      </c>
    </row>
    <row r="20" spans="1:12" ht="12.75" customHeight="1" x14ac:dyDescent="0.3">
      <c r="A20" s="1" t="s">
        <v>47</v>
      </c>
      <c r="B20" s="1" t="s">
        <v>16</v>
      </c>
      <c r="D20" s="1">
        <v>1</v>
      </c>
    </row>
    <row r="21" spans="1:12" ht="12.75" customHeight="1" x14ac:dyDescent="0.3">
      <c r="A21" s="1" t="s">
        <v>48</v>
      </c>
      <c r="B21" s="1" t="s">
        <v>38</v>
      </c>
      <c r="C21" s="1">
        <v>1</v>
      </c>
    </row>
    <row r="22" spans="1:12" ht="12.75" customHeight="1" x14ac:dyDescent="0.3">
      <c r="A22" s="1" t="s">
        <v>49</v>
      </c>
      <c r="B22" s="1" t="s">
        <v>14</v>
      </c>
      <c r="C22" s="1">
        <v>1</v>
      </c>
    </row>
    <row r="23" spans="1:12" ht="12.75" customHeight="1" x14ac:dyDescent="0.3">
      <c r="A23" s="1" t="s">
        <v>50</v>
      </c>
      <c r="B23" s="1" t="s">
        <v>13</v>
      </c>
      <c r="D23" s="1">
        <v>1</v>
      </c>
    </row>
    <row r="24" spans="1:12" ht="12.75" customHeight="1" x14ac:dyDescent="0.3">
      <c r="A24" s="1" t="s">
        <v>51</v>
      </c>
      <c r="B24" s="1" t="s">
        <v>38</v>
      </c>
      <c r="E24" s="1">
        <v>1</v>
      </c>
    </row>
    <row r="25" spans="1:12" ht="12.75" customHeight="1" x14ac:dyDescent="0.3">
      <c r="A25" s="1" t="s">
        <v>52</v>
      </c>
      <c r="B25" s="1" t="s">
        <v>30</v>
      </c>
      <c r="D25" s="1">
        <v>1</v>
      </c>
    </row>
    <row r="26" spans="1:12" ht="12.75" customHeight="1" x14ac:dyDescent="0.3">
      <c r="A26" s="1" t="s">
        <v>53</v>
      </c>
      <c r="B26" s="1" t="s">
        <v>19</v>
      </c>
      <c r="C26" s="1">
        <v>1</v>
      </c>
    </row>
    <row r="27" spans="1:12" ht="12.75" customHeight="1" x14ac:dyDescent="0.3">
      <c r="A27" s="1" t="s">
        <v>54</v>
      </c>
      <c r="B27" s="1" t="s">
        <v>19</v>
      </c>
      <c r="C27" s="1">
        <v>1</v>
      </c>
    </row>
    <row r="28" spans="1:12" ht="12.75" customHeight="1" x14ac:dyDescent="0.3">
      <c r="A28" s="1" t="s">
        <v>55</v>
      </c>
      <c r="B28" s="1" t="s">
        <v>37</v>
      </c>
      <c r="C28" s="1">
        <v>1</v>
      </c>
    </row>
    <row r="29" spans="1:12" ht="12.75" customHeight="1" x14ac:dyDescent="0.3">
      <c r="A29" s="1" t="s">
        <v>56</v>
      </c>
      <c r="B29" s="1" t="s">
        <v>27</v>
      </c>
      <c r="C29" s="1">
        <v>1</v>
      </c>
    </row>
    <row r="30" spans="1:12" ht="12.75" customHeight="1" x14ac:dyDescent="0.3">
      <c r="A30" s="1" t="s">
        <v>57</v>
      </c>
      <c r="B30" s="1" t="s">
        <v>27</v>
      </c>
      <c r="D30" s="1">
        <v>1</v>
      </c>
    </row>
    <row r="31" spans="1:12" ht="12.75" customHeight="1" x14ac:dyDescent="0.3">
      <c r="A31" s="1" t="s">
        <v>58</v>
      </c>
      <c r="B31" s="1" t="s">
        <v>30</v>
      </c>
      <c r="D31" s="1">
        <v>1</v>
      </c>
    </row>
    <row r="32" spans="1:12" ht="12.75" customHeight="1" x14ac:dyDescent="0.3">
      <c r="A32" s="1" t="s">
        <v>59</v>
      </c>
      <c r="B32" s="1" t="s">
        <v>24</v>
      </c>
      <c r="C32" s="1">
        <v>1</v>
      </c>
    </row>
    <row r="33" spans="1:12" ht="12.75" customHeight="1" x14ac:dyDescent="0.3">
      <c r="A33" s="1" t="s">
        <v>60</v>
      </c>
      <c r="B33" s="1" t="s">
        <v>27</v>
      </c>
      <c r="D33" s="1">
        <v>1</v>
      </c>
    </row>
    <row r="34" spans="1:12" ht="12.75" customHeight="1" x14ac:dyDescent="0.3">
      <c r="A34" s="1" t="s">
        <v>61</v>
      </c>
      <c r="B34" s="1" t="s">
        <v>38</v>
      </c>
      <c r="E34" s="1">
        <v>1</v>
      </c>
    </row>
    <row r="35" spans="1:12" ht="12.75" customHeight="1" x14ac:dyDescent="0.3">
      <c r="A35" s="1" t="s">
        <v>62</v>
      </c>
      <c r="B35" s="1" t="s">
        <v>30</v>
      </c>
      <c r="E35" s="1">
        <v>1</v>
      </c>
    </row>
    <row r="36" spans="1:12" ht="12.75" customHeight="1" x14ac:dyDescent="0.3">
      <c r="A36" s="1" t="s">
        <v>63</v>
      </c>
      <c r="B36" s="1" t="s">
        <v>21</v>
      </c>
      <c r="E36" s="1">
        <v>1</v>
      </c>
    </row>
    <row r="37" spans="1:12" ht="12.75" customHeight="1" x14ac:dyDescent="0.3">
      <c r="A37" s="1" t="s">
        <v>64</v>
      </c>
      <c r="B37" s="1" t="s">
        <v>14</v>
      </c>
      <c r="C37" s="1">
        <v>1</v>
      </c>
    </row>
    <row r="38" spans="1:12" ht="12.75" customHeight="1" x14ac:dyDescent="0.3">
      <c r="A38" s="1" t="s">
        <v>65</v>
      </c>
      <c r="B38" s="1" t="s">
        <v>66</v>
      </c>
      <c r="E38" s="1">
        <v>1</v>
      </c>
    </row>
    <row r="39" spans="1:12" ht="12.75" customHeight="1" x14ac:dyDescent="0.3">
      <c r="A39" s="1" t="s">
        <v>67</v>
      </c>
      <c r="B39" s="1" t="s">
        <v>16</v>
      </c>
      <c r="D39" s="1">
        <v>1</v>
      </c>
    </row>
    <row r="40" spans="1:12" ht="12.75" customHeight="1" x14ac:dyDescent="0.3">
      <c r="A40" s="1" t="s">
        <v>68</v>
      </c>
      <c r="B40" s="1" t="s">
        <v>38</v>
      </c>
      <c r="E40" s="1">
        <v>1</v>
      </c>
    </row>
    <row r="41" spans="1:12" ht="12.75" customHeight="1" x14ac:dyDescent="0.3">
      <c r="A41" s="1" t="s">
        <v>69</v>
      </c>
      <c r="B41" s="1" t="s">
        <v>37</v>
      </c>
      <c r="C41" s="1">
        <v>1</v>
      </c>
    </row>
    <row r="42" spans="1:12" ht="12.75" customHeight="1" x14ac:dyDescent="0.3">
      <c r="A42" s="1" t="s">
        <v>70</v>
      </c>
      <c r="B42" s="1" t="s">
        <v>66</v>
      </c>
      <c r="E42" s="1">
        <v>1</v>
      </c>
    </row>
    <row r="43" spans="1:12" ht="12.75" customHeight="1" x14ac:dyDescent="0.3">
      <c r="A43" s="1" t="s">
        <v>71</v>
      </c>
      <c r="B43" s="1" t="s">
        <v>30</v>
      </c>
      <c r="E43" s="1">
        <v>1</v>
      </c>
    </row>
    <row r="44" spans="1:12" ht="12.75" customHeight="1" x14ac:dyDescent="0.3">
      <c r="A44" s="1" t="s">
        <v>72</v>
      </c>
      <c r="B44" s="1" t="s">
        <v>27</v>
      </c>
      <c r="D44" s="1">
        <v>1</v>
      </c>
    </row>
    <row r="45" spans="1:12" ht="12.75" customHeight="1" x14ac:dyDescent="0.3">
      <c r="A45" s="1" t="s">
        <v>73</v>
      </c>
      <c r="B45" s="1" t="s">
        <v>30</v>
      </c>
      <c r="E45" s="1">
        <v>1</v>
      </c>
      <c r="H45" s="1" t="s">
        <v>6</v>
      </c>
      <c r="I45" s="1" t="s">
        <v>7</v>
      </c>
      <c r="J45" s="1" t="s">
        <v>8</v>
      </c>
      <c r="K45" s="1" t="s">
        <v>9</v>
      </c>
      <c r="L45" s="1" t="s">
        <v>10</v>
      </c>
    </row>
    <row r="46" spans="1:12" ht="12.75" customHeight="1" x14ac:dyDescent="0.3">
      <c r="A46" s="1" t="s">
        <v>74</v>
      </c>
      <c r="B46" s="1" t="s">
        <v>16</v>
      </c>
      <c r="D46" s="1">
        <v>1</v>
      </c>
      <c r="H46" s="2" t="s">
        <v>14</v>
      </c>
      <c r="I46" s="4">
        <f t="shared" ref="I46:I57" si="13">I2/M2</f>
        <v>1</v>
      </c>
      <c r="J46" s="4">
        <f t="shared" ref="J46:J57" si="14">J2/M2</f>
        <v>0</v>
      </c>
      <c r="K46" s="4">
        <f t="shared" ref="K46:K57" si="15">K2/M2</f>
        <v>0</v>
      </c>
      <c r="L46" s="4">
        <f t="shared" ref="L46:L57" si="16">L2/M2</f>
        <v>0</v>
      </c>
    </row>
    <row r="47" spans="1:12" ht="12.75" customHeight="1" x14ac:dyDescent="0.3">
      <c r="A47" s="1" t="s">
        <v>75</v>
      </c>
      <c r="B47" s="1" t="s">
        <v>66</v>
      </c>
      <c r="C47" s="1">
        <v>1</v>
      </c>
      <c r="H47" s="2" t="s">
        <v>17</v>
      </c>
      <c r="I47" s="4">
        <f t="shared" si="13"/>
        <v>0.83333333333333337</v>
      </c>
      <c r="J47" s="4">
        <f t="shared" si="14"/>
        <v>8.3333333333333329E-2</v>
      </c>
      <c r="K47" s="4">
        <f t="shared" si="15"/>
        <v>8.3333333333333329E-2</v>
      </c>
      <c r="L47" s="4">
        <f t="shared" si="16"/>
        <v>0</v>
      </c>
    </row>
    <row r="48" spans="1:12" ht="12.75" customHeight="1" x14ac:dyDescent="0.3">
      <c r="A48" s="1" t="s">
        <v>76</v>
      </c>
      <c r="B48" s="1" t="s">
        <v>13</v>
      </c>
      <c r="E48" s="1">
        <v>1</v>
      </c>
      <c r="H48" s="2" t="s">
        <v>19</v>
      </c>
      <c r="I48" s="4">
        <f t="shared" si="13"/>
        <v>1</v>
      </c>
      <c r="J48" s="4">
        <f t="shared" si="14"/>
        <v>0</v>
      </c>
      <c r="K48" s="4">
        <f t="shared" si="15"/>
        <v>0</v>
      </c>
      <c r="L48" s="4">
        <f t="shared" si="16"/>
        <v>0</v>
      </c>
    </row>
    <row r="49" spans="1:12" ht="12.75" customHeight="1" x14ac:dyDescent="0.3">
      <c r="A49" s="1" t="s">
        <v>77</v>
      </c>
      <c r="B49" s="1" t="s">
        <v>16</v>
      </c>
      <c r="D49" s="1">
        <v>1</v>
      </c>
      <c r="H49" s="2" t="s">
        <v>22</v>
      </c>
      <c r="I49" s="4">
        <f t="shared" si="13"/>
        <v>0</v>
      </c>
      <c r="J49" s="4">
        <f t="shared" si="14"/>
        <v>0</v>
      </c>
      <c r="K49" s="4">
        <f t="shared" si="15"/>
        <v>0.88888888888888884</v>
      </c>
      <c r="L49" s="4">
        <f t="shared" si="16"/>
        <v>0.1111111111111111</v>
      </c>
    </row>
    <row r="50" spans="1:12" ht="12.75" customHeight="1" x14ac:dyDescent="0.3">
      <c r="A50" s="1" t="s">
        <v>78</v>
      </c>
      <c r="B50" s="1" t="s">
        <v>24</v>
      </c>
      <c r="C50" s="1">
        <v>1</v>
      </c>
      <c r="H50" s="2" t="s">
        <v>25</v>
      </c>
      <c r="I50" s="4">
        <f t="shared" si="13"/>
        <v>1</v>
      </c>
      <c r="J50" s="4">
        <f t="shared" si="14"/>
        <v>0</v>
      </c>
      <c r="K50" s="4">
        <f t="shared" si="15"/>
        <v>0</v>
      </c>
      <c r="L50" s="4">
        <f t="shared" si="16"/>
        <v>0</v>
      </c>
    </row>
    <row r="51" spans="1:12" ht="12.75" customHeight="1" x14ac:dyDescent="0.3">
      <c r="A51" s="1" t="s">
        <v>79</v>
      </c>
      <c r="B51" s="1" t="s">
        <v>27</v>
      </c>
      <c r="D51" s="1">
        <v>1</v>
      </c>
      <c r="H51" s="2" t="s">
        <v>28</v>
      </c>
      <c r="I51" s="4">
        <f t="shared" si="13"/>
        <v>0.25</v>
      </c>
      <c r="J51" s="4">
        <f t="shared" si="14"/>
        <v>0.75</v>
      </c>
      <c r="K51" s="4">
        <f t="shared" si="15"/>
        <v>0</v>
      </c>
      <c r="L51" s="4">
        <f t="shared" si="16"/>
        <v>0</v>
      </c>
    </row>
    <row r="52" spans="1:12" ht="12.75" customHeight="1" x14ac:dyDescent="0.3">
      <c r="A52" s="1" t="s">
        <v>80</v>
      </c>
      <c r="B52" s="1" t="s">
        <v>24</v>
      </c>
      <c r="E52" s="1">
        <v>1</v>
      </c>
      <c r="H52" s="2" t="s">
        <v>27</v>
      </c>
      <c r="I52" s="4">
        <f t="shared" si="13"/>
        <v>6.6666666666666666E-2</v>
      </c>
      <c r="J52" s="4">
        <f t="shared" si="14"/>
        <v>0.8</v>
      </c>
      <c r="K52" s="4">
        <f t="shared" si="15"/>
        <v>0.13333333333333333</v>
      </c>
      <c r="L52" s="4">
        <f t="shared" si="16"/>
        <v>0</v>
      </c>
    </row>
    <row r="53" spans="1:12" ht="12.75" customHeight="1" x14ac:dyDescent="0.3">
      <c r="A53" s="1" t="s">
        <v>81</v>
      </c>
      <c r="B53" s="1" t="s">
        <v>66</v>
      </c>
      <c r="D53" s="1">
        <v>1</v>
      </c>
      <c r="H53" s="2" t="s">
        <v>13</v>
      </c>
      <c r="I53" s="4">
        <f t="shared" si="13"/>
        <v>9.0909090909090912E-2</v>
      </c>
      <c r="J53" s="4">
        <f t="shared" si="14"/>
        <v>0.45454545454545453</v>
      </c>
      <c r="K53" s="4">
        <f t="shared" si="15"/>
        <v>0.45454545454545453</v>
      </c>
      <c r="L53" s="4">
        <f t="shared" si="16"/>
        <v>0</v>
      </c>
    </row>
    <row r="54" spans="1:12" ht="12.75" customHeight="1" x14ac:dyDescent="0.3">
      <c r="A54" s="1" t="s">
        <v>82</v>
      </c>
      <c r="B54" s="1" t="s">
        <v>16</v>
      </c>
      <c r="D54" s="1">
        <v>1</v>
      </c>
      <c r="H54" s="2" t="s">
        <v>30</v>
      </c>
      <c r="I54" s="4">
        <f t="shared" si="13"/>
        <v>0</v>
      </c>
      <c r="J54" s="4">
        <f t="shared" si="14"/>
        <v>0.33333333333333331</v>
      </c>
      <c r="K54" s="4">
        <f t="shared" si="15"/>
        <v>0.66666666666666663</v>
      </c>
      <c r="L54" s="4">
        <f t="shared" si="16"/>
        <v>0</v>
      </c>
    </row>
    <row r="55" spans="1:12" ht="12.75" customHeight="1" x14ac:dyDescent="0.3">
      <c r="A55" s="1" t="s">
        <v>83</v>
      </c>
      <c r="B55" s="1" t="s">
        <v>14</v>
      </c>
      <c r="C55" s="1">
        <v>1</v>
      </c>
      <c r="H55" s="2" t="s">
        <v>35</v>
      </c>
      <c r="I55" s="4">
        <f t="shared" si="13"/>
        <v>6.6666666666666666E-2</v>
      </c>
      <c r="J55" s="4">
        <f t="shared" si="14"/>
        <v>0.33333333333333331</v>
      </c>
      <c r="K55" s="4">
        <f t="shared" si="15"/>
        <v>0.6</v>
      </c>
      <c r="L55" s="4">
        <f t="shared" si="16"/>
        <v>0</v>
      </c>
    </row>
    <row r="56" spans="1:12" ht="12.75" customHeight="1" x14ac:dyDescent="0.3">
      <c r="A56" s="1" t="s">
        <v>84</v>
      </c>
      <c r="B56" s="1" t="s">
        <v>21</v>
      </c>
      <c r="E56" s="1">
        <v>1</v>
      </c>
      <c r="H56" s="2" t="s">
        <v>38</v>
      </c>
      <c r="I56" s="4">
        <f t="shared" si="13"/>
        <v>0.2857142857142857</v>
      </c>
      <c r="J56" s="4">
        <f t="shared" si="14"/>
        <v>0.14285714285714285</v>
      </c>
      <c r="K56" s="4">
        <f t="shared" si="15"/>
        <v>0.5714285714285714</v>
      </c>
      <c r="L56" s="4">
        <f t="shared" si="16"/>
        <v>0</v>
      </c>
    </row>
    <row r="57" spans="1:12" ht="12.75" customHeight="1" x14ac:dyDescent="0.3">
      <c r="A57" s="1" t="s">
        <v>85</v>
      </c>
      <c r="B57" s="1" t="s">
        <v>33</v>
      </c>
      <c r="D57" s="1">
        <v>1</v>
      </c>
      <c r="H57" s="2" t="s">
        <v>33</v>
      </c>
      <c r="I57" s="4">
        <f t="shared" si="13"/>
        <v>0.4</v>
      </c>
      <c r="J57" s="4">
        <f t="shared" si="14"/>
        <v>0.4</v>
      </c>
      <c r="K57" s="4">
        <f t="shared" si="15"/>
        <v>0.2</v>
      </c>
      <c r="L57" s="4">
        <f t="shared" si="16"/>
        <v>0</v>
      </c>
    </row>
    <row r="58" spans="1:12" ht="12.75" customHeight="1" x14ac:dyDescent="0.3">
      <c r="A58" s="1" t="s">
        <v>86</v>
      </c>
      <c r="B58" s="1" t="s">
        <v>24</v>
      </c>
      <c r="C58" s="1">
        <v>1</v>
      </c>
    </row>
    <row r="59" spans="1:12" ht="12.75" customHeight="1" x14ac:dyDescent="0.3">
      <c r="A59" s="1" t="s">
        <v>87</v>
      </c>
      <c r="B59" s="1" t="s">
        <v>37</v>
      </c>
      <c r="C59" s="1">
        <v>1</v>
      </c>
    </row>
    <row r="60" spans="1:12" ht="12.75" customHeight="1" x14ac:dyDescent="0.3">
      <c r="A60" s="1" t="s">
        <v>88</v>
      </c>
      <c r="B60" s="1" t="s">
        <v>27</v>
      </c>
      <c r="D60" s="1">
        <v>1</v>
      </c>
    </row>
    <row r="61" spans="1:12" ht="12.75" customHeight="1" x14ac:dyDescent="0.3">
      <c r="A61" s="1" t="s">
        <v>89</v>
      </c>
      <c r="B61" s="1" t="s">
        <v>13</v>
      </c>
      <c r="C61" s="1">
        <v>1</v>
      </c>
    </row>
    <row r="62" spans="1:12" ht="12.75" customHeight="1" x14ac:dyDescent="0.3">
      <c r="A62" s="1" t="s">
        <v>90</v>
      </c>
      <c r="B62" s="1" t="s">
        <v>19</v>
      </c>
      <c r="C62" s="1">
        <v>1</v>
      </c>
    </row>
    <row r="63" spans="1:12" ht="12.75" customHeight="1" x14ac:dyDescent="0.3">
      <c r="A63" s="1" t="s">
        <v>91</v>
      </c>
      <c r="B63" s="1" t="s">
        <v>21</v>
      </c>
      <c r="F63" s="1">
        <v>1</v>
      </c>
    </row>
    <row r="64" spans="1:12" ht="12.75" customHeight="1" x14ac:dyDescent="0.3">
      <c r="A64" s="1" t="s">
        <v>92</v>
      </c>
      <c r="B64" s="1" t="s">
        <v>42</v>
      </c>
      <c r="C64" s="1">
        <v>1</v>
      </c>
    </row>
    <row r="65" spans="1:5" ht="12.75" customHeight="1" x14ac:dyDescent="0.3">
      <c r="A65" s="1" t="s">
        <v>93</v>
      </c>
      <c r="B65" s="1" t="s">
        <v>14</v>
      </c>
      <c r="C65" s="1">
        <v>1</v>
      </c>
    </row>
    <row r="66" spans="1:5" ht="12.75" customHeight="1" x14ac:dyDescent="0.3">
      <c r="A66" s="1" t="s">
        <v>94</v>
      </c>
      <c r="B66" s="1" t="s">
        <v>14</v>
      </c>
      <c r="C66" s="1">
        <v>1</v>
      </c>
    </row>
    <row r="67" spans="1:5" ht="12.75" customHeight="1" x14ac:dyDescent="0.3">
      <c r="A67" s="1" t="s">
        <v>95</v>
      </c>
      <c r="B67" s="1" t="s">
        <v>38</v>
      </c>
      <c r="D67" s="1">
        <v>1</v>
      </c>
    </row>
    <row r="68" spans="1:5" ht="12.75" customHeight="1" x14ac:dyDescent="0.3">
      <c r="A68" s="1" t="s">
        <v>96</v>
      </c>
      <c r="B68" s="1" t="s">
        <v>19</v>
      </c>
      <c r="C68" s="1">
        <v>1</v>
      </c>
    </row>
    <row r="69" spans="1:5" ht="12.75" customHeight="1" x14ac:dyDescent="0.3">
      <c r="A69" s="1" t="s">
        <v>97</v>
      </c>
      <c r="B69" s="1" t="s">
        <v>24</v>
      </c>
      <c r="C69" s="1">
        <v>1</v>
      </c>
    </row>
    <row r="70" spans="1:5" ht="12.75" customHeight="1" x14ac:dyDescent="0.3">
      <c r="A70" s="1" t="s">
        <v>98</v>
      </c>
      <c r="B70" s="1" t="s">
        <v>30</v>
      </c>
      <c r="D70" s="1">
        <v>1</v>
      </c>
    </row>
    <row r="71" spans="1:5" ht="12.75" customHeight="1" x14ac:dyDescent="0.3">
      <c r="A71" s="1" t="s">
        <v>99</v>
      </c>
      <c r="B71" s="1" t="s">
        <v>30</v>
      </c>
      <c r="D71" s="1">
        <v>1</v>
      </c>
    </row>
    <row r="72" spans="1:5" ht="12.75" customHeight="1" x14ac:dyDescent="0.3">
      <c r="A72" s="1" t="s">
        <v>100</v>
      </c>
      <c r="B72" s="1" t="s">
        <v>27</v>
      </c>
      <c r="D72" s="1">
        <v>1</v>
      </c>
    </row>
    <row r="73" spans="1:5" ht="12.75" customHeight="1" x14ac:dyDescent="0.3">
      <c r="A73" s="1" t="s">
        <v>101</v>
      </c>
      <c r="B73" s="1" t="s">
        <v>21</v>
      </c>
      <c r="E73" s="1">
        <v>1</v>
      </c>
    </row>
    <row r="74" spans="1:5" ht="12.75" customHeight="1" x14ac:dyDescent="0.3">
      <c r="A74" s="1" t="s">
        <v>102</v>
      </c>
      <c r="B74" s="1" t="s">
        <v>66</v>
      </c>
      <c r="E74" s="1">
        <v>1</v>
      </c>
    </row>
    <row r="75" spans="1:5" ht="12.75" customHeight="1" x14ac:dyDescent="0.3">
      <c r="A75" s="1" t="s">
        <v>103</v>
      </c>
      <c r="B75" s="1" t="s">
        <v>30</v>
      </c>
      <c r="E75" s="1">
        <v>1</v>
      </c>
    </row>
    <row r="76" spans="1:5" ht="12.75" customHeight="1" x14ac:dyDescent="0.3">
      <c r="A76" s="1" t="s">
        <v>104</v>
      </c>
      <c r="B76" s="1" t="s">
        <v>24</v>
      </c>
      <c r="C76" s="1">
        <v>1</v>
      </c>
    </row>
    <row r="77" spans="1:5" ht="12.75" customHeight="1" x14ac:dyDescent="0.3">
      <c r="A77" s="1" t="s">
        <v>105</v>
      </c>
      <c r="B77" s="1" t="s">
        <v>66</v>
      </c>
      <c r="D77" s="1">
        <v>1</v>
      </c>
    </row>
    <row r="78" spans="1:5" ht="12.75" customHeight="1" x14ac:dyDescent="0.3">
      <c r="A78" s="1" t="s">
        <v>106</v>
      </c>
      <c r="B78" s="1" t="s">
        <v>42</v>
      </c>
      <c r="C78" s="1">
        <v>1</v>
      </c>
    </row>
    <row r="79" spans="1:5" ht="12.75" customHeight="1" x14ac:dyDescent="0.3">
      <c r="A79" s="1" t="s">
        <v>107</v>
      </c>
      <c r="B79" s="1" t="s">
        <v>27</v>
      </c>
      <c r="D79" s="1">
        <v>1</v>
      </c>
    </row>
    <row r="80" spans="1:5" ht="12.75" customHeight="1" x14ac:dyDescent="0.3">
      <c r="A80" s="1" t="s">
        <v>108</v>
      </c>
      <c r="B80" s="1" t="s">
        <v>66</v>
      </c>
      <c r="E80" s="1">
        <v>1</v>
      </c>
    </row>
    <row r="81" spans="1:5" ht="12.75" customHeight="1" x14ac:dyDescent="0.3">
      <c r="A81" s="1" t="s">
        <v>109</v>
      </c>
      <c r="B81" s="1" t="s">
        <v>30</v>
      </c>
      <c r="E81" s="1">
        <v>1</v>
      </c>
    </row>
    <row r="82" spans="1:5" ht="12.75" customHeight="1" x14ac:dyDescent="0.3">
      <c r="A82" s="1" t="s">
        <v>110</v>
      </c>
      <c r="B82" s="1" t="s">
        <v>37</v>
      </c>
      <c r="C82" s="1">
        <v>1</v>
      </c>
    </row>
    <row r="83" spans="1:5" ht="12.75" customHeight="1" x14ac:dyDescent="0.3">
      <c r="A83" s="1" t="s">
        <v>111</v>
      </c>
      <c r="B83" s="1" t="s">
        <v>37</v>
      </c>
      <c r="C83" s="1">
        <v>1</v>
      </c>
    </row>
    <row r="84" spans="1:5" ht="12.75" customHeight="1" x14ac:dyDescent="0.3">
      <c r="A84" s="1" t="s">
        <v>112</v>
      </c>
      <c r="B84" s="1" t="s">
        <v>38</v>
      </c>
      <c r="C84" s="1">
        <v>1</v>
      </c>
    </row>
    <row r="85" spans="1:5" ht="12.75" customHeight="1" x14ac:dyDescent="0.3">
      <c r="A85" s="1" t="s">
        <v>113</v>
      </c>
      <c r="B85" s="1" t="s">
        <v>21</v>
      </c>
      <c r="E85" s="1">
        <v>1</v>
      </c>
    </row>
    <row r="86" spans="1:5" ht="12.75" customHeight="1" x14ac:dyDescent="0.3">
      <c r="A86" s="1" t="s">
        <v>114</v>
      </c>
      <c r="B86" s="1" t="s">
        <v>42</v>
      </c>
      <c r="C86" s="1">
        <v>1</v>
      </c>
    </row>
    <row r="87" spans="1:5" ht="12.75" customHeight="1" x14ac:dyDescent="0.3">
      <c r="A87" s="1" t="s">
        <v>115</v>
      </c>
      <c r="B87" s="1" t="s">
        <v>21</v>
      </c>
      <c r="E87" s="1">
        <v>1</v>
      </c>
    </row>
    <row r="88" spans="1:5" ht="12.75" customHeight="1" x14ac:dyDescent="0.3">
      <c r="A88" s="1" t="s">
        <v>116</v>
      </c>
      <c r="B88" s="1" t="s">
        <v>30</v>
      </c>
      <c r="D88" s="1">
        <v>1</v>
      </c>
    </row>
    <row r="89" spans="1:5" ht="12.75" customHeight="1" x14ac:dyDescent="0.3">
      <c r="A89" s="1" t="s">
        <v>117</v>
      </c>
      <c r="B89" s="1" t="s">
        <v>16</v>
      </c>
      <c r="C89" s="1">
        <v>1</v>
      </c>
    </row>
    <row r="90" spans="1:5" ht="12.75" customHeight="1" x14ac:dyDescent="0.3">
      <c r="A90" s="1" t="s">
        <v>118</v>
      </c>
      <c r="B90" s="1" t="s">
        <v>16</v>
      </c>
      <c r="D90" s="1">
        <v>1</v>
      </c>
    </row>
    <row r="91" spans="1:5" ht="12.75" customHeight="1" x14ac:dyDescent="0.3">
      <c r="A91" s="1" t="s">
        <v>119</v>
      </c>
      <c r="B91" s="1" t="s">
        <v>66</v>
      </c>
      <c r="D91" s="1">
        <v>1</v>
      </c>
    </row>
    <row r="92" spans="1:5" ht="12.75" customHeight="1" x14ac:dyDescent="0.3">
      <c r="A92" s="1" t="s">
        <v>120</v>
      </c>
      <c r="B92" s="1" t="s">
        <v>13</v>
      </c>
      <c r="C92" s="1">
        <v>1</v>
      </c>
    </row>
    <row r="93" spans="1:5" ht="12.75" customHeight="1" x14ac:dyDescent="0.3">
      <c r="A93" s="1" t="s">
        <v>121</v>
      </c>
      <c r="B93" s="1" t="s">
        <v>30</v>
      </c>
      <c r="E93" s="1">
        <v>1</v>
      </c>
    </row>
    <row r="94" spans="1:5" ht="12.75" customHeight="1" x14ac:dyDescent="0.3">
      <c r="A94" s="1" t="s">
        <v>122</v>
      </c>
      <c r="B94" s="1" t="s">
        <v>24</v>
      </c>
      <c r="C94" s="1">
        <v>1</v>
      </c>
    </row>
    <row r="95" spans="1:5" ht="12.75" customHeight="1" x14ac:dyDescent="0.3">
      <c r="A95" s="1" t="s">
        <v>123</v>
      </c>
      <c r="B95" s="1" t="s">
        <v>21</v>
      </c>
      <c r="E95" s="1">
        <v>1</v>
      </c>
    </row>
    <row r="96" spans="1:5" ht="12.75" customHeight="1" x14ac:dyDescent="0.3">
      <c r="A96" s="1" t="s">
        <v>124</v>
      </c>
      <c r="B96" s="1" t="s">
        <v>14</v>
      </c>
      <c r="C96" s="1">
        <v>1</v>
      </c>
    </row>
    <row r="97" spans="1:5" ht="12.75" customHeight="1" x14ac:dyDescent="0.3">
      <c r="A97" s="1" t="s">
        <v>125</v>
      </c>
      <c r="B97" s="1" t="s">
        <v>66</v>
      </c>
      <c r="E97" s="1">
        <v>1</v>
      </c>
    </row>
    <row r="98" spans="1:5" ht="12.75" customHeight="1" x14ac:dyDescent="0.3">
      <c r="A98" s="1" t="s">
        <v>126</v>
      </c>
      <c r="B98" s="1" t="s">
        <v>30</v>
      </c>
      <c r="D98" s="1">
        <v>1</v>
      </c>
    </row>
    <row r="99" spans="1:5" ht="12.75" customHeight="1" x14ac:dyDescent="0.3">
      <c r="A99" s="1" t="s">
        <v>127</v>
      </c>
      <c r="B99" s="1" t="s">
        <v>27</v>
      </c>
      <c r="D99" s="1">
        <v>1</v>
      </c>
    </row>
    <row r="100" spans="1:5" ht="12.75" customHeight="1" x14ac:dyDescent="0.3">
      <c r="A100" s="1" t="s">
        <v>128</v>
      </c>
      <c r="B100" s="1" t="s">
        <v>30</v>
      </c>
      <c r="E100" s="1">
        <v>1</v>
      </c>
    </row>
    <row r="101" spans="1:5" ht="12.75" customHeight="1" x14ac:dyDescent="0.3">
      <c r="A101" s="1" t="s">
        <v>129</v>
      </c>
      <c r="B101" s="1" t="s">
        <v>27</v>
      </c>
      <c r="D101" s="1">
        <v>1</v>
      </c>
    </row>
    <row r="102" spans="1:5" ht="12.75" customHeight="1" x14ac:dyDescent="0.3">
      <c r="A102" s="1" t="s">
        <v>130</v>
      </c>
      <c r="B102" s="1" t="s">
        <v>16</v>
      </c>
      <c r="D102" s="1">
        <v>1</v>
      </c>
    </row>
    <row r="103" spans="1:5" ht="12.75" customHeight="1" x14ac:dyDescent="0.3">
      <c r="A103" s="1" t="s">
        <v>131</v>
      </c>
      <c r="B103" s="1" t="s">
        <v>66</v>
      </c>
      <c r="E103" s="1">
        <v>1</v>
      </c>
    </row>
    <row r="104" spans="1:5" ht="12.75" customHeight="1" x14ac:dyDescent="0.3">
      <c r="A104" s="1" t="s">
        <v>132</v>
      </c>
      <c r="B104" s="1" t="s">
        <v>30</v>
      </c>
      <c r="E104" s="1">
        <v>1</v>
      </c>
    </row>
    <row r="105" spans="1:5" ht="12.75" customHeight="1" x14ac:dyDescent="0.3">
      <c r="A105" s="1" t="s">
        <v>133</v>
      </c>
      <c r="B105" s="1" t="s">
        <v>14</v>
      </c>
      <c r="C105" s="1">
        <v>1</v>
      </c>
    </row>
    <row r="106" spans="1:5" ht="12.75" customHeight="1" x14ac:dyDescent="0.3">
      <c r="A106" s="1" t="s">
        <v>134</v>
      </c>
      <c r="B106" s="1" t="s">
        <v>42</v>
      </c>
      <c r="C106" s="1">
        <v>1</v>
      </c>
    </row>
    <row r="107" spans="1:5" ht="12.75" customHeight="1" x14ac:dyDescent="0.3">
      <c r="A107" s="1" t="s">
        <v>135</v>
      </c>
      <c r="B107" s="1" t="s">
        <v>27</v>
      </c>
      <c r="D107" s="1">
        <v>1</v>
      </c>
    </row>
    <row r="108" spans="1:5" ht="12.75" customHeight="1" x14ac:dyDescent="0.3">
      <c r="A108" s="1" t="s">
        <v>136</v>
      </c>
      <c r="B108" s="1" t="s">
        <v>66</v>
      </c>
      <c r="E108" s="1">
        <v>1</v>
      </c>
    </row>
    <row r="109" spans="1:5" ht="12.75" customHeight="1" x14ac:dyDescent="0.3">
      <c r="A109" s="1" t="s">
        <v>137</v>
      </c>
      <c r="B109" s="1" t="s">
        <v>13</v>
      </c>
      <c r="D109" s="1">
        <v>1</v>
      </c>
    </row>
    <row r="110" spans="1:5" ht="12.75" customHeight="1" x14ac:dyDescent="0.3">
      <c r="A110" s="1" t="s">
        <v>138</v>
      </c>
      <c r="B110" s="1" t="s">
        <v>42</v>
      </c>
      <c r="C110" s="1">
        <v>1</v>
      </c>
    </row>
    <row r="111" spans="1:5" ht="12.75" customHeight="1" x14ac:dyDescent="0.3">
      <c r="A111" s="1" t="s">
        <v>139</v>
      </c>
      <c r="B111" s="1" t="s">
        <v>27</v>
      </c>
      <c r="E111" s="1">
        <v>1</v>
      </c>
    </row>
    <row r="112" spans="1:5" ht="12.75" customHeight="1" x14ac:dyDescent="0.3">
      <c r="A112" s="1" t="s">
        <v>140</v>
      </c>
      <c r="B112" s="1" t="s">
        <v>16</v>
      </c>
      <c r="D112" s="1">
        <v>1</v>
      </c>
    </row>
    <row r="113" spans="1:6" ht="12.75" customHeight="1" x14ac:dyDescent="0.3">
      <c r="A113" s="1" t="s">
        <v>141</v>
      </c>
      <c r="B113" s="1" t="s">
        <v>14</v>
      </c>
      <c r="C113" s="1">
        <v>1</v>
      </c>
    </row>
    <row r="114" spans="1:6" ht="12.75" customHeight="1" x14ac:dyDescent="0.3">
      <c r="A114" s="1" t="s">
        <v>142</v>
      </c>
      <c r="B114" s="1" t="s">
        <v>16</v>
      </c>
      <c r="D114" s="1">
        <v>1</v>
      </c>
    </row>
    <row r="115" spans="1:6" ht="12.75" customHeight="1" x14ac:dyDescent="0.3">
      <c r="A115" s="1" t="s">
        <v>143</v>
      </c>
      <c r="B115" s="1" t="s">
        <v>24</v>
      </c>
      <c r="C115" s="1">
        <v>1</v>
      </c>
    </row>
    <row r="116" spans="1:6" ht="12.75" customHeight="1" x14ac:dyDescent="0.3">
      <c r="A116" s="1" t="s">
        <v>144</v>
      </c>
      <c r="B116" s="1" t="s">
        <v>66</v>
      </c>
      <c r="D116" s="1">
        <v>1</v>
      </c>
    </row>
    <row r="117" spans="1:6" ht="12.75" customHeight="1" x14ac:dyDescent="0.3">
      <c r="A117" s="1" t="s">
        <v>145</v>
      </c>
      <c r="B117" s="1" t="s">
        <v>27</v>
      </c>
      <c r="D117" s="1">
        <v>1</v>
      </c>
    </row>
    <row r="118" spans="1:6" ht="12.75" customHeight="1" x14ac:dyDescent="0.3">
      <c r="A118" s="1" t="s">
        <v>146</v>
      </c>
      <c r="B118" s="1" t="s">
        <v>30</v>
      </c>
      <c r="E118" s="1">
        <v>1</v>
      </c>
    </row>
    <row r="119" spans="1:6" ht="12.75" customHeight="1" x14ac:dyDescent="0.3">
      <c r="A119" s="1" t="s">
        <v>147</v>
      </c>
      <c r="B119" s="1" t="s">
        <v>42</v>
      </c>
      <c r="C119" s="1">
        <v>1</v>
      </c>
    </row>
    <row r="120" spans="1:6" ht="12.75" customHeight="1" x14ac:dyDescent="0.3">
      <c r="A120" s="1" t="s">
        <v>148</v>
      </c>
      <c r="B120" s="1" t="s">
        <v>13</v>
      </c>
      <c r="C120" s="1">
        <v>1</v>
      </c>
    </row>
    <row r="121" spans="1:6" ht="12.75" customHeight="1" x14ac:dyDescent="0.3">
      <c r="A121" s="1" t="s">
        <v>149</v>
      </c>
      <c r="B121" s="1" t="s">
        <v>150</v>
      </c>
      <c r="F121" s="1">
        <v>1</v>
      </c>
    </row>
    <row r="122" spans="1:6" ht="12.75" customHeight="1" x14ac:dyDescent="0.3">
      <c r="A122" s="1" t="s">
        <v>151</v>
      </c>
      <c r="B122" s="1" t="s">
        <v>24</v>
      </c>
      <c r="C122" s="1">
        <v>1</v>
      </c>
    </row>
    <row r="123" spans="1:6" ht="12.75" customHeight="1" x14ac:dyDescent="0.3">
      <c r="A123" s="1" t="s">
        <v>152</v>
      </c>
      <c r="B123" s="1" t="s">
        <v>24</v>
      </c>
      <c r="C123" s="1">
        <v>1</v>
      </c>
    </row>
    <row r="124" spans="1:6" ht="12.75" customHeight="1" x14ac:dyDescent="0.3">
      <c r="A124" s="1" t="s">
        <v>153</v>
      </c>
      <c r="B124" s="1" t="s">
        <v>19</v>
      </c>
      <c r="C124" s="1">
        <v>1</v>
      </c>
    </row>
    <row r="125" spans="1:6" ht="12.75" customHeight="1" x14ac:dyDescent="0.3">
      <c r="A125" s="1" t="s">
        <v>154</v>
      </c>
      <c r="B125" s="1" t="s">
        <v>33</v>
      </c>
      <c r="C125" s="1">
        <v>1</v>
      </c>
    </row>
    <row r="126" spans="1:6" ht="12.75" customHeight="1" x14ac:dyDescent="0.3">
      <c r="A126" s="1" t="s">
        <v>155</v>
      </c>
      <c r="B126" s="1" t="s">
        <v>13</v>
      </c>
      <c r="D126" s="1">
        <v>1</v>
      </c>
    </row>
    <row r="127" spans="1:6" ht="12.75" customHeight="1" x14ac:dyDescent="0.3">
      <c r="A127" s="1" t="s">
        <v>156</v>
      </c>
      <c r="B127" s="1" t="s">
        <v>13</v>
      </c>
      <c r="D127" s="1">
        <v>1</v>
      </c>
    </row>
    <row r="128" spans="1:6" ht="12.75" customHeight="1" x14ac:dyDescent="0.3">
      <c r="A128" s="1" t="s">
        <v>157</v>
      </c>
      <c r="B128" s="1" t="s">
        <v>14</v>
      </c>
      <c r="C128" s="1">
        <v>1</v>
      </c>
    </row>
    <row r="129" spans="1:5" ht="12.75" customHeight="1" x14ac:dyDescent="0.3">
      <c r="A129" s="1" t="s">
        <v>158</v>
      </c>
      <c r="B129" s="1" t="s">
        <v>16</v>
      </c>
      <c r="C129" s="1">
        <v>1</v>
      </c>
    </row>
    <row r="130" spans="1:5" ht="12.75" customHeight="1" x14ac:dyDescent="0.3">
      <c r="A130" s="1" t="s">
        <v>159</v>
      </c>
      <c r="B130" s="1" t="s">
        <v>13</v>
      </c>
      <c r="D130" s="1">
        <v>1</v>
      </c>
    </row>
    <row r="131" spans="1:5" ht="12.75" customHeight="1" x14ac:dyDescent="0.3">
      <c r="A131" s="1" t="s">
        <v>160</v>
      </c>
      <c r="B131" s="1" t="s">
        <v>66</v>
      </c>
      <c r="E131" s="1">
        <v>1</v>
      </c>
    </row>
    <row r="132" spans="1:5" ht="12.75" customHeight="1" x14ac:dyDescent="0.3">
      <c r="A132" s="1" t="s">
        <v>161</v>
      </c>
      <c r="B132" s="1" t="s">
        <v>38</v>
      </c>
      <c r="E132" s="1">
        <v>1</v>
      </c>
    </row>
    <row r="133" spans="1:5" ht="12.75" customHeight="1" x14ac:dyDescent="0.3">
      <c r="A133" s="1" t="s">
        <v>162</v>
      </c>
      <c r="B133" s="1" t="s">
        <v>13</v>
      </c>
      <c r="D133" s="1">
        <v>1</v>
      </c>
    </row>
    <row r="134" spans="1:5" ht="12.75" customHeight="1" x14ac:dyDescent="0.3">
      <c r="A134" s="1" t="s">
        <v>163</v>
      </c>
      <c r="B134" s="1" t="s">
        <v>66</v>
      </c>
      <c r="E134" s="1">
        <v>1</v>
      </c>
    </row>
    <row r="135" spans="1:5" ht="12.75" customHeight="1" x14ac:dyDescent="0.3">
      <c r="A135" s="1" t="s">
        <v>164</v>
      </c>
      <c r="B135" s="1" t="s">
        <v>21</v>
      </c>
      <c r="E135" s="1">
        <v>1</v>
      </c>
    </row>
    <row r="136" spans="1:5" ht="12.75" customHeight="1" x14ac:dyDescent="0.3">
      <c r="A136" s="1" t="s">
        <v>165</v>
      </c>
      <c r="B136" s="1" t="s">
        <v>30</v>
      </c>
      <c r="E136" s="1">
        <v>1</v>
      </c>
    </row>
    <row r="137" spans="1:5" ht="12.75" customHeight="1" x14ac:dyDescent="0.3">
      <c r="A137" s="1" t="s">
        <v>166</v>
      </c>
      <c r="B137" s="1" t="s">
        <v>30</v>
      </c>
      <c r="E137" s="1">
        <v>1</v>
      </c>
    </row>
    <row r="138" spans="1:5" ht="12.75" customHeight="1" x14ac:dyDescent="0.3">
      <c r="A138" s="1" t="s">
        <v>167</v>
      </c>
      <c r="B138" s="1" t="s">
        <v>19</v>
      </c>
      <c r="C138" s="1">
        <v>1</v>
      </c>
    </row>
    <row r="139" spans="1:5" ht="12.75" customHeight="1" x14ac:dyDescent="0.3">
      <c r="A139" s="1" t="s">
        <v>168</v>
      </c>
      <c r="B139" s="1" t="s">
        <v>13</v>
      </c>
      <c r="D139" s="1">
        <v>1</v>
      </c>
    </row>
    <row r="140" spans="1:5" ht="12.75" customHeight="1" x14ac:dyDescent="0.3">
      <c r="A140" s="1" t="s">
        <v>169</v>
      </c>
      <c r="B140" s="1" t="s">
        <v>27</v>
      </c>
      <c r="E140" s="1">
        <v>1</v>
      </c>
    </row>
    <row r="141" spans="1:5" ht="12.75" customHeight="1" x14ac:dyDescent="0.3">
      <c r="A141" s="1" t="s">
        <v>170</v>
      </c>
      <c r="B141" s="1" t="s">
        <v>16</v>
      </c>
      <c r="D141" s="1">
        <v>1</v>
      </c>
    </row>
    <row r="142" spans="1:5" ht="12.75" customHeight="1" x14ac:dyDescent="0.3">
      <c r="A142" s="1" t="s">
        <v>171</v>
      </c>
      <c r="B142" s="1" t="s">
        <v>19</v>
      </c>
      <c r="C142" s="1">
        <v>1</v>
      </c>
    </row>
    <row r="143" spans="1:5" ht="12.75" customHeight="1" x14ac:dyDescent="0.3">
      <c r="A143" s="1" t="s">
        <v>172</v>
      </c>
      <c r="B143" s="1" t="s">
        <v>37</v>
      </c>
      <c r="C143" s="1">
        <v>1</v>
      </c>
    </row>
    <row r="144" spans="1:5" ht="12.75" customHeight="1" x14ac:dyDescent="0.3">
      <c r="A144" s="1" t="s">
        <v>173</v>
      </c>
      <c r="B144" s="1" t="s">
        <v>27</v>
      </c>
      <c r="D144" s="1">
        <v>1</v>
      </c>
    </row>
    <row r="145" spans="1:5" ht="12.75" customHeight="1" x14ac:dyDescent="0.3">
      <c r="A145" s="1" t="s">
        <v>174</v>
      </c>
      <c r="B145" s="1" t="s">
        <v>66</v>
      </c>
      <c r="D145" s="1">
        <v>1</v>
      </c>
    </row>
    <row r="146" spans="1:5" ht="12.75" customHeight="1" x14ac:dyDescent="0.3">
      <c r="A146" s="1" t="s">
        <v>175</v>
      </c>
      <c r="B146" s="1" t="s">
        <v>14</v>
      </c>
      <c r="C146" s="1">
        <v>1</v>
      </c>
    </row>
    <row r="147" spans="1:5" ht="12.75" customHeight="1" x14ac:dyDescent="0.3">
      <c r="A147" s="1" t="s">
        <v>176</v>
      </c>
      <c r="B147" s="1" t="s">
        <v>66</v>
      </c>
      <c r="E147" s="1">
        <v>1</v>
      </c>
    </row>
    <row r="148" spans="1:5" ht="12.75" customHeight="1" x14ac:dyDescent="0.3">
      <c r="A148" s="1" t="s">
        <v>177</v>
      </c>
      <c r="B148" s="1" t="s">
        <v>42</v>
      </c>
      <c r="C148" s="1">
        <v>1</v>
      </c>
    </row>
    <row r="149" spans="1:5" ht="12.75" customHeight="1" x14ac:dyDescent="0.3">
      <c r="A149" s="1" t="s">
        <v>178</v>
      </c>
      <c r="B149" s="1" t="s">
        <v>33</v>
      </c>
      <c r="D149" s="1">
        <v>1</v>
      </c>
    </row>
    <row r="150" spans="1:5" ht="12.75" customHeight="1" x14ac:dyDescent="0.3">
      <c r="A150" s="1" t="s">
        <v>179</v>
      </c>
      <c r="B150" s="1" t="s">
        <v>14</v>
      </c>
      <c r="C150" s="1">
        <v>1</v>
      </c>
    </row>
    <row r="151" spans="1:5" ht="12.75" customHeight="1" x14ac:dyDescent="0.3">
      <c r="A151" s="1" t="s">
        <v>180</v>
      </c>
      <c r="B151" s="1" t="s">
        <v>13</v>
      </c>
      <c r="D151" s="1">
        <v>1</v>
      </c>
    </row>
    <row r="152" spans="1:5" ht="12.75" customHeight="1" x14ac:dyDescent="0.3">
      <c r="A152" s="1" t="s">
        <v>181</v>
      </c>
      <c r="B152" s="1" t="s">
        <v>24</v>
      </c>
      <c r="D152" s="1">
        <v>1</v>
      </c>
    </row>
    <row r="153" spans="1:5" ht="12.75" customHeight="1" x14ac:dyDescent="0.3">
      <c r="A153" s="1" t="s">
        <v>182</v>
      </c>
      <c r="B153" s="1" t="s">
        <v>19</v>
      </c>
      <c r="C153" s="1">
        <v>1</v>
      </c>
    </row>
    <row r="154" spans="1:5" ht="12.75" customHeight="1" x14ac:dyDescent="0.3">
      <c r="A154" s="1" t="s">
        <v>183</v>
      </c>
      <c r="B154" s="1" t="s">
        <v>42</v>
      </c>
      <c r="C154" s="1">
        <v>1</v>
      </c>
    </row>
    <row r="155" spans="1:5" ht="12.75" customHeight="1" x14ac:dyDescent="0.3">
      <c r="A155" s="1" t="s">
        <v>184</v>
      </c>
      <c r="B155" s="1" t="s">
        <v>19</v>
      </c>
      <c r="C155" s="1">
        <v>1</v>
      </c>
    </row>
    <row r="156" spans="1:5" ht="12.75" customHeight="1" x14ac:dyDescent="0.3">
      <c r="A156" s="1" t="s">
        <v>185</v>
      </c>
      <c r="B156" s="1" t="s">
        <v>30</v>
      </c>
      <c r="E156" s="1">
        <v>1</v>
      </c>
    </row>
    <row r="157" spans="1:5" ht="12.75" customHeight="1" x14ac:dyDescent="0.3"/>
    <row r="158" spans="1:5" ht="12.75" customHeight="1" x14ac:dyDescent="0.3"/>
    <row r="159" spans="1:5" ht="12.75" customHeight="1" x14ac:dyDescent="0.3"/>
    <row r="160" spans="1:5" ht="12.75" customHeight="1" x14ac:dyDescent="0.3"/>
    <row r="161" s="1" customFormat="1" ht="12.75" customHeight="1" x14ac:dyDescent="0.3"/>
    <row r="162" s="1" customFormat="1" ht="12.75" customHeight="1" x14ac:dyDescent="0.3"/>
    <row r="163" s="1" customFormat="1" ht="12.75" customHeight="1" x14ac:dyDescent="0.3"/>
    <row r="164" s="1" customFormat="1" ht="12.75" customHeight="1" x14ac:dyDescent="0.3"/>
    <row r="165" s="1" customFormat="1" ht="12.75" customHeight="1" x14ac:dyDescent="0.3"/>
    <row r="166" s="1" customFormat="1" ht="12.75" customHeight="1" x14ac:dyDescent="0.3"/>
    <row r="167" s="1" customFormat="1" ht="12.75" customHeight="1" x14ac:dyDescent="0.3"/>
    <row r="168" s="1" customFormat="1" ht="12.75" customHeight="1" x14ac:dyDescent="0.3"/>
    <row r="169" s="1" customFormat="1" ht="12.75" customHeight="1" x14ac:dyDescent="0.3"/>
    <row r="170" s="1" customFormat="1" ht="12.75" customHeight="1" x14ac:dyDescent="0.3"/>
    <row r="171" s="1" customFormat="1" ht="12.75" customHeight="1" x14ac:dyDescent="0.3"/>
    <row r="172" s="1" customFormat="1" ht="12.75" customHeight="1" x14ac:dyDescent="0.3"/>
    <row r="173" s="1" customFormat="1" ht="12.75" customHeight="1" x14ac:dyDescent="0.3"/>
    <row r="174" s="1" customFormat="1" ht="12.75" customHeight="1" x14ac:dyDescent="0.3"/>
    <row r="175" s="1" customFormat="1" ht="12.75" customHeight="1" x14ac:dyDescent="0.3"/>
    <row r="176" s="1" customFormat="1" ht="12.75" customHeight="1" x14ac:dyDescent="0.3"/>
    <row r="177" s="1" customFormat="1" ht="12.75" customHeight="1" x14ac:dyDescent="0.3"/>
    <row r="178" s="1" customFormat="1" ht="12.75" customHeight="1" x14ac:dyDescent="0.3"/>
    <row r="179" s="1" customFormat="1" ht="12.75" customHeight="1" x14ac:dyDescent="0.3"/>
    <row r="180" s="1" customFormat="1" ht="12.75" customHeight="1" x14ac:dyDescent="0.3"/>
    <row r="181" s="1" customFormat="1" ht="12.75" customHeight="1" x14ac:dyDescent="0.3"/>
    <row r="182" s="1" customFormat="1" ht="12.75" customHeight="1" x14ac:dyDescent="0.3"/>
    <row r="183" s="1" customFormat="1" ht="12.75" customHeight="1" x14ac:dyDescent="0.3"/>
    <row r="184" s="1" customFormat="1" ht="12.75" customHeight="1" x14ac:dyDescent="0.3"/>
    <row r="185" s="1" customFormat="1" ht="12.75" customHeight="1" x14ac:dyDescent="0.3"/>
    <row r="186" s="1" customFormat="1" ht="12.75" customHeight="1" x14ac:dyDescent="0.3"/>
    <row r="187" s="1" customFormat="1" ht="12.75" customHeight="1" x14ac:dyDescent="0.3"/>
    <row r="188" s="1" customFormat="1" ht="12.75" customHeight="1" x14ac:dyDescent="0.3"/>
    <row r="189" s="1" customFormat="1" ht="12.75" customHeight="1" x14ac:dyDescent="0.3"/>
    <row r="190" s="1" customFormat="1" ht="12.75" customHeight="1" x14ac:dyDescent="0.3"/>
    <row r="191" s="1" customFormat="1" ht="12.75" customHeight="1" x14ac:dyDescent="0.3"/>
    <row r="192" s="1" customFormat="1" ht="12.75" customHeight="1" x14ac:dyDescent="0.3"/>
    <row r="193" s="1" customFormat="1" ht="12.75" customHeight="1" x14ac:dyDescent="0.3"/>
    <row r="194" s="1" customFormat="1" ht="12.75" customHeight="1" x14ac:dyDescent="0.3"/>
    <row r="195" s="1" customFormat="1" ht="12.75" customHeight="1" x14ac:dyDescent="0.3"/>
    <row r="196" s="1" customFormat="1" ht="12.75" customHeight="1" x14ac:dyDescent="0.3"/>
    <row r="197" s="1" customFormat="1" ht="12.75" customHeight="1" x14ac:dyDescent="0.3"/>
    <row r="198" s="1" customFormat="1" ht="12.75" customHeight="1" x14ac:dyDescent="0.3"/>
    <row r="199" s="1" customFormat="1" ht="12.75" customHeight="1" x14ac:dyDescent="0.3"/>
    <row r="200" s="1" customFormat="1" ht="12.75" customHeight="1" x14ac:dyDescent="0.3"/>
    <row r="201" s="1" customFormat="1" ht="12.75" customHeight="1" x14ac:dyDescent="0.3"/>
    <row r="202" s="1" customFormat="1" ht="12.75" customHeight="1" x14ac:dyDescent="0.3"/>
    <row r="203" s="1" customFormat="1" ht="12.75" customHeight="1" x14ac:dyDescent="0.3"/>
    <row r="204" s="1" customFormat="1" ht="12.75" customHeight="1" x14ac:dyDescent="0.3"/>
    <row r="205" s="1" customFormat="1" ht="12.75" customHeight="1" x14ac:dyDescent="0.3"/>
    <row r="206" s="1" customFormat="1" ht="12.75" customHeight="1" x14ac:dyDescent="0.3"/>
    <row r="207" s="1" customFormat="1" ht="12.75" customHeight="1" x14ac:dyDescent="0.3"/>
    <row r="208" s="1" customFormat="1" ht="12.75" customHeight="1" x14ac:dyDescent="0.3"/>
    <row r="209" s="1" customFormat="1" ht="12.75" customHeight="1" x14ac:dyDescent="0.3"/>
    <row r="210" s="1" customFormat="1" ht="12.75" customHeight="1" x14ac:dyDescent="0.3"/>
    <row r="211" s="1" customFormat="1" ht="12.75" customHeight="1" x14ac:dyDescent="0.3"/>
    <row r="212" s="1" customFormat="1" ht="12.75" customHeight="1" x14ac:dyDescent="0.3"/>
    <row r="213" s="1" customFormat="1" ht="12.75" customHeight="1" x14ac:dyDescent="0.3"/>
    <row r="214" s="1" customFormat="1" ht="12.75" customHeight="1" x14ac:dyDescent="0.3"/>
    <row r="215" s="1" customFormat="1" ht="12.75" customHeight="1" x14ac:dyDescent="0.3"/>
    <row r="216" s="1" customFormat="1" ht="12.75" customHeight="1" x14ac:dyDescent="0.3"/>
    <row r="217" s="1" customFormat="1" ht="12.75" customHeight="1" x14ac:dyDescent="0.3"/>
    <row r="218" s="1" customFormat="1" ht="12.75" customHeight="1" x14ac:dyDescent="0.3"/>
    <row r="219" s="1" customFormat="1" ht="12.75" customHeight="1" x14ac:dyDescent="0.3"/>
    <row r="220" s="1" customFormat="1" ht="12.75" customHeight="1" x14ac:dyDescent="0.3"/>
    <row r="221" s="1" customFormat="1" ht="12.75" customHeight="1" x14ac:dyDescent="0.3"/>
    <row r="222" s="1" customFormat="1" ht="12.75" customHeight="1" x14ac:dyDescent="0.3"/>
    <row r="223" s="1" customFormat="1" ht="12.75" customHeight="1" x14ac:dyDescent="0.3"/>
    <row r="224" s="1" customFormat="1" ht="12.75" customHeight="1" x14ac:dyDescent="0.3"/>
    <row r="225" s="1" customFormat="1" ht="12.75" customHeight="1" x14ac:dyDescent="0.3"/>
    <row r="226" s="1" customFormat="1" ht="12.75" customHeight="1" x14ac:dyDescent="0.3"/>
    <row r="227" s="1" customFormat="1" ht="12.75" customHeight="1" x14ac:dyDescent="0.3"/>
    <row r="228" s="1" customFormat="1" ht="12.75" customHeight="1" x14ac:dyDescent="0.3"/>
    <row r="229" s="1" customFormat="1" ht="12.75" customHeight="1" x14ac:dyDescent="0.3"/>
    <row r="230" s="1" customFormat="1" ht="12.75" customHeight="1" x14ac:dyDescent="0.3"/>
    <row r="231" s="1" customFormat="1" ht="12.75" customHeight="1" x14ac:dyDescent="0.3"/>
    <row r="232" s="1" customFormat="1" ht="12.75" customHeight="1" x14ac:dyDescent="0.3"/>
    <row r="233" s="1" customFormat="1" ht="12.75" customHeight="1" x14ac:dyDescent="0.3"/>
    <row r="234" s="1" customFormat="1" ht="12.75" customHeight="1" x14ac:dyDescent="0.3"/>
    <row r="235" s="1" customFormat="1" ht="12.75" customHeight="1" x14ac:dyDescent="0.3"/>
    <row r="236" s="1" customFormat="1" ht="12.75" customHeight="1" x14ac:dyDescent="0.3"/>
    <row r="237" s="1" customFormat="1" ht="12.75" customHeight="1" x14ac:dyDescent="0.3"/>
    <row r="238" s="1" customFormat="1" ht="12.75" customHeight="1" x14ac:dyDescent="0.3"/>
    <row r="239" s="1" customFormat="1" ht="12.75" customHeight="1" x14ac:dyDescent="0.3"/>
    <row r="240" s="1" customFormat="1" ht="12.75" customHeight="1" x14ac:dyDescent="0.3"/>
    <row r="241" s="1" customFormat="1" ht="12.75" customHeight="1" x14ac:dyDescent="0.3"/>
    <row r="242" s="1" customFormat="1" ht="12.75" customHeight="1" x14ac:dyDescent="0.3"/>
    <row r="243" s="1" customFormat="1" ht="12.75" customHeight="1" x14ac:dyDescent="0.3"/>
    <row r="244" s="1" customFormat="1" ht="12.75" customHeight="1" x14ac:dyDescent="0.3"/>
    <row r="245" s="1" customFormat="1" ht="12.75" customHeight="1" x14ac:dyDescent="0.3"/>
    <row r="246" s="1" customFormat="1" ht="12.75" customHeight="1" x14ac:dyDescent="0.3"/>
    <row r="247" s="1" customFormat="1" ht="12.75" customHeight="1" x14ac:dyDescent="0.3"/>
    <row r="248" s="1" customFormat="1" ht="12.75" customHeight="1" x14ac:dyDescent="0.3"/>
    <row r="249" s="1" customFormat="1" ht="12.75" customHeight="1" x14ac:dyDescent="0.3"/>
    <row r="250" s="1" customFormat="1" ht="12.75" customHeight="1" x14ac:dyDescent="0.3"/>
    <row r="251" s="1" customFormat="1" ht="12.75" customHeight="1" x14ac:dyDescent="0.3"/>
    <row r="252" s="1" customFormat="1" ht="12.75" customHeight="1" x14ac:dyDescent="0.3"/>
    <row r="253" s="1" customFormat="1" ht="12.75" customHeight="1" x14ac:dyDescent="0.3"/>
    <row r="254" s="1" customFormat="1" ht="12.75" customHeight="1" x14ac:dyDescent="0.3"/>
    <row r="255" s="1" customFormat="1" ht="12.75" customHeight="1" x14ac:dyDescent="0.3"/>
    <row r="256" s="1" customFormat="1" ht="12.75" customHeight="1" x14ac:dyDescent="0.3"/>
    <row r="257" s="1" customFormat="1" ht="12.75" customHeight="1" x14ac:dyDescent="0.3"/>
    <row r="258" s="1" customFormat="1" ht="12.75" customHeight="1" x14ac:dyDescent="0.3"/>
    <row r="259" s="1" customFormat="1" ht="12.75" customHeight="1" x14ac:dyDescent="0.3"/>
    <row r="260" s="1" customFormat="1" ht="12.75" customHeight="1" x14ac:dyDescent="0.3"/>
    <row r="261" s="1" customFormat="1" ht="12.75" customHeight="1" x14ac:dyDescent="0.3"/>
    <row r="262" s="1" customFormat="1" ht="12.75" customHeight="1" x14ac:dyDescent="0.3"/>
    <row r="263" s="1" customFormat="1" ht="12.75" customHeight="1" x14ac:dyDescent="0.3"/>
    <row r="264" s="1" customFormat="1" ht="12.75" customHeight="1" x14ac:dyDescent="0.3"/>
    <row r="265" s="1" customFormat="1" ht="12.75" customHeight="1" x14ac:dyDescent="0.3"/>
    <row r="266" s="1" customFormat="1" ht="12.75" customHeight="1" x14ac:dyDescent="0.3"/>
    <row r="267" s="1" customFormat="1" ht="12.75" customHeight="1" x14ac:dyDescent="0.3"/>
    <row r="268" s="1" customFormat="1" ht="12.75" customHeight="1" x14ac:dyDescent="0.3"/>
    <row r="269" s="1" customFormat="1" ht="12.75" customHeight="1" x14ac:dyDescent="0.3"/>
    <row r="270" s="1" customFormat="1" ht="12.75" customHeight="1" x14ac:dyDescent="0.3"/>
    <row r="271" s="1" customFormat="1" ht="12.75" customHeight="1" x14ac:dyDescent="0.3"/>
    <row r="272" s="1" customFormat="1" ht="12.75" customHeight="1" x14ac:dyDescent="0.3"/>
    <row r="273" s="1" customFormat="1" ht="12.75" customHeight="1" x14ac:dyDescent="0.3"/>
    <row r="274" s="1" customFormat="1" ht="12.75" customHeight="1" x14ac:dyDescent="0.3"/>
    <row r="275" s="1" customFormat="1" ht="12.75" customHeight="1" x14ac:dyDescent="0.3"/>
    <row r="276" s="1" customFormat="1" ht="12.75" customHeight="1" x14ac:dyDescent="0.3"/>
    <row r="277" s="1" customFormat="1" ht="12.75" customHeight="1" x14ac:dyDescent="0.3"/>
    <row r="278" s="1" customFormat="1" ht="12.75" customHeight="1" x14ac:dyDescent="0.3"/>
    <row r="279" s="1" customFormat="1" ht="12.75" customHeight="1" x14ac:dyDescent="0.3"/>
    <row r="280" s="1" customFormat="1" ht="12.75" customHeight="1" x14ac:dyDescent="0.3"/>
    <row r="281" s="1" customFormat="1" ht="12.75" customHeight="1" x14ac:dyDescent="0.3"/>
    <row r="282" s="1" customFormat="1" ht="12.75" customHeight="1" x14ac:dyDescent="0.3"/>
    <row r="283" s="1" customFormat="1" ht="12.75" customHeight="1" x14ac:dyDescent="0.3"/>
    <row r="284" s="1" customFormat="1" ht="12.75" customHeight="1" x14ac:dyDescent="0.3"/>
    <row r="285" s="1" customFormat="1" ht="12.75" customHeight="1" x14ac:dyDescent="0.3"/>
    <row r="286" s="1" customFormat="1" ht="12.75" customHeight="1" x14ac:dyDescent="0.3"/>
    <row r="287" s="1" customFormat="1" ht="12.75" customHeight="1" x14ac:dyDescent="0.3"/>
    <row r="288" s="1" customFormat="1" ht="12.75" customHeight="1" x14ac:dyDescent="0.3"/>
    <row r="289" s="1" customFormat="1" ht="12.75" customHeight="1" x14ac:dyDescent="0.3"/>
    <row r="290" s="1" customFormat="1" ht="12.75" customHeight="1" x14ac:dyDescent="0.3"/>
    <row r="291" s="1" customFormat="1" ht="12.75" customHeight="1" x14ac:dyDescent="0.3"/>
    <row r="292" s="1" customFormat="1" ht="12.75" customHeight="1" x14ac:dyDescent="0.3"/>
    <row r="293" s="1" customFormat="1" ht="12.75" customHeight="1" x14ac:dyDescent="0.3"/>
    <row r="294" s="1" customFormat="1" ht="12.75" customHeight="1" x14ac:dyDescent="0.3"/>
    <row r="295" s="1" customFormat="1" ht="12.75" customHeight="1" x14ac:dyDescent="0.3"/>
    <row r="296" s="1" customFormat="1" ht="12.75" customHeight="1" x14ac:dyDescent="0.3"/>
    <row r="297" s="1" customFormat="1" ht="12.75" customHeight="1" x14ac:dyDescent="0.3"/>
    <row r="298" s="1" customFormat="1" ht="12.75" customHeight="1" x14ac:dyDescent="0.3"/>
    <row r="299" s="1" customFormat="1" ht="12.75" customHeight="1" x14ac:dyDescent="0.3"/>
    <row r="300" s="1" customFormat="1" ht="12.75" customHeight="1" x14ac:dyDescent="0.3"/>
    <row r="301" s="1" customFormat="1" ht="12.75" customHeight="1" x14ac:dyDescent="0.3"/>
    <row r="302" s="1" customFormat="1" ht="12.75" customHeight="1" x14ac:dyDescent="0.3"/>
    <row r="303" s="1" customFormat="1" ht="12.75" customHeight="1" x14ac:dyDescent="0.3"/>
    <row r="304" s="1" customFormat="1" ht="12.75" customHeight="1" x14ac:dyDescent="0.3"/>
    <row r="305" s="1" customFormat="1" ht="12.75" customHeight="1" x14ac:dyDescent="0.3"/>
    <row r="306" s="1" customFormat="1" ht="12.75" customHeight="1" x14ac:dyDescent="0.3"/>
    <row r="307" s="1" customFormat="1" ht="12.75" customHeight="1" x14ac:dyDescent="0.3"/>
    <row r="308" s="1" customFormat="1" ht="12.75" customHeight="1" x14ac:dyDescent="0.3"/>
    <row r="309" s="1" customFormat="1" ht="12.75" customHeight="1" x14ac:dyDescent="0.3"/>
    <row r="310" s="1" customFormat="1" ht="12.75" customHeight="1" x14ac:dyDescent="0.3"/>
    <row r="311" s="1" customFormat="1" ht="12.75" customHeight="1" x14ac:dyDescent="0.3"/>
    <row r="312" s="1" customFormat="1" ht="12.75" customHeight="1" x14ac:dyDescent="0.3"/>
    <row r="313" s="1" customFormat="1" ht="12.75" customHeight="1" x14ac:dyDescent="0.3"/>
    <row r="314" s="1" customFormat="1" ht="12.75" customHeight="1" x14ac:dyDescent="0.3"/>
    <row r="315" s="1" customFormat="1" ht="12.75" customHeight="1" x14ac:dyDescent="0.3"/>
    <row r="316" s="1" customFormat="1" ht="12.75" customHeight="1" x14ac:dyDescent="0.3"/>
    <row r="317" s="1" customFormat="1" ht="12.75" customHeight="1" x14ac:dyDescent="0.3"/>
    <row r="318" s="1" customFormat="1" ht="12.75" customHeight="1" x14ac:dyDescent="0.3"/>
    <row r="319" s="1" customFormat="1" ht="12.75" customHeight="1" x14ac:dyDescent="0.3"/>
    <row r="320" s="1" customFormat="1" ht="12.75" customHeight="1" x14ac:dyDescent="0.3"/>
    <row r="321" s="1" customFormat="1" ht="12.75" customHeight="1" x14ac:dyDescent="0.3"/>
    <row r="322" s="1" customFormat="1" ht="12.75" customHeight="1" x14ac:dyDescent="0.3"/>
    <row r="323" s="1" customFormat="1" ht="12.75" customHeight="1" x14ac:dyDescent="0.3"/>
    <row r="324" s="1" customFormat="1" ht="12.75" customHeight="1" x14ac:dyDescent="0.3"/>
    <row r="325" s="1" customFormat="1" ht="12.75" customHeight="1" x14ac:dyDescent="0.3"/>
    <row r="326" s="1" customFormat="1" ht="12.75" customHeight="1" x14ac:dyDescent="0.3"/>
    <row r="327" s="1" customFormat="1" ht="12.75" customHeight="1" x14ac:dyDescent="0.3"/>
    <row r="328" s="1" customFormat="1" ht="12.75" customHeight="1" x14ac:dyDescent="0.3"/>
    <row r="329" s="1" customFormat="1" ht="12.75" customHeight="1" x14ac:dyDescent="0.3"/>
    <row r="330" s="1" customFormat="1" ht="12.75" customHeight="1" x14ac:dyDescent="0.3"/>
    <row r="331" s="1" customFormat="1" ht="12.75" customHeight="1" x14ac:dyDescent="0.3"/>
    <row r="332" s="1" customFormat="1" ht="12.75" customHeight="1" x14ac:dyDescent="0.3"/>
    <row r="333" s="1" customFormat="1" ht="12.75" customHeight="1" x14ac:dyDescent="0.3"/>
    <row r="334" s="1" customFormat="1" ht="12.75" customHeight="1" x14ac:dyDescent="0.3"/>
    <row r="335" s="1" customFormat="1" ht="12.75" customHeight="1" x14ac:dyDescent="0.3"/>
    <row r="336" s="1" customFormat="1" ht="12.75" customHeight="1" x14ac:dyDescent="0.3"/>
    <row r="337" s="1" customFormat="1" ht="12.75" customHeight="1" x14ac:dyDescent="0.3"/>
    <row r="338" s="1" customFormat="1" ht="12.75" customHeight="1" x14ac:dyDescent="0.3"/>
    <row r="339" s="1" customFormat="1" ht="12.75" customHeight="1" x14ac:dyDescent="0.3"/>
    <row r="340" s="1" customFormat="1" ht="12.75" customHeight="1" x14ac:dyDescent="0.3"/>
    <row r="341" s="1" customFormat="1" ht="12.75" customHeight="1" x14ac:dyDescent="0.3"/>
    <row r="342" s="1" customFormat="1" ht="12.75" customHeight="1" x14ac:dyDescent="0.3"/>
    <row r="343" s="1" customFormat="1" ht="12.75" customHeight="1" x14ac:dyDescent="0.3"/>
    <row r="344" s="1" customFormat="1" ht="12.75" customHeight="1" x14ac:dyDescent="0.3"/>
    <row r="345" s="1" customFormat="1" ht="12.75" customHeight="1" x14ac:dyDescent="0.3"/>
    <row r="346" s="1" customFormat="1" ht="12.75" customHeight="1" x14ac:dyDescent="0.3"/>
    <row r="347" s="1" customFormat="1" ht="12.75" customHeight="1" x14ac:dyDescent="0.3"/>
    <row r="348" s="1" customFormat="1" ht="12.75" customHeight="1" x14ac:dyDescent="0.3"/>
    <row r="349" s="1" customFormat="1" ht="12.75" customHeight="1" x14ac:dyDescent="0.3"/>
    <row r="350" s="1" customFormat="1" ht="12.75" customHeight="1" x14ac:dyDescent="0.3"/>
    <row r="351" s="1" customFormat="1" ht="12.75" customHeight="1" x14ac:dyDescent="0.3"/>
    <row r="352" s="1" customFormat="1" ht="12.75" customHeight="1" x14ac:dyDescent="0.3"/>
    <row r="353" s="1" customFormat="1" ht="12.75" customHeight="1" x14ac:dyDescent="0.3"/>
    <row r="354" s="1" customFormat="1" ht="12.75" customHeight="1" x14ac:dyDescent="0.3"/>
    <row r="355" s="1" customFormat="1" ht="12.75" customHeight="1" x14ac:dyDescent="0.3"/>
    <row r="356" s="1" customFormat="1" ht="12.75" customHeight="1" x14ac:dyDescent="0.3"/>
    <row r="357" s="1" customFormat="1" ht="12.75" customHeight="1" x14ac:dyDescent="0.3"/>
    <row r="358" s="1" customFormat="1" ht="12.75" customHeight="1" x14ac:dyDescent="0.3"/>
    <row r="359" s="1" customFormat="1" ht="12.75" customHeight="1" x14ac:dyDescent="0.3"/>
    <row r="360" s="1" customFormat="1" ht="12.75" customHeight="1" x14ac:dyDescent="0.3"/>
    <row r="361" s="1" customFormat="1" ht="12.75" customHeight="1" x14ac:dyDescent="0.3"/>
    <row r="362" s="1" customFormat="1" ht="12.75" customHeight="1" x14ac:dyDescent="0.3"/>
    <row r="363" s="1" customFormat="1" ht="12.75" customHeight="1" x14ac:dyDescent="0.3"/>
    <row r="364" s="1" customFormat="1" ht="12.75" customHeight="1" x14ac:dyDescent="0.3"/>
    <row r="365" s="1" customFormat="1" ht="12.75" customHeight="1" x14ac:dyDescent="0.3"/>
    <row r="366" s="1" customFormat="1" ht="12.75" customHeight="1" x14ac:dyDescent="0.3"/>
    <row r="367" s="1" customFormat="1" ht="12.75" customHeight="1" x14ac:dyDescent="0.3"/>
    <row r="368" s="1" customFormat="1" ht="12.75" customHeight="1" x14ac:dyDescent="0.3"/>
    <row r="369" s="1" customFormat="1" ht="12.75" customHeight="1" x14ac:dyDescent="0.3"/>
    <row r="370" s="1" customFormat="1" ht="12.75" customHeight="1" x14ac:dyDescent="0.3"/>
    <row r="371" s="1" customFormat="1" ht="12.75" customHeight="1" x14ac:dyDescent="0.3"/>
    <row r="372" s="1" customFormat="1" ht="12.75" customHeight="1" x14ac:dyDescent="0.3"/>
    <row r="373" s="1" customFormat="1" ht="12.75" customHeight="1" x14ac:dyDescent="0.3"/>
    <row r="374" s="1" customFormat="1" ht="12.75" customHeight="1" x14ac:dyDescent="0.3"/>
    <row r="375" s="1" customFormat="1" ht="12.75" customHeight="1" x14ac:dyDescent="0.3"/>
    <row r="376" s="1" customFormat="1" ht="12.75" customHeight="1" x14ac:dyDescent="0.3"/>
    <row r="377" s="1" customFormat="1" ht="12.75" customHeight="1" x14ac:dyDescent="0.3"/>
    <row r="378" s="1" customFormat="1" ht="12.75" customHeight="1" x14ac:dyDescent="0.3"/>
    <row r="379" s="1" customFormat="1" ht="12.75" customHeight="1" x14ac:dyDescent="0.3"/>
    <row r="380" s="1" customFormat="1" ht="12.75" customHeight="1" x14ac:dyDescent="0.3"/>
    <row r="381" s="1" customFormat="1" ht="12.75" customHeight="1" x14ac:dyDescent="0.3"/>
    <row r="382" s="1" customFormat="1" ht="12.75" customHeight="1" x14ac:dyDescent="0.3"/>
    <row r="383" s="1" customFormat="1" ht="12.75" customHeight="1" x14ac:dyDescent="0.3"/>
    <row r="384" s="1" customFormat="1" ht="12.75" customHeight="1" x14ac:dyDescent="0.3"/>
    <row r="385" s="1" customFormat="1" ht="12.75" customHeight="1" x14ac:dyDescent="0.3"/>
    <row r="386" s="1" customFormat="1" ht="12.75" customHeight="1" x14ac:dyDescent="0.3"/>
    <row r="387" s="1" customFormat="1" ht="12.75" customHeight="1" x14ac:dyDescent="0.3"/>
    <row r="388" s="1" customFormat="1" ht="12.75" customHeight="1" x14ac:dyDescent="0.3"/>
    <row r="389" s="1" customFormat="1" ht="12.75" customHeight="1" x14ac:dyDescent="0.3"/>
    <row r="390" s="1" customFormat="1" ht="12.75" customHeight="1" x14ac:dyDescent="0.3"/>
    <row r="391" s="1" customFormat="1" ht="12.75" customHeight="1" x14ac:dyDescent="0.3"/>
    <row r="392" s="1" customFormat="1" ht="12.75" customHeight="1" x14ac:dyDescent="0.3"/>
    <row r="393" s="1" customFormat="1" ht="12.75" customHeight="1" x14ac:dyDescent="0.3"/>
    <row r="394" s="1" customFormat="1" ht="12.75" customHeight="1" x14ac:dyDescent="0.3"/>
    <row r="395" s="1" customFormat="1" ht="12.75" customHeight="1" x14ac:dyDescent="0.3"/>
    <row r="396" s="1" customFormat="1" ht="12.75" customHeight="1" x14ac:dyDescent="0.3"/>
    <row r="397" s="1" customFormat="1" ht="12.75" customHeight="1" x14ac:dyDescent="0.3"/>
    <row r="398" s="1" customFormat="1" ht="12.75" customHeight="1" x14ac:dyDescent="0.3"/>
    <row r="399" s="1" customFormat="1" ht="12.75" customHeight="1" x14ac:dyDescent="0.3"/>
    <row r="400" s="1" customFormat="1" ht="12.75" customHeight="1" x14ac:dyDescent="0.3"/>
    <row r="401" s="1" customFormat="1" ht="12.75" customHeight="1" x14ac:dyDescent="0.3"/>
    <row r="402" s="1" customFormat="1" ht="12.75" customHeight="1" x14ac:dyDescent="0.3"/>
    <row r="403" s="1" customFormat="1" ht="12.75" customHeight="1" x14ac:dyDescent="0.3"/>
    <row r="404" s="1" customFormat="1" ht="12.75" customHeight="1" x14ac:dyDescent="0.3"/>
    <row r="405" s="1" customFormat="1" ht="12.75" customHeight="1" x14ac:dyDescent="0.3"/>
    <row r="406" s="1" customFormat="1" ht="12.75" customHeight="1" x14ac:dyDescent="0.3"/>
    <row r="407" s="1" customFormat="1" ht="12.75" customHeight="1" x14ac:dyDescent="0.3"/>
    <row r="408" s="1" customFormat="1" ht="12.75" customHeight="1" x14ac:dyDescent="0.3"/>
    <row r="409" s="1" customFormat="1" ht="12.75" customHeight="1" x14ac:dyDescent="0.3"/>
    <row r="410" s="1" customFormat="1" ht="12.75" customHeight="1" x14ac:dyDescent="0.3"/>
    <row r="411" s="1" customFormat="1" ht="12.75" customHeight="1" x14ac:dyDescent="0.3"/>
    <row r="412" s="1" customFormat="1" ht="12.75" customHeight="1" x14ac:dyDescent="0.3"/>
    <row r="413" s="1" customFormat="1" ht="12.75" customHeight="1" x14ac:dyDescent="0.3"/>
    <row r="414" s="1" customFormat="1" ht="12.75" customHeight="1" x14ac:dyDescent="0.3"/>
    <row r="415" s="1" customFormat="1" ht="12.75" customHeight="1" x14ac:dyDescent="0.3"/>
    <row r="416" s="1" customFormat="1" ht="12.75" customHeight="1" x14ac:dyDescent="0.3"/>
    <row r="417" s="1" customFormat="1" ht="12.75" customHeight="1" x14ac:dyDescent="0.3"/>
    <row r="418" s="1" customFormat="1" ht="12.75" customHeight="1" x14ac:dyDescent="0.3"/>
    <row r="419" s="1" customFormat="1" ht="12.75" customHeight="1" x14ac:dyDescent="0.3"/>
    <row r="420" s="1" customFormat="1" ht="12.75" customHeight="1" x14ac:dyDescent="0.3"/>
    <row r="421" s="1" customFormat="1" ht="12.75" customHeight="1" x14ac:dyDescent="0.3"/>
    <row r="422" s="1" customFormat="1" ht="12.75" customHeight="1" x14ac:dyDescent="0.3"/>
    <row r="423" s="1" customFormat="1" ht="12.75" customHeight="1" x14ac:dyDescent="0.3"/>
    <row r="424" s="1" customFormat="1" ht="12.75" customHeight="1" x14ac:dyDescent="0.3"/>
    <row r="425" s="1" customFormat="1" ht="12.75" customHeight="1" x14ac:dyDescent="0.3"/>
    <row r="426" s="1" customFormat="1" ht="12.75" customHeight="1" x14ac:dyDescent="0.3"/>
    <row r="427" s="1" customFormat="1" ht="12.75" customHeight="1" x14ac:dyDescent="0.3"/>
    <row r="428" s="1" customFormat="1" ht="12.75" customHeight="1" x14ac:dyDescent="0.3"/>
    <row r="429" s="1" customFormat="1" ht="12.75" customHeight="1" x14ac:dyDescent="0.3"/>
    <row r="430" s="1" customFormat="1" ht="12.75" customHeight="1" x14ac:dyDescent="0.3"/>
    <row r="431" s="1" customFormat="1" ht="12.75" customHeight="1" x14ac:dyDescent="0.3"/>
    <row r="432" s="1" customFormat="1" ht="12.75" customHeight="1" x14ac:dyDescent="0.3"/>
    <row r="433" s="1" customFormat="1" ht="12.75" customHeight="1" x14ac:dyDescent="0.3"/>
    <row r="434" s="1" customFormat="1" ht="12.75" customHeight="1" x14ac:dyDescent="0.3"/>
    <row r="435" s="1" customFormat="1" ht="12.75" customHeight="1" x14ac:dyDescent="0.3"/>
    <row r="436" s="1" customFormat="1" ht="12.75" customHeight="1" x14ac:dyDescent="0.3"/>
    <row r="437" s="1" customFormat="1" ht="12.75" customHeight="1" x14ac:dyDescent="0.3"/>
    <row r="438" s="1" customFormat="1" ht="12.75" customHeight="1" x14ac:dyDescent="0.3"/>
    <row r="439" s="1" customFormat="1" ht="12.75" customHeight="1" x14ac:dyDescent="0.3"/>
    <row r="440" s="1" customFormat="1" ht="12.75" customHeight="1" x14ac:dyDescent="0.3"/>
    <row r="441" s="1" customFormat="1" ht="12.75" customHeight="1" x14ac:dyDescent="0.3"/>
    <row r="442" s="1" customFormat="1" ht="12.75" customHeight="1" x14ac:dyDescent="0.3"/>
    <row r="443" s="1" customFormat="1" ht="12.75" customHeight="1" x14ac:dyDescent="0.3"/>
    <row r="444" s="1" customFormat="1" ht="12.75" customHeight="1" x14ac:dyDescent="0.3"/>
    <row r="445" s="1" customFormat="1" ht="12.75" customHeight="1" x14ac:dyDescent="0.3"/>
    <row r="446" s="1" customFormat="1" ht="12.75" customHeight="1" x14ac:dyDescent="0.3"/>
    <row r="447" s="1" customFormat="1" ht="12.75" customHeight="1" x14ac:dyDescent="0.3"/>
    <row r="448" s="1" customFormat="1" ht="12.75" customHeight="1" x14ac:dyDescent="0.3"/>
    <row r="449" s="1" customFormat="1" ht="12.75" customHeight="1" x14ac:dyDescent="0.3"/>
    <row r="450" s="1" customFormat="1" ht="12.75" customHeight="1" x14ac:dyDescent="0.3"/>
    <row r="451" s="1" customFormat="1" ht="12.75" customHeight="1" x14ac:dyDescent="0.3"/>
    <row r="452" s="1" customFormat="1" ht="12.75" customHeight="1" x14ac:dyDescent="0.3"/>
    <row r="453" s="1" customFormat="1" ht="12.75" customHeight="1" x14ac:dyDescent="0.3"/>
    <row r="454" s="1" customFormat="1" ht="12.75" customHeight="1" x14ac:dyDescent="0.3"/>
    <row r="455" s="1" customFormat="1" ht="12.75" customHeight="1" x14ac:dyDescent="0.3"/>
    <row r="456" s="1" customFormat="1" ht="12.75" customHeight="1" x14ac:dyDescent="0.3"/>
    <row r="457" s="1" customFormat="1" ht="12.75" customHeight="1" x14ac:dyDescent="0.3"/>
    <row r="458" s="1" customFormat="1" ht="12.75" customHeight="1" x14ac:dyDescent="0.3"/>
    <row r="459" s="1" customFormat="1" ht="12.75" customHeight="1" x14ac:dyDescent="0.3"/>
    <row r="460" s="1" customFormat="1" ht="12.75" customHeight="1" x14ac:dyDescent="0.3"/>
    <row r="461" s="1" customFormat="1" ht="12.75" customHeight="1" x14ac:dyDescent="0.3"/>
    <row r="462" s="1" customFormat="1" ht="12.75" customHeight="1" x14ac:dyDescent="0.3"/>
    <row r="463" s="1" customFormat="1" ht="12.75" customHeight="1" x14ac:dyDescent="0.3"/>
    <row r="464" s="1" customFormat="1" ht="12.75" customHeight="1" x14ac:dyDescent="0.3"/>
    <row r="465" s="1" customFormat="1" ht="12.75" customHeight="1" x14ac:dyDescent="0.3"/>
    <row r="466" s="1" customFormat="1" ht="12.75" customHeight="1" x14ac:dyDescent="0.3"/>
    <row r="467" s="1" customFormat="1" ht="12.75" customHeight="1" x14ac:dyDescent="0.3"/>
    <row r="468" s="1" customFormat="1" ht="12.75" customHeight="1" x14ac:dyDescent="0.3"/>
    <row r="469" s="1" customFormat="1" ht="12.75" customHeight="1" x14ac:dyDescent="0.3"/>
    <row r="470" s="1" customFormat="1" ht="12.75" customHeight="1" x14ac:dyDescent="0.3"/>
    <row r="471" s="1" customFormat="1" ht="12.75" customHeight="1" x14ac:dyDescent="0.3"/>
    <row r="472" s="1" customFormat="1" ht="12.75" customHeight="1" x14ac:dyDescent="0.3"/>
    <row r="473" s="1" customFormat="1" ht="12.75" customHeight="1" x14ac:dyDescent="0.3"/>
    <row r="474" s="1" customFormat="1" ht="12.75" customHeight="1" x14ac:dyDescent="0.3"/>
    <row r="475" s="1" customFormat="1" ht="12.75" customHeight="1" x14ac:dyDescent="0.3"/>
    <row r="476" s="1" customFormat="1" ht="12.75" customHeight="1" x14ac:dyDescent="0.3"/>
    <row r="477" s="1" customFormat="1" ht="12.75" customHeight="1" x14ac:dyDescent="0.3"/>
    <row r="478" s="1" customFormat="1" ht="12.75" customHeight="1" x14ac:dyDescent="0.3"/>
    <row r="479" s="1" customFormat="1" ht="12.75" customHeight="1" x14ac:dyDescent="0.3"/>
    <row r="480" s="1" customFormat="1" ht="12.75" customHeight="1" x14ac:dyDescent="0.3"/>
    <row r="481" s="1" customFormat="1" ht="12.75" customHeight="1" x14ac:dyDescent="0.3"/>
    <row r="482" s="1" customFormat="1" ht="12.75" customHeight="1" x14ac:dyDescent="0.3"/>
    <row r="483" s="1" customFormat="1" ht="12.75" customHeight="1" x14ac:dyDescent="0.3"/>
    <row r="484" s="1" customFormat="1" ht="12.75" customHeight="1" x14ac:dyDescent="0.3"/>
    <row r="485" s="1" customFormat="1" ht="12.75" customHeight="1" x14ac:dyDescent="0.3"/>
    <row r="486" s="1" customFormat="1" ht="12.75" customHeight="1" x14ac:dyDescent="0.3"/>
    <row r="487" s="1" customFormat="1" ht="12.75" customHeight="1" x14ac:dyDescent="0.3"/>
    <row r="488" s="1" customFormat="1" ht="12.75" customHeight="1" x14ac:dyDescent="0.3"/>
    <row r="489" s="1" customFormat="1" ht="12.75" customHeight="1" x14ac:dyDescent="0.3"/>
    <row r="490" s="1" customFormat="1" ht="12.75" customHeight="1" x14ac:dyDescent="0.3"/>
    <row r="491" s="1" customFormat="1" ht="12.75" customHeight="1" x14ac:dyDescent="0.3"/>
    <row r="492" s="1" customFormat="1" ht="12.75" customHeight="1" x14ac:dyDescent="0.3"/>
    <row r="493" s="1" customFormat="1" ht="12.75" customHeight="1" x14ac:dyDescent="0.3"/>
    <row r="494" s="1" customFormat="1" ht="12.75" customHeight="1" x14ac:dyDescent="0.3"/>
    <row r="495" s="1" customFormat="1" ht="12.75" customHeight="1" x14ac:dyDescent="0.3"/>
    <row r="496" s="1" customFormat="1" ht="12.75" customHeight="1" x14ac:dyDescent="0.3"/>
    <row r="497" s="1" customFormat="1" ht="12.75" customHeight="1" x14ac:dyDescent="0.3"/>
    <row r="498" s="1" customFormat="1" ht="12.75" customHeight="1" x14ac:dyDescent="0.3"/>
    <row r="499" s="1" customFormat="1" ht="12.75" customHeight="1" x14ac:dyDescent="0.3"/>
    <row r="500" s="1" customFormat="1" ht="12.75" customHeight="1" x14ac:dyDescent="0.3"/>
    <row r="501" s="1" customFormat="1" ht="12.75" customHeight="1" x14ac:dyDescent="0.3"/>
    <row r="502" s="1" customFormat="1" ht="12.75" customHeight="1" x14ac:dyDescent="0.3"/>
    <row r="503" s="1" customFormat="1" ht="12.75" customHeight="1" x14ac:dyDescent="0.3"/>
    <row r="504" s="1" customFormat="1" ht="12.75" customHeight="1" x14ac:dyDescent="0.3"/>
    <row r="505" s="1" customFormat="1" ht="12.75" customHeight="1" x14ac:dyDescent="0.3"/>
    <row r="506" s="1" customFormat="1" ht="12.75" customHeight="1" x14ac:dyDescent="0.3"/>
    <row r="507" s="1" customFormat="1" ht="12.75" customHeight="1" x14ac:dyDescent="0.3"/>
    <row r="508" s="1" customFormat="1" ht="12.75" customHeight="1" x14ac:dyDescent="0.3"/>
    <row r="509" s="1" customFormat="1" ht="12.75" customHeight="1" x14ac:dyDescent="0.3"/>
    <row r="510" s="1" customFormat="1" ht="12.75" customHeight="1" x14ac:dyDescent="0.3"/>
    <row r="511" s="1" customFormat="1" ht="12.75" customHeight="1" x14ac:dyDescent="0.3"/>
    <row r="512" s="1" customFormat="1" ht="12.75" customHeight="1" x14ac:dyDescent="0.3"/>
    <row r="513" s="1" customFormat="1" ht="12.75" customHeight="1" x14ac:dyDescent="0.3"/>
    <row r="514" s="1" customFormat="1" ht="12.75" customHeight="1" x14ac:dyDescent="0.3"/>
    <row r="515" s="1" customFormat="1" ht="12.75" customHeight="1" x14ac:dyDescent="0.3"/>
    <row r="516" s="1" customFormat="1" ht="12.75" customHeight="1" x14ac:dyDescent="0.3"/>
    <row r="517" s="1" customFormat="1" ht="12.75" customHeight="1" x14ac:dyDescent="0.3"/>
    <row r="518" s="1" customFormat="1" ht="12.75" customHeight="1" x14ac:dyDescent="0.3"/>
    <row r="519" s="1" customFormat="1" ht="12.75" customHeight="1" x14ac:dyDescent="0.3"/>
    <row r="520" s="1" customFormat="1" ht="12.75" customHeight="1" x14ac:dyDescent="0.3"/>
    <row r="521" s="1" customFormat="1" ht="12.75" customHeight="1" x14ac:dyDescent="0.3"/>
    <row r="522" s="1" customFormat="1" ht="12.75" customHeight="1" x14ac:dyDescent="0.3"/>
    <row r="523" s="1" customFormat="1" ht="12.75" customHeight="1" x14ac:dyDescent="0.3"/>
    <row r="524" s="1" customFormat="1" ht="12.75" customHeight="1" x14ac:dyDescent="0.3"/>
    <row r="525" s="1" customFormat="1" ht="12.75" customHeight="1" x14ac:dyDescent="0.3"/>
    <row r="526" s="1" customFormat="1" ht="12.75" customHeight="1" x14ac:dyDescent="0.3"/>
    <row r="527" s="1" customFormat="1" ht="12.75" customHeight="1" x14ac:dyDescent="0.3"/>
    <row r="528" s="1" customFormat="1" ht="12.75" customHeight="1" x14ac:dyDescent="0.3"/>
    <row r="529" s="1" customFormat="1" ht="12.75" customHeight="1" x14ac:dyDescent="0.3"/>
    <row r="530" s="1" customFormat="1" ht="12.75" customHeight="1" x14ac:dyDescent="0.3"/>
    <row r="531" s="1" customFormat="1" ht="12.75" customHeight="1" x14ac:dyDescent="0.3"/>
    <row r="532" s="1" customFormat="1" ht="12.75" customHeight="1" x14ac:dyDescent="0.3"/>
    <row r="533" s="1" customFormat="1" ht="12.75" customHeight="1" x14ac:dyDescent="0.3"/>
    <row r="534" s="1" customFormat="1" ht="12.75" customHeight="1" x14ac:dyDescent="0.3"/>
    <row r="535" s="1" customFormat="1" ht="12.75" customHeight="1" x14ac:dyDescent="0.3"/>
    <row r="536" s="1" customFormat="1" ht="12.75" customHeight="1" x14ac:dyDescent="0.3"/>
    <row r="537" s="1" customFormat="1" ht="12.75" customHeight="1" x14ac:dyDescent="0.3"/>
    <row r="538" s="1" customFormat="1" ht="12.75" customHeight="1" x14ac:dyDescent="0.3"/>
    <row r="539" s="1" customFormat="1" ht="12.75" customHeight="1" x14ac:dyDescent="0.3"/>
    <row r="540" s="1" customFormat="1" ht="12.75" customHeight="1" x14ac:dyDescent="0.3"/>
    <row r="541" s="1" customFormat="1" ht="12.75" customHeight="1" x14ac:dyDescent="0.3"/>
    <row r="542" s="1" customFormat="1" ht="12.75" customHeight="1" x14ac:dyDescent="0.3"/>
    <row r="543" s="1" customFormat="1" ht="12.75" customHeight="1" x14ac:dyDescent="0.3"/>
    <row r="544" s="1" customFormat="1" ht="12.75" customHeight="1" x14ac:dyDescent="0.3"/>
    <row r="545" s="1" customFormat="1" ht="12.75" customHeight="1" x14ac:dyDescent="0.3"/>
    <row r="546" s="1" customFormat="1" ht="12.75" customHeight="1" x14ac:dyDescent="0.3"/>
    <row r="547" s="1" customFormat="1" ht="12.75" customHeight="1" x14ac:dyDescent="0.3"/>
    <row r="548" s="1" customFormat="1" ht="12.75" customHeight="1" x14ac:dyDescent="0.3"/>
    <row r="549" s="1" customFormat="1" ht="12.75" customHeight="1" x14ac:dyDescent="0.3"/>
    <row r="550" s="1" customFormat="1" ht="12.75" customHeight="1" x14ac:dyDescent="0.3"/>
    <row r="551" s="1" customFormat="1" ht="12.75" customHeight="1" x14ac:dyDescent="0.3"/>
    <row r="552" s="1" customFormat="1" ht="12.75" customHeight="1" x14ac:dyDescent="0.3"/>
    <row r="553" s="1" customFormat="1" ht="12.75" customHeight="1" x14ac:dyDescent="0.3"/>
    <row r="554" s="1" customFormat="1" ht="12.75" customHeight="1" x14ac:dyDescent="0.3"/>
    <row r="555" s="1" customFormat="1" ht="12.75" customHeight="1" x14ac:dyDescent="0.3"/>
    <row r="556" s="1" customFormat="1" ht="12.75" customHeight="1" x14ac:dyDescent="0.3"/>
    <row r="557" s="1" customFormat="1" ht="12.75" customHeight="1" x14ac:dyDescent="0.3"/>
    <row r="558" s="1" customFormat="1" ht="12.75" customHeight="1" x14ac:dyDescent="0.3"/>
    <row r="559" s="1" customFormat="1" ht="12.75" customHeight="1" x14ac:dyDescent="0.3"/>
    <row r="560" s="1" customFormat="1" ht="12.75" customHeight="1" x14ac:dyDescent="0.3"/>
    <row r="561" s="1" customFormat="1" ht="12.75" customHeight="1" x14ac:dyDescent="0.3"/>
    <row r="562" s="1" customFormat="1" ht="12.75" customHeight="1" x14ac:dyDescent="0.3"/>
    <row r="563" s="1" customFormat="1" ht="12.75" customHeight="1" x14ac:dyDescent="0.3"/>
    <row r="564" s="1" customFormat="1" ht="12.75" customHeight="1" x14ac:dyDescent="0.3"/>
    <row r="565" s="1" customFormat="1" ht="12.75" customHeight="1" x14ac:dyDescent="0.3"/>
    <row r="566" s="1" customFormat="1" ht="12.75" customHeight="1" x14ac:dyDescent="0.3"/>
    <row r="567" s="1" customFormat="1" ht="12.75" customHeight="1" x14ac:dyDescent="0.3"/>
    <row r="568" s="1" customFormat="1" ht="12.75" customHeight="1" x14ac:dyDescent="0.3"/>
    <row r="569" s="1" customFormat="1" ht="12.75" customHeight="1" x14ac:dyDescent="0.3"/>
    <row r="570" s="1" customFormat="1" ht="12.75" customHeight="1" x14ac:dyDescent="0.3"/>
    <row r="571" s="1" customFormat="1" ht="12.75" customHeight="1" x14ac:dyDescent="0.3"/>
    <row r="572" s="1" customFormat="1" ht="12.75" customHeight="1" x14ac:dyDescent="0.3"/>
    <row r="573" s="1" customFormat="1" ht="12.75" customHeight="1" x14ac:dyDescent="0.3"/>
    <row r="574" s="1" customFormat="1" ht="12.75" customHeight="1" x14ac:dyDescent="0.3"/>
    <row r="575" s="1" customFormat="1" ht="12.75" customHeight="1" x14ac:dyDescent="0.3"/>
    <row r="576" s="1" customFormat="1" ht="12.75" customHeight="1" x14ac:dyDescent="0.3"/>
    <row r="577" s="1" customFormat="1" ht="12.75" customHeight="1" x14ac:dyDescent="0.3"/>
    <row r="578" s="1" customFormat="1" ht="12.75" customHeight="1" x14ac:dyDescent="0.3"/>
    <row r="579" s="1" customFormat="1" ht="12.75" customHeight="1" x14ac:dyDescent="0.3"/>
    <row r="580" s="1" customFormat="1" ht="12.75" customHeight="1" x14ac:dyDescent="0.3"/>
    <row r="581" s="1" customFormat="1" ht="12.75" customHeight="1" x14ac:dyDescent="0.3"/>
    <row r="582" s="1" customFormat="1" ht="12.75" customHeight="1" x14ac:dyDescent="0.3"/>
    <row r="583" s="1" customFormat="1" ht="12.75" customHeight="1" x14ac:dyDescent="0.3"/>
    <row r="584" s="1" customFormat="1" ht="12.75" customHeight="1" x14ac:dyDescent="0.3"/>
    <row r="585" s="1" customFormat="1" ht="12.75" customHeight="1" x14ac:dyDescent="0.3"/>
    <row r="586" s="1" customFormat="1" ht="12.75" customHeight="1" x14ac:dyDescent="0.3"/>
    <row r="587" s="1" customFormat="1" ht="12.75" customHeight="1" x14ac:dyDescent="0.3"/>
    <row r="588" s="1" customFormat="1" ht="12.75" customHeight="1" x14ac:dyDescent="0.3"/>
    <row r="589" s="1" customFormat="1" ht="12.75" customHeight="1" x14ac:dyDescent="0.3"/>
    <row r="590" s="1" customFormat="1" ht="12.75" customHeight="1" x14ac:dyDescent="0.3"/>
    <row r="591" s="1" customFormat="1" ht="12.75" customHeight="1" x14ac:dyDescent="0.3"/>
    <row r="592" s="1" customFormat="1" ht="12.75" customHeight="1" x14ac:dyDescent="0.3"/>
    <row r="593" s="1" customFormat="1" ht="12.75" customHeight="1" x14ac:dyDescent="0.3"/>
    <row r="594" s="1" customFormat="1" ht="12.75" customHeight="1" x14ac:dyDescent="0.3"/>
    <row r="595" s="1" customFormat="1" ht="12.75" customHeight="1" x14ac:dyDescent="0.3"/>
    <row r="596" s="1" customFormat="1" ht="12.75" customHeight="1" x14ac:dyDescent="0.3"/>
    <row r="597" s="1" customFormat="1" ht="12.75" customHeight="1" x14ac:dyDescent="0.3"/>
    <row r="598" s="1" customFormat="1" ht="12.75" customHeight="1" x14ac:dyDescent="0.3"/>
    <row r="599" s="1" customFormat="1" ht="12.75" customHeight="1" x14ac:dyDescent="0.3"/>
    <row r="600" s="1" customFormat="1" ht="12.75" customHeight="1" x14ac:dyDescent="0.3"/>
    <row r="601" s="1" customFormat="1" ht="12.75" customHeight="1" x14ac:dyDescent="0.3"/>
    <row r="602" s="1" customFormat="1" ht="12.75" customHeight="1" x14ac:dyDescent="0.3"/>
    <row r="603" s="1" customFormat="1" ht="12.75" customHeight="1" x14ac:dyDescent="0.3"/>
    <row r="604" s="1" customFormat="1" ht="12.75" customHeight="1" x14ac:dyDescent="0.3"/>
    <row r="605" s="1" customFormat="1" ht="12.75" customHeight="1" x14ac:dyDescent="0.3"/>
    <row r="606" s="1" customFormat="1" ht="12.75" customHeight="1" x14ac:dyDescent="0.3"/>
    <row r="607" s="1" customFormat="1" ht="12.75" customHeight="1" x14ac:dyDescent="0.3"/>
    <row r="608" s="1" customFormat="1" ht="12.75" customHeight="1" x14ac:dyDescent="0.3"/>
    <row r="609" s="1" customFormat="1" ht="12.75" customHeight="1" x14ac:dyDescent="0.3"/>
    <row r="610" s="1" customFormat="1" ht="12.75" customHeight="1" x14ac:dyDescent="0.3"/>
    <row r="611" s="1" customFormat="1" ht="12.75" customHeight="1" x14ac:dyDescent="0.3"/>
    <row r="612" s="1" customFormat="1" ht="12.75" customHeight="1" x14ac:dyDescent="0.3"/>
    <row r="613" s="1" customFormat="1" ht="12.75" customHeight="1" x14ac:dyDescent="0.3"/>
    <row r="614" s="1" customFormat="1" ht="12.75" customHeight="1" x14ac:dyDescent="0.3"/>
    <row r="615" s="1" customFormat="1" ht="12.75" customHeight="1" x14ac:dyDescent="0.3"/>
    <row r="616" s="1" customFormat="1" ht="12.75" customHeight="1" x14ac:dyDescent="0.3"/>
    <row r="617" s="1" customFormat="1" ht="12.75" customHeight="1" x14ac:dyDescent="0.3"/>
    <row r="618" s="1" customFormat="1" ht="12.75" customHeight="1" x14ac:dyDescent="0.3"/>
    <row r="619" s="1" customFormat="1" ht="12.75" customHeight="1" x14ac:dyDescent="0.3"/>
    <row r="620" s="1" customFormat="1" ht="12.75" customHeight="1" x14ac:dyDescent="0.3"/>
    <row r="621" s="1" customFormat="1" ht="12.75" customHeight="1" x14ac:dyDescent="0.3"/>
    <row r="622" s="1" customFormat="1" ht="12.75" customHeight="1" x14ac:dyDescent="0.3"/>
    <row r="623" s="1" customFormat="1" ht="12.75" customHeight="1" x14ac:dyDescent="0.3"/>
    <row r="624" s="1" customFormat="1" ht="12.75" customHeight="1" x14ac:dyDescent="0.3"/>
    <row r="625" s="1" customFormat="1" ht="12.75" customHeight="1" x14ac:dyDescent="0.3"/>
    <row r="626" s="1" customFormat="1" ht="12.75" customHeight="1" x14ac:dyDescent="0.3"/>
    <row r="627" s="1" customFormat="1" ht="12.75" customHeight="1" x14ac:dyDescent="0.3"/>
    <row r="628" s="1" customFormat="1" ht="12.75" customHeight="1" x14ac:dyDescent="0.3"/>
    <row r="629" s="1" customFormat="1" ht="12.75" customHeight="1" x14ac:dyDescent="0.3"/>
    <row r="630" s="1" customFormat="1" ht="12.75" customHeight="1" x14ac:dyDescent="0.3"/>
    <row r="631" s="1" customFormat="1" ht="12.75" customHeight="1" x14ac:dyDescent="0.3"/>
    <row r="632" s="1" customFormat="1" ht="12.75" customHeight="1" x14ac:dyDescent="0.3"/>
    <row r="633" s="1" customFormat="1" ht="12.75" customHeight="1" x14ac:dyDescent="0.3"/>
    <row r="634" s="1" customFormat="1" ht="12.75" customHeight="1" x14ac:dyDescent="0.3"/>
    <row r="635" s="1" customFormat="1" ht="12.75" customHeight="1" x14ac:dyDescent="0.3"/>
    <row r="636" s="1" customFormat="1" ht="12.75" customHeight="1" x14ac:dyDescent="0.3"/>
    <row r="637" s="1" customFormat="1" ht="12.75" customHeight="1" x14ac:dyDescent="0.3"/>
    <row r="638" s="1" customFormat="1" ht="12.75" customHeight="1" x14ac:dyDescent="0.3"/>
    <row r="639" s="1" customFormat="1" ht="12.75" customHeight="1" x14ac:dyDescent="0.3"/>
    <row r="640" s="1" customFormat="1" ht="12.75" customHeight="1" x14ac:dyDescent="0.3"/>
    <row r="641" s="1" customFormat="1" ht="12.75" customHeight="1" x14ac:dyDescent="0.3"/>
    <row r="642" s="1" customFormat="1" ht="12.75" customHeight="1" x14ac:dyDescent="0.3"/>
    <row r="643" s="1" customFormat="1" ht="12.75" customHeight="1" x14ac:dyDescent="0.3"/>
    <row r="644" s="1" customFormat="1" ht="12.75" customHeight="1" x14ac:dyDescent="0.3"/>
    <row r="645" s="1" customFormat="1" ht="12.75" customHeight="1" x14ac:dyDescent="0.3"/>
    <row r="646" s="1" customFormat="1" ht="12.75" customHeight="1" x14ac:dyDescent="0.3"/>
    <row r="647" s="1" customFormat="1" ht="12.75" customHeight="1" x14ac:dyDescent="0.3"/>
    <row r="648" s="1" customFormat="1" ht="12.75" customHeight="1" x14ac:dyDescent="0.3"/>
    <row r="649" s="1" customFormat="1" ht="12.75" customHeight="1" x14ac:dyDescent="0.3"/>
    <row r="650" s="1" customFormat="1" ht="12.75" customHeight="1" x14ac:dyDescent="0.3"/>
    <row r="651" s="1" customFormat="1" ht="12.75" customHeight="1" x14ac:dyDescent="0.3"/>
    <row r="652" s="1" customFormat="1" ht="12.75" customHeight="1" x14ac:dyDescent="0.3"/>
    <row r="653" s="1" customFormat="1" ht="12.75" customHeight="1" x14ac:dyDescent="0.3"/>
    <row r="654" s="1" customFormat="1" ht="12.75" customHeight="1" x14ac:dyDescent="0.3"/>
    <row r="655" s="1" customFormat="1" ht="12.75" customHeight="1" x14ac:dyDescent="0.3"/>
    <row r="656" s="1" customFormat="1" ht="12.75" customHeight="1" x14ac:dyDescent="0.3"/>
    <row r="657" s="1" customFormat="1" ht="12.75" customHeight="1" x14ac:dyDescent="0.3"/>
    <row r="658" s="1" customFormat="1" ht="12.75" customHeight="1" x14ac:dyDescent="0.3"/>
    <row r="659" s="1" customFormat="1" ht="12.75" customHeight="1" x14ac:dyDescent="0.3"/>
    <row r="660" s="1" customFormat="1" ht="12.75" customHeight="1" x14ac:dyDescent="0.3"/>
    <row r="661" s="1" customFormat="1" ht="12.75" customHeight="1" x14ac:dyDescent="0.3"/>
    <row r="662" s="1" customFormat="1" ht="12.75" customHeight="1" x14ac:dyDescent="0.3"/>
    <row r="663" s="1" customFormat="1" ht="12.75" customHeight="1" x14ac:dyDescent="0.3"/>
    <row r="664" s="1" customFormat="1" ht="12.75" customHeight="1" x14ac:dyDescent="0.3"/>
    <row r="665" s="1" customFormat="1" ht="12.75" customHeight="1" x14ac:dyDescent="0.3"/>
    <row r="666" s="1" customFormat="1" ht="12.75" customHeight="1" x14ac:dyDescent="0.3"/>
    <row r="667" s="1" customFormat="1" ht="12.75" customHeight="1" x14ac:dyDescent="0.3"/>
    <row r="668" s="1" customFormat="1" ht="12.75" customHeight="1" x14ac:dyDescent="0.3"/>
    <row r="669" s="1" customFormat="1" ht="12.75" customHeight="1" x14ac:dyDescent="0.3"/>
    <row r="670" s="1" customFormat="1" ht="12.75" customHeight="1" x14ac:dyDescent="0.3"/>
    <row r="671" s="1" customFormat="1" ht="12.75" customHeight="1" x14ac:dyDescent="0.3"/>
    <row r="672" s="1" customFormat="1" ht="12.75" customHeight="1" x14ac:dyDescent="0.3"/>
    <row r="673" s="1" customFormat="1" ht="12.75" customHeight="1" x14ac:dyDescent="0.3"/>
    <row r="674" s="1" customFormat="1" ht="12.75" customHeight="1" x14ac:dyDescent="0.3"/>
    <row r="675" s="1" customFormat="1" ht="12.75" customHeight="1" x14ac:dyDescent="0.3"/>
    <row r="676" s="1" customFormat="1" ht="12.75" customHeight="1" x14ac:dyDescent="0.3"/>
    <row r="677" s="1" customFormat="1" ht="12.75" customHeight="1" x14ac:dyDescent="0.3"/>
    <row r="678" s="1" customFormat="1" ht="12.75" customHeight="1" x14ac:dyDescent="0.3"/>
    <row r="679" s="1" customFormat="1" ht="12.75" customHeight="1" x14ac:dyDescent="0.3"/>
    <row r="680" s="1" customFormat="1" ht="12.75" customHeight="1" x14ac:dyDescent="0.3"/>
    <row r="681" s="1" customFormat="1" ht="12.75" customHeight="1" x14ac:dyDescent="0.3"/>
    <row r="682" s="1" customFormat="1" ht="12.75" customHeight="1" x14ac:dyDescent="0.3"/>
    <row r="683" s="1" customFormat="1" ht="12.75" customHeight="1" x14ac:dyDescent="0.3"/>
    <row r="684" s="1" customFormat="1" ht="12.75" customHeight="1" x14ac:dyDescent="0.3"/>
    <row r="685" s="1" customFormat="1" ht="12.75" customHeight="1" x14ac:dyDescent="0.3"/>
    <row r="686" s="1" customFormat="1" ht="12.75" customHeight="1" x14ac:dyDescent="0.3"/>
    <row r="687" s="1" customFormat="1" ht="12.75" customHeight="1" x14ac:dyDescent="0.3"/>
    <row r="688" s="1" customFormat="1" ht="12.75" customHeight="1" x14ac:dyDescent="0.3"/>
    <row r="689" s="1" customFormat="1" ht="12.75" customHeight="1" x14ac:dyDescent="0.3"/>
    <row r="690" s="1" customFormat="1" ht="12.75" customHeight="1" x14ac:dyDescent="0.3"/>
    <row r="691" s="1" customFormat="1" ht="12.75" customHeight="1" x14ac:dyDescent="0.3"/>
    <row r="692" s="1" customFormat="1" ht="12.75" customHeight="1" x14ac:dyDescent="0.3"/>
    <row r="693" s="1" customFormat="1" ht="12.75" customHeight="1" x14ac:dyDescent="0.3"/>
    <row r="694" s="1" customFormat="1" ht="12.75" customHeight="1" x14ac:dyDescent="0.3"/>
    <row r="695" s="1" customFormat="1" ht="12.75" customHeight="1" x14ac:dyDescent="0.3"/>
    <row r="696" s="1" customFormat="1" ht="12.75" customHeight="1" x14ac:dyDescent="0.3"/>
    <row r="697" s="1" customFormat="1" ht="12.75" customHeight="1" x14ac:dyDescent="0.3"/>
    <row r="698" s="1" customFormat="1" ht="12.75" customHeight="1" x14ac:dyDescent="0.3"/>
    <row r="699" s="1" customFormat="1" ht="12.75" customHeight="1" x14ac:dyDescent="0.3"/>
    <row r="700" s="1" customFormat="1" ht="12.75" customHeight="1" x14ac:dyDescent="0.3"/>
    <row r="701" s="1" customFormat="1" ht="12.75" customHeight="1" x14ac:dyDescent="0.3"/>
    <row r="702" s="1" customFormat="1" ht="12.75" customHeight="1" x14ac:dyDescent="0.3"/>
    <row r="703" s="1" customFormat="1" ht="12.75" customHeight="1" x14ac:dyDescent="0.3"/>
    <row r="704" s="1" customFormat="1" ht="12.75" customHeight="1" x14ac:dyDescent="0.3"/>
    <row r="705" s="1" customFormat="1" ht="12.75" customHeight="1" x14ac:dyDescent="0.3"/>
    <row r="706" s="1" customFormat="1" ht="12.75" customHeight="1" x14ac:dyDescent="0.3"/>
    <row r="707" s="1" customFormat="1" ht="12.75" customHeight="1" x14ac:dyDescent="0.3"/>
    <row r="708" s="1" customFormat="1" ht="12.75" customHeight="1" x14ac:dyDescent="0.3"/>
    <row r="709" s="1" customFormat="1" ht="12.75" customHeight="1" x14ac:dyDescent="0.3"/>
    <row r="710" s="1" customFormat="1" ht="12.75" customHeight="1" x14ac:dyDescent="0.3"/>
    <row r="711" s="1" customFormat="1" ht="12.75" customHeight="1" x14ac:dyDescent="0.3"/>
    <row r="712" s="1" customFormat="1" ht="12.75" customHeight="1" x14ac:dyDescent="0.3"/>
    <row r="713" s="1" customFormat="1" ht="12.75" customHeight="1" x14ac:dyDescent="0.3"/>
    <row r="714" s="1" customFormat="1" ht="12.75" customHeight="1" x14ac:dyDescent="0.3"/>
    <row r="715" s="1" customFormat="1" ht="12.75" customHeight="1" x14ac:dyDescent="0.3"/>
    <row r="716" s="1" customFormat="1" ht="12.75" customHeight="1" x14ac:dyDescent="0.3"/>
    <row r="717" s="1" customFormat="1" ht="12.75" customHeight="1" x14ac:dyDescent="0.3"/>
    <row r="718" s="1" customFormat="1" ht="12.75" customHeight="1" x14ac:dyDescent="0.3"/>
    <row r="719" s="1" customFormat="1" ht="12.75" customHeight="1" x14ac:dyDescent="0.3"/>
    <row r="720" s="1" customFormat="1" ht="12.75" customHeight="1" x14ac:dyDescent="0.3"/>
    <row r="721" s="1" customFormat="1" ht="12.75" customHeight="1" x14ac:dyDescent="0.3"/>
    <row r="722" s="1" customFormat="1" ht="12.75" customHeight="1" x14ac:dyDescent="0.3"/>
    <row r="723" s="1" customFormat="1" ht="12.75" customHeight="1" x14ac:dyDescent="0.3"/>
    <row r="724" s="1" customFormat="1" ht="12.75" customHeight="1" x14ac:dyDescent="0.3"/>
    <row r="725" s="1" customFormat="1" ht="12.75" customHeight="1" x14ac:dyDescent="0.3"/>
    <row r="726" s="1" customFormat="1" ht="12.75" customHeight="1" x14ac:dyDescent="0.3"/>
    <row r="727" s="1" customFormat="1" ht="12.75" customHeight="1" x14ac:dyDescent="0.3"/>
    <row r="728" s="1" customFormat="1" ht="12.75" customHeight="1" x14ac:dyDescent="0.3"/>
    <row r="729" s="1" customFormat="1" ht="12.75" customHeight="1" x14ac:dyDescent="0.3"/>
    <row r="730" s="1" customFormat="1" ht="12.75" customHeight="1" x14ac:dyDescent="0.3"/>
    <row r="731" s="1" customFormat="1" ht="12.75" customHeight="1" x14ac:dyDescent="0.3"/>
    <row r="732" s="1" customFormat="1" ht="12.75" customHeight="1" x14ac:dyDescent="0.3"/>
    <row r="733" s="1" customFormat="1" ht="12.75" customHeight="1" x14ac:dyDescent="0.3"/>
    <row r="734" s="1" customFormat="1" ht="12.75" customHeight="1" x14ac:dyDescent="0.3"/>
    <row r="735" s="1" customFormat="1" ht="12.75" customHeight="1" x14ac:dyDescent="0.3"/>
    <row r="736" s="1" customFormat="1" ht="12.75" customHeight="1" x14ac:dyDescent="0.3"/>
    <row r="737" s="1" customFormat="1" ht="12.75" customHeight="1" x14ac:dyDescent="0.3"/>
    <row r="738" s="1" customFormat="1" ht="12.75" customHeight="1" x14ac:dyDescent="0.3"/>
    <row r="739" s="1" customFormat="1" ht="12.75" customHeight="1" x14ac:dyDescent="0.3"/>
    <row r="740" s="1" customFormat="1" ht="12.75" customHeight="1" x14ac:dyDescent="0.3"/>
    <row r="741" s="1" customFormat="1" ht="12.75" customHeight="1" x14ac:dyDescent="0.3"/>
    <row r="742" s="1" customFormat="1" ht="12.75" customHeight="1" x14ac:dyDescent="0.3"/>
    <row r="743" s="1" customFormat="1" ht="12.75" customHeight="1" x14ac:dyDescent="0.3"/>
    <row r="744" s="1" customFormat="1" ht="12.75" customHeight="1" x14ac:dyDescent="0.3"/>
    <row r="745" s="1" customFormat="1" ht="12.75" customHeight="1" x14ac:dyDescent="0.3"/>
    <row r="746" s="1" customFormat="1" ht="12.75" customHeight="1" x14ac:dyDescent="0.3"/>
    <row r="747" s="1" customFormat="1" ht="12.75" customHeight="1" x14ac:dyDescent="0.3"/>
    <row r="748" s="1" customFormat="1" ht="12.75" customHeight="1" x14ac:dyDescent="0.3"/>
    <row r="749" s="1" customFormat="1" ht="12.75" customHeight="1" x14ac:dyDescent="0.3"/>
    <row r="750" s="1" customFormat="1" ht="12.75" customHeight="1" x14ac:dyDescent="0.3"/>
    <row r="751" s="1" customFormat="1" ht="12.75" customHeight="1" x14ac:dyDescent="0.3"/>
    <row r="752" s="1" customFormat="1" ht="12.75" customHeight="1" x14ac:dyDescent="0.3"/>
    <row r="753" s="1" customFormat="1" ht="12.75" customHeight="1" x14ac:dyDescent="0.3"/>
    <row r="754" s="1" customFormat="1" ht="12.75" customHeight="1" x14ac:dyDescent="0.3"/>
    <row r="755" s="1" customFormat="1" ht="12.75" customHeight="1" x14ac:dyDescent="0.3"/>
    <row r="756" s="1" customFormat="1" ht="12.75" customHeight="1" x14ac:dyDescent="0.3"/>
    <row r="757" s="1" customFormat="1" ht="12.75" customHeight="1" x14ac:dyDescent="0.3"/>
    <row r="758" s="1" customFormat="1" ht="12.75" customHeight="1" x14ac:dyDescent="0.3"/>
    <row r="759" s="1" customFormat="1" ht="12.75" customHeight="1" x14ac:dyDescent="0.3"/>
    <row r="760" s="1" customFormat="1" ht="12.75" customHeight="1" x14ac:dyDescent="0.3"/>
    <row r="761" s="1" customFormat="1" ht="12.75" customHeight="1" x14ac:dyDescent="0.3"/>
    <row r="762" s="1" customFormat="1" ht="12.75" customHeight="1" x14ac:dyDescent="0.3"/>
    <row r="763" s="1" customFormat="1" ht="12.75" customHeight="1" x14ac:dyDescent="0.3"/>
    <row r="764" s="1" customFormat="1" ht="12.75" customHeight="1" x14ac:dyDescent="0.3"/>
    <row r="765" s="1" customFormat="1" ht="12.75" customHeight="1" x14ac:dyDescent="0.3"/>
    <row r="766" s="1" customFormat="1" ht="12.75" customHeight="1" x14ac:dyDescent="0.3"/>
    <row r="767" s="1" customFormat="1" ht="12.75" customHeight="1" x14ac:dyDescent="0.3"/>
    <row r="768" s="1" customFormat="1" ht="12.75" customHeight="1" x14ac:dyDescent="0.3"/>
    <row r="769" s="1" customFormat="1" ht="12.75" customHeight="1" x14ac:dyDescent="0.3"/>
    <row r="770" s="1" customFormat="1" ht="12.75" customHeight="1" x14ac:dyDescent="0.3"/>
    <row r="771" s="1" customFormat="1" ht="12.75" customHeight="1" x14ac:dyDescent="0.3"/>
    <row r="772" s="1" customFormat="1" ht="12.75" customHeight="1" x14ac:dyDescent="0.3"/>
    <row r="773" s="1" customFormat="1" ht="12.75" customHeight="1" x14ac:dyDescent="0.3"/>
    <row r="774" s="1" customFormat="1" ht="12.75" customHeight="1" x14ac:dyDescent="0.3"/>
    <row r="775" s="1" customFormat="1" ht="12.75" customHeight="1" x14ac:dyDescent="0.3"/>
    <row r="776" s="1" customFormat="1" ht="12.75" customHeight="1" x14ac:dyDescent="0.3"/>
    <row r="777" s="1" customFormat="1" ht="12.75" customHeight="1" x14ac:dyDescent="0.3"/>
    <row r="778" s="1" customFormat="1" ht="12.75" customHeight="1" x14ac:dyDescent="0.3"/>
    <row r="779" s="1" customFormat="1" ht="12.75" customHeight="1" x14ac:dyDescent="0.3"/>
    <row r="780" s="1" customFormat="1" ht="12.75" customHeight="1" x14ac:dyDescent="0.3"/>
    <row r="781" s="1" customFormat="1" ht="12.75" customHeight="1" x14ac:dyDescent="0.3"/>
    <row r="782" s="1" customFormat="1" ht="12.75" customHeight="1" x14ac:dyDescent="0.3"/>
    <row r="783" s="1" customFormat="1" ht="12.75" customHeight="1" x14ac:dyDescent="0.3"/>
    <row r="784" s="1" customFormat="1" ht="12.75" customHeight="1" x14ac:dyDescent="0.3"/>
    <row r="785" s="1" customFormat="1" ht="12.75" customHeight="1" x14ac:dyDescent="0.3"/>
    <row r="786" s="1" customFormat="1" ht="12.75" customHeight="1" x14ac:dyDescent="0.3"/>
    <row r="787" s="1" customFormat="1" ht="12.75" customHeight="1" x14ac:dyDescent="0.3"/>
    <row r="788" s="1" customFormat="1" ht="12.75" customHeight="1" x14ac:dyDescent="0.3"/>
    <row r="789" s="1" customFormat="1" ht="12.75" customHeight="1" x14ac:dyDescent="0.3"/>
    <row r="790" s="1" customFormat="1" ht="12.75" customHeight="1" x14ac:dyDescent="0.3"/>
    <row r="791" s="1" customFormat="1" ht="12.75" customHeight="1" x14ac:dyDescent="0.3"/>
    <row r="792" s="1" customFormat="1" ht="12.75" customHeight="1" x14ac:dyDescent="0.3"/>
    <row r="793" s="1" customFormat="1" ht="12.75" customHeight="1" x14ac:dyDescent="0.3"/>
    <row r="794" s="1" customFormat="1" ht="12.75" customHeight="1" x14ac:dyDescent="0.3"/>
    <row r="795" s="1" customFormat="1" ht="12.75" customHeight="1" x14ac:dyDescent="0.3"/>
    <row r="796" s="1" customFormat="1" ht="12.75" customHeight="1" x14ac:dyDescent="0.3"/>
    <row r="797" s="1" customFormat="1" ht="12.75" customHeight="1" x14ac:dyDescent="0.3"/>
    <row r="798" s="1" customFormat="1" ht="12.75" customHeight="1" x14ac:dyDescent="0.3"/>
    <row r="799" s="1" customFormat="1" ht="12.75" customHeight="1" x14ac:dyDescent="0.3"/>
    <row r="800" s="1" customFormat="1" ht="12.75" customHeight="1" x14ac:dyDescent="0.3"/>
    <row r="801" s="1" customFormat="1" ht="12.75" customHeight="1" x14ac:dyDescent="0.3"/>
    <row r="802" s="1" customFormat="1" ht="12.75" customHeight="1" x14ac:dyDescent="0.3"/>
    <row r="803" s="1" customFormat="1" ht="12.75" customHeight="1" x14ac:dyDescent="0.3"/>
    <row r="804" s="1" customFormat="1" ht="12.75" customHeight="1" x14ac:dyDescent="0.3"/>
    <row r="805" s="1" customFormat="1" ht="12.75" customHeight="1" x14ac:dyDescent="0.3"/>
    <row r="806" s="1" customFormat="1" ht="12.75" customHeight="1" x14ac:dyDescent="0.3"/>
    <row r="807" s="1" customFormat="1" ht="12.75" customHeight="1" x14ac:dyDescent="0.3"/>
    <row r="808" s="1" customFormat="1" ht="12.75" customHeight="1" x14ac:dyDescent="0.3"/>
    <row r="809" s="1" customFormat="1" ht="12.75" customHeight="1" x14ac:dyDescent="0.3"/>
    <row r="810" s="1" customFormat="1" ht="12.75" customHeight="1" x14ac:dyDescent="0.3"/>
    <row r="811" s="1" customFormat="1" ht="12.75" customHeight="1" x14ac:dyDescent="0.3"/>
    <row r="812" s="1" customFormat="1" ht="12.75" customHeight="1" x14ac:dyDescent="0.3"/>
    <row r="813" s="1" customFormat="1" ht="12.75" customHeight="1" x14ac:dyDescent="0.3"/>
    <row r="814" s="1" customFormat="1" ht="12.75" customHeight="1" x14ac:dyDescent="0.3"/>
    <row r="815" s="1" customFormat="1" ht="12.75" customHeight="1" x14ac:dyDescent="0.3"/>
    <row r="816" s="1" customFormat="1" ht="12.75" customHeight="1" x14ac:dyDescent="0.3"/>
    <row r="817" s="1" customFormat="1" ht="12.75" customHeight="1" x14ac:dyDescent="0.3"/>
    <row r="818" s="1" customFormat="1" ht="12.75" customHeight="1" x14ac:dyDescent="0.3"/>
    <row r="819" s="1" customFormat="1" ht="12.75" customHeight="1" x14ac:dyDescent="0.3"/>
    <row r="820" s="1" customFormat="1" ht="12.75" customHeight="1" x14ac:dyDescent="0.3"/>
    <row r="821" s="1" customFormat="1" ht="12.75" customHeight="1" x14ac:dyDescent="0.3"/>
    <row r="822" s="1" customFormat="1" ht="12.75" customHeight="1" x14ac:dyDescent="0.3"/>
    <row r="823" s="1" customFormat="1" ht="12.75" customHeight="1" x14ac:dyDescent="0.3"/>
    <row r="824" s="1" customFormat="1" ht="12.75" customHeight="1" x14ac:dyDescent="0.3"/>
    <row r="825" s="1" customFormat="1" ht="12.75" customHeight="1" x14ac:dyDescent="0.3"/>
    <row r="826" s="1" customFormat="1" ht="12.75" customHeight="1" x14ac:dyDescent="0.3"/>
    <row r="827" s="1" customFormat="1" ht="12.75" customHeight="1" x14ac:dyDescent="0.3"/>
    <row r="828" s="1" customFormat="1" ht="12.75" customHeight="1" x14ac:dyDescent="0.3"/>
    <row r="829" s="1" customFormat="1" ht="12.75" customHeight="1" x14ac:dyDescent="0.3"/>
    <row r="830" s="1" customFormat="1" ht="12.75" customHeight="1" x14ac:dyDescent="0.3"/>
    <row r="831" s="1" customFormat="1" ht="12.75" customHeight="1" x14ac:dyDescent="0.3"/>
    <row r="832" s="1" customFormat="1" ht="12.75" customHeight="1" x14ac:dyDescent="0.3"/>
    <row r="833" s="1" customFormat="1" ht="12.75" customHeight="1" x14ac:dyDescent="0.3"/>
    <row r="834" s="1" customFormat="1" ht="12.75" customHeight="1" x14ac:dyDescent="0.3"/>
    <row r="835" s="1" customFormat="1" ht="12.75" customHeight="1" x14ac:dyDescent="0.3"/>
    <row r="836" s="1" customFormat="1" ht="12.75" customHeight="1" x14ac:dyDescent="0.3"/>
    <row r="837" s="1" customFormat="1" ht="12.75" customHeight="1" x14ac:dyDescent="0.3"/>
    <row r="838" s="1" customFormat="1" ht="12.75" customHeight="1" x14ac:dyDescent="0.3"/>
    <row r="839" s="1" customFormat="1" ht="12.75" customHeight="1" x14ac:dyDescent="0.3"/>
    <row r="840" s="1" customFormat="1" ht="12.75" customHeight="1" x14ac:dyDescent="0.3"/>
    <row r="841" s="1" customFormat="1" ht="12.75" customHeight="1" x14ac:dyDescent="0.3"/>
    <row r="842" s="1" customFormat="1" ht="12.75" customHeight="1" x14ac:dyDescent="0.3"/>
    <row r="843" s="1" customFormat="1" ht="12.75" customHeight="1" x14ac:dyDescent="0.3"/>
    <row r="844" s="1" customFormat="1" ht="12.75" customHeight="1" x14ac:dyDescent="0.3"/>
    <row r="845" s="1" customFormat="1" ht="12.75" customHeight="1" x14ac:dyDescent="0.3"/>
    <row r="846" s="1" customFormat="1" ht="12.75" customHeight="1" x14ac:dyDescent="0.3"/>
    <row r="847" s="1" customFormat="1" ht="12.75" customHeight="1" x14ac:dyDescent="0.3"/>
    <row r="848" s="1" customFormat="1" ht="12.75" customHeight="1" x14ac:dyDescent="0.3"/>
    <row r="849" s="1" customFormat="1" ht="12.75" customHeight="1" x14ac:dyDescent="0.3"/>
    <row r="850" s="1" customFormat="1" ht="12.75" customHeight="1" x14ac:dyDescent="0.3"/>
    <row r="851" s="1" customFormat="1" ht="12.75" customHeight="1" x14ac:dyDescent="0.3"/>
    <row r="852" s="1" customFormat="1" ht="12.75" customHeight="1" x14ac:dyDescent="0.3"/>
    <row r="853" s="1" customFormat="1" ht="12.75" customHeight="1" x14ac:dyDescent="0.3"/>
    <row r="854" s="1" customFormat="1" ht="12.75" customHeight="1" x14ac:dyDescent="0.3"/>
    <row r="855" s="1" customFormat="1" ht="12.75" customHeight="1" x14ac:dyDescent="0.3"/>
    <row r="856" s="1" customFormat="1" ht="12.75" customHeight="1" x14ac:dyDescent="0.3"/>
    <row r="857" s="1" customFormat="1" ht="12.75" customHeight="1" x14ac:dyDescent="0.3"/>
    <row r="858" s="1" customFormat="1" ht="12.75" customHeight="1" x14ac:dyDescent="0.3"/>
    <row r="859" s="1" customFormat="1" ht="12.75" customHeight="1" x14ac:dyDescent="0.3"/>
    <row r="860" s="1" customFormat="1" ht="12.75" customHeight="1" x14ac:dyDescent="0.3"/>
    <row r="861" s="1" customFormat="1" ht="12.75" customHeight="1" x14ac:dyDescent="0.3"/>
    <row r="862" s="1" customFormat="1" ht="12.75" customHeight="1" x14ac:dyDescent="0.3"/>
    <row r="863" s="1" customFormat="1" ht="12.75" customHeight="1" x14ac:dyDescent="0.3"/>
    <row r="864" s="1" customFormat="1" ht="12.75" customHeight="1" x14ac:dyDescent="0.3"/>
    <row r="865" s="1" customFormat="1" ht="12.75" customHeight="1" x14ac:dyDescent="0.3"/>
    <row r="866" s="1" customFormat="1" ht="12.75" customHeight="1" x14ac:dyDescent="0.3"/>
    <row r="867" s="1" customFormat="1" ht="12.75" customHeight="1" x14ac:dyDescent="0.3"/>
    <row r="868" s="1" customFormat="1" ht="12.75" customHeight="1" x14ac:dyDescent="0.3"/>
    <row r="869" s="1" customFormat="1" ht="12.75" customHeight="1" x14ac:dyDescent="0.3"/>
    <row r="870" s="1" customFormat="1" ht="12.75" customHeight="1" x14ac:dyDescent="0.3"/>
    <row r="871" s="1" customFormat="1" ht="12.75" customHeight="1" x14ac:dyDescent="0.3"/>
    <row r="872" s="1" customFormat="1" ht="12.75" customHeight="1" x14ac:dyDescent="0.3"/>
    <row r="873" s="1" customFormat="1" ht="12.75" customHeight="1" x14ac:dyDescent="0.3"/>
    <row r="874" s="1" customFormat="1" ht="12.75" customHeight="1" x14ac:dyDescent="0.3"/>
    <row r="875" s="1" customFormat="1" ht="12.75" customHeight="1" x14ac:dyDescent="0.3"/>
    <row r="876" s="1" customFormat="1" ht="12.75" customHeight="1" x14ac:dyDescent="0.3"/>
    <row r="877" s="1" customFormat="1" ht="12.75" customHeight="1" x14ac:dyDescent="0.3"/>
    <row r="878" s="1" customFormat="1" ht="12.75" customHeight="1" x14ac:dyDescent="0.3"/>
    <row r="879" s="1" customFormat="1" ht="12.75" customHeight="1" x14ac:dyDescent="0.3"/>
    <row r="880" s="1" customFormat="1" ht="12.75" customHeight="1" x14ac:dyDescent="0.3"/>
    <row r="881" s="1" customFormat="1" ht="12.75" customHeight="1" x14ac:dyDescent="0.3"/>
    <row r="882" s="1" customFormat="1" ht="12.75" customHeight="1" x14ac:dyDescent="0.3"/>
    <row r="883" s="1" customFormat="1" ht="12.75" customHeight="1" x14ac:dyDescent="0.3"/>
    <row r="884" s="1" customFormat="1" ht="12.75" customHeight="1" x14ac:dyDescent="0.3"/>
    <row r="885" s="1" customFormat="1" ht="12.75" customHeight="1" x14ac:dyDescent="0.3"/>
    <row r="886" s="1" customFormat="1" ht="12.75" customHeight="1" x14ac:dyDescent="0.3"/>
    <row r="887" s="1" customFormat="1" ht="12.75" customHeight="1" x14ac:dyDescent="0.3"/>
    <row r="888" s="1" customFormat="1" ht="12.75" customHeight="1" x14ac:dyDescent="0.3"/>
    <row r="889" s="1" customFormat="1" ht="12.75" customHeight="1" x14ac:dyDescent="0.3"/>
    <row r="890" s="1" customFormat="1" ht="12.75" customHeight="1" x14ac:dyDescent="0.3"/>
    <row r="891" s="1" customFormat="1" ht="12.75" customHeight="1" x14ac:dyDescent="0.3"/>
    <row r="892" s="1" customFormat="1" ht="12.75" customHeight="1" x14ac:dyDescent="0.3"/>
    <row r="893" s="1" customFormat="1" ht="12.75" customHeight="1" x14ac:dyDescent="0.3"/>
    <row r="894" s="1" customFormat="1" ht="12.75" customHeight="1" x14ac:dyDescent="0.3"/>
    <row r="895" s="1" customFormat="1" ht="12.75" customHeight="1" x14ac:dyDescent="0.3"/>
    <row r="896" s="1" customFormat="1" ht="12.75" customHeight="1" x14ac:dyDescent="0.3"/>
    <row r="897" s="1" customFormat="1" ht="12.75" customHeight="1" x14ac:dyDescent="0.3"/>
    <row r="898" s="1" customFormat="1" ht="12.75" customHeight="1" x14ac:dyDescent="0.3"/>
    <row r="899" s="1" customFormat="1" ht="12.75" customHeight="1" x14ac:dyDescent="0.3"/>
    <row r="900" s="1" customFormat="1" ht="12.75" customHeight="1" x14ac:dyDescent="0.3"/>
    <row r="901" s="1" customFormat="1" ht="12.75" customHeight="1" x14ac:dyDescent="0.3"/>
    <row r="902" s="1" customFormat="1" ht="12.75" customHeight="1" x14ac:dyDescent="0.3"/>
    <row r="903" s="1" customFormat="1" ht="12.75" customHeight="1" x14ac:dyDescent="0.3"/>
    <row r="904" s="1" customFormat="1" ht="12.75" customHeight="1" x14ac:dyDescent="0.3"/>
    <row r="905" s="1" customFormat="1" ht="12.75" customHeight="1" x14ac:dyDescent="0.3"/>
    <row r="906" s="1" customFormat="1" ht="12.75" customHeight="1" x14ac:dyDescent="0.3"/>
    <row r="907" s="1" customFormat="1" ht="12.75" customHeight="1" x14ac:dyDescent="0.3"/>
    <row r="908" s="1" customFormat="1" ht="12.75" customHeight="1" x14ac:dyDescent="0.3"/>
    <row r="909" s="1" customFormat="1" ht="12.75" customHeight="1" x14ac:dyDescent="0.3"/>
    <row r="910" s="1" customFormat="1" ht="12.75" customHeight="1" x14ac:dyDescent="0.3"/>
    <row r="911" s="1" customFormat="1" ht="12.75" customHeight="1" x14ac:dyDescent="0.3"/>
    <row r="912" s="1" customFormat="1" ht="12.75" customHeight="1" x14ac:dyDescent="0.3"/>
    <row r="913" s="1" customFormat="1" ht="12.75" customHeight="1" x14ac:dyDescent="0.3"/>
    <row r="914" s="1" customFormat="1" ht="12.75" customHeight="1" x14ac:dyDescent="0.3"/>
    <row r="915" s="1" customFormat="1" ht="12.75" customHeight="1" x14ac:dyDescent="0.3"/>
    <row r="916" s="1" customFormat="1" ht="12.75" customHeight="1" x14ac:dyDescent="0.3"/>
    <row r="917" s="1" customFormat="1" ht="12.75" customHeight="1" x14ac:dyDescent="0.3"/>
    <row r="918" s="1" customFormat="1" ht="12.75" customHeight="1" x14ac:dyDescent="0.3"/>
    <row r="919" s="1" customFormat="1" ht="12.75" customHeight="1" x14ac:dyDescent="0.3"/>
    <row r="920" s="1" customFormat="1" ht="12.75" customHeight="1" x14ac:dyDescent="0.3"/>
    <row r="921" s="1" customFormat="1" ht="12.75" customHeight="1" x14ac:dyDescent="0.3"/>
    <row r="922" s="1" customFormat="1" ht="12.75" customHeight="1" x14ac:dyDescent="0.3"/>
    <row r="923" s="1" customFormat="1" ht="12.75" customHeight="1" x14ac:dyDescent="0.3"/>
    <row r="924" s="1" customFormat="1" ht="12.75" customHeight="1" x14ac:dyDescent="0.3"/>
    <row r="925" s="1" customFormat="1" ht="12.75" customHeight="1" x14ac:dyDescent="0.3"/>
    <row r="926" s="1" customFormat="1" ht="12.75" customHeight="1" x14ac:dyDescent="0.3"/>
    <row r="927" s="1" customFormat="1" ht="12.75" customHeight="1" x14ac:dyDescent="0.3"/>
    <row r="928" s="1" customFormat="1" ht="12.75" customHeight="1" x14ac:dyDescent="0.3"/>
    <row r="929" s="1" customFormat="1" ht="12.75" customHeight="1" x14ac:dyDescent="0.3"/>
    <row r="930" s="1" customFormat="1" ht="12.75" customHeight="1" x14ac:dyDescent="0.3"/>
    <row r="931" s="1" customFormat="1" ht="12.75" customHeight="1" x14ac:dyDescent="0.3"/>
    <row r="932" s="1" customFormat="1" ht="12.75" customHeight="1" x14ac:dyDescent="0.3"/>
    <row r="933" s="1" customFormat="1" ht="12.75" customHeight="1" x14ac:dyDescent="0.3"/>
    <row r="934" s="1" customFormat="1" ht="12.75" customHeight="1" x14ac:dyDescent="0.3"/>
    <row r="935" s="1" customFormat="1" ht="12.75" customHeight="1" x14ac:dyDescent="0.3"/>
    <row r="936" s="1" customFormat="1" ht="12.75" customHeight="1" x14ac:dyDescent="0.3"/>
    <row r="937" s="1" customFormat="1" ht="12.75" customHeight="1" x14ac:dyDescent="0.3"/>
    <row r="938" s="1" customFormat="1" ht="12.75" customHeight="1" x14ac:dyDescent="0.3"/>
    <row r="939" s="1" customFormat="1" ht="12.75" customHeight="1" x14ac:dyDescent="0.3"/>
    <row r="940" s="1" customFormat="1" ht="12.75" customHeight="1" x14ac:dyDescent="0.3"/>
    <row r="941" s="1" customFormat="1" ht="12.75" customHeight="1" x14ac:dyDescent="0.3"/>
    <row r="942" s="1" customFormat="1" ht="12.75" customHeight="1" x14ac:dyDescent="0.3"/>
    <row r="943" s="1" customFormat="1" ht="12.75" customHeight="1" x14ac:dyDescent="0.3"/>
    <row r="944" s="1" customFormat="1" ht="12.75" customHeight="1" x14ac:dyDescent="0.3"/>
    <row r="945" s="1" customFormat="1" ht="12.75" customHeight="1" x14ac:dyDescent="0.3"/>
    <row r="946" s="1" customFormat="1" ht="12.75" customHeight="1" x14ac:dyDescent="0.3"/>
    <row r="947" s="1" customFormat="1" ht="12.75" customHeight="1" x14ac:dyDescent="0.3"/>
    <row r="948" s="1" customFormat="1" ht="12.75" customHeight="1" x14ac:dyDescent="0.3"/>
    <row r="949" s="1" customFormat="1" ht="12.75" customHeight="1" x14ac:dyDescent="0.3"/>
    <row r="950" s="1" customFormat="1" ht="12.75" customHeight="1" x14ac:dyDescent="0.3"/>
    <row r="951" s="1" customFormat="1" ht="12.75" customHeight="1" x14ac:dyDescent="0.3"/>
    <row r="952" s="1" customFormat="1" ht="12.75" customHeight="1" x14ac:dyDescent="0.3"/>
    <row r="953" s="1" customFormat="1" ht="12.75" customHeight="1" x14ac:dyDescent="0.3"/>
    <row r="954" s="1" customFormat="1" ht="12.75" customHeight="1" x14ac:dyDescent="0.3"/>
    <row r="955" s="1" customFormat="1" ht="12.75" customHeight="1" x14ac:dyDescent="0.3"/>
    <row r="956" s="1" customFormat="1" ht="12.75" customHeight="1" x14ac:dyDescent="0.3"/>
    <row r="957" s="1" customFormat="1" ht="12.75" customHeight="1" x14ac:dyDescent="0.3"/>
    <row r="958" s="1" customFormat="1" ht="12.75" customHeight="1" x14ac:dyDescent="0.3"/>
    <row r="959" s="1" customFormat="1" ht="12.75" customHeight="1" x14ac:dyDescent="0.3"/>
    <row r="960" s="1" customFormat="1" ht="12.75" customHeight="1" x14ac:dyDescent="0.3"/>
    <row r="961" s="1" customFormat="1" ht="12.75" customHeight="1" x14ac:dyDescent="0.3"/>
    <row r="962" s="1" customFormat="1" ht="12.75" customHeight="1" x14ac:dyDescent="0.3"/>
    <row r="963" s="1" customFormat="1" ht="12.75" customHeight="1" x14ac:dyDescent="0.3"/>
    <row r="964" s="1" customFormat="1" ht="12.75" customHeight="1" x14ac:dyDescent="0.3"/>
    <row r="965" s="1" customFormat="1" ht="12.75" customHeight="1" x14ac:dyDescent="0.3"/>
    <row r="966" s="1" customFormat="1" ht="12.75" customHeight="1" x14ac:dyDescent="0.3"/>
    <row r="967" s="1" customFormat="1" ht="12.75" customHeight="1" x14ac:dyDescent="0.3"/>
    <row r="968" s="1" customFormat="1" ht="12.75" customHeight="1" x14ac:dyDescent="0.3"/>
    <row r="969" s="1" customFormat="1" ht="12.75" customHeight="1" x14ac:dyDescent="0.3"/>
    <row r="970" s="1" customFormat="1" ht="12.75" customHeight="1" x14ac:dyDescent="0.3"/>
    <row r="971" s="1" customFormat="1" ht="12.75" customHeight="1" x14ac:dyDescent="0.3"/>
    <row r="972" s="1" customFormat="1" ht="12.75" customHeight="1" x14ac:dyDescent="0.3"/>
    <row r="973" s="1" customFormat="1" ht="12.75" customHeight="1" x14ac:dyDescent="0.3"/>
    <row r="974" s="1" customFormat="1" ht="12.75" customHeight="1" x14ac:dyDescent="0.3"/>
    <row r="975" s="1" customFormat="1" ht="12.75" customHeight="1" x14ac:dyDescent="0.3"/>
    <row r="976" s="1" customFormat="1" ht="12.75" customHeight="1" x14ac:dyDescent="0.3"/>
    <row r="977" s="1" customFormat="1" ht="12.75" customHeight="1" x14ac:dyDescent="0.3"/>
    <row r="978" s="1" customFormat="1" ht="12.75" customHeight="1" x14ac:dyDescent="0.3"/>
    <row r="979" s="1" customFormat="1" ht="12.75" customHeight="1" x14ac:dyDescent="0.3"/>
    <row r="980" s="1" customFormat="1" ht="12.75" customHeight="1" x14ac:dyDescent="0.3"/>
    <row r="981" s="1" customFormat="1" ht="12.75" customHeight="1" x14ac:dyDescent="0.3"/>
    <row r="982" s="1" customFormat="1" ht="12.75" customHeight="1" x14ac:dyDescent="0.3"/>
    <row r="983" s="1" customFormat="1" ht="12.75" customHeight="1" x14ac:dyDescent="0.3"/>
    <row r="984" s="1" customFormat="1" ht="12.75" customHeight="1" x14ac:dyDescent="0.3"/>
    <row r="985" s="1" customFormat="1" ht="12.75" customHeight="1" x14ac:dyDescent="0.3"/>
    <row r="986" s="1" customFormat="1" ht="12.75" customHeight="1" x14ac:dyDescent="0.3"/>
    <row r="987" s="1" customFormat="1" ht="12.75" customHeight="1" x14ac:dyDescent="0.3"/>
    <row r="988" s="1" customFormat="1" ht="12.75" customHeight="1" x14ac:dyDescent="0.3"/>
    <row r="989" s="1" customFormat="1" ht="12.75" customHeight="1" x14ac:dyDescent="0.3"/>
    <row r="990" s="1" customFormat="1" ht="12.75" customHeight="1" x14ac:dyDescent="0.3"/>
    <row r="991" s="1" customFormat="1" ht="12.75" customHeight="1" x14ac:dyDescent="0.3"/>
    <row r="992" s="1" customFormat="1" ht="12.75" customHeight="1" x14ac:dyDescent="0.3"/>
    <row r="993" s="1" customFormat="1" ht="12.75" customHeight="1" x14ac:dyDescent="0.3"/>
    <row r="994" s="1" customFormat="1" ht="12.75" customHeight="1" x14ac:dyDescent="0.3"/>
    <row r="995" s="1" customFormat="1" ht="12.75" customHeight="1" x14ac:dyDescent="0.3"/>
    <row r="996" s="1" customFormat="1" ht="12.75" customHeight="1" x14ac:dyDescent="0.3"/>
    <row r="997" s="1" customFormat="1" ht="12.75" customHeight="1" x14ac:dyDescent="0.3"/>
    <row r="998" s="1" customFormat="1" ht="12.75" customHeight="1" x14ac:dyDescent="0.3"/>
    <row r="999" s="1" customFormat="1" ht="12.75" customHeight="1" x14ac:dyDescent="0.3"/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BFA72-4990-4101-B4E0-720FD84D078F}">
  <dimension ref="A1:M999"/>
  <sheetViews>
    <sheetView topLeftCell="A4" workbookViewId="0">
      <selection activeCell="E7" sqref="E7"/>
    </sheetView>
  </sheetViews>
  <sheetFormatPr baseColWidth="10" defaultColWidth="12.6328125" defaultRowHeight="15" customHeight="1" x14ac:dyDescent="0.3"/>
  <cols>
    <col min="1" max="1" width="15.7265625" style="1" customWidth="1"/>
    <col min="2" max="7" width="10.6328125" style="1" customWidth="1"/>
    <col min="8" max="8" width="11.36328125" style="1" customWidth="1"/>
    <col min="9" max="25" width="10.6328125" style="1" customWidth="1"/>
    <col min="26" max="16384" width="12.6328125" style="1"/>
  </cols>
  <sheetData>
    <row r="1" spans="1:13" ht="13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3.5" customHeight="1" x14ac:dyDescent="0.3">
      <c r="A2" s="1" t="s">
        <v>12</v>
      </c>
      <c r="B2" s="1" t="s">
        <v>13</v>
      </c>
      <c r="E2" s="1">
        <v>1</v>
      </c>
      <c r="H2" s="2" t="s">
        <v>14</v>
      </c>
      <c r="I2" s="3">
        <f t="shared" ref="I2:L2" si="0">SUM(C22+C37+C55+C65+C66+C96+C105+C113+C128+C146+C150)</f>
        <v>9</v>
      </c>
      <c r="J2" s="3">
        <f t="shared" si="0"/>
        <v>0</v>
      </c>
      <c r="K2" s="3">
        <f t="shared" si="0"/>
        <v>2</v>
      </c>
      <c r="L2" s="3">
        <f t="shared" si="0"/>
        <v>0</v>
      </c>
      <c r="M2" s="3">
        <f t="shared" ref="M2:M13" si="1">SUM(I2:L2)</f>
        <v>11</v>
      </c>
    </row>
    <row r="3" spans="1:13" ht="13.5" customHeight="1" x14ac:dyDescent="0.3">
      <c r="A3" s="1" t="s">
        <v>15</v>
      </c>
      <c r="B3" s="1" t="s">
        <v>16</v>
      </c>
      <c r="C3" s="1">
        <v>1</v>
      </c>
      <c r="H3" s="2" t="s">
        <v>17</v>
      </c>
      <c r="I3" s="3">
        <f t="shared" ref="I3:L3" si="2">SUM(C6+C32+C50+C52+C58+C69+C76+C94+C115+C122+C123+C152)</f>
        <v>11</v>
      </c>
      <c r="J3" s="3">
        <f t="shared" si="2"/>
        <v>1</v>
      </c>
      <c r="K3" s="3">
        <f t="shared" si="2"/>
        <v>0</v>
      </c>
      <c r="L3" s="3">
        <f t="shared" si="2"/>
        <v>0</v>
      </c>
      <c r="M3" s="3">
        <f t="shared" si="1"/>
        <v>12</v>
      </c>
    </row>
    <row r="4" spans="1:13" ht="13.5" customHeight="1" x14ac:dyDescent="0.3">
      <c r="A4" s="1" t="s">
        <v>18</v>
      </c>
      <c r="B4" s="1" t="s">
        <v>13</v>
      </c>
      <c r="D4" s="1">
        <v>1</v>
      </c>
      <c r="H4" s="2" t="s">
        <v>19</v>
      </c>
      <c r="I4" s="3">
        <f t="shared" ref="I4:L4" si="3">SUM(C26+C14+C27+C62+C68+C124+C138+C142+C153+C155)</f>
        <v>9</v>
      </c>
      <c r="J4" s="3">
        <f t="shared" si="3"/>
        <v>0</v>
      </c>
      <c r="K4" s="3">
        <f t="shared" si="3"/>
        <v>0</v>
      </c>
      <c r="L4" s="3">
        <f t="shared" si="3"/>
        <v>1</v>
      </c>
      <c r="M4" s="3">
        <f t="shared" si="1"/>
        <v>10</v>
      </c>
    </row>
    <row r="5" spans="1:13" ht="13.5" customHeight="1" x14ac:dyDescent="0.3">
      <c r="A5" s="1" t="s">
        <v>20</v>
      </c>
      <c r="B5" s="1" t="s">
        <v>21</v>
      </c>
      <c r="D5" s="1">
        <v>1</v>
      </c>
      <c r="H5" s="2" t="s">
        <v>22</v>
      </c>
      <c r="I5" s="3">
        <f t="shared" ref="I5:L5" si="4">SUM(C5+C36+C56+C63+C73+C85+C87+C95+C135)</f>
        <v>0</v>
      </c>
      <c r="J5" s="3">
        <f t="shared" si="4"/>
        <v>8</v>
      </c>
      <c r="K5" s="3">
        <f t="shared" si="4"/>
        <v>0</v>
      </c>
      <c r="L5" s="3">
        <f t="shared" si="4"/>
        <v>1</v>
      </c>
      <c r="M5" s="3">
        <f t="shared" si="1"/>
        <v>9</v>
      </c>
    </row>
    <row r="6" spans="1:13" ht="13.5" customHeight="1" x14ac:dyDescent="0.3">
      <c r="A6" s="1" t="s">
        <v>23</v>
      </c>
      <c r="B6" s="1" t="s">
        <v>24</v>
      </c>
      <c r="C6" s="1">
        <v>1</v>
      </c>
      <c r="H6" s="2" t="s">
        <v>25</v>
      </c>
      <c r="I6" s="3">
        <f t="shared" ref="I6:L6" si="5">SUM(C12+C15+C18+C28+C41+C59+C78+C64+C82+C83+C86+C106+C119+C143+C148+C154)</f>
        <v>15</v>
      </c>
      <c r="J6" s="3">
        <f t="shared" si="5"/>
        <v>0</v>
      </c>
      <c r="K6" s="3">
        <f t="shared" si="5"/>
        <v>1</v>
      </c>
      <c r="L6" s="3">
        <f t="shared" si="5"/>
        <v>0</v>
      </c>
      <c r="M6" s="3">
        <f t="shared" si="1"/>
        <v>16</v>
      </c>
    </row>
    <row r="7" spans="1:13" ht="13.5" customHeight="1" x14ac:dyDescent="0.3">
      <c r="A7" s="1" t="s">
        <v>26</v>
      </c>
      <c r="B7" s="1" t="s">
        <v>27</v>
      </c>
      <c r="D7" s="1">
        <v>1</v>
      </c>
      <c r="H7" s="2" t="s">
        <v>28</v>
      </c>
      <c r="I7" s="3">
        <f t="shared" ref="I7:L7" si="6">SUM(C3+C20+C46+C49+C54+C89+C90+C102+C112+C114+C129+C141)</f>
        <v>7</v>
      </c>
      <c r="J7" s="3">
        <f t="shared" si="6"/>
        <v>5</v>
      </c>
      <c r="K7" s="3">
        <f t="shared" si="6"/>
        <v>0</v>
      </c>
      <c r="L7" s="3">
        <f t="shared" si="6"/>
        <v>0</v>
      </c>
      <c r="M7" s="3">
        <f t="shared" si="1"/>
        <v>12</v>
      </c>
    </row>
    <row r="8" spans="1:13" ht="13.5" customHeight="1" x14ac:dyDescent="0.3">
      <c r="A8" s="1" t="s">
        <v>29</v>
      </c>
      <c r="B8" s="1" t="s">
        <v>30</v>
      </c>
      <c r="D8" s="1">
        <v>1</v>
      </c>
      <c r="H8" s="2" t="s">
        <v>27</v>
      </c>
      <c r="I8" s="3">
        <f t="shared" ref="I8:L8" si="7">SUM(C7+C30+C29+C44+C51+C60+C72+C79+C101+C99+C107+C111+C117+C140+C144)</f>
        <v>3</v>
      </c>
      <c r="J8" s="3">
        <f t="shared" si="7"/>
        <v>12</v>
      </c>
      <c r="K8" s="3">
        <f t="shared" si="7"/>
        <v>0</v>
      </c>
      <c r="L8" s="3">
        <f t="shared" si="7"/>
        <v>0</v>
      </c>
      <c r="M8" s="3">
        <f t="shared" si="1"/>
        <v>15</v>
      </c>
    </row>
    <row r="9" spans="1:13" ht="13.5" customHeight="1" x14ac:dyDescent="0.3">
      <c r="A9" s="1" t="s">
        <v>31</v>
      </c>
      <c r="B9" s="1" t="s">
        <v>13</v>
      </c>
      <c r="E9" s="1">
        <v>1</v>
      </c>
      <c r="H9" s="2" t="s">
        <v>13</v>
      </c>
      <c r="I9" s="3">
        <f t="shared" ref="I9:J9" si="8">SUM(C4+C9+C17+C19+C2+C48+C92+C120+C126+C127+C130+C133+C151)</f>
        <v>0</v>
      </c>
      <c r="J9" s="3">
        <f t="shared" si="8"/>
        <v>9</v>
      </c>
      <c r="K9" s="3">
        <f>SUM(D4+D9+D17+D19+D2+D48+D92+D120+D126+D127+D130+D133+D151)</f>
        <v>9</v>
      </c>
      <c r="L9" s="3">
        <f>SUM(F4+F9+F17+F19+F2+F48+F92+F120+F126+F127+F130+F133+F151)</f>
        <v>0</v>
      </c>
      <c r="M9" s="3">
        <f t="shared" si="1"/>
        <v>18</v>
      </c>
    </row>
    <row r="10" spans="1:13" ht="13.5" customHeight="1" x14ac:dyDescent="0.3">
      <c r="A10" s="1" t="s">
        <v>32</v>
      </c>
      <c r="B10" s="1" t="s">
        <v>33</v>
      </c>
      <c r="C10" s="1">
        <v>1</v>
      </c>
      <c r="H10" s="2" t="s">
        <v>30</v>
      </c>
      <c r="I10" s="3">
        <f t="shared" ref="I10:L10" si="9">SUM(C8+C13+C16+C25+C31+C35+C43+C45+C70+C71+C75+C81+C88+C93+C98+C100+C104+C118+C136+C137+C156)</f>
        <v>0</v>
      </c>
      <c r="J10" s="3">
        <f t="shared" si="9"/>
        <v>20</v>
      </c>
      <c r="K10" s="3">
        <f t="shared" si="9"/>
        <v>1</v>
      </c>
      <c r="L10" s="3">
        <f t="shared" si="9"/>
        <v>0</v>
      </c>
      <c r="M10" s="3">
        <f t="shared" si="1"/>
        <v>21</v>
      </c>
    </row>
    <row r="11" spans="1:13" ht="13.5" customHeight="1" x14ac:dyDescent="0.3">
      <c r="A11" s="1" t="s">
        <v>34</v>
      </c>
      <c r="B11" s="1" t="s">
        <v>33</v>
      </c>
      <c r="C11" s="1">
        <v>1</v>
      </c>
      <c r="H11" s="2" t="s">
        <v>35</v>
      </c>
      <c r="I11" s="3">
        <f t="shared" ref="I11:L11" si="10">SUM(C38+C42+C47+C53+C74+C77+C80+C91+C97+C103+C108+C116+C131+C145+C147)</f>
        <v>0</v>
      </c>
      <c r="J11" s="3">
        <f t="shared" si="10"/>
        <v>10</v>
      </c>
      <c r="K11" s="3">
        <f t="shared" si="10"/>
        <v>4</v>
      </c>
      <c r="L11" s="3">
        <f t="shared" si="10"/>
        <v>1</v>
      </c>
      <c r="M11" s="3">
        <f t="shared" si="1"/>
        <v>15</v>
      </c>
    </row>
    <row r="12" spans="1:13" ht="13.5" customHeight="1" x14ac:dyDescent="0.3">
      <c r="A12" s="1" t="s">
        <v>36</v>
      </c>
      <c r="B12" s="1" t="s">
        <v>37</v>
      </c>
      <c r="C12" s="1">
        <v>1</v>
      </c>
      <c r="H12" s="2" t="s">
        <v>38</v>
      </c>
      <c r="I12" s="3">
        <f t="shared" ref="I12:L12" si="11">SUM(C21+C24+C34+C40+C67+C84+C132)</f>
        <v>1</v>
      </c>
      <c r="J12" s="3">
        <f t="shared" si="11"/>
        <v>5</v>
      </c>
      <c r="K12" s="3">
        <f t="shared" si="11"/>
        <v>1</v>
      </c>
      <c r="L12" s="3">
        <f t="shared" si="11"/>
        <v>0</v>
      </c>
      <c r="M12" s="3">
        <f t="shared" si="1"/>
        <v>7</v>
      </c>
    </row>
    <row r="13" spans="1:13" ht="13.5" customHeight="1" x14ac:dyDescent="0.3">
      <c r="A13" s="1" t="s">
        <v>39</v>
      </c>
      <c r="B13" s="1" t="s">
        <v>30</v>
      </c>
      <c r="D13" s="1">
        <v>1</v>
      </c>
      <c r="H13" s="2" t="s">
        <v>33</v>
      </c>
      <c r="I13" s="3">
        <f t="shared" ref="I13:L13" si="12">SUM(C10+C11+C57+C125+C149)</f>
        <v>4</v>
      </c>
      <c r="J13" s="3">
        <f t="shared" si="12"/>
        <v>1</v>
      </c>
      <c r="K13" s="3">
        <f t="shared" si="12"/>
        <v>0</v>
      </c>
      <c r="L13" s="3">
        <f t="shared" si="12"/>
        <v>0</v>
      </c>
      <c r="M13" s="3">
        <f t="shared" si="1"/>
        <v>5</v>
      </c>
    </row>
    <row r="14" spans="1:13" ht="13.5" customHeight="1" x14ac:dyDescent="0.3">
      <c r="A14" s="1" t="s">
        <v>40</v>
      </c>
      <c r="B14" s="1" t="s">
        <v>19</v>
      </c>
      <c r="C14" s="1">
        <v>1</v>
      </c>
      <c r="I14" s="4"/>
      <c r="J14" s="4"/>
      <c r="K14" s="4"/>
      <c r="L14" s="4"/>
    </row>
    <row r="15" spans="1:13" ht="13.5" customHeight="1" x14ac:dyDescent="0.3">
      <c r="A15" s="1" t="s">
        <v>41</v>
      </c>
      <c r="B15" s="1" t="s">
        <v>42</v>
      </c>
      <c r="C15" s="1">
        <v>1</v>
      </c>
      <c r="I15" s="4"/>
      <c r="J15" s="4"/>
      <c r="K15" s="4"/>
      <c r="L15" s="4"/>
    </row>
    <row r="16" spans="1:13" ht="13.5" customHeight="1" x14ac:dyDescent="0.3">
      <c r="A16" s="1" t="s">
        <v>43</v>
      </c>
      <c r="B16" s="1" t="s">
        <v>30</v>
      </c>
      <c r="D16" s="1">
        <v>1</v>
      </c>
      <c r="I16" s="4"/>
      <c r="J16" s="4"/>
      <c r="K16" s="4"/>
      <c r="L16" s="4"/>
    </row>
    <row r="17" spans="1:12" ht="13.5" customHeight="1" x14ac:dyDescent="0.3">
      <c r="A17" s="1" t="s">
        <v>44</v>
      </c>
      <c r="B17" s="1" t="s">
        <v>13</v>
      </c>
      <c r="D17" s="1">
        <v>1</v>
      </c>
      <c r="I17" s="4"/>
      <c r="J17" s="4"/>
      <c r="K17" s="4"/>
      <c r="L17" s="4"/>
    </row>
    <row r="18" spans="1:12" ht="13.5" customHeight="1" x14ac:dyDescent="0.3">
      <c r="A18" s="1" t="s">
        <v>45</v>
      </c>
      <c r="B18" s="1" t="s">
        <v>37</v>
      </c>
      <c r="E18" s="1">
        <v>1</v>
      </c>
      <c r="I18" s="4"/>
      <c r="J18" s="4"/>
      <c r="K18" s="4"/>
      <c r="L18" s="4"/>
    </row>
    <row r="19" spans="1:12" ht="13.5" customHeight="1" x14ac:dyDescent="0.3">
      <c r="A19" s="1" t="s">
        <v>46</v>
      </c>
      <c r="B19" s="1" t="s">
        <v>13</v>
      </c>
      <c r="D19" s="1">
        <v>1</v>
      </c>
    </row>
    <row r="20" spans="1:12" ht="13.5" customHeight="1" x14ac:dyDescent="0.3">
      <c r="A20" s="1" t="s">
        <v>47</v>
      </c>
      <c r="B20" s="1" t="s">
        <v>16</v>
      </c>
      <c r="C20" s="1">
        <v>1</v>
      </c>
    </row>
    <row r="21" spans="1:12" ht="13.5" customHeight="1" x14ac:dyDescent="0.3">
      <c r="A21" s="1" t="s">
        <v>48</v>
      </c>
      <c r="B21" s="1" t="s">
        <v>38</v>
      </c>
      <c r="E21" s="1">
        <v>1</v>
      </c>
    </row>
    <row r="22" spans="1:12" ht="13.5" customHeight="1" x14ac:dyDescent="0.3">
      <c r="A22" s="1" t="s">
        <v>49</v>
      </c>
      <c r="B22" s="1" t="s">
        <v>14</v>
      </c>
      <c r="C22" s="1">
        <v>1</v>
      </c>
    </row>
    <row r="23" spans="1:12" ht="13.5" customHeight="1" x14ac:dyDescent="0.3">
      <c r="A23" s="1" t="s">
        <v>50</v>
      </c>
      <c r="B23" s="1" t="s">
        <v>13</v>
      </c>
      <c r="D23" s="1">
        <v>1</v>
      </c>
    </row>
    <row r="24" spans="1:12" ht="13.5" customHeight="1" x14ac:dyDescent="0.3">
      <c r="A24" s="1" t="s">
        <v>51</v>
      </c>
      <c r="B24" s="1" t="s">
        <v>38</v>
      </c>
      <c r="C24" s="1">
        <v>1</v>
      </c>
    </row>
    <row r="25" spans="1:12" ht="13.5" customHeight="1" x14ac:dyDescent="0.3">
      <c r="A25" s="1" t="s">
        <v>52</v>
      </c>
      <c r="B25" s="1" t="s">
        <v>30</v>
      </c>
      <c r="D25" s="1">
        <v>1</v>
      </c>
    </row>
    <row r="26" spans="1:12" ht="13.5" customHeight="1" x14ac:dyDescent="0.3">
      <c r="A26" s="1" t="s">
        <v>53</v>
      </c>
      <c r="B26" s="1" t="s">
        <v>19</v>
      </c>
      <c r="C26" s="1">
        <v>1</v>
      </c>
    </row>
    <row r="27" spans="1:12" ht="13.5" customHeight="1" x14ac:dyDescent="0.3">
      <c r="A27" s="1" t="s">
        <v>54</v>
      </c>
      <c r="B27" s="1" t="s">
        <v>19</v>
      </c>
      <c r="C27" s="1">
        <v>1</v>
      </c>
    </row>
    <row r="28" spans="1:12" ht="13.5" customHeight="1" x14ac:dyDescent="0.3">
      <c r="A28" s="1" t="s">
        <v>55</v>
      </c>
      <c r="B28" s="1" t="s">
        <v>37</v>
      </c>
      <c r="C28" s="1">
        <v>1</v>
      </c>
    </row>
    <row r="29" spans="1:12" ht="13.5" customHeight="1" x14ac:dyDescent="0.3">
      <c r="A29" s="1" t="s">
        <v>56</v>
      </c>
      <c r="B29" s="1" t="s">
        <v>27</v>
      </c>
      <c r="C29" s="1">
        <v>1</v>
      </c>
    </row>
    <row r="30" spans="1:12" ht="13.5" customHeight="1" x14ac:dyDescent="0.3">
      <c r="A30" s="1" t="s">
        <v>57</v>
      </c>
      <c r="B30" s="1" t="s">
        <v>27</v>
      </c>
      <c r="C30" s="1">
        <v>1</v>
      </c>
    </row>
    <row r="31" spans="1:12" ht="13.5" customHeight="1" x14ac:dyDescent="0.3">
      <c r="A31" s="1" t="s">
        <v>58</v>
      </c>
      <c r="B31" s="1" t="s">
        <v>30</v>
      </c>
      <c r="D31" s="1">
        <v>1</v>
      </c>
    </row>
    <row r="32" spans="1:12" ht="13.5" customHeight="1" x14ac:dyDescent="0.3">
      <c r="A32" s="1" t="s">
        <v>59</v>
      </c>
      <c r="B32" s="1" t="s">
        <v>24</v>
      </c>
      <c r="C32" s="1">
        <v>1</v>
      </c>
    </row>
    <row r="33" spans="1:12" ht="13.5" customHeight="1" x14ac:dyDescent="0.3">
      <c r="A33" s="1" t="s">
        <v>60</v>
      </c>
      <c r="B33" s="1" t="s">
        <v>27</v>
      </c>
      <c r="D33" s="1">
        <v>1</v>
      </c>
    </row>
    <row r="34" spans="1:12" ht="13.5" customHeight="1" x14ac:dyDescent="0.3">
      <c r="A34" s="1" t="s">
        <v>61</v>
      </c>
      <c r="B34" s="1" t="s">
        <v>38</v>
      </c>
      <c r="D34" s="1">
        <v>1</v>
      </c>
    </row>
    <row r="35" spans="1:12" ht="13.5" customHeight="1" x14ac:dyDescent="0.3">
      <c r="A35" s="1" t="s">
        <v>62</v>
      </c>
      <c r="B35" s="1" t="s">
        <v>30</v>
      </c>
      <c r="D35" s="1">
        <v>1</v>
      </c>
    </row>
    <row r="36" spans="1:12" ht="13.5" customHeight="1" x14ac:dyDescent="0.3">
      <c r="A36" s="1" t="s">
        <v>63</v>
      </c>
      <c r="B36" s="1" t="s">
        <v>21</v>
      </c>
      <c r="D36" s="1">
        <v>1</v>
      </c>
    </row>
    <row r="37" spans="1:12" ht="13.5" customHeight="1" x14ac:dyDescent="0.3">
      <c r="A37" s="1" t="s">
        <v>64</v>
      </c>
      <c r="B37" s="1" t="s">
        <v>14</v>
      </c>
      <c r="E37" s="1">
        <v>1</v>
      </c>
    </row>
    <row r="38" spans="1:12" ht="13.5" customHeight="1" x14ac:dyDescent="0.3">
      <c r="A38" s="1" t="s">
        <v>65</v>
      </c>
      <c r="B38" s="1" t="s">
        <v>66</v>
      </c>
      <c r="D38" s="1">
        <v>1</v>
      </c>
    </row>
    <row r="39" spans="1:12" ht="13.5" customHeight="1" x14ac:dyDescent="0.3">
      <c r="A39" s="1" t="s">
        <v>67</v>
      </c>
      <c r="B39" s="1" t="s">
        <v>16</v>
      </c>
      <c r="E39" s="1">
        <v>1</v>
      </c>
    </row>
    <row r="40" spans="1:12" ht="13.5" customHeight="1" x14ac:dyDescent="0.3">
      <c r="A40" s="1" t="s">
        <v>68</v>
      </c>
      <c r="B40" s="1" t="s">
        <v>38</v>
      </c>
      <c r="D40" s="1">
        <v>1</v>
      </c>
    </row>
    <row r="41" spans="1:12" ht="13.5" customHeight="1" x14ac:dyDescent="0.3">
      <c r="A41" s="1" t="s">
        <v>69</v>
      </c>
      <c r="B41" s="1" t="s">
        <v>37</v>
      </c>
      <c r="C41" s="1">
        <v>1</v>
      </c>
    </row>
    <row r="42" spans="1:12" ht="13.5" customHeight="1" x14ac:dyDescent="0.3">
      <c r="A42" s="1" t="s">
        <v>70</v>
      </c>
      <c r="B42" s="1" t="s">
        <v>66</v>
      </c>
      <c r="D42" s="1">
        <v>1</v>
      </c>
    </row>
    <row r="43" spans="1:12" ht="13.5" customHeight="1" x14ac:dyDescent="0.3">
      <c r="A43" s="1" t="s">
        <v>71</v>
      </c>
      <c r="B43" s="1" t="s">
        <v>30</v>
      </c>
      <c r="D43" s="1">
        <v>1</v>
      </c>
    </row>
    <row r="44" spans="1:12" ht="13.5" customHeight="1" x14ac:dyDescent="0.3">
      <c r="A44" s="1" t="s">
        <v>72</v>
      </c>
      <c r="B44" s="1" t="s">
        <v>27</v>
      </c>
      <c r="D44" s="1">
        <v>1</v>
      </c>
    </row>
    <row r="45" spans="1:12" ht="13.5" customHeight="1" x14ac:dyDescent="0.3">
      <c r="A45" s="1" t="s">
        <v>73</v>
      </c>
      <c r="B45" s="1" t="s">
        <v>30</v>
      </c>
      <c r="D45" s="1">
        <v>1</v>
      </c>
      <c r="H45" s="1" t="s">
        <v>6</v>
      </c>
      <c r="I45" s="1" t="s">
        <v>7</v>
      </c>
      <c r="J45" s="1" t="s">
        <v>8</v>
      </c>
      <c r="K45" s="1" t="s">
        <v>9</v>
      </c>
      <c r="L45" s="1" t="s">
        <v>10</v>
      </c>
    </row>
    <row r="46" spans="1:12" ht="13.5" customHeight="1" x14ac:dyDescent="0.3">
      <c r="A46" s="1" t="s">
        <v>74</v>
      </c>
      <c r="B46" s="1" t="s">
        <v>16</v>
      </c>
      <c r="D46" s="1">
        <v>1</v>
      </c>
      <c r="H46" s="2" t="s">
        <v>14</v>
      </c>
      <c r="I46" s="4">
        <f t="shared" ref="I46:I57" si="13">I2/M2</f>
        <v>0.81818181818181823</v>
      </c>
      <c r="J46" s="4">
        <f t="shared" ref="J46:J57" si="14">J2/M2</f>
        <v>0</v>
      </c>
      <c r="K46" s="4">
        <f t="shared" ref="K46:K57" si="15">K2/M2</f>
        <v>0.18181818181818182</v>
      </c>
      <c r="L46" s="4">
        <f t="shared" ref="L46:L57" si="16">L2/M2</f>
        <v>0</v>
      </c>
    </row>
    <row r="47" spans="1:12" ht="13.5" customHeight="1" x14ac:dyDescent="0.3">
      <c r="A47" s="1" t="s">
        <v>75</v>
      </c>
      <c r="B47" s="1" t="s">
        <v>66</v>
      </c>
      <c r="D47" s="1">
        <v>1</v>
      </c>
      <c r="H47" s="2" t="s">
        <v>17</v>
      </c>
      <c r="I47" s="4">
        <f t="shared" si="13"/>
        <v>0.91666666666666663</v>
      </c>
      <c r="J47" s="4">
        <f t="shared" si="14"/>
        <v>8.3333333333333329E-2</v>
      </c>
      <c r="K47" s="4">
        <f t="shared" si="15"/>
        <v>0</v>
      </c>
      <c r="L47" s="4">
        <f t="shared" si="16"/>
        <v>0</v>
      </c>
    </row>
    <row r="48" spans="1:12" ht="13.5" customHeight="1" x14ac:dyDescent="0.3">
      <c r="A48" s="1" t="s">
        <v>76</v>
      </c>
      <c r="B48" s="1" t="s">
        <v>13</v>
      </c>
      <c r="E48" s="1">
        <v>1</v>
      </c>
      <c r="H48" s="2" t="s">
        <v>19</v>
      </c>
      <c r="I48" s="4">
        <f t="shared" si="13"/>
        <v>0.9</v>
      </c>
      <c r="J48" s="4">
        <f t="shared" si="14"/>
        <v>0</v>
      </c>
      <c r="K48" s="4">
        <f t="shared" si="15"/>
        <v>0</v>
      </c>
      <c r="L48" s="4">
        <f t="shared" si="16"/>
        <v>0.1</v>
      </c>
    </row>
    <row r="49" spans="1:12" ht="13.5" customHeight="1" x14ac:dyDescent="0.3">
      <c r="A49" s="1" t="s">
        <v>77</v>
      </c>
      <c r="B49" s="1" t="s">
        <v>16</v>
      </c>
      <c r="D49" s="1">
        <v>1</v>
      </c>
      <c r="H49" s="2" t="s">
        <v>22</v>
      </c>
      <c r="I49" s="4">
        <f t="shared" si="13"/>
        <v>0</v>
      </c>
      <c r="J49" s="4">
        <f t="shared" si="14"/>
        <v>0.88888888888888884</v>
      </c>
      <c r="K49" s="4">
        <f t="shared" si="15"/>
        <v>0</v>
      </c>
      <c r="L49" s="4">
        <f t="shared" si="16"/>
        <v>0.1111111111111111</v>
      </c>
    </row>
    <row r="50" spans="1:12" ht="13.5" customHeight="1" x14ac:dyDescent="0.3">
      <c r="A50" s="1" t="s">
        <v>78</v>
      </c>
      <c r="B50" s="1" t="s">
        <v>24</v>
      </c>
      <c r="C50" s="1">
        <v>1</v>
      </c>
      <c r="H50" s="2" t="s">
        <v>25</v>
      </c>
      <c r="I50" s="4">
        <f t="shared" si="13"/>
        <v>0.9375</v>
      </c>
      <c r="J50" s="4">
        <f t="shared" si="14"/>
        <v>0</v>
      </c>
      <c r="K50" s="4">
        <f t="shared" si="15"/>
        <v>6.25E-2</v>
      </c>
      <c r="L50" s="4">
        <f t="shared" si="16"/>
        <v>0</v>
      </c>
    </row>
    <row r="51" spans="1:12" ht="13.5" customHeight="1" x14ac:dyDescent="0.3">
      <c r="A51" s="1" t="s">
        <v>79</v>
      </c>
      <c r="B51" s="1" t="s">
        <v>27</v>
      </c>
      <c r="D51" s="1">
        <v>1</v>
      </c>
      <c r="H51" s="2" t="s">
        <v>28</v>
      </c>
      <c r="I51" s="4">
        <f t="shared" si="13"/>
        <v>0.58333333333333337</v>
      </c>
      <c r="J51" s="4">
        <f t="shared" si="14"/>
        <v>0.41666666666666669</v>
      </c>
      <c r="K51" s="4">
        <f t="shared" si="15"/>
        <v>0</v>
      </c>
      <c r="L51" s="4">
        <f t="shared" si="16"/>
        <v>0</v>
      </c>
    </row>
    <row r="52" spans="1:12" ht="13.5" customHeight="1" x14ac:dyDescent="0.3">
      <c r="A52" s="1" t="s">
        <v>80</v>
      </c>
      <c r="B52" s="1" t="s">
        <v>24</v>
      </c>
      <c r="C52" s="1">
        <v>1</v>
      </c>
      <c r="H52" s="2" t="s">
        <v>27</v>
      </c>
      <c r="I52" s="4">
        <f t="shared" si="13"/>
        <v>0.2</v>
      </c>
      <c r="J52" s="4">
        <f t="shared" si="14"/>
        <v>0.8</v>
      </c>
      <c r="K52" s="4">
        <f t="shared" si="15"/>
        <v>0</v>
      </c>
      <c r="L52" s="4">
        <f t="shared" si="16"/>
        <v>0</v>
      </c>
    </row>
    <row r="53" spans="1:12" ht="13.5" customHeight="1" x14ac:dyDescent="0.3">
      <c r="A53" s="1" t="s">
        <v>81</v>
      </c>
      <c r="B53" s="1" t="s">
        <v>66</v>
      </c>
      <c r="D53" s="1">
        <v>1</v>
      </c>
      <c r="H53" s="2" t="s">
        <v>13</v>
      </c>
      <c r="I53" s="4">
        <f t="shared" si="13"/>
        <v>0</v>
      </c>
      <c r="J53" s="4">
        <f t="shared" si="14"/>
        <v>0.5</v>
      </c>
      <c r="K53" s="4">
        <f t="shared" si="15"/>
        <v>0.5</v>
      </c>
      <c r="L53" s="4">
        <f t="shared" si="16"/>
        <v>0</v>
      </c>
    </row>
    <row r="54" spans="1:12" ht="13.5" customHeight="1" x14ac:dyDescent="0.3">
      <c r="A54" s="1" t="s">
        <v>82</v>
      </c>
      <c r="B54" s="1" t="s">
        <v>16</v>
      </c>
      <c r="C54" s="1">
        <v>1</v>
      </c>
      <c r="H54" s="2" t="s">
        <v>30</v>
      </c>
      <c r="I54" s="4">
        <f t="shared" si="13"/>
        <v>0</v>
      </c>
      <c r="J54" s="4">
        <f t="shared" si="14"/>
        <v>0.95238095238095233</v>
      </c>
      <c r="K54" s="4">
        <f t="shared" si="15"/>
        <v>4.7619047619047616E-2</v>
      </c>
      <c r="L54" s="4">
        <f t="shared" si="16"/>
        <v>0</v>
      </c>
    </row>
    <row r="55" spans="1:12" ht="13.5" customHeight="1" x14ac:dyDescent="0.3">
      <c r="A55" s="1" t="s">
        <v>83</v>
      </c>
      <c r="B55" s="1" t="s">
        <v>14</v>
      </c>
      <c r="C55" s="1">
        <v>1</v>
      </c>
      <c r="H55" s="2" t="s">
        <v>35</v>
      </c>
      <c r="I55" s="4">
        <f t="shared" si="13"/>
        <v>0</v>
      </c>
      <c r="J55" s="4">
        <f t="shared" si="14"/>
        <v>0.66666666666666663</v>
      </c>
      <c r="K55" s="4">
        <f t="shared" si="15"/>
        <v>0.26666666666666666</v>
      </c>
      <c r="L55" s="4">
        <f t="shared" si="16"/>
        <v>6.6666666666666666E-2</v>
      </c>
    </row>
    <row r="56" spans="1:12" ht="13.5" customHeight="1" x14ac:dyDescent="0.3">
      <c r="A56" s="1" t="s">
        <v>84</v>
      </c>
      <c r="B56" s="1" t="s">
        <v>21</v>
      </c>
      <c r="D56" s="1">
        <v>1</v>
      </c>
      <c r="H56" s="2" t="s">
        <v>38</v>
      </c>
      <c r="I56" s="4">
        <f t="shared" si="13"/>
        <v>0.14285714285714285</v>
      </c>
      <c r="J56" s="4">
        <f t="shared" si="14"/>
        <v>0.7142857142857143</v>
      </c>
      <c r="K56" s="4">
        <f t="shared" si="15"/>
        <v>0.14285714285714285</v>
      </c>
      <c r="L56" s="4">
        <f t="shared" si="16"/>
        <v>0</v>
      </c>
    </row>
    <row r="57" spans="1:12" ht="13.5" customHeight="1" x14ac:dyDescent="0.3">
      <c r="A57" s="1" t="s">
        <v>85</v>
      </c>
      <c r="B57" s="1" t="s">
        <v>33</v>
      </c>
      <c r="D57" s="1">
        <v>1</v>
      </c>
      <c r="H57" s="2" t="s">
        <v>33</v>
      </c>
      <c r="I57" s="4">
        <f t="shared" si="13"/>
        <v>0.8</v>
      </c>
      <c r="J57" s="4">
        <f t="shared" si="14"/>
        <v>0.2</v>
      </c>
      <c r="K57" s="4">
        <f t="shared" si="15"/>
        <v>0</v>
      </c>
      <c r="L57" s="4">
        <f t="shared" si="16"/>
        <v>0</v>
      </c>
    </row>
    <row r="58" spans="1:12" ht="13.5" customHeight="1" x14ac:dyDescent="0.3">
      <c r="A58" s="1" t="s">
        <v>86</v>
      </c>
      <c r="B58" s="1" t="s">
        <v>24</v>
      </c>
      <c r="C58" s="1">
        <v>1</v>
      </c>
    </row>
    <row r="59" spans="1:12" ht="13.5" customHeight="1" x14ac:dyDescent="0.3">
      <c r="A59" s="1" t="s">
        <v>87</v>
      </c>
      <c r="B59" s="1" t="s">
        <v>37</v>
      </c>
      <c r="C59" s="1">
        <v>1</v>
      </c>
    </row>
    <row r="60" spans="1:12" ht="13.5" customHeight="1" x14ac:dyDescent="0.3">
      <c r="A60" s="1" t="s">
        <v>88</v>
      </c>
      <c r="B60" s="1" t="s">
        <v>27</v>
      </c>
      <c r="D60" s="1">
        <v>1</v>
      </c>
    </row>
    <row r="61" spans="1:12" ht="13.5" customHeight="1" x14ac:dyDescent="0.3">
      <c r="A61" s="1" t="s">
        <v>89</v>
      </c>
      <c r="B61" s="1" t="s">
        <v>13</v>
      </c>
      <c r="E61" s="1">
        <v>1</v>
      </c>
    </row>
    <row r="62" spans="1:12" ht="13.5" customHeight="1" x14ac:dyDescent="0.3">
      <c r="A62" s="1" t="s">
        <v>90</v>
      </c>
      <c r="B62" s="1" t="s">
        <v>19</v>
      </c>
      <c r="C62" s="1">
        <v>1</v>
      </c>
    </row>
    <row r="63" spans="1:12" ht="13.5" customHeight="1" x14ac:dyDescent="0.3">
      <c r="A63" s="1" t="s">
        <v>91</v>
      </c>
      <c r="B63" s="1" t="s">
        <v>21</v>
      </c>
      <c r="F63" s="1">
        <v>1</v>
      </c>
    </row>
    <row r="64" spans="1:12" ht="13.5" customHeight="1" x14ac:dyDescent="0.3">
      <c r="A64" s="1" t="s">
        <v>92</v>
      </c>
      <c r="B64" s="1" t="s">
        <v>42</v>
      </c>
      <c r="C64" s="1">
        <v>1</v>
      </c>
    </row>
    <row r="65" spans="1:5" ht="13.5" customHeight="1" x14ac:dyDescent="0.3">
      <c r="A65" s="1" t="s">
        <v>93</v>
      </c>
      <c r="B65" s="1" t="s">
        <v>14</v>
      </c>
      <c r="E65" s="1">
        <v>1</v>
      </c>
    </row>
    <row r="66" spans="1:5" ht="13.5" customHeight="1" x14ac:dyDescent="0.3">
      <c r="A66" s="1" t="s">
        <v>94</v>
      </c>
      <c r="B66" s="1" t="s">
        <v>14</v>
      </c>
      <c r="C66" s="1">
        <v>1</v>
      </c>
    </row>
    <row r="67" spans="1:5" ht="13.5" customHeight="1" x14ac:dyDescent="0.3">
      <c r="A67" s="1" t="s">
        <v>95</v>
      </c>
      <c r="B67" s="1" t="s">
        <v>38</v>
      </c>
      <c r="D67" s="1">
        <v>1</v>
      </c>
    </row>
    <row r="68" spans="1:5" ht="13.5" customHeight="1" x14ac:dyDescent="0.3">
      <c r="A68" s="1" t="s">
        <v>96</v>
      </c>
      <c r="B68" s="1" t="s">
        <v>19</v>
      </c>
      <c r="C68" s="1">
        <v>1</v>
      </c>
    </row>
    <row r="69" spans="1:5" ht="13.5" customHeight="1" x14ac:dyDescent="0.3">
      <c r="A69" s="1" t="s">
        <v>97</v>
      </c>
      <c r="B69" s="1" t="s">
        <v>24</v>
      </c>
      <c r="C69" s="1">
        <v>1</v>
      </c>
    </row>
    <row r="70" spans="1:5" ht="13.5" customHeight="1" x14ac:dyDescent="0.3">
      <c r="A70" s="1" t="s">
        <v>98</v>
      </c>
      <c r="B70" s="1" t="s">
        <v>30</v>
      </c>
      <c r="D70" s="1">
        <v>1</v>
      </c>
    </row>
    <row r="71" spans="1:5" ht="13.5" customHeight="1" x14ac:dyDescent="0.3">
      <c r="A71" s="1" t="s">
        <v>99</v>
      </c>
      <c r="B71" s="1" t="s">
        <v>30</v>
      </c>
      <c r="D71" s="1">
        <v>1</v>
      </c>
    </row>
    <row r="72" spans="1:5" ht="13.5" customHeight="1" x14ac:dyDescent="0.3">
      <c r="A72" s="1" t="s">
        <v>100</v>
      </c>
      <c r="B72" s="1" t="s">
        <v>27</v>
      </c>
      <c r="D72" s="1">
        <v>1</v>
      </c>
    </row>
    <row r="73" spans="1:5" ht="13.5" customHeight="1" x14ac:dyDescent="0.3">
      <c r="A73" s="1" t="s">
        <v>101</v>
      </c>
      <c r="B73" s="1" t="s">
        <v>21</v>
      </c>
      <c r="D73" s="1">
        <v>1</v>
      </c>
    </row>
    <row r="74" spans="1:5" ht="13.5" customHeight="1" x14ac:dyDescent="0.3">
      <c r="A74" s="1" t="s">
        <v>102</v>
      </c>
      <c r="B74" s="1" t="s">
        <v>66</v>
      </c>
      <c r="D74" s="1">
        <v>1</v>
      </c>
    </row>
    <row r="75" spans="1:5" ht="13.5" customHeight="1" x14ac:dyDescent="0.3">
      <c r="A75" s="1" t="s">
        <v>103</v>
      </c>
      <c r="B75" s="1" t="s">
        <v>30</v>
      </c>
      <c r="D75" s="1">
        <v>1</v>
      </c>
    </row>
    <row r="76" spans="1:5" ht="13.5" customHeight="1" x14ac:dyDescent="0.3">
      <c r="A76" s="1" t="s">
        <v>104</v>
      </c>
      <c r="B76" s="1" t="s">
        <v>24</v>
      </c>
      <c r="C76" s="1">
        <v>1</v>
      </c>
    </row>
    <row r="77" spans="1:5" ht="13.5" customHeight="1" x14ac:dyDescent="0.3">
      <c r="A77" s="1" t="s">
        <v>105</v>
      </c>
      <c r="B77" s="1" t="s">
        <v>66</v>
      </c>
      <c r="E77" s="1">
        <v>1</v>
      </c>
    </row>
    <row r="78" spans="1:5" ht="13.5" customHeight="1" x14ac:dyDescent="0.3">
      <c r="A78" s="1" t="s">
        <v>106</v>
      </c>
      <c r="B78" s="1" t="s">
        <v>42</v>
      </c>
      <c r="C78" s="1">
        <v>1</v>
      </c>
    </row>
    <row r="79" spans="1:5" ht="13.5" customHeight="1" x14ac:dyDescent="0.3">
      <c r="A79" s="1" t="s">
        <v>107</v>
      </c>
      <c r="B79" s="1" t="s">
        <v>27</v>
      </c>
      <c r="D79" s="1">
        <v>1</v>
      </c>
    </row>
    <row r="80" spans="1:5" ht="13.5" customHeight="1" x14ac:dyDescent="0.3">
      <c r="A80" s="1" t="s">
        <v>108</v>
      </c>
      <c r="B80" s="1" t="s">
        <v>66</v>
      </c>
      <c r="D80" s="1">
        <v>1</v>
      </c>
    </row>
    <row r="81" spans="1:5" ht="13.5" customHeight="1" x14ac:dyDescent="0.3">
      <c r="A81" s="1" t="s">
        <v>109</v>
      </c>
      <c r="B81" s="1" t="s">
        <v>30</v>
      </c>
      <c r="D81" s="1">
        <v>1</v>
      </c>
    </row>
    <row r="82" spans="1:5" ht="13.5" customHeight="1" x14ac:dyDescent="0.3">
      <c r="A82" s="1" t="s">
        <v>110</v>
      </c>
      <c r="B82" s="1" t="s">
        <v>37</v>
      </c>
      <c r="C82" s="1">
        <v>1</v>
      </c>
    </row>
    <row r="83" spans="1:5" ht="13.5" customHeight="1" x14ac:dyDescent="0.3">
      <c r="A83" s="1" t="s">
        <v>111</v>
      </c>
      <c r="B83" s="1" t="s">
        <v>37</v>
      </c>
      <c r="C83" s="1">
        <v>1</v>
      </c>
    </row>
    <row r="84" spans="1:5" ht="13.5" customHeight="1" x14ac:dyDescent="0.3">
      <c r="A84" s="1" t="s">
        <v>112</v>
      </c>
      <c r="B84" s="1" t="s">
        <v>38</v>
      </c>
      <c r="D84" s="1">
        <v>1</v>
      </c>
    </row>
    <row r="85" spans="1:5" ht="13.5" customHeight="1" x14ac:dyDescent="0.3">
      <c r="A85" s="1" t="s">
        <v>113</v>
      </c>
      <c r="B85" s="1" t="s">
        <v>21</v>
      </c>
      <c r="D85" s="1">
        <v>1</v>
      </c>
    </row>
    <row r="86" spans="1:5" ht="13.5" customHeight="1" x14ac:dyDescent="0.3">
      <c r="A86" s="1" t="s">
        <v>114</v>
      </c>
      <c r="B86" s="1" t="s">
        <v>42</v>
      </c>
      <c r="C86" s="1">
        <v>1</v>
      </c>
    </row>
    <row r="87" spans="1:5" ht="13.5" customHeight="1" x14ac:dyDescent="0.3">
      <c r="A87" s="1" t="s">
        <v>115</v>
      </c>
      <c r="B87" s="1" t="s">
        <v>21</v>
      </c>
      <c r="D87" s="1">
        <v>1</v>
      </c>
    </row>
    <row r="88" spans="1:5" ht="13.5" customHeight="1" x14ac:dyDescent="0.3">
      <c r="A88" s="1" t="s">
        <v>116</v>
      </c>
      <c r="B88" s="1" t="s">
        <v>30</v>
      </c>
      <c r="D88" s="1">
        <v>1</v>
      </c>
    </row>
    <row r="89" spans="1:5" ht="13.5" customHeight="1" x14ac:dyDescent="0.3">
      <c r="A89" s="1" t="s">
        <v>117</v>
      </c>
      <c r="B89" s="1" t="s">
        <v>16</v>
      </c>
      <c r="C89" s="1">
        <v>1</v>
      </c>
    </row>
    <row r="90" spans="1:5" ht="13.5" customHeight="1" x14ac:dyDescent="0.3">
      <c r="A90" s="1" t="s">
        <v>118</v>
      </c>
      <c r="B90" s="1" t="s">
        <v>16</v>
      </c>
      <c r="D90" s="1">
        <v>1</v>
      </c>
    </row>
    <row r="91" spans="1:5" ht="13.5" customHeight="1" x14ac:dyDescent="0.3">
      <c r="A91" s="1" t="s">
        <v>119</v>
      </c>
      <c r="B91" s="1" t="s">
        <v>66</v>
      </c>
      <c r="D91" s="1">
        <v>1</v>
      </c>
    </row>
    <row r="92" spans="1:5" ht="13.5" customHeight="1" x14ac:dyDescent="0.3">
      <c r="A92" s="1" t="s">
        <v>120</v>
      </c>
      <c r="B92" s="1" t="s">
        <v>13</v>
      </c>
      <c r="E92" s="1">
        <v>1</v>
      </c>
    </row>
    <row r="93" spans="1:5" ht="13.5" customHeight="1" x14ac:dyDescent="0.3">
      <c r="A93" s="1" t="s">
        <v>121</v>
      </c>
      <c r="B93" s="1" t="s">
        <v>30</v>
      </c>
      <c r="D93" s="1">
        <v>1</v>
      </c>
    </row>
    <row r="94" spans="1:5" ht="13.5" customHeight="1" x14ac:dyDescent="0.3">
      <c r="A94" s="1" t="s">
        <v>122</v>
      </c>
      <c r="B94" s="1" t="s">
        <v>24</v>
      </c>
      <c r="C94" s="1">
        <v>1</v>
      </c>
    </row>
    <row r="95" spans="1:5" ht="13.5" customHeight="1" x14ac:dyDescent="0.3">
      <c r="A95" s="1" t="s">
        <v>123</v>
      </c>
      <c r="B95" s="1" t="s">
        <v>21</v>
      </c>
      <c r="D95" s="1">
        <v>1</v>
      </c>
    </row>
    <row r="96" spans="1:5" ht="13.5" customHeight="1" x14ac:dyDescent="0.3">
      <c r="A96" s="1" t="s">
        <v>124</v>
      </c>
      <c r="B96" s="1" t="s">
        <v>14</v>
      </c>
      <c r="C96" s="1">
        <v>1</v>
      </c>
    </row>
    <row r="97" spans="1:6" ht="13.5" customHeight="1" x14ac:dyDescent="0.3">
      <c r="A97" s="1" t="s">
        <v>125</v>
      </c>
      <c r="B97" s="1" t="s">
        <v>66</v>
      </c>
      <c r="D97" s="1">
        <v>1</v>
      </c>
    </row>
    <row r="98" spans="1:6" ht="13.5" customHeight="1" x14ac:dyDescent="0.3">
      <c r="A98" s="1" t="s">
        <v>126</v>
      </c>
      <c r="B98" s="1" t="s">
        <v>30</v>
      </c>
      <c r="D98" s="1">
        <v>1</v>
      </c>
    </row>
    <row r="99" spans="1:6" ht="13.5" customHeight="1" x14ac:dyDescent="0.3">
      <c r="A99" s="1" t="s">
        <v>127</v>
      </c>
      <c r="B99" s="1" t="s">
        <v>27</v>
      </c>
      <c r="D99" s="1">
        <v>1</v>
      </c>
    </row>
    <row r="100" spans="1:6" ht="13.5" customHeight="1" x14ac:dyDescent="0.3">
      <c r="A100" s="1" t="s">
        <v>128</v>
      </c>
      <c r="B100" s="1" t="s">
        <v>30</v>
      </c>
      <c r="D100" s="1">
        <v>1</v>
      </c>
    </row>
    <row r="101" spans="1:6" ht="13.5" customHeight="1" x14ac:dyDescent="0.3">
      <c r="A101" s="1" t="s">
        <v>129</v>
      </c>
      <c r="B101" s="1" t="s">
        <v>27</v>
      </c>
      <c r="D101" s="1">
        <v>1</v>
      </c>
    </row>
    <row r="102" spans="1:6" ht="13.5" customHeight="1" x14ac:dyDescent="0.3">
      <c r="A102" s="1" t="s">
        <v>130</v>
      </c>
      <c r="B102" s="1" t="s">
        <v>16</v>
      </c>
      <c r="C102" s="1">
        <v>1</v>
      </c>
    </row>
    <row r="103" spans="1:6" ht="13.5" customHeight="1" x14ac:dyDescent="0.3">
      <c r="A103" s="1" t="s">
        <v>131</v>
      </c>
      <c r="B103" s="1" t="s">
        <v>66</v>
      </c>
      <c r="E103" s="1">
        <v>1</v>
      </c>
    </row>
    <row r="104" spans="1:6" ht="13.5" customHeight="1" x14ac:dyDescent="0.3">
      <c r="A104" s="1" t="s">
        <v>132</v>
      </c>
      <c r="B104" s="1" t="s">
        <v>30</v>
      </c>
      <c r="D104" s="1">
        <v>1</v>
      </c>
    </row>
    <row r="105" spans="1:6" ht="13.5" customHeight="1" x14ac:dyDescent="0.3">
      <c r="A105" s="1" t="s">
        <v>133</v>
      </c>
      <c r="B105" s="1" t="s">
        <v>14</v>
      </c>
      <c r="C105" s="1">
        <v>1</v>
      </c>
    </row>
    <row r="106" spans="1:6" ht="13.5" customHeight="1" x14ac:dyDescent="0.3">
      <c r="A106" s="1" t="s">
        <v>134</v>
      </c>
      <c r="B106" s="1" t="s">
        <v>42</v>
      </c>
      <c r="C106" s="1">
        <v>1</v>
      </c>
    </row>
    <row r="107" spans="1:6" ht="13.5" customHeight="1" x14ac:dyDescent="0.3">
      <c r="A107" s="1" t="s">
        <v>135</v>
      </c>
      <c r="B107" s="1" t="s">
        <v>27</v>
      </c>
      <c r="D107" s="1">
        <v>1</v>
      </c>
    </row>
    <row r="108" spans="1:6" ht="13.5" customHeight="1" x14ac:dyDescent="0.3">
      <c r="A108" s="1" t="s">
        <v>136</v>
      </c>
      <c r="B108" s="1" t="s">
        <v>66</v>
      </c>
      <c r="F108" s="1">
        <v>1</v>
      </c>
    </row>
    <row r="109" spans="1:6" ht="13.5" customHeight="1" x14ac:dyDescent="0.3">
      <c r="A109" s="1" t="s">
        <v>137</v>
      </c>
      <c r="B109" s="1" t="s">
        <v>13</v>
      </c>
      <c r="D109" s="1">
        <v>1</v>
      </c>
    </row>
    <row r="110" spans="1:6" ht="13.5" customHeight="1" x14ac:dyDescent="0.3">
      <c r="A110" s="1" t="s">
        <v>138</v>
      </c>
      <c r="B110" s="1" t="s">
        <v>42</v>
      </c>
      <c r="C110" s="1">
        <v>1</v>
      </c>
    </row>
    <row r="111" spans="1:6" ht="13.5" customHeight="1" x14ac:dyDescent="0.3">
      <c r="A111" s="1" t="s">
        <v>139</v>
      </c>
      <c r="B111" s="1" t="s">
        <v>27</v>
      </c>
      <c r="C111" s="1">
        <v>1</v>
      </c>
    </row>
    <row r="112" spans="1:6" ht="13.5" customHeight="1" x14ac:dyDescent="0.3">
      <c r="A112" s="1" t="s">
        <v>140</v>
      </c>
      <c r="B112" s="1" t="s">
        <v>16</v>
      </c>
      <c r="D112" s="1">
        <v>1</v>
      </c>
    </row>
    <row r="113" spans="1:6" ht="13.5" customHeight="1" x14ac:dyDescent="0.3">
      <c r="A113" s="1" t="s">
        <v>141</v>
      </c>
      <c r="B113" s="1" t="s">
        <v>14</v>
      </c>
      <c r="C113" s="1">
        <v>1</v>
      </c>
    </row>
    <row r="114" spans="1:6" ht="13.5" customHeight="1" x14ac:dyDescent="0.3">
      <c r="A114" s="1" t="s">
        <v>142</v>
      </c>
      <c r="B114" s="1" t="s">
        <v>16</v>
      </c>
      <c r="D114" s="1">
        <v>1</v>
      </c>
    </row>
    <row r="115" spans="1:6" ht="13.5" customHeight="1" x14ac:dyDescent="0.3">
      <c r="A115" s="1" t="s">
        <v>143</v>
      </c>
      <c r="B115" s="1" t="s">
        <v>24</v>
      </c>
      <c r="C115" s="1">
        <v>1</v>
      </c>
    </row>
    <row r="116" spans="1:6" ht="13.5" customHeight="1" x14ac:dyDescent="0.3">
      <c r="A116" s="1" t="s">
        <v>144</v>
      </c>
      <c r="B116" s="1" t="s">
        <v>66</v>
      </c>
      <c r="D116" s="1">
        <v>1</v>
      </c>
    </row>
    <row r="117" spans="1:6" ht="13.5" customHeight="1" x14ac:dyDescent="0.3">
      <c r="A117" s="1" t="s">
        <v>145</v>
      </c>
      <c r="B117" s="1" t="s">
        <v>27</v>
      </c>
      <c r="D117" s="1">
        <v>1</v>
      </c>
    </row>
    <row r="118" spans="1:6" ht="13.5" customHeight="1" x14ac:dyDescent="0.3">
      <c r="A118" s="1" t="s">
        <v>146</v>
      </c>
      <c r="B118" s="1" t="s">
        <v>30</v>
      </c>
      <c r="E118" s="1">
        <v>1</v>
      </c>
    </row>
    <row r="119" spans="1:6" ht="13.5" customHeight="1" x14ac:dyDescent="0.3">
      <c r="A119" s="1" t="s">
        <v>147</v>
      </c>
      <c r="B119" s="1" t="s">
        <v>42</v>
      </c>
      <c r="C119" s="1">
        <v>1</v>
      </c>
    </row>
    <row r="120" spans="1:6" ht="13.5" customHeight="1" x14ac:dyDescent="0.3">
      <c r="A120" s="1" t="s">
        <v>148</v>
      </c>
      <c r="B120" s="1" t="s">
        <v>13</v>
      </c>
      <c r="D120" s="1">
        <v>1</v>
      </c>
    </row>
    <row r="121" spans="1:6" ht="13.5" customHeight="1" x14ac:dyDescent="0.3">
      <c r="A121" s="1" t="s">
        <v>149</v>
      </c>
      <c r="B121" s="1" t="s">
        <v>150</v>
      </c>
      <c r="F121" s="1">
        <v>1</v>
      </c>
    </row>
    <row r="122" spans="1:6" ht="13.5" customHeight="1" x14ac:dyDescent="0.3">
      <c r="A122" s="1" t="s">
        <v>151</v>
      </c>
      <c r="B122" s="1" t="s">
        <v>24</v>
      </c>
      <c r="D122" s="1">
        <v>1</v>
      </c>
    </row>
    <row r="123" spans="1:6" ht="13.5" customHeight="1" x14ac:dyDescent="0.3">
      <c r="A123" s="1" t="s">
        <v>152</v>
      </c>
      <c r="B123" s="1" t="s">
        <v>24</v>
      </c>
      <c r="C123" s="1">
        <v>1</v>
      </c>
    </row>
    <row r="124" spans="1:6" ht="13.5" customHeight="1" x14ac:dyDescent="0.3">
      <c r="A124" s="1" t="s">
        <v>153</v>
      </c>
      <c r="B124" s="1" t="s">
        <v>19</v>
      </c>
      <c r="C124" s="1">
        <v>1</v>
      </c>
    </row>
    <row r="125" spans="1:6" ht="13.5" customHeight="1" x14ac:dyDescent="0.3">
      <c r="A125" s="1" t="s">
        <v>154</v>
      </c>
      <c r="B125" s="1" t="s">
        <v>33</v>
      </c>
      <c r="C125" s="1">
        <v>1</v>
      </c>
    </row>
    <row r="126" spans="1:6" ht="13.5" customHeight="1" x14ac:dyDescent="0.3">
      <c r="A126" s="1" t="s">
        <v>155</v>
      </c>
      <c r="B126" s="1" t="s">
        <v>13</v>
      </c>
      <c r="D126" s="1">
        <v>1</v>
      </c>
    </row>
    <row r="127" spans="1:6" ht="13.5" customHeight="1" x14ac:dyDescent="0.3">
      <c r="A127" s="1" t="s">
        <v>156</v>
      </c>
      <c r="B127" s="1" t="s">
        <v>13</v>
      </c>
      <c r="D127" s="1">
        <v>1</v>
      </c>
    </row>
    <row r="128" spans="1:6" ht="13.5" customHeight="1" x14ac:dyDescent="0.3">
      <c r="A128" s="1" t="s">
        <v>157</v>
      </c>
      <c r="B128" s="1" t="s">
        <v>14</v>
      </c>
      <c r="C128" s="1">
        <v>1</v>
      </c>
    </row>
    <row r="129" spans="1:5" ht="13.5" customHeight="1" x14ac:dyDescent="0.3">
      <c r="A129" s="1" t="s">
        <v>158</v>
      </c>
      <c r="B129" s="1" t="s">
        <v>16</v>
      </c>
      <c r="C129" s="1">
        <v>1</v>
      </c>
    </row>
    <row r="130" spans="1:5" ht="13.5" customHeight="1" x14ac:dyDescent="0.3">
      <c r="A130" s="1" t="s">
        <v>159</v>
      </c>
      <c r="B130" s="1" t="s">
        <v>13</v>
      </c>
      <c r="D130" s="1">
        <v>1</v>
      </c>
    </row>
    <row r="131" spans="1:5" ht="13.5" customHeight="1" x14ac:dyDescent="0.3">
      <c r="A131" s="1" t="s">
        <v>160</v>
      </c>
      <c r="B131" s="1" t="s">
        <v>66</v>
      </c>
      <c r="E131" s="1">
        <v>1</v>
      </c>
    </row>
    <row r="132" spans="1:5" ht="13.5" customHeight="1" x14ac:dyDescent="0.3">
      <c r="A132" s="1" t="s">
        <v>161</v>
      </c>
      <c r="B132" s="1" t="s">
        <v>38</v>
      </c>
      <c r="D132" s="1">
        <v>1</v>
      </c>
    </row>
    <row r="133" spans="1:5" ht="13.5" customHeight="1" x14ac:dyDescent="0.3">
      <c r="A133" s="1" t="s">
        <v>162</v>
      </c>
      <c r="B133" s="1" t="s">
        <v>13</v>
      </c>
      <c r="D133" s="1">
        <v>1</v>
      </c>
    </row>
    <row r="134" spans="1:5" ht="13.5" customHeight="1" x14ac:dyDescent="0.3">
      <c r="A134" s="1" t="s">
        <v>163</v>
      </c>
      <c r="B134" s="1" t="s">
        <v>66</v>
      </c>
      <c r="D134" s="1">
        <v>1</v>
      </c>
    </row>
    <row r="135" spans="1:5" ht="13.5" customHeight="1" x14ac:dyDescent="0.3">
      <c r="A135" s="1" t="s">
        <v>164</v>
      </c>
      <c r="B135" s="1" t="s">
        <v>21</v>
      </c>
      <c r="D135" s="1">
        <v>1</v>
      </c>
    </row>
    <row r="136" spans="1:5" ht="13.5" customHeight="1" x14ac:dyDescent="0.3">
      <c r="A136" s="1" t="s">
        <v>165</v>
      </c>
      <c r="B136" s="1" t="s">
        <v>30</v>
      </c>
      <c r="D136" s="1">
        <v>1</v>
      </c>
    </row>
    <row r="137" spans="1:5" ht="13.5" customHeight="1" x14ac:dyDescent="0.3">
      <c r="A137" s="1" t="s">
        <v>166</v>
      </c>
      <c r="B137" s="1" t="s">
        <v>30</v>
      </c>
      <c r="D137" s="1">
        <v>1</v>
      </c>
    </row>
    <row r="138" spans="1:5" ht="13.5" customHeight="1" x14ac:dyDescent="0.3">
      <c r="A138" s="1" t="s">
        <v>167</v>
      </c>
      <c r="B138" s="1" t="s">
        <v>19</v>
      </c>
      <c r="C138" s="1">
        <v>1</v>
      </c>
    </row>
    <row r="139" spans="1:5" ht="13.5" customHeight="1" x14ac:dyDescent="0.3">
      <c r="A139" s="1" t="s">
        <v>168</v>
      </c>
      <c r="B139" s="1" t="s">
        <v>13</v>
      </c>
      <c r="D139" s="1">
        <v>1</v>
      </c>
    </row>
    <row r="140" spans="1:5" ht="13.5" customHeight="1" x14ac:dyDescent="0.3">
      <c r="A140" s="1" t="s">
        <v>169</v>
      </c>
      <c r="B140" s="1" t="s">
        <v>27</v>
      </c>
      <c r="D140" s="1">
        <v>1</v>
      </c>
    </row>
    <row r="141" spans="1:5" ht="13.5" customHeight="1" x14ac:dyDescent="0.3">
      <c r="A141" s="1" t="s">
        <v>170</v>
      </c>
      <c r="B141" s="1" t="s">
        <v>16</v>
      </c>
      <c r="C141" s="1">
        <v>1</v>
      </c>
    </row>
    <row r="142" spans="1:5" ht="13.5" customHeight="1" x14ac:dyDescent="0.3">
      <c r="A142" s="1" t="s">
        <v>171</v>
      </c>
      <c r="B142" s="1" t="s">
        <v>19</v>
      </c>
      <c r="C142" s="1">
        <v>1</v>
      </c>
    </row>
    <row r="143" spans="1:5" ht="13.5" customHeight="1" x14ac:dyDescent="0.3">
      <c r="A143" s="1" t="s">
        <v>172</v>
      </c>
      <c r="B143" s="1" t="s">
        <v>37</v>
      </c>
      <c r="C143" s="1">
        <v>1</v>
      </c>
    </row>
    <row r="144" spans="1:5" ht="13.5" customHeight="1" x14ac:dyDescent="0.3">
      <c r="A144" s="1" t="s">
        <v>173</v>
      </c>
      <c r="B144" s="1" t="s">
        <v>27</v>
      </c>
      <c r="D144" s="1">
        <v>1</v>
      </c>
    </row>
    <row r="145" spans="1:6" ht="13.5" customHeight="1" x14ac:dyDescent="0.3">
      <c r="A145" s="1" t="s">
        <v>174</v>
      </c>
      <c r="B145" s="1" t="s">
        <v>66</v>
      </c>
      <c r="D145" s="1">
        <v>1</v>
      </c>
    </row>
    <row r="146" spans="1:6" ht="13.5" customHeight="1" x14ac:dyDescent="0.3">
      <c r="A146" s="1" t="s">
        <v>175</v>
      </c>
      <c r="B146" s="1" t="s">
        <v>14</v>
      </c>
      <c r="C146" s="1">
        <v>1</v>
      </c>
    </row>
    <row r="147" spans="1:6" ht="13.5" customHeight="1" x14ac:dyDescent="0.3">
      <c r="A147" s="1" t="s">
        <v>176</v>
      </c>
      <c r="B147" s="1" t="s">
        <v>66</v>
      </c>
      <c r="E147" s="1">
        <v>1</v>
      </c>
    </row>
    <row r="148" spans="1:6" ht="13.5" customHeight="1" x14ac:dyDescent="0.3">
      <c r="A148" s="1" t="s">
        <v>177</v>
      </c>
      <c r="B148" s="1" t="s">
        <v>42</v>
      </c>
      <c r="C148" s="1">
        <v>1</v>
      </c>
    </row>
    <row r="149" spans="1:6" ht="13.5" customHeight="1" x14ac:dyDescent="0.3">
      <c r="A149" s="1" t="s">
        <v>178</v>
      </c>
      <c r="B149" s="1" t="s">
        <v>33</v>
      </c>
      <c r="C149" s="1">
        <v>1</v>
      </c>
    </row>
    <row r="150" spans="1:6" ht="13.5" customHeight="1" x14ac:dyDescent="0.3">
      <c r="A150" s="1" t="s">
        <v>179</v>
      </c>
      <c r="B150" s="1" t="s">
        <v>14</v>
      </c>
      <c r="C150" s="1">
        <v>1</v>
      </c>
    </row>
    <row r="151" spans="1:6" ht="13.5" customHeight="1" x14ac:dyDescent="0.3">
      <c r="A151" s="1" t="s">
        <v>180</v>
      </c>
      <c r="B151" s="1" t="s">
        <v>13</v>
      </c>
      <c r="D151" s="1">
        <v>1</v>
      </c>
    </row>
    <row r="152" spans="1:6" ht="13.5" customHeight="1" x14ac:dyDescent="0.3">
      <c r="A152" s="1" t="s">
        <v>181</v>
      </c>
      <c r="B152" s="1" t="s">
        <v>24</v>
      </c>
      <c r="C152" s="1">
        <v>1</v>
      </c>
    </row>
    <row r="153" spans="1:6" ht="13.5" customHeight="1" x14ac:dyDescent="0.3">
      <c r="A153" s="1" t="s">
        <v>182</v>
      </c>
      <c r="B153" s="1" t="s">
        <v>19</v>
      </c>
      <c r="C153" s="1">
        <v>1</v>
      </c>
    </row>
    <row r="154" spans="1:6" ht="13.5" customHeight="1" x14ac:dyDescent="0.3">
      <c r="A154" s="1" t="s">
        <v>183</v>
      </c>
      <c r="B154" s="1" t="s">
        <v>42</v>
      </c>
      <c r="C154" s="1">
        <v>1</v>
      </c>
    </row>
    <row r="155" spans="1:6" ht="13.5" customHeight="1" x14ac:dyDescent="0.3">
      <c r="A155" s="1" t="s">
        <v>184</v>
      </c>
      <c r="B155" s="1" t="s">
        <v>19</v>
      </c>
      <c r="F155" s="1">
        <v>1</v>
      </c>
    </row>
    <row r="156" spans="1:6" ht="13.5" customHeight="1" x14ac:dyDescent="0.3">
      <c r="A156" s="1" t="s">
        <v>185</v>
      </c>
      <c r="B156" s="1" t="s">
        <v>30</v>
      </c>
      <c r="D156" s="1">
        <v>1</v>
      </c>
    </row>
    <row r="157" spans="1:6" ht="13.5" customHeight="1" x14ac:dyDescent="0.3"/>
    <row r="158" spans="1:6" ht="13.5" customHeight="1" x14ac:dyDescent="0.3"/>
    <row r="159" spans="1:6" ht="13.5" customHeight="1" x14ac:dyDescent="0.3"/>
    <row r="160" spans="1:6" ht="13.5" customHeight="1" x14ac:dyDescent="0.3"/>
    <row r="161" s="1" customFormat="1" ht="13.5" customHeight="1" x14ac:dyDescent="0.3"/>
    <row r="162" s="1" customFormat="1" ht="13.5" customHeight="1" x14ac:dyDescent="0.3"/>
    <row r="163" s="1" customFormat="1" ht="13.5" customHeight="1" x14ac:dyDescent="0.3"/>
    <row r="164" s="1" customFormat="1" ht="13.5" customHeight="1" x14ac:dyDescent="0.3"/>
    <row r="165" s="1" customFormat="1" ht="13.5" customHeight="1" x14ac:dyDescent="0.3"/>
    <row r="166" s="1" customFormat="1" ht="13.5" customHeight="1" x14ac:dyDescent="0.3"/>
    <row r="167" s="1" customFormat="1" ht="13.5" customHeight="1" x14ac:dyDescent="0.3"/>
    <row r="168" s="1" customFormat="1" ht="13.5" customHeight="1" x14ac:dyDescent="0.3"/>
    <row r="169" s="1" customFormat="1" ht="13.5" customHeight="1" x14ac:dyDescent="0.3"/>
    <row r="170" s="1" customFormat="1" ht="13.5" customHeight="1" x14ac:dyDescent="0.3"/>
    <row r="171" s="1" customFormat="1" ht="13.5" customHeight="1" x14ac:dyDescent="0.3"/>
    <row r="172" s="1" customFormat="1" ht="13.5" customHeight="1" x14ac:dyDescent="0.3"/>
    <row r="173" s="1" customFormat="1" ht="13.5" customHeight="1" x14ac:dyDescent="0.3"/>
    <row r="174" s="1" customFormat="1" ht="13.5" customHeight="1" x14ac:dyDescent="0.3"/>
    <row r="175" s="1" customFormat="1" ht="13.5" customHeight="1" x14ac:dyDescent="0.3"/>
    <row r="176" s="1" customFormat="1" ht="13.5" customHeight="1" x14ac:dyDescent="0.3"/>
    <row r="177" s="1" customFormat="1" ht="13.5" customHeight="1" x14ac:dyDescent="0.3"/>
    <row r="178" s="1" customFormat="1" ht="13.5" customHeight="1" x14ac:dyDescent="0.3"/>
    <row r="179" s="1" customFormat="1" ht="13.5" customHeight="1" x14ac:dyDescent="0.3"/>
    <row r="180" s="1" customFormat="1" ht="13.5" customHeight="1" x14ac:dyDescent="0.3"/>
    <row r="181" s="1" customFormat="1" ht="13.5" customHeight="1" x14ac:dyDescent="0.3"/>
    <row r="182" s="1" customFormat="1" ht="13.5" customHeight="1" x14ac:dyDescent="0.3"/>
    <row r="183" s="1" customFormat="1" ht="13.5" customHeight="1" x14ac:dyDescent="0.3"/>
    <row r="184" s="1" customFormat="1" ht="13.5" customHeight="1" x14ac:dyDescent="0.3"/>
    <row r="185" s="1" customFormat="1" ht="13.5" customHeight="1" x14ac:dyDescent="0.3"/>
    <row r="186" s="1" customFormat="1" ht="13.5" customHeight="1" x14ac:dyDescent="0.3"/>
    <row r="187" s="1" customFormat="1" ht="13.5" customHeight="1" x14ac:dyDescent="0.3"/>
    <row r="188" s="1" customFormat="1" ht="13.5" customHeight="1" x14ac:dyDescent="0.3"/>
    <row r="189" s="1" customFormat="1" ht="13.5" customHeight="1" x14ac:dyDescent="0.3"/>
    <row r="190" s="1" customFormat="1" ht="13.5" customHeight="1" x14ac:dyDescent="0.3"/>
    <row r="191" s="1" customFormat="1" ht="13.5" customHeight="1" x14ac:dyDescent="0.3"/>
    <row r="192" s="1" customFormat="1" ht="13.5" customHeight="1" x14ac:dyDescent="0.3"/>
    <row r="193" s="1" customFormat="1" ht="13.5" customHeight="1" x14ac:dyDescent="0.3"/>
    <row r="194" s="1" customFormat="1" ht="13.5" customHeight="1" x14ac:dyDescent="0.3"/>
    <row r="195" s="1" customFormat="1" ht="13.5" customHeight="1" x14ac:dyDescent="0.3"/>
    <row r="196" s="1" customFormat="1" ht="13.5" customHeight="1" x14ac:dyDescent="0.3"/>
    <row r="197" s="1" customFormat="1" ht="13.5" customHeight="1" x14ac:dyDescent="0.3"/>
    <row r="198" s="1" customFormat="1" ht="13.5" customHeight="1" x14ac:dyDescent="0.3"/>
    <row r="199" s="1" customFormat="1" ht="13.5" customHeight="1" x14ac:dyDescent="0.3"/>
    <row r="200" s="1" customFormat="1" ht="13.5" customHeight="1" x14ac:dyDescent="0.3"/>
    <row r="201" s="1" customFormat="1" ht="13.5" customHeight="1" x14ac:dyDescent="0.3"/>
    <row r="202" s="1" customFormat="1" ht="13.5" customHeight="1" x14ac:dyDescent="0.3"/>
    <row r="203" s="1" customFormat="1" ht="13.5" customHeight="1" x14ac:dyDescent="0.3"/>
    <row r="204" s="1" customFormat="1" ht="13.5" customHeight="1" x14ac:dyDescent="0.3"/>
    <row r="205" s="1" customFormat="1" ht="13.5" customHeight="1" x14ac:dyDescent="0.3"/>
    <row r="206" s="1" customFormat="1" ht="13.5" customHeight="1" x14ac:dyDescent="0.3"/>
    <row r="207" s="1" customFormat="1" ht="13.5" customHeight="1" x14ac:dyDescent="0.3"/>
    <row r="208" s="1" customFormat="1" ht="13.5" customHeight="1" x14ac:dyDescent="0.3"/>
    <row r="209" s="1" customFormat="1" ht="13.5" customHeight="1" x14ac:dyDescent="0.3"/>
    <row r="210" s="1" customFormat="1" ht="13.5" customHeight="1" x14ac:dyDescent="0.3"/>
    <row r="211" s="1" customFormat="1" ht="13.5" customHeight="1" x14ac:dyDescent="0.3"/>
    <row r="212" s="1" customFormat="1" ht="13.5" customHeight="1" x14ac:dyDescent="0.3"/>
    <row r="213" s="1" customFormat="1" ht="13.5" customHeight="1" x14ac:dyDescent="0.3"/>
    <row r="214" s="1" customFormat="1" ht="13.5" customHeight="1" x14ac:dyDescent="0.3"/>
    <row r="215" s="1" customFormat="1" ht="13.5" customHeight="1" x14ac:dyDescent="0.3"/>
    <row r="216" s="1" customFormat="1" ht="13.5" customHeight="1" x14ac:dyDescent="0.3"/>
    <row r="217" s="1" customFormat="1" ht="13.5" customHeight="1" x14ac:dyDescent="0.3"/>
    <row r="218" s="1" customFormat="1" ht="13.5" customHeight="1" x14ac:dyDescent="0.3"/>
    <row r="219" s="1" customFormat="1" ht="13.5" customHeight="1" x14ac:dyDescent="0.3"/>
    <row r="220" s="1" customFormat="1" ht="13.5" customHeight="1" x14ac:dyDescent="0.3"/>
    <row r="221" s="1" customFormat="1" ht="13.5" customHeight="1" x14ac:dyDescent="0.3"/>
    <row r="222" s="1" customFormat="1" ht="13.5" customHeight="1" x14ac:dyDescent="0.3"/>
    <row r="223" s="1" customFormat="1" ht="13.5" customHeight="1" x14ac:dyDescent="0.3"/>
    <row r="224" s="1" customFormat="1" ht="13.5" customHeight="1" x14ac:dyDescent="0.3"/>
    <row r="225" s="1" customFormat="1" ht="13.5" customHeight="1" x14ac:dyDescent="0.3"/>
    <row r="226" s="1" customFormat="1" ht="13.5" customHeight="1" x14ac:dyDescent="0.3"/>
    <row r="227" s="1" customFormat="1" ht="13.5" customHeight="1" x14ac:dyDescent="0.3"/>
    <row r="228" s="1" customFormat="1" ht="13.5" customHeight="1" x14ac:dyDescent="0.3"/>
    <row r="229" s="1" customFormat="1" ht="13.5" customHeight="1" x14ac:dyDescent="0.3"/>
    <row r="230" s="1" customFormat="1" ht="13.5" customHeight="1" x14ac:dyDescent="0.3"/>
    <row r="231" s="1" customFormat="1" ht="13.5" customHeight="1" x14ac:dyDescent="0.3"/>
    <row r="232" s="1" customFormat="1" ht="13.5" customHeight="1" x14ac:dyDescent="0.3"/>
    <row r="233" s="1" customFormat="1" ht="13.5" customHeight="1" x14ac:dyDescent="0.3"/>
    <row r="234" s="1" customFormat="1" ht="13.5" customHeight="1" x14ac:dyDescent="0.3"/>
    <row r="235" s="1" customFormat="1" ht="13.5" customHeight="1" x14ac:dyDescent="0.3"/>
    <row r="236" s="1" customFormat="1" ht="13.5" customHeight="1" x14ac:dyDescent="0.3"/>
    <row r="237" s="1" customFormat="1" ht="13.5" customHeight="1" x14ac:dyDescent="0.3"/>
    <row r="238" s="1" customFormat="1" ht="13.5" customHeight="1" x14ac:dyDescent="0.3"/>
    <row r="239" s="1" customFormat="1" ht="13.5" customHeight="1" x14ac:dyDescent="0.3"/>
    <row r="240" s="1" customFormat="1" ht="13.5" customHeight="1" x14ac:dyDescent="0.3"/>
    <row r="241" s="1" customFormat="1" ht="13.5" customHeight="1" x14ac:dyDescent="0.3"/>
    <row r="242" s="1" customFormat="1" ht="13.5" customHeight="1" x14ac:dyDescent="0.3"/>
    <row r="243" s="1" customFormat="1" ht="13.5" customHeight="1" x14ac:dyDescent="0.3"/>
    <row r="244" s="1" customFormat="1" ht="13.5" customHeight="1" x14ac:dyDescent="0.3"/>
    <row r="245" s="1" customFormat="1" ht="13.5" customHeight="1" x14ac:dyDescent="0.3"/>
    <row r="246" s="1" customFormat="1" ht="13.5" customHeight="1" x14ac:dyDescent="0.3"/>
    <row r="247" s="1" customFormat="1" ht="13.5" customHeight="1" x14ac:dyDescent="0.3"/>
    <row r="248" s="1" customFormat="1" ht="13.5" customHeight="1" x14ac:dyDescent="0.3"/>
    <row r="249" s="1" customFormat="1" ht="13.5" customHeight="1" x14ac:dyDescent="0.3"/>
    <row r="250" s="1" customFormat="1" ht="13.5" customHeight="1" x14ac:dyDescent="0.3"/>
    <row r="251" s="1" customFormat="1" ht="13.5" customHeight="1" x14ac:dyDescent="0.3"/>
    <row r="252" s="1" customFormat="1" ht="13.5" customHeight="1" x14ac:dyDescent="0.3"/>
    <row r="253" s="1" customFormat="1" ht="13.5" customHeight="1" x14ac:dyDescent="0.3"/>
    <row r="254" s="1" customFormat="1" ht="13.5" customHeight="1" x14ac:dyDescent="0.3"/>
    <row r="255" s="1" customFormat="1" ht="13.5" customHeight="1" x14ac:dyDescent="0.3"/>
    <row r="256" s="1" customFormat="1" ht="13.5" customHeight="1" x14ac:dyDescent="0.3"/>
    <row r="257" s="1" customFormat="1" ht="13.5" customHeight="1" x14ac:dyDescent="0.3"/>
    <row r="258" s="1" customFormat="1" ht="13.5" customHeight="1" x14ac:dyDescent="0.3"/>
    <row r="259" s="1" customFormat="1" ht="13.5" customHeight="1" x14ac:dyDescent="0.3"/>
    <row r="260" s="1" customFormat="1" ht="13.5" customHeight="1" x14ac:dyDescent="0.3"/>
    <row r="261" s="1" customFormat="1" ht="13.5" customHeight="1" x14ac:dyDescent="0.3"/>
    <row r="262" s="1" customFormat="1" ht="13.5" customHeight="1" x14ac:dyDescent="0.3"/>
    <row r="263" s="1" customFormat="1" ht="13.5" customHeight="1" x14ac:dyDescent="0.3"/>
    <row r="264" s="1" customFormat="1" ht="13.5" customHeight="1" x14ac:dyDescent="0.3"/>
    <row r="265" s="1" customFormat="1" ht="13.5" customHeight="1" x14ac:dyDescent="0.3"/>
    <row r="266" s="1" customFormat="1" ht="13.5" customHeight="1" x14ac:dyDescent="0.3"/>
    <row r="267" s="1" customFormat="1" ht="13.5" customHeight="1" x14ac:dyDescent="0.3"/>
    <row r="268" s="1" customFormat="1" ht="13.5" customHeight="1" x14ac:dyDescent="0.3"/>
    <row r="269" s="1" customFormat="1" ht="13.5" customHeight="1" x14ac:dyDescent="0.3"/>
    <row r="270" s="1" customFormat="1" ht="13.5" customHeight="1" x14ac:dyDescent="0.3"/>
    <row r="271" s="1" customFormat="1" ht="13.5" customHeight="1" x14ac:dyDescent="0.3"/>
    <row r="272" s="1" customFormat="1" ht="13.5" customHeight="1" x14ac:dyDescent="0.3"/>
    <row r="273" s="1" customFormat="1" ht="13.5" customHeight="1" x14ac:dyDescent="0.3"/>
    <row r="274" s="1" customFormat="1" ht="13.5" customHeight="1" x14ac:dyDescent="0.3"/>
    <row r="275" s="1" customFormat="1" ht="13.5" customHeight="1" x14ac:dyDescent="0.3"/>
    <row r="276" s="1" customFormat="1" ht="13.5" customHeight="1" x14ac:dyDescent="0.3"/>
    <row r="277" s="1" customFormat="1" ht="13.5" customHeight="1" x14ac:dyDescent="0.3"/>
    <row r="278" s="1" customFormat="1" ht="13.5" customHeight="1" x14ac:dyDescent="0.3"/>
    <row r="279" s="1" customFormat="1" ht="13.5" customHeight="1" x14ac:dyDescent="0.3"/>
    <row r="280" s="1" customFormat="1" ht="13.5" customHeight="1" x14ac:dyDescent="0.3"/>
    <row r="281" s="1" customFormat="1" ht="13.5" customHeight="1" x14ac:dyDescent="0.3"/>
    <row r="282" s="1" customFormat="1" ht="13.5" customHeight="1" x14ac:dyDescent="0.3"/>
    <row r="283" s="1" customFormat="1" ht="13.5" customHeight="1" x14ac:dyDescent="0.3"/>
    <row r="284" s="1" customFormat="1" ht="13.5" customHeight="1" x14ac:dyDescent="0.3"/>
    <row r="285" s="1" customFormat="1" ht="13.5" customHeight="1" x14ac:dyDescent="0.3"/>
    <row r="286" s="1" customFormat="1" ht="13.5" customHeight="1" x14ac:dyDescent="0.3"/>
    <row r="287" s="1" customFormat="1" ht="13.5" customHeight="1" x14ac:dyDescent="0.3"/>
    <row r="288" s="1" customFormat="1" ht="13.5" customHeight="1" x14ac:dyDescent="0.3"/>
    <row r="289" s="1" customFormat="1" ht="13.5" customHeight="1" x14ac:dyDescent="0.3"/>
    <row r="290" s="1" customFormat="1" ht="13.5" customHeight="1" x14ac:dyDescent="0.3"/>
    <row r="291" s="1" customFormat="1" ht="13.5" customHeight="1" x14ac:dyDescent="0.3"/>
    <row r="292" s="1" customFormat="1" ht="13.5" customHeight="1" x14ac:dyDescent="0.3"/>
    <row r="293" s="1" customFormat="1" ht="13.5" customHeight="1" x14ac:dyDescent="0.3"/>
    <row r="294" s="1" customFormat="1" ht="13.5" customHeight="1" x14ac:dyDescent="0.3"/>
    <row r="295" s="1" customFormat="1" ht="13.5" customHeight="1" x14ac:dyDescent="0.3"/>
    <row r="296" s="1" customFormat="1" ht="13.5" customHeight="1" x14ac:dyDescent="0.3"/>
    <row r="297" s="1" customFormat="1" ht="13.5" customHeight="1" x14ac:dyDescent="0.3"/>
    <row r="298" s="1" customFormat="1" ht="13.5" customHeight="1" x14ac:dyDescent="0.3"/>
    <row r="299" s="1" customFormat="1" ht="13.5" customHeight="1" x14ac:dyDescent="0.3"/>
    <row r="300" s="1" customFormat="1" ht="13.5" customHeight="1" x14ac:dyDescent="0.3"/>
    <row r="301" s="1" customFormat="1" ht="13.5" customHeight="1" x14ac:dyDescent="0.3"/>
    <row r="302" s="1" customFormat="1" ht="13.5" customHeight="1" x14ac:dyDescent="0.3"/>
    <row r="303" s="1" customFormat="1" ht="13.5" customHeight="1" x14ac:dyDescent="0.3"/>
    <row r="304" s="1" customFormat="1" ht="13.5" customHeight="1" x14ac:dyDescent="0.3"/>
    <row r="305" s="1" customFormat="1" ht="13.5" customHeight="1" x14ac:dyDescent="0.3"/>
    <row r="306" s="1" customFormat="1" ht="13.5" customHeight="1" x14ac:dyDescent="0.3"/>
    <row r="307" s="1" customFormat="1" ht="13.5" customHeight="1" x14ac:dyDescent="0.3"/>
    <row r="308" s="1" customFormat="1" ht="13.5" customHeight="1" x14ac:dyDescent="0.3"/>
    <row r="309" s="1" customFormat="1" ht="13.5" customHeight="1" x14ac:dyDescent="0.3"/>
    <row r="310" s="1" customFormat="1" ht="13.5" customHeight="1" x14ac:dyDescent="0.3"/>
    <row r="311" s="1" customFormat="1" ht="13.5" customHeight="1" x14ac:dyDescent="0.3"/>
    <row r="312" s="1" customFormat="1" ht="13.5" customHeight="1" x14ac:dyDescent="0.3"/>
    <row r="313" s="1" customFormat="1" ht="13.5" customHeight="1" x14ac:dyDescent="0.3"/>
    <row r="314" s="1" customFormat="1" ht="13.5" customHeight="1" x14ac:dyDescent="0.3"/>
    <row r="315" s="1" customFormat="1" ht="13.5" customHeight="1" x14ac:dyDescent="0.3"/>
    <row r="316" s="1" customFormat="1" ht="13.5" customHeight="1" x14ac:dyDescent="0.3"/>
    <row r="317" s="1" customFormat="1" ht="13.5" customHeight="1" x14ac:dyDescent="0.3"/>
    <row r="318" s="1" customFormat="1" ht="13.5" customHeight="1" x14ac:dyDescent="0.3"/>
    <row r="319" s="1" customFormat="1" ht="13.5" customHeight="1" x14ac:dyDescent="0.3"/>
    <row r="320" s="1" customFormat="1" ht="13.5" customHeight="1" x14ac:dyDescent="0.3"/>
    <row r="321" s="1" customFormat="1" ht="13.5" customHeight="1" x14ac:dyDescent="0.3"/>
    <row r="322" s="1" customFormat="1" ht="13.5" customHeight="1" x14ac:dyDescent="0.3"/>
    <row r="323" s="1" customFormat="1" ht="13.5" customHeight="1" x14ac:dyDescent="0.3"/>
    <row r="324" s="1" customFormat="1" ht="13.5" customHeight="1" x14ac:dyDescent="0.3"/>
    <row r="325" s="1" customFormat="1" ht="13.5" customHeight="1" x14ac:dyDescent="0.3"/>
    <row r="326" s="1" customFormat="1" ht="13.5" customHeight="1" x14ac:dyDescent="0.3"/>
    <row r="327" s="1" customFormat="1" ht="13.5" customHeight="1" x14ac:dyDescent="0.3"/>
    <row r="328" s="1" customFormat="1" ht="13.5" customHeight="1" x14ac:dyDescent="0.3"/>
    <row r="329" s="1" customFormat="1" ht="13.5" customHeight="1" x14ac:dyDescent="0.3"/>
    <row r="330" s="1" customFormat="1" ht="13.5" customHeight="1" x14ac:dyDescent="0.3"/>
    <row r="331" s="1" customFormat="1" ht="13.5" customHeight="1" x14ac:dyDescent="0.3"/>
    <row r="332" s="1" customFormat="1" ht="13.5" customHeight="1" x14ac:dyDescent="0.3"/>
    <row r="333" s="1" customFormat="1" ht="13.5" customHeight="1" x14ac:dyDescent="0.3"/>
    <row r="334" s="1" customFormat="1" ht="13.5" customHeight="1" x14ac:dyDescent="0.3"/>
    <row r="335" s="1" customFormat="1" ht="13.5" customHeight="1" x14ac:dyDescent="0.3"/>
    <row r="336" s="1" customFormat="1" ht="13.5" customHeight="1" x14ac:dyDescent="0.3"/>
    <row r="337" s="1" customFormat="1" ht="13.5" customHeight="1" x14ac:dyDescent="0.3"/>
    <row r="338" s="1" customFormat="1" ht="13.5" customHeight="1" x14ac:dyDescent="0.3"/>
    <row r="339" s="1" customFormat="1" ht="13.5" customHeight="1" x14ac:dyDescent="0.3"/>
    <row r="340" s="1" customFormat="1" ht="13.5" customHeight="1" x14ac:dyDescent="0.3"/>
    <row r="341" s="1" customFormat="1" ht="13.5" customHeight="1" x14ac:dyDescent="0.3"/>
    <row r="342" s="1" customFormat="1" ht="13.5" customHeight="1" x14ac:dyDescent="0.3"/>
    <row r="343" s="1" customFormat="1" ht="13.5" customHeight="1" x14ac:dyDescent="0.3"/>
    <row r="344" s="1" customFormat="1" ht="13.5" customHeight="1" x14ac:dyDescent="0.3"/>
    <row r="345" s="1" customFormat="1" ht="13.5" customHeight="1" x14ac:dyDescent="0.3"/>
    <row r="346" s="1" customFormat="1" ht="13.5" customHeight="1" x14ac:dyDescent="0.3"/>
    <row r="347" s="1" customFormat="1" ht="13.5" customHeight="1" x14ac:dyDescent="0.3"/>
    <row r="348" s="1" customFormat="1" ht="13.5" customHeight="1" x14ac:dyDescent="0.3"/>
    <row r="349" s="1" customFormat="1" ht="13.5" customHeight="1" x14ac:dyDescent="0.3"/>
    <row r="350" s="1" customFormat="1" ht="13.5" customHeight="1" x14ac:dyDescent="0.3"/>
    <row r="351" s="1" customFormat="1" ht="13.5" customHeight="1" x14ac:dyDescent="0.3"/>
    <row r="352" s="1" customFormat="1" ht="13.5" customHeight="1" x14ac:dyDescent="0.3"/>
    <row r="353" s="1" customFormat="1" ht="13.5" customHeight="1" x14ac:dyDescent="0.3"/>
    <row r="354" s="1" customFormat="1" ht="13.5" customHeight="1" x14ac:dyDescent="0.3"/>
    <row r="355" s="1" customFormat="1" ht="13.5" customHeight="1" x14ac:dyDescent="0.3"/>
    <row r="356" s="1" customFormat="1" ht="13.5" customHeight="1" x14ac:dyDescent="0.3"/>
    <row r="357" s="1" customFormat="1" ht="13.5" customHeight="1" x14ac:dyDescent="0.3"/>
    <row r="358" s="1" customFormat="1" ht="13.5" customHeight="1" x14ac:dyDescent="0.3"/>
    <row r="359" s="1" customFormat="1" ht="13.5" customHeight="1" x14ac:dyDescent="0.3"/>
    <row r="360" s="1" customFormat="1" ht="13.5" customHeight="1" x14ac:dyDescent="0.3"/>
    <row r="361" s="1" customFormat="1" ht="13.5" customHeight="1" x14ac:dyDescent="0.3"/>
    <row r="362" s="1" customFormat="1" ht="13.5" customHeight="1" x14ac:dyDescent="0.3"/>
    <row r="363" s="1" customFormat="1" ht="13.5" customHeight="1" x14ac:dyDescent="0.3"/>
    <row r="364" s="1" customFormat="1" ht="13.5" customHeight="1" x14ac:dyDescent="0.3"/>
    <row r="365" s="1" customFormat="1" ht="13.5" customHeight="1" x14ac:dyDescent="0.3"/>
    <row r="366" s="1" customFormat="1" ht="13.5" customHeight="1" x14ac:dyDescent="0.3"/>
    <row r="367" s="1" customFormat="1" ht="13.5" customHeight="1" x14ac:dyDescent="0.3"/>
    <row r="368" s="1" customFormat="1" ht="13.5" customHeight="1" x14ac:dyDescent="0.3"/>
    <row r="369" s="1" customFormat="1" ht="13.5" customHeight="1" x14ac:dyDescent="0.3"/>
    <row r="370" s="1" customFormat="1" ht="13.5" customHeight="1" x14ac:dyDescent="0.3"/>
    <row r="371" s="1" customFormat="1" ht="13.5" customHeight="1" x14ac:dyDescent="0.3"/>
    <row r="372" s="1" customFormat="1" ht="13.5" customHeight="1" x14ac:dyDescent="0.3"/>
    <row r="373" s="1" customFormat="1" ht="13.5" customHeight="1" x14ac:dyDescent="0.3"/>
    <row r="374" s="1" customFormat="1" ht="13.5" customHeight="1" x14ac:dyDescent="0.3"/>
    <row r="375" s="1" customFormat="1" ht="13.5" customHeight="1" x14ac:dyDescent="0.3"/>
    <row r="376" s="1" customFormat="1" ht="13.5" customHeight="1" x14ac:dyDescent="0.3"/>
    <row r="377" s="1" customFormat="1" ht="13.5" customHeight="1" x14ac:dyDescent="0.3"/>
    <row r="378" s="1" customFormat="1" ht="13.5" customHeight="1" x14ac:dyDescent="0.3"/>
    <row r="379" s="1" customFormat="1" ht="13.5" customHeight="1" x14ac:dyDescent="0.3"/>
    <row r="380" s="1" customFormat="1" ht="13.5" customHeight="1" x14ac:dyDescent="0.3"/>
    <row r="381" s="1" customFormat="1" ht="13.5" customHeight="1" x14ac:dyDescent="0.3"/>
    <row r="382" s="1" customFormat="1" ht="13.5" customHeight="1" x14ac:dyDescent="0.3"/>
    <row r="383" s="1" customFormat="1" ht="13.5" customHeight="1" x14ac:dyDescent="0.3"/>
    <row r="384" s="1" customFormat="1" ht="13.5" customHeight="1" x14ac:dyDescent="0.3"/>
    <row r="385" s="1" customFormat="1" ht="13.5" customHeight="1" x14ac:dyDescent="0.3"/>
    <row r="386" s="1" customFormat="1" ht="13.5" customHeight="1" x14ac:dyDescent="0.3"/>
    <row r="387" s="1" customFormat="1" ht="13.5" customHeight="1" x14ac:dyDescent="0.3"/>
    <row r="388" s="1" customFormat="1" ht="13.5" customHeight="1" x14ac:dyDescent="0.3"/>
    <row r="389" s="1" customFormat="1" ht="13.5" customHeight="1" x14ac:dyDescent="0.3"/>
    <row r="390" s="1" customFormat="1" ht="13.5" customHeight="1" x14ac:dyDescent="0.3"/>
    <row r="391" s="1" customFormat="1" ht="13.5" customHeight="1" x14ac:dyDescent="0.3"/>
    <row r="392" s="1" customFormat="1" ht="13.5" customHeight="1" x14ac:dyDescent="0.3"/>
    <row r="393" s="1" customFormat="1" ht="13.5" customHeight="1" x14ac:dyDescent="0.3"/>
    <row r="394" s="1" customFormat="1" ht="13.5" customHeight="1" x14ac:dyDescent="0.3"/>
    <row r="395" s="1" customFormat="1" ht="13.5" customHeight="1" x14ac:dyDescent="0.3"/>
    <row r="396" s="1" customFormat="1" ht="13.5" customHeight="1" x14ac:dyDescent="0.3"/>
    <row r="397" s="1" customFormat="1" ht="13.5" customHeight="1" x14ac:dyDescent="0.3"/>
    <row r="398" s="1" customFormat="1" ht="13.5" customHeight="1" x14ac:dyDescent="0.3"/>
    <row r="399" s="1" customFormat="1" ht="13.5" customHeight="1" x14ac:dyDescent="0.3"/>
    <row r="400" s="1" customFormat="1" ht="13.5" customHeight="1" x14ac:dyDescent="0.3"/>
    <row r="401" s="1" customFormat="1" ht="13.5" customHeight="1" x14ac:dyDescent="0.3"/>
    <row r="402" s="1" customFormat="1" ht="13.5" customHeight="1" x14ac:dyDescent="0.3"/>
    <row r="403" s="1" customFormat="1" ht="13.5" customHeight="1" x14ac:dyDescent="0.3"/>
    <row r="404" s="1" customFormat="1" ht="13.5" customHeight="1" x14ac:dyDescent="0.3"/>
    <row r="405" s="1" customFormat="1" ht="13.5" customHeight="1" x14ac:dyDescent="0.3"/>
    <row r="406" s="1" customFormat="1" ht="13.5" customHeight="1" x14ac:dyDescent="0.3"/>
    <row r="407" s="1" customFormat="1" ht="13.5" customHeight="1" x14ac:dyDescent="0.3"/>
    <row r="408" s="1" customFormat="1" ht="13.5" customHeight="1" x14ac:dyDescent="0.3"/>
    <row r="409" s="1" customFormat="1" ht="13.5" customHeight="1" x14ac:dyDescent="0.3"/>
    <row r="410" s="1" customFormat="1" ht="13.5" customHeight="1" x14ac:dyDescent="0.3"/>
    <row r="411" s="1" customFormat="1" ht="13.5" customHeight="1" x14ac:dyDescent="0.3"/>
    <row r="412" s="1" customFormat="1" ht="13.5" customHeight="1" x14ac:dyDescent="0.3"/>
    <row r="413" s="1" customFormat="1" ht="13.5" customHeight="1" x14ac:dyDescent="0.3"/>
    <row r="414" s="1" customFormat="1" ht="13.5" customHeight="1" x14ac:dyDescent="0.3"/>
    <row r="415" s="1" customFormat="1" ht="13.5" customHeight="1" x14ac:dyDescent="0.3"/>
    <row r="416" s="1" customFormat="1" ht="13.5" customHeight="1" x14ac:dyDescent="0.3"/>
    <row r="417" s="1" customFormat="1" ht="13.5" customHeight="1" x14ac:dyDescent="0.3"/>
    <row r="418" s="1" customFormat="1" ht="13.5" customHeight="1" x14ac:dyDescent="0.3"/>
    <row r="419" s="1" customFormat="1" ht="13.5" customHeight="1" x14ac:dyDescent="0.3"/>
    <row r="420" s="1" customFormat="1" ht="13.5" customHeight="1" x14ac:dyDescent="0.3"/>
    <row r="421" s="1" customFormat="1" ht="13.5" customHeight="1" x14ac:dyDescent="0.3"/>
    <row r="422" s="1" customFormat="1" ht="13.5" customHeight="1" x14ac:dyDescent="0.3"/>
    <row r="423" s="1" customFormat="1" ht="13.5" customHeight="1" x14ac:dyDescent="0.3"/>
    <row r="424" s="1" customFormat="1" ht="13.5" customHeight="1" x14ac:dyDescent="0.3"/>
    <row r="425" s="1" customFormat="1" ht="13.5" customHeight="1" x14ac:dyDescent="0.3"/>
    <row r="426" s="1" customFormat="1" ht="13.5" customHeight="1" x14ac:dyDescent="0.3"/>
    <row r="427" s="1" customFormat="1" ht="13.5" customHeight="1" x14ac:dyDescent="0.3"/>
    <row r="428" s="1" customFormat="1" ht="13.5" customHeight="1" x14ac:dyDescent="0.3"/>
    <row r="429" s="1" customFormat="1" ht="13.5" customHeight="1" x14ac:dyDescent="0.3"/>
    <row r="430" s="1" customFormat="1" ht="13.5" customHeight="1" x14ac:dyDescent="0.3"/>
    <row r="431" s="1" customFormat="1" ht="13.5" customHeight="1" x14ac:dyDescent="0.3"/>
    <row r="432" s="1" customFormat="1" ht="13.5" customHeight="1" x14ac:dyDescent="0.3"/>
    <row r="433" s="1" customFormat="1" ht="13.5" customHeight="1" x14ac:dyDescent="0.3"/>
    <row r="434" s="1" customFormat="1" ht="13.5" customHeight="1" x14ac:dyDescent="0.3"/>
    <row r="435" s="1" customFormat="1" ht="13.5" customHeight="1" x14ac:dyDescent="0.3"/>
    <row r="436" s="1" customFormat="1" ht="13.5" customHeight="1" x14ac:dyDescent="0.3"/>
    <row r="437" s="1" customFormat="1" ht="13.5" customHeight="1" x14ac:dyDescent="0.3"/>
    <row r="438" s="1" customFormat="1" ht="13.5" customHeight="1" x14ac:dyDescent="0.3"/>
    <row r="439" s="1" customFormat="1" ht="13.5" customHeight="1" x14ac:dyDescent="0.3"/>
    <row r="440" s="1" customFormat="1" ht="13.5" customHeight="1" x14ac:dyDescent="0.3"/>
    <row r="441" s="1" customFormat="1" ht="13.5" customHeight="1" x14ac:dyDescent="0.3"/>
    <row r="442" s="1" customFormat="1" ht="13.5" customHeight="1" x14ac:dyDescent="0.3"/>
    <row r="443" s="1" customFormat="1" ht="13.5" customHeight="1" x14ac:dyDescent="0.3"/>
    <row r="444" s="1" customFormat="1" ht="13.5" customHeight="1" x14ac:dyDescent="0.3"/>
    <row r="445" s="1" customFormat="1" ht="13.5" customHeight="1" x14ac:dyDescent="0.3"/>
    <row r="446" s="1" customFormat="1" ht="13.5" customHeight="1" x14ac:dyDescent="0.3"/>
    <row r="447" s="1" customFormat="1" ht="13.5" customHeight="1" x14ac:dyDescent="0.3"/>
    <row r="448" s="1" customFormat="1" ht="13.5" customHeight="1" x14ac:dyDescent="0.3"/>
    <row r="449" s="1" customFormat="1" ht="13.5" customHeight="1" x14ac:dyDescent="0.3"/>
    <row r="450" s="1" customFormat="1" ht="13.5" customHeight="1" x14ac:dyDescent="0.3"/>
    <row r="451" s="1" customFormat="1" ht="13.5" customHeight="1" x14ac:dyDescent="0.3"/>
    <row r="452" s="1" customFormat="1" ht="13.5" customHeight="1" x14ac:dyDescent="0.3"/>
    <row r="453" s="1" customFormat="1" ht="13.5" customHeight="1" x14ac:dyDescent="0.3"/>
    <row r="454" s="1" customFormat="1" ht="13.5" customHeight="1" x14ac:dyDescent="0.3"/>
    <row r="455" s="1" customFormat="1" ht="13.5" customHeight="1" x14ac:dyDescent="0.3"/>
    <row r="456" s="1" customFormat="1" ht="13.5" customHeight="1" x14ac:dyDescent="0.3"/>
    <row r="457" s="1" customFormat="1" ht="13.5" customHeight="1" x14ac:dyDescent="0.3"/>
    <row r="458" s="1" customFormat="1" ht="13.5" customHeight="1" x14ac:dyDescent="0.3"/>
    <row r="459" s="1" customFormat="1" ht="13.5" customHeight="1" x14ac:dyDescent="0.3"/>
    <row r="460" s="1" customFormat="1" ht="13.5" customHeight="1" x14ac:dyDescent="0.3"/>
    <row r="461" s="1" customFormat="1" ht="13.5" customHeight="1" x14ac:dyDescent="0.3"/>
    <row r="462" s="1" customFormat="1" ht="13.5" customHeight="1" x14ac:dyDescent="0.3"/>
    <row r="463" s="1" customFormat="1" ht="13.5" customHeight="1" x14ac:dyDescent="0.3"/>
    <row r="464" s="1" customFormat="1" ht="13.5" customHeight="1" x14ac:dyDescent="0.3"/>
    <row r="465" s="1" customFormat="1" ht="13.5" customHeight="1" x14ac:dyDescent="0.3"/>
    <row r="466" s="1" customFormat="1" ht="13.5" customHeight="1" x14ac:dyDescent="0.3"/>
    <row r="467" s="1" customFormat="1" ht="13.5" customHeight="1" x14ac:dyDescent="0.3"/>
    <row r="468" s="1" customFormat="1" ht="13.5" customHeight="1" x14ac:dyDescent="0.3"/>
    <row r="469" s="1" customFormat="1" ht="13.5" customHeight="1" x14ac:dyDescent="0.3"/>
    <row r="470" s="1" customFormat="1" ht="13.5" customHeight="1" x14ac:dyDescent="0.3"/>
    <row r="471" s="1" customFormat="1" ht="13.5" customHeight="1" x14ac:dyDescent="0.3"/>
    <row r="472" s="1" customFormat="1" ht="13.5" customHeight="1" x14ac:dyDescent="0.3"/>
    <row r="473" s="1" customFormat="1" ht="13.5" customHeight="1" x14ac:dyDescent="0.3"/>
    <row r="474" s="1" customFormat="1" ht="13.5" customHeight="1" x14ac:dyDescent="0.3"/>
    <row r="475" s="1" customFormat="1" ht="13.5" customHeight="1" x14ac:dyDescent="0.3"/>
    <row r="476" s="1" customFormat="1" ht="13.5" customHeight="1" x14ac:dyDescent="0.3"/>
    <row r="477" s="1" customFormat="1" ht="13.5" customHeight="1" x14ac:dyDescent="0.3"/>
    <row r="478" s="1" customFormat="1" ht="13.5" customHeight="1" x14ac:dyDescent="0.3"/>
    <row r="479" s="1" customFormat="1" ht="13.5" customHeight="1" x14ac:dyDescent="0.3"/>
    <row r="480" s="1" customFormat="1" ht="13.5" customHeight="1" x14ac:dyDescent="0.3"/>
    <row r="481" s="1" customFormat="1" ht="13.5" customHeight="1" x14ac:dyDescent="0.3"/>
    <row r="482" s="1" customFormat="1" ht="13.5" customHeight="1" x14ac:dyDescent="0.3"/>
    <row r="483" s="1" customFormat="1" ht="13.5" customHeight="1" x14ac:dyDescent="0.3"/>
    <row r="484" s="1" customFormat="1" ht="13.5" customHeight="1" x14ac:dyDescent="0.3"/>
    <row r="485" s="1" customFormat="1" ht="13.5" customHeight="1" x14ac:dyDescent="0.3"/>
    <row r="486" s="1" customFormat="1" ht="13.5" customHeight="1" x14ac:dyDescent="0.3"/>
    <row r="487" s="1" customFormat="1" ht="13.5" customHeight="1" x14ac:dyDescent="0.3"/>
    <row r="488" s="1" customFormat="1" ht="13.5" customHeight="1" x14ac:dyDescent="0.3"/>
    <row r="489" s="1" customFormat="1" ht="13.5" customHeight="1" x14ac:dyDescent="0.3"/>
    <row r="490" s="1" customFormat="1" ht="13.5" customHeight="1" x14ac:dyDescent="0.3"/>
    <row r="491" s="1" customFormat="1" ht="13.5" customHeight="1" x14ac:dyDescent="0.3"/>
    <row r="492" s="1" customFormat="1" ht="13.5" customHeight="1" x14ac:dyDescent="0.3"/>
    <row r="493" s="1" customFormat="1" ht="13.5" customHeight="1" x14ac:dyDescent="0.3"/>
    <row r="494" s="1" customFormat="1" ht="13.5" customHeight="1" x14ac:dyDescent="0.3"/>
    <row r="495" s="1" customFormat="1" ht="13.5" customHeight="1" x14ac:dyDescent="0.3"/>
    <row r="496" s="1" customFormat="1" ht="13.5" customHeight="1" x14ac:dyDescent="0.3"/>
    <row r="497" s="1" customFormat="1" ht="13.5" customHeight="1" x14ac:dyDescent="0.3"/>
    <row r="498" s="1" customFormat="1" ht="13.5" customHeight="1" x14ac:dyDescent="0.3"/>
    <row r="499" s="1" customFormat="1" ht="13.5" customHeight="1" x14ac:dyDescent="0.3"/>
    <row r="500" s="1" customFormat="1" ht="13.5" customHeight="1" x14ac:dyDescent="0.3"/>
    <row r="501" s="1" customFormat="1" ht="13.5" customHeight="1" x14ac:dyDescent="0.3"/>
    <row r="502" s="1" customFormat="1" ht="13.5" customHeight="1" x14ac:dyDescent="0.3"/>
    <row r="503" s="1" customFormat="1" ht="13.5" customHeight="1" x14ac:dyDescent="0.3"/>
    <row r="504" s="1" customFormat="1" ht="13.5" customHeight="1" x14ac:dyDescent="0.3"/>
    <row r="505" s="1" customFormat="1" ht="13.5" customHeight="1" x14ac:dyDescent="0.3"/>
    <row r="506" s="1" customFormat="1" ht="13.5" customHeight="1" x14ac:dyDescent="0.3"/>
    <row r="507" s="1" customFormat="1" ht="13.5" customHeight="1" x14ac:dyDescent="0.3"/>
    <row r="508" s="1" customFormat="1" ht="13.5" customHeight="1" x14ac:dyDescent="0.3"/>
    <row r="509" s="1" customFormat="1" ht="13.5" customHeight="1" x14ac:dyDescent="0.3"/>
    <row r="510" s="1" customFormat="1" ht="13.5" customHeight="1" x14ac:dyDescent="0.3"/>
    <row r="511" s="1" customFormat="1" ht="13.5" customHeight="1" x14ac:dyDescent="0.3"/>
    <row r="512" s="1" customFormat="1" ht="13.5" customHeight="1" x14ac:dyDescent="0.3"/>
    <row r="513" s="1" customFormat="1" ht="13.5" customHeight="1" x14ac:dyDescent="0.3"/>
    <row r="514" s="1" customFormat="1" ht="13.5" customHeight="1" x14ac:dyDescent="0.3"/>
    <row r="515" s="1" customFormat="1" ht="13.5" customHeight="1" x14ac:dyDescent="0.3"/>
    <row r="516" s="1" customFormat="1" ht="13.5" customHeight="1" x14ac:dyDescent="0.3"/>
    <row r="517" s="1" customFormat="1" ht="13.5" customHeight="1" x14ac:dyDescent="0.3"/>
    <row r="518" s="1" customFormat="1" ht="13.5" customHeight="1" x14ac:dyDescent="0.3"/>
    <row r="519" s="1" customFormat="1" ht="13.5" customHeight="1" x14ac:dyDescent="0.3"/>
    <row r="520" s="1" customFormat="1" ht="13.5" customHeight="1" x14ac:dyDescent="0.3"/>
    <row r="521" s="1" customFormat="1" ht="13.5" customHeight="1" x14ac:dyDescent="0.3"/>
    <row r="522" s="1" customFormat="1" ht="13.5" customHeight="1" x14ac:dyDescent="0.3"/>
    <row r="523" s="1" customFormat="1" ht="13.5" customHeight="1" x14ac:dyDescent="0.3"/>
    <row r="524" s="1" customFormat="1" ht="13.5" customHeight="1" x14ac:dyDescent="0.3"/>
    <row r="525" s="1" customFormat="1" ht="13.5" customHeight="1" x14ac:dyDescent="0.3"/>
    <row r="526" s="1" customFormat="1" ht="13.5" customHeight="1" x14ac:dyDescent="0.3"/>
    <row r="527" s="1" customFormat="1" ht="13.5" customHeight="1" x14ac:dyDescent="0.3"/>
    <row r="528" s="1" customFormat="1" ht="13.5" customHeight="1" x14ac:dyDescent="0.3"/>
    <row r="529" s="1" customFormat="1" ht="13.5" customHeight="1" x14ac:dyDescent="0.3"/>
    <row r="530" s="1" customFormat="1" ht="13.5" customHeight="1" x14ac:dyDescent="0.3"/>
    <row r="531" s="1" customFormat="1" ht="13.5" customHeight="1" x14ac:dyDescent="0.3"/>
    <row r="532" s="1" customFormat="1" ht="13.5" customHeight="1" x14ac:dyDescent="0.3"/>
    <row r="533" s="1" customFormat="1" ht="13.5" customHeight="1" x14ac:dyDescent="0.3"/>
    <row r="534" s="1" customFormat="1" ht="13.5" customHeight="1" x14ac:dyDescent="0.3"/>
    <row r="535" s="1" customFormat="1" ht="13.5" customHeight="1" x14ac:dyDescent="0.3"/>
    <row r="536" s="1" customFormat="1" ht="13.5" customHeight="1" x14ac:dyDescent="0.3"/>
    <row r="537" s="1" customFormat="1" ht="13.5" customHeight="1" x14ac:dyDescent="0.3"/>
    <row r="538" s="1" customFormat="1" ht="13.5" customHeight="1" x14ac:dyDescent="0.3"/>
    <row r="539" s="1" customFormat="1" ht="13.5" customHeight="1" x14ac:dyDescent="0.3"/>
    <row r="540" s="1" customFormat="1" ht="13.5" customHeight="1" x14ac:dyDescent="0.3"/>
    <row r="541" s="1" customFormat="1" ht="13.5" customHeight="1" x14ac:dyDescent="0.3"/>
    <row r="542" s="1" customFormat="1" ht="13.5" customHeight="1" x14ac:dyDescent="0.3"/>
    <row r="543" s="1" customFormat="1" ht="13.5" customHeight="1" x14ac:dyDescent="0.3"/>
    <row r="544" s="1" customFormat="1" ht="13.5" customHeight="1" x14ac:dyDescent="0.3"/>
    <row r="545" s="1" customFormat="1" ht="13.5" customHeight="1" x14ac:dyDescent="0.3"/>
    <row r="546" s="1" customFormat="1" ht="13.5" customHeight="1" x14ac:dyDescent="0.3"/>
    <row r="547" s="1" customFormat="1" ht="13.5" customHeight="1" x14ac:dyDescent="0.3"/>
    <row r="548" s="1" customFormat="1" ht="13.5" customHeight="1" x14ac:dyDescent="0.3"/>
    <row r="549" s="1" customFormat="1" ht="13.5" customHeight="1" x14ac:dyDescent="0.3"/>
    <row r="550" s="1" customFormat="1" ht="13.5" customHeight="1" x14ac:dyDescent="0.3"/>
    <row r="551" s="1" customFormat="1" ht="13.5" customHeight="1" x14ac:dyDescent="0.3"/>
    <row r="552" s="1" customFormat="1" ht="13.5" customHeight="1" x14ac:dyDescent="0.3"/>
    <row r="553" s="1" customFormat="1" ht="13.5" customHeight="1" x14ac:dyDescent="0.3"/>
    <row r="554" s="1" customFormat="1" ht="13.5" customHeight="1" x14ac:dyDescent="0.3"/>
    <row r="555" s="1" customFormat="1" ht="13.5" customHeight="1" x14ac:dyDescent="0.3"/>
    <row r="556" s="1" customFormat="1" ht="13.5" customHeight="1" x14ac:dyDescent="0.3"/>
    <row r="557" s="1" customFormat="1" ht="13.5" customHeight="1" x14ac:dyDescent="0.3"/>
    <row r="558" s="1" customFormat="1" ht="13.5" customHeight="1" x14ac:dyDescent="0.3"/>
    <row r="559" s="1" customFormat="1" ht="13.5" customHeight="1" x14ac:dyDescent="0.3"/>
    <row r="560" s="1" customFormat="1" ht="13.5" customHeight="1" x14ac:dyDescent="0.3"/>
    <row r="561" s="1" customFormat="1" ht="13.5" customHeight="1" x14ac:dyDescent="0.3"/>
    <row r="562" s="1" customFormat="1" ht="13.5" customHeight="1" x14ac:dyDescent="0.3"/>
    <row r="563" s="1" customFormat="1" ht="13.5" customHeight="1" x14ac:dyDescent="0.3"/>
    <row r="564" s="1" customFormat="1" ht="13.5" customHeight="1" x14ac:dyDescent="0.3"/>
    <row r="565" s="1" customFormat="1" ht="13.5" customHeight="1" x14ac:dyDescent="0.3"/>
    <row r="566" s="1" customFormat="1" ht="13.5" customHeight="1" x14ac:dyDescent="0.3"/>
    <row r="567" s="1" customFormat="1" ht="13.5" customHeight="1" x14ac:dyDescent="0.3"/>
    <row r="568" s="1" customFormat="1" ht="13.5" customHeight="1" x14ac:dyDescent="0.3"/>
    <row r="569" s="1" customFormat="1" ht="13.5" customHeight="1" x14ac:dyDescent="0.3"/>
    <row r="570" s="1" customFormat="1" ht="13.5" customHeight="1" x14ac:dyDescent="0.3"/>
    <row r="571" s="1" customFormat="1" ht="13.5" customHeight="1" x14ac:dyDescent="0.3"/>
    <row r="572" s="1" customFormat="1" ht="13.5" customHeight="1" x14ac:dyDescent="0.3"/>
    <row r="573" s="1" customFormat="1" ht="13.5" customHeight="1" x14ac:dyDescent="0.3"/>
    <row r="574" s="1" customFormat="1" ht="13.5" customHeight="1" x14ac:dyDescent="0.3"/>
    <row r="575" s="1" customFormat="1" ht="13.5" customHeight="1" x14ac:dyDescent="0.3"/>
    <row r="576" s="1" customFormat="1" ht="13.5" customHeight="1" x14ac:dyDescent="0.3"/>
    <row r="577" s="1" customFormat="1" ht="13.5" customHeight="1" x14ac:dyDescent="0.3"/>
    <row r="578" s="1" customFormat="1" ht="13.5" customHeight="1" x14ac:dyDescent="0.3"/>
    <row r="579" s="1" customFormat="1" ht="13.5" customHeight="1" x14ac:dyDescent="0.3"/>
    <row r="580" s="1" customFormat="1" ht="13.5" customHeight="1" x14ac:dyDescent="0.3"/>
    <row r="581" s="1" customFormat="1" ht="13.5" customHeight="1" x14ac:dyDescent="0.3"/>
    <row r="582" s="1" customFormat="1" ht="13.5" customHeight="1" x14ac:dyDescent="0.3"/>
    <row r="583" s="1" customFormat="1" ht="13.5" customHeight="1" x14ac:dyDescent="0.3"/>
    <row r="584" s="1" customFormat="1" ht="13.5" customHeight="1" x14ac:dyDescent="0.3"/>
    <row r="585" s="1" customFormat="1" ht="13.5" customHeight="1" x14ac:dyDescent="0.3"/>
    <row r="586" s="1" customFormat="1" ht="13.5" customHeight="1" x14ac:dyDescent="0.3"/>
    <row r="587" s="1" customFormat="1" ht="13.5" customHeight="1" x14ac:dyDescent="0.3"/>
    <row r="588" s="1" customFormat="1" ht="13.5" customHeight="1" x14ac:dyDescent="0.3"/>
    <row r="589" s="1" customFormat="1" ht="13.5" customHeight="1" x14ac:dyDescent="0.3"/>
    <row r="590" s="1" customFormat="1" ht="13.5" customHeight="1" x14ac:dyDescent="0.3"/>
    <row r="591" s="1" customFormat="1" ht="13.5" customHeight="1" x14ac:dyDescent="0.3"/>
    <row r="592" s="1" customFormat="1" ht="13.5" customHeight="1" x14ac:dyDescent="0.3"/>
    <row r="593" s="1" customFormat="1" ht="13.5" customHeight="1" x14ac:dyDescent="0.3"/>
    <row r="594" s="1" customFormat="1" ht="13.5" customHeight="1" x14ac:dyDescent="0.3"/>
    <row r="595" s="1" customFormat="1" ht="13.5" customHeight="1" x14ac:dyDescent="0.3"/>
    <row r="596" s="1" customFormat="1" ht="13.5" customHeight="1" x14ac:dyDescent="0.3"/>
    <row r="597" s="1" customFormat="1" ht="13.5" customHeight="1" x14ac:dyDescent="0.3"/>
    <row r="598" s="1" customFormat="1" ht="13.5" customHeight="1" x14ac:dyDescent="0.3"/>
    <row r="599" s="1" customFormat="1" ht="13.5" customHeight="1" x14ac:dyDescent="0.3"/>
    <row r="600" s="1" customFormat="1" ht="13.5" customHeight="1" x14ac:dyDescent="0.3"/>
    <row r="601" s="1" customFormat="1" ht="13.5" customHeight="1" x14ac:dyDescent="0.3"/>
    <row r="602" s="1" customFormat="1" ht="13.5" customHeight="1" x14ac:dyDescent="0.3"/>
    <row r="603" s="1" customFormat="1" ht="13.5" customHeight="1" x14ac:dyDescent="0.3"/>
    <row r="604" s="1" customFormat="1" ht="13.5" customHeight="1" x14ac:dyDescent="0.3"/>
    <row r="605" s="1" customFormat="1" ht="13.5" customHeight="1" x14ac:dyDescent="0.3"/>
    <row r="606" s="1" customFormat="1" ht="13.5" customHeight="1" x14ac:dyDescent="0.3"/>
    <row r="607" s="1" customFormat="1" ht="13.5" customHeight="1" x14ac:dyDescent="0.3"/>
    <row r="608" s="1" customFormat="1" ht="13.5" customHeight="1" x14ac:dyDescent="0.3"/>
    <row r="609" s="1" customFormat="1" ht="13.5" customHeight="1" x14ac:dyDescent="0.3"/>
    <row r="610" s="1" customFormat="1" ht="13.5" customHeight="1" x14ac:dyDescent="0.3"/>
    <row r="611" s="1" customFormat="1" ht="13.5" customHeight="1" x14ac:dyDescent="0.3"/>
    <row r="612" s="1" customFormat="1" ht="13.5" customHeight="1" x14ac:dyDescent="0.3"/>
    <row r="613" s="1" customFormat="1" ht="13.5" customHeight="1" x14ac:dyDescent="0.3"/>
    <row r="614" s="1" customFormat="1" ht="13.5" customHeight="1" x14ac:dyDescent="0.3"/>
    <row r="615" s="1" customFormat="1" ht="13.5" customHeight="1" x14ac:dyDescent="0.3"/>
    <row r="616" s="1" customFormat="1" ht="13.5" customHeight="1" x14ac:dyDescent="0.3"/>
    <row r="617" s="1" customFormat="1" ht="13.5" customHeight="1" x14ac:dyDescent="0.3"/>
    <row r="618" s="1" customFormat="1" ht="13.5" customHeight="1" x14ac:dyDescent="0.3"/>
    <row r="619" s="1" customFormat="1" ht="13.5" customHeight="1" x14ac:dyDescent="0.3"/>
    <row r="620" s="1" customFormat="1" ht="13.5" customHeight="1" x14ac:dyDescent="0.3"/>
    <row r="621" s="1" customFormat="1" ht="13.5" customHeight="1" x14ac:dyDescent="0.3"/>
    <row r="622" s="1" customFormat="1" ht="13.5" customHeight="1" x14ac:dyDescent="0.3"/>
    <row r="623" s="1" customFormat="1" ht="13.5" customHeight="1" x14ac:dyDescent="0.3"/>
    <row r="624" s="1" customFormat="1" ht="13.5" customHeight="1" x14ac:dyDescent="0.3"/>
    <row r="625" s="1" customFormat="1" ht="13.5" customHeight="1" x14ac:dyDescent="0.3"/>
    <row r="626" s="1" customFormat="1" ht="13.5" customHeight="1" x14ac:dyDescent="0.3"/>
    <row r="627" s="1" customFormat="1" ht="13.5" customHeight="1" x14ac:dyDescent="0.3"/>
    <row r="628" s="1" customFormat="1" ht="13.5" customHeight="1" x14ac:dyDescent="0.3"/>
    <row r="629" s="1" customFormat="1" ht="13.5" customHeight="1" x14ac:dyDescent="0.3"/>
    <row r="630" s="1" customFormat="1" ht="13.5" customHeight="1" x14ac:dyDescent="0.3"/>
    <row r="631" s="1" customFormat="1" ht="13.5" customHeight="1" x14ac:dyDescent="0.3"/>
    <row r="632" s="1" customFormat="1" ht="13.5" customHeight="1" x14ac:dyDescent="0.3"/>
    <row r="633" s="1" customFormat="1" ht="13.5" customHeight="1" x14ac:dyDescent="0.3"/>
    <row r="634" s="1" customFormat="1" ht="13.5" customHeight="1" x14ac:dyDescent="0.3"/>
    <row r="635" s="1" customFormat="1" ht="13.5" customHeight="1" x14ac:dyDescent="0.3"/>
    <row r="636" s="1" customFormat="1" ht="13.5" customHeight="1" x14ac:dyDescent="0.3"/>
    <row r="637" s="1" customFormat="1" ht="13.5" customHeight="1" x14ac:dyDescent="0.3"/>
    <row r="638" s="1" customFormat="1" ht="13.5" customHeight="1" x14ac:dyDescent="0.3"/>
    <row r="639" s="1" customFormat="1" ht="13.5" customHeight="1" x14ac:dyDescent="0.3"/>
    <row r="640" s="1" customFormat="1" ht="13.5" customHeight="1" x14ac:dyDescent="0.3"/>
    <row r="641" s="1" customFormat="1" ht="13.5" customHeight="1" x14ac:dyDescent="0.3"/>
    <row r="642" s="1" customFormat="1" ht="13.5" customHeight="1" x14ac:dyDescent="0.3"/>
    <row r="643" s="1" customFormat="1" ht="13.5" customHeight="1" x14ac:dyDescent="0.3"/>
    <row r="644" s="1" customFormat="1" ht="13.5" customHeight="1" x14ac:dyDescent="0.3"/>
    <row r="645" s="1" customFormat="1" ht="13.5" customHeight="1" x14ac:dyDescent="0.3"/>
    <row r="646" s="1" customFormat="1" ht="13.5" customHeight="1" x14ac:dyDescent="0.3"/>
    <row r="647" s="1" customFormat="1" ht="13.5" customHeight="1" x14ac:dyDescent="0.3"/>
    <row r="648" s="1" customFormat="1" ht="13.5" customHeight="1" x14ac:dyDescent="0.3"/>
    <row r="649" s="1" customFormat="1" ht="13.5" customHeight="1" x14ac:dyDescent="0.3"/>
    <row r="650" s="1" customFormat="1" ht="13.5" customHeight="1" x14ac:dyDescent="0.3"/>
    <row r="651" s="1" customFormat="1" ht="13.5" customHeight="1" x14ac:dyDescent="0.3"/>
    <row r="652" s="1" customFormat="1" ht="13.5" customHeight="1" x14ac:dyDescent="0.3"/>
    <row r="653" s="1" customFormat="1" ht="13.5" customHeight="1" x14ac:dyDescent="0.3"/>
    <row r="654" s="1" customFormat="1" ht="13.5" customHeight="1" x14ac:dyDescent="0.3"/>
    <row r="655" s="1" customFormat="1" ht="13.5" customHeight="1" x14ac:dyDescent="0.3"/>
    <row r="656" s="1" customFormat="1" ht="13.5" customHeight="1" x14ac:dyDescent="0.3"/>
    <row r="657" s="1" customFormat="1" ht="13.5" customHeight="1" x14ac:dyDescent="0.3"/>
    <row r="658" s="1" customFormat="1" ht="13.5" customHeight="1" x14ac:dyDescent="0.3"/>
    <row r="659" s="1" customFormat="1" ht="13.5" customHeight="1" x14ac:dyDescent="0.3"/>
    <row r="660" s="1" customFormat="1" ht="13.5" customHeight="1" x14ac:dyDescent="0.3"/>
    <row r="661" s="1" customFormat="1" ht="13.5" customHeight="1" x14ac:dyDescent="0.3"/>
    <row r="662" s="1" customFormat="1" ht="13.5" customHeight="1" x14ac:dyDescent="0.3"/>
    <row r="663" s="1" customFormat="1" ht="13.5" customHeight="1" x14ac:dyDescent="0.3"/>
    <row r="664" s="1" customFormat="1" ht="13.5" customHeight="1" x14ac:dyDescent="0.3"/>
    <row r="665" s="1" customFormat="1" ht="13.5" customHeight="1" x14ac:dyDescent="0.3"/>
    <row r="666" s="1" customFormat="1" ht="13.5" customHeight="1" x14ac:dyDescent="0.3"/>
    <row r="667" s="1" customFormat="1" ht="13.5" customHeight="1" x14ac:dyDescent="0.3"/>
    <row r="668" s="1" customFormat="1" ht="13.5" customHeight="1" x14ac:dyDescent="0.3"/>
    <row r="669" s="1" customFormat="1" ht="13.5" customHeight="1" x14ac:dyDescent="0.3"/>
    <row r="670" s="1" customFormat="1" ht="13.5" customHeight="1" x14ac:dyDescent="0.3"/>
    <row r="671" s="1" customFormat="1" ht="13.5" customHeight="1" x14ac:dyDescent="0.3"/>
    <row r="672" s="1" customFormat="1" ht="13.5" customHeight="1" x14ac:dyDescent="0.3"/>
    <row r="673" s="1" customFormat="1" ht="13.5" customHeight="1" x14ac:dyDescent="0.3"/>
    <row r="674" s="1" customFormat="1" ht="13.5" customHeight="1" x14ac:dyDescent="0.3"/>
    <row r="675" s="1" customFormat="1" ht="13.5" customHeight="1" x14ac:dyDescent="0.3"/>
    <row r="676" s="1" customFormat="1" ht="13.5" customHeight="1" x14ac:dyDescent="0.3"/>
    <row r="677" s="1" customFormat="1" ht="13.5" customHeight="1" x14ac:dyDescent="0.3"/>
    <row r="678" s="1" customFormat="1" ht="13.5" customHeight="1" x14ac:dyDescent="0.3"/>
    <row r="679" s="1" customFormat="1" ht="13.5" customHeight="1" x14ac:dyDescent="0.3"/>
    <row r="680" s="1" customFormat="1" ht="13.5" customHeight="1" x14ac:dyDescent="0.3"/>
    <row r="681" s="1" customFormat="1" ht="13.5" customHeight="1" x14ac:dyDescent="0.3"/>
    <row r="682" s="1" customFormat="1" ht="13.5" customHeight="1" x14ac:dyDescent="0.3"/>
    <row r="683" s="1" customFormat="1" ht="13.5" customHeight="1" x14ac:dyDescent="0.3"/>
    <row r="684" s="1" customFormat="1" ht="13.5" customHeight="1" x14ac:dyDescent="0.3"/>
    <row r="685" s="1" customFormat="1" ht="13.5" customHeight="1" x14ac:dyDescent="0.3"/>
    <row r="686" s="1" customFormat="1" ht="13.5" customHeight="1" x14ac:dyDescent="0.3"/>
    <row r="687" s="1" customFormat="1" ht="13.5" customHeight="1" x14ac:dyDescent="0.3"/>
    <row r="688" s="1" customFormat="1" ht="13.5" customHeight="1" x14ac:dyDescent="0.3"/>
    <row r="689" s="1" customFormat="1" ht="13.5" customHeight="1" x14ac:dyDescent="0.3"/>
    <row r="690" s="1" customFormat="1" ht="13.5" customHeight="1" x14ac:dyDescent="0.3"/>
    <row r="691" s="1" customFormat="1" ht="13.5" customHeight="1" x14ac:dyDescent="0.3"/>
    <row r="692" s="1" customFormat="1" ht="13.5" customHeight="1" x14ac:dyDescent="0.3"/>
    <row r="693" s="1" customFormat="1" ht="13.5" customHeight="1" x14ac:dyDescent="0.3"/>
    <row r="694" s="1" customFormat="1" ht="13.5" customHeight="1" x14ac:dyDescent="0.3"/>
    <row r="695" s="1" customFormat="1" ht="13.5" customHeight="1" x14ac:dyDescent="0.3"/>
    <row r="696" s="1" customFormat="1" ht="13.5" customHeight="1" x14ac:dyDescent="0.3"/>
    <row r="697" s="1" customFormat="1" ht="13.5" customHeight="1" x14ac:dyDescent="0.3"/>
    <row r="698" s="1" customFormat="1" ht="13.5" customHeight="1" x14ac:dyDescent="0.3"/>
    <row r="699" s="1" customFormat="1" ht="13.5" customHeight="1" x14ac:dyDescent="0.3"/>
    <row r="700" s="1" customFormat="1" ht="13.5" customHeight="1" x14ac:dyDescent="0.3"/>
    <row r="701" s="1" customFormat="1" ht="13.5" customHeight="1" x14ac:dyDescent="0.3"/>
    <row r="702" s="1" customFormat="1" ht="13.5" customHeight="1" x14ac:dyDescent="0.3"/>
    <row r="703" s="1" customFormat="1" ht="13.5" customHeight="1" x14ac:dyDescent="0.3"/>
    <row r="704" s="1" customFormat="1" ht="13.5" customHeight="1" x14ac:dyDescent="0.3"/>
    <row r="705" s="1" customFormat="1" ht="13.5" customHeight="1" x14ac:dyDescent="0.3"/>
    <row r="706" s="1" customFormat="1" ht="13.5" customHeight="1" x14ac:dyDescent="0.3"/>
    <row r="707" s="1" customFormat="1" ht="13.5" customHeight="1" x14ac:dyDescent="0.3"/>
    <row r="708" s="1" customFormat="1" ht="13.5" customHeight="1" x14ac:dyDescent="0.3"/>
    <row r="709" s="1" customFormat="1" ht="13.5" customHeight="1" x14ac:dyDescent="0.3"/>
    <row r="710" s="1" customFormat="1" ht="13.5" customHeight="1" x14ac:dyDescent="0.3"/>
    <row r="711" s="1" customFormat="1" ht="13.5" customHeight="1" x14ac:dyDescent="0.3"/>
    <row r="712" s="1" customFormat="1" ht="13.5" customHeight="1" x14ac:dyDescent="0.3"/>
    <row r="713" s="1" customFormat="1" ht="13.5" customHeight="1" x14ac:dyDescent="0.3"/>
    <row r="714" s="1" customFormat="1" ht="13.5" customHeight="1" x14ac:dyDescent="0.3"/>
    <row r="715" s="1" customFormat="1" ht="13.5" customHeight="1" x14ac:dyDescent="0.3"/>
    <row r="716" s="1" customFormat="1" ht="13.5" customHeight="1" x14ac:dyDescent="0.3"/>
    <row r="717" s="1" customFormat="1" ht="13.5" customHeight="1" x14ac:dyDescent="0.3"/>
    <row r="718" s="1" customFormat="1" ht="13.5" customHeight="1" x14ac:dyDescent="0.3"/>
    <row r="719" s="1" customFormat="1" ht="13.5" customHeight="1" x14ac:dyDescent="0.3"/>
    <row r="720" s="1" customFormat="1" ht="13.5" customHeight="1" x14ac:dyDescent="0.3"/>
    <row r="721" s="1" customFormat="1" ht="13.5" customHeight="1" x14ac:dyDescent="0.3"/>
    <row r="722" s="1" customFormat="1" ht="13.5" customHeight="1" x14ac:dyDescent="0.3"/>
    <row r="723" s="1" customFormat="1" ht="13.5" customHeight="1" x14ac:dyDescent="0.3"/>
    <row r="724" s="1" customFormat="1" ht="13.5" customHeight="1" x14ac:dyDescent="0.3"/>
    <row r="725" s="1" customFormat="1" ht="13.5" customHeight="1" x14ac:dyDescent="0.3"/>
    <row r="726" s="1" customFormat="1" ht="13.5" customHeight="1" x14ac:dyDescent="0.3"/>
    <row r="727" s="1" customFormat="1" ht="13.5" customHeight="1" x14ac:dyDescent="0.3"/>
    <row r="728" s="1" customFormat="1" ht="13.5" customHeight="1" x14ac:dyDescent="0.3"/>
    <row r="729" s="1" customFormat="1" ht="13.5" customHeight="1" x14ac:dyDescent="0.3"/>
    <row r="730" s="1" customFormat="1" ht="13.5" customHeight="1" x14ac:dyDescent="0.3"/>
    <row r="731" s="1" customFormat="1" ht="13.5" customHeight="1" x14ac:dyDescent="0.3"/>
    <row r="732" s="1" customFormat="1" ht="13.5" customHeight="1" x14ac:dyDescent="0.3"/>
    <row r="733" s="1" customFormat="1" ht="13.5" customHeight="1" x14ac:dyDescent="0.3"/>
    <row r="734" s="1" customFormat="1" ht="13.5" customHeight="1" x14ac:dyDescent="0.3"/>
    <row r="735" s="1" customFormat="1" ht="13.5" customHeight="1" x14ac:dyDescent="0.3"/>
    <row r="736" s="1" customFormat="1" ht="13.5" customHeight="1" x14ac:dyDescent="0.3"/>
    <row r="737" s="1" customFormat="1" ht="13.5" customHeight="1" x14ac:dyDescent="0.3"/>
    <row r="738" s="1" customFormat="1" ht="13.5" customHeight="1" x14ac:dyDescent="0.3"/>
    <row r="739" s="1" customFormat="1" ht="13.5" customHeight="1" x14ac:dyDescent="0.3"/>
    <row r="740" s="1" customFormat="1" ht="13.5" customHeight="1" x14ac:dyDescent="0.3"/>
    <row r="741" s="1" customFormat="1" ht="13.5" customHeight="1" x14ac:dyDescent="0.3"/>
    <row r="742" s="1" customFormat="1" ht="13.5" customHeight="1" x14ac:dyDescent="0.3"/>
    <row r="743" s="1" customFormat="1" ht="13.5" customHeight="1" x14ac:dyDescent="0.3"/>
    <row r="744" s="1" customFormat="1" ht="13.5" customHeight="1" x14ac:dyDescent="0.3"/>
    <row r="745" s="1" customFormat="1" ht="13.5" customHeight="1" x14ac:dyDescent="0.3"/>
    <row r="746" s="1" customFormat="1" ht="13.5" customHeight="1" x14ac:dyDescent="0.3"/>
    <row r="747" s="1" customFormat="1" ht="13.5" customHeight="1" x14ac:dyDescent="0.3"/>
    <row r="748" s="1" customFormat="1" ht="13.5" customHeight="1" x14ac:dyDescent="0.3"/>
    <row r="749" s="1" customFormat="1" ht="13.5" customHeight="1" x14ac:dyDescent="0.3"/>
    <row r="750" s="1" customFormat="1" ht="13.5" customHeight="1" x14ac:dyDescent="0.3"/>
    <row r="751" s="1" customFormat="1" ht="13.5" customHeight="1" x14ac:dyDescent="0.3"/>
    <row r="752" s="1" customFormat="1" ht="13.5" customHeight="1" x14ac:dyDescent="0.3"/>
    <row r="753" s="1" customFormat="1" ht="13.5" customHeight="1" x14ac:dyDescent="0.3"/>
    <row r="754" s="1" customFormat="1" ht="13.5" customHeight="1" x14ac:dyDescent="0.3"/>
    <row r="755" s="1" customFormat="1" ht="13.5" customHeight="1" x14ac:dyDescent="0.3"/>
    <row r="756" s="1" customFormat="1" ht="13.5" customHeight="1" x14ac:dyDescent="0.3"/>
    <row r="757" s="1" customFormat="1" ht="13.5" customHeight="1" x14ac:dyDescent="0.3"/>
    <row r="758" s="1" customFormat="1" ht="13.5" customHeight="1" x14ac:dyDescent="0.3"/>
    <row r="759" s="1" customFormat="1" ht="13.5" customHeight="1" x14ac:dyDescent="0.3"/>
    <row r="760" s="1" customFormat="1" ht="13.5" customHeight="1" x14ac:dyDescent="0.3"/>
    <row r="761" s="1" customFormat="1" ht="13.5" customHeight="1" x14ac:dyDescent="0.3"/>
    <row r="762" s="1" customFormat="1" ht="13.5" customHeight="1" x14ac:dyDescent="0.3"/>
    <row r="763" s="1" customFormat="1" ht="13.5" customHeight="1" x14ac:dyDescent="0.3"/>
    <row r="764" s="1" customFormat="1" ht="13.5" customHeight="1" x14ac:dyDescent="0.3"/>
    <row r="765" s="1" customFormat="1" ht="13.5" customHeight="1" x14ac:dyDescent="0.3"/>
    <row r="766" s="1" customFormat="1" ht="13.5" customHeight="1" x14ac:dyDescent="0.3"/>
    <row r="767" s="1" customFormat="1" ht="13.5" customHeight="1" x14ac:dyDescent="0.3"/>
    <row r="768" s="1" customFormat="1" ht="13.5" customHeight="1" x14ac:dyDescent="0.3"/>
    <row r="769" s="1" customFormat="1" ht="13.5" customHeight="1" x14ac:dyDescent="0.3"/>
    <row r="770" s="1" customFormat="1" ht="13.5" customHeight="1" x14ac:dyDescent="0.3"/>
    <row r="771" s="1" customFormat="1" ht="13.5" customHeight="1" x14ac:dyDescent="0.3"/>
    <row r="772" s="1" customFormat="1" ht="13.5" customHeight="1" x14ac:dyDescent="0.3"/>
    <row r="773" s="1" customFormat="1" ht="13.5" customHeight="1" x14ac:dyDescent="0.3"/>
    <row r="774" s="1" customFormat="1" ht="13.5" customHeight="1" x14ac:dyDescent="0.3"/>
    <row r="775" s="1" customFormat="1" ht="13.5" customHeight="1" x14ac:dyDescent="0.3"/>
    <row r="776" s="1" customFormat="1" ht="13.5" customHeight="1" x14ac:dyDescent="0.3"/>
    <row r="777" s="1" customFormat="1" ht="13.5" customHeight="1" x14ac:dyDescent="0.3"/>
    <row r="778" s="1" customFormat="1" ht="13.5" customHeight="1" x14ac:dyDescent="0.3"/>
    <row r="779" s="1" customFormat="1" ht="13.5" customHeight="1" x14ac:dyDescent="0.3"/>
    <row r="780" s="1" customFormat="1" ht="13.5" customHeight="1" x14ac:dyDescent="0.3"/>
    <row r="781" s="1" customFormat="1" ht="13.5" customHeight="1" x14ac:dyDescent="0.3"/>
    <row r="782" s="1" customFormat="1" ht="13.5" customHeight="1" x14ac:dyDescent="0.3"/>
    <row r="783" s="1" customFormat="1" ht="13.5" customHeight="1" x14ac:dyDescent="0.3"/>
    <row r="784" s="1" customFormat="1" ht="13.5" customHeight="1" x14ac:dyDescent="0.3"/>
    <row r="785" s="1" customFormat="1" ht="13.5" customHeight="1" x14ac:dyDescent="0.3"/>
    <row r="786" s="1" customFormat="1" ht="13.5" customHeight="1" x14ac:dyDescent="0.3"/>
    <row r="787" s="1" customFormat="1" ht="13.5" customHeight="1" x14ac:dyDescent="0.3"/>
    <row r="788" s="1" customFormat="1" ht="13.5" customHeight="1" x14ac:dyDescent="0.3"/>
    <row r="789" s="1" customFormat="1" ht="13.5" customHeight="1" x14ac:dyDescent="0.3"/>
    <row r="790" s="1" customFormat="1" ht="13.5" customHeight="1" x14ac:dyDescent="0.3"/>
    <row r="791" s="1" customFormat="1" ht="13.5" customHeight="1" x14ac:dyDescent="0.3"/>
    <row r="792" s="1" customFormat="1" ht="13.5" customHeight="1" x14ac:dyDescent="0.3"/>
    <row r="793" s="1" customFormat="1" ht="13.5" customHeight="1" x14ac:dyDescent="0.3"/>
    <row r="794" s="1" customFormat="1" ht="13.5" customHeight="1" x14ac:dyDescent="0.3"/>
    <row r="795" s="1" customFormat="1" ht="13.5" customHeight="1" x14ac:dyDescent="0.3"/>
    <row r="796" s="1" customFormat="1" ht="13.5" customHeight="1" x14ac:dyDescent="0.3"/>
    <row r="797" s="1" customFormat="1" ht="13.5" customHeight="1" x14ac:dyDescent="0.3"/>
    <row r="798" s="1" customFormat="1" ht="13.5" customHeight="1" x14ac:dyDescent="0.3"/>
    <row r="799" s="1" customFormat="1" ht="13.5" customHeight="1" x14ac:dyDescent="0.3"/>
    <row r="800" s="1" customFormat="1" ht="13.5" customHeight="1" x14ac:dyDescent="0.3"/>
    <row r="801" s="1" customFormat="1" ht="13.5" customHeight="1" x14ac:dyDescent="0.3"/>
    <row r="802" s="1" customFormat="1" ht="13.5" customHeight="1" x14ac:dyDescent="0.3"/>
    <row r="803" s="1" customFormat="1" ht="13.5" customHeight="1" x14ac:dyDescent="0.3"/>
    <row r="804" s="1" customFormat="1" ht="13.5" customHeight="1" x14ac:dyDescent="0.3"/>
    <row r="805" s="1" customFormat="1" ht="13.5" customHeight="1" x14ac:dyDescent="0.3"/>
    <row r="806" s="1" customFormat="1" ht="13.5" customHeight="1" x14ac:dyDescent="0.3"/>
    <row r="807" s="1" customFormat="1" ht="13.5" customHeight="1" x14ac:dyDescent="0.3"/>
    <row r="808" s="1" customFormat="1" ht="13.5" customHeight="1" x14ac:dyDescent="0.3"/>
    <row r="809" s="1" customFormat="1" ht="13.5" customHeight="1" x14ac:dyDescent="0.3"/>
    <row r="810" s="1" customFormat="1" ht="13.5" customHeight="1" x14ac:dyDescent="0.3"/>
    <row r="811" s="1" customFormat="1" ht="13.5" customHeight="1" x14ac:dyDescent="0.3"/>
    <row r="812" s="1" customFormat="1" ht="13.5" customHeight="1" x14ac:dyDescent="0.3"/>
    <row r="813" s="1" customFormat="1" ht="13.5" customHeight="1" x14ac:dyDescent="0.3"/>
    <row r="814" s="1" customFormat="1" ht="13.5" customHeight="1" x14ac:dyDescent="0.3"/>
    <row r="815" s="1" customFormat="1" ht="13.5" customHeight="1" x14ac:dyDescent="0.3"/>
    <row r="816" s="1" customFormat="1" ht="13.5" customHeight="1" x14ac:dyDescent="0.3"/>
    <row r="817" s="1" customFormat="1" ht="13.5" customHeight="1" x14ac:dyDescent="0.3"/>
    <row r="818" s="1" customFormat="1" ht="13.5" customHeight="1" x14ac:dyDescent="0.3"/>
    <row r="819" s="1" customFormat="1" ht="13.5" customHeight="1" x14ac:dyDescent="0.3"/>
    <row r="820" s="1" customFormat="1" ht="13.5" customHeight="1" x14ac:dyDescent="0.3"/>
    <row r="821" s="1" customFormat="1" ht="13.5" customHeight="1" x14ac:dyDescent="0.3"/>
    <row r="822" s="1" customFormat="1" ht="13.5" customHeight="1" x14ac:dyDescent="0.3"/>
    <row r="823" s="1" customFormat="1" ht="13.5" customHeight="1" x14ac:dyDescent="0.3"/>
    <row r="824" s="1" customFormat="1" ht="13.5" customHeight="1" x14ac:dyDescent="0.3"/>
    <row r="825" s="1" customFormat="1" ht="13.5" customHeight="1" x14ac:dyDescent="0.3"/>
    <row r="826" s="1" customFormat="1" ht="13.5" customHeight="1" x14ac:dyDescent="0.3"/>
    <row r="827" s="1" customFormat="1" ht="13.5" customHeight="1" x14ac:dyDescent="0.3"/>
    <row r="828" s="1" customFormat="1" ht="13.5" customHeight="1" x14ac:dyDescent="0.3"/>
    <row r="829" s="1" customFormat="1" ht="13.5" customHeight="1" x14ac:dyDescent="0.3"/>
    <row r="830" s="1" customFormat="1" ht="13.5" customHeight="1" x14ac:dyDescent="0.3"/>
    <row r="831" s="1" customFormat="1" ht="13.5" customHeight="1" x14ac:dyDescent="0.3"/>
    <row r="832" s="1" customFormat="1" ht="13.5" customHeight="1" x14ac:dyDescent="0.3"/>
    <row r="833" s="1" customFormat="1" ht="13.5" customHeight="1" x14ac:dyDescent="0.3"/>
    <row r="834" s="1" customFormat="1" ht="13.5" customHeight="1" x14ac:dyDescent="0.3"/>
    <row r="835" s="1" customFormat="1" ht="13.5" customHeight="1" x14ac:dyDescent="0.3"/>
    <row r="836" s="1" customFormat="1" ht="13.5" customHeight="1" x14ac:dyDescent="0.3"/>
    <row r="837" s="1" customFormat="1" ht="13.5" customHeight="1" x14ac:dyDescent="0.3"/>
    <row r="838" s="1" customFormat="1" ht="13.5" customHeight="1" x14ac:dyDescent="0.3"/>
    <row r="839" s="1" customFormat="1" ht="13.5" customHeight="1" x14ac:dyDescent="0.3"/>
    <row r="840" s="1" customFormat="1" ht="13.5" customHeight="1" x14ac:dyDescent="0.3"/>
    <row r="841" s="1" customFormat="1" ht="13.5" customHeight="1" x14ac:dyDescent="0.3"/>
    <row r="842" s="1" customFormat="1" ht="13.5" customHeight="1" x14ac:dyDescent="0.3"/>
    <row r="843" s="1" customFormat="1" ht="13.5" customHeight="1" x14ac:dyDescent="0.3"/>
    <row r="844" s="1" customFormat="1" ht="13.5" customHeight="1" x14ac:dyDescent="0.3"/>
    <row r="845" s="1" customFormat="1" ht="13.5" customHeight="1" x14ac:dyDescent="0.3"/>
    <row r="846" s="1" customFormat="1" ht="13.5" customHeight="1" x14ac:dyDescent="0.3"/>
    <row r="847" s="1" customFormat="1" ht="13.5" customHeight="1" x14ac:dyDescent="0.3"/>
    <row r="848" s="1" customFormat="1" ht="13.5" customHeight="1" x14ac:dyDescent="0.3"/>
    <row r="849" s="1" customFormat="1" ht="13.5" customHeight="1" x14ac:dyDescent="0.3"/>
    <row r="850" s="1" customFormat="1" ht="13.5" customHeight="1" x14ac:dyDescent="0.3"/>
    <row r="851" s="1" customFormat="1" ht="13.5" customHeight="1" x14ac:dyDescent="0.3"/>
    <row r="852" s="1" customFormat="1" ht="13.5" customHeight="1" x14ac:dyDescent="0.3"/>
    <row r="853" s="1" customFormat="1" ht="13.5" customHeight="1" x14ac:dyDescent="0.3"/>
    <row r="854" s="1" customFormat="1" ht="13.5" customHeight="1" x14ac:dyDescent="0.3"/>
    <row r="855" s="1" customFormat="1" ht="13.5" customHeight="1" x14ac:dyDescent="0.3"/>
    <row r="856" s="1" customFormat="1" ht="13.5" customHeight="1" x14ac:dyDescent="0.3"/>
    <row r="857" s="1" customFormat="1" ht="13.5" customHeight="1" x14ac:dyDescent="0.3"/>
    <row r="858" s="1" customFormat="1" ht="13.5" customHeight="1" x14ac:dyDescent="0.3"/>
    <row r="859" s="1" customFormat="1" ht="13.5" customHeight="1" x14ac:dyDescent="0.3"/>
    <row r="860" s="1" customFormat="1" ht="13.5" customHeight="1" x14ac:dyDescent="0.3"/>
    <row r="861" s="1" customFormat="1" ht="13.5" customHeight="1" x14ac:dyDescent="0.3"/>
    <row r="862" s="1" customFormat="1" ht="13.5" customHeight="1" x14ac:dyDescent="0.3"/>
    <row r="863" s="1" customFormat="1" ht="13.5" customHeight="1" x14ac:dyDescent="0.3"/>
    <row r="864" s="1" customFormat="1" ht="13.5" customHeight="1" x14ac:dyDescent="0.3"/>
    <row r="865" s="1" customFormat="1" ht="13.5" customHeight="1" x14ac:dyDescent="0.3"/>
    <row r="866" s="1" customFormat="1" ht="13.5" customHeight="1" x14ac:dyDescent="0.3"/>
    <row r="867" s="1" customFormat="1" ht="13.5" customHeight="1" x14ac:dyDescent="0.3"/>
    <row r="868" s="1" customFormat="1" ht="13.5" customHeight="1" x14ac:dyDescent="0.3"/>
    <row r="869" s="1" customFormat="1" ht="13.5" customHeight="1" x14ac:dyDescent="0.3"/>
    <row r="870" s="1" customFormat="1" ht="13.5" customHeight="1" x14ac:dyDescent="0.3"/>
    <row r="871" s="1" customFormat="1" ht="13.5" customHeight="1" x14ac:dyDescent="0.3"/>
    <row r="872" s="1" customFormat="1" ht="13.5" customHeight="1" x14ac:dyDescent="0.3"/>
    <row r="873" s="1" customFormat="1" ht="13.5" customHeight="1" x14ac:dyDescent="0.3"/>
    <row r="874" s="1" customFormat="1" ht="13.5" customHeight="1" x14ac:dyDescent="0.3"/>
    <row r="875" s="1" customFormat="1" ht="13.5" customHeight="1" x14ac:dyDescent="0.3"/>
    <row r="876" s="1" customFormat="1" ht="13.5" customHeight="1" x14ac:dyDescent="0.3"/>
    <row r="877" s="1" customFormat="1" ht="13.5" customHeight="1" x14ac:dyDescent="0.3"/>
    <row r="878" s="1" customFormat="1" ht="13.5" customHeight="1" x14ac:dyDescent="0.3"/>
    <row r="879" s="1" customFormat="1" ht="13.5" customHeight="1" x14ac:dyDescent="0.3"/>
    <row r="880" s="1" customFormat="1" ht="13.5" customHeight="1" x14ac:dyDescent="0.3"/>
    <row r="881" s="1" customFormat="1" ht="13.5" customHeight="1" x14ac:dyDescent="0.3"/>
    <row r="882" s="1" customFormat="1" ht="13.5" customHeight="1" x14ac:dyDescent="0.3"/>
    <row r="883" s="1" customFormat="1" ht="13.5" customHeight="1" x14ac:dyDescent="0.3"/>
    <row r="884" s="1" customFormat="1" ht="13.5" customHeight="1" x14ac:dyDescent="0.3"/>
    <row r="885" s="1" customFormat="1" ht="13.5" customHeight="1" x14ac:dyDescent="0.3"/>
    <row r="886" s="1" customFormat="1" ht="13.5" customHeight="1" x14ac:dyDescent="0.3"/>
    <row r="887" s="1" customFormat="1" ht="13.5" customHeight="1" x14ac:dyDescent="0.3"/>
    <row r="888" s="1" customFormat="1" ht="13.5" customHeight="1" x14ac:dyDescent="0.3"/>
    <row r="889" s="1" customFormat="1" ht="13.5" customHeight="1" x14ac:dyDescent="0.3"/>
    <row r="890" s="1" customFormat="1" ht="13.5" customHeight="1" x14ac:dyDescent="0.3"/>
    <row r="891" s="1" customFormat="1" ht="13.5" customHeight="1" x14ac:dyDescent="0.3"/>
    <row r="892" s="1" customFormat="1" ht="13.5" customHeight="1" x14ac:dyDescent="0.3"/>
    <row r="893" s="1" customFormat="1" ht="13.5" customHeight="1" x14ac:dyDescent="0.3"/>
    <row r="894" s="1" customFormat="1" ht="13.5" customHeight="1" x14ac:dyDescent="0.3"/>
    <row r="895" s="1" customFormat="1" ht="13.5" customHeight="1" x14ac:dyDescent="0.3"/>
    <row r="896" s="1" customFormat="1" ht="13.5" customHeight="1" x14ac:dyDescent="0.3"/>
    <row r="897" s="1" customFormat="1" ht="13.5" customHeight="1" x14ac:dyDescent="0.3"/>
    <row r="898" s="1" customFormat="1" ht="13.5" customHeight="1" x14ac:dyDescent="0.3"/>
    <row r="899" s="1" customFormat="1" ht="13.5" customHeight="1" x14ac:dyDescent="0.3"/>
    <row r="900" s="1" customFormat="1" ht="13.5" customHeight="1" x14ac:dyDescent="0.3"/>
    <row r="901" s="1" customFormat="1" ht="13.5" customHeight="1" x14ac:dyDescent="0.3"/>
    <row r="902" s="1" customFormat="1" ht="13.5" customHeight="1" x14ac:dyDescent="0.3"/>
    <row r="903" s="1" customFormat="1" ht="13.5" customHeight="1" x14ac:dyDescent="0.3"/>
    <row r="904" s="1" customFormat="1" ht="13.5" customHeight="1" x14ac:dyDescent="0.3"/>
    <row r="905" s="1" customFormat="1" ht="13.5" customHeight="1" x14ac:dyDescent="0.3"/>
    <row r="906" s="1" customFormat="1" ht="13.5" customHeight="1" x14ac:dyDescent="0.3"/>
    <row r="907" s="1" customFormat="1" ht="13.5" customHeight="1" x14ac:dyDescent="0.3"/>
    <row r="908" s="1" customFormat="1" ht="13.5" customHeight="1" x14ac:dyDescent="0.3"/>
    <row r="909" s="1" customFormat="1" ht="13.5" customHeight="1" x14ac:dyDescent="0.3"/>
    <row r="910" s="1" customFormat="1" ht="13.5" customHeight="1" x14ac:dyDescent="0.3"/>
    <row r="911" s="1" customFormat="1" ht="13.5" customHeight="1" x14ac:dyDescent="0.3"/>
    <row r="912" s="1" customFormat="1" ht="13.5" customHeight="1" x14ac:dyDescent="0.3"/>
    <row r="913" s="1" customFormat="1" ht="13.5" customHeight="1" x14ac:dyDescent="0.3"/>
    <row r="914" s="1" customFormat="1" ht="13.5" customHeight="1" x14ac:dyDescent="0.3"/>
    <row r="915" s="1" customFormat="1" ht="13.5" customHeight="1" x14ac:dyDescent="0.3"/>
    <row r="916" s="1" customFormat="1" ht="13.5" customHeight="1" x14ac:dyDescent="0.3"/>
    <row r="917" s="1" customFormat="1" ht="13.5" customHeight="1" x14ac:dyDescent="0.3"/>
    <row r="918" s="1" customFormat="1" ht="13.5" customHeight="1" x14ac:dyDescent="0.3"/>
    <row r="919" s="1" customFormat="1" ht="13.5" customHeight="1" x14ac:dyDescent="0.3"/>
    <row r="920" s="1" customFormat="1" ht="13.5" customHeight="1" x14ac:dyDescent="0.3"/>
    <row r="921" s="1" customFormat="1" ht="13.5" customHeight="1" x14ac:dyDescent="0.3"/>
    <row r="922" s="1" customFormat="1" ht="13.5" customHeight="1" x14ac:dyDescent="0.3"/>
    <row r="923" s="1" customFormat="1" ht="13.5" customHeight="1" x14ac:dyDescent="0.3"/>
    <row r="924" s="1" customFormat="1" ht="13.5" customHeight="1" x14ac:dyDescent="0.3"/>
    <row r="925" s="1" customFormat="1" ht="13.5" customHeight="1" x14ac:dyDescent="0.3"/>
    <row r="926" s="1" customFormat="1" ht="13.5" customHeight="1" x14ac:dyDescent="0.3"/>
    <row r="927" s="1" customFormat="1" ht="13.5" customHeight="1" x14ac:dyDescent="0.3"/>
    <row r="928" s="1" customFormat="1" ht="13.5" customHeight="1" x14ac:dyDescent="0.3"/>
    <row r="929" s="1" customFormat="1" ht="13.5" customHeight="1" x14ac:dyDescent="0.3"/>
    <row r="930" s="1" customFormat="1" ht="13.5" customHeight="1" x14ac:dyDescent="0.3"/>
    <row r="931" s="1" customFormat="1" ht="13.5" customHeight="1" x14ac:dyDescent="0.3"/>
    <row r="932" s="1" customFormat="1" ht="13.5" customHeight="1" x14ac:dyDescent="0.3"/>
    <row r="933" s="1" customFormat="1" ht="13.5" customHeight="1" x14ac:dyDescent="0.3"/>
    <row r="934" s="1" customFormat="1" ht="13.5" customHeight="1" x14ac:dyDescent="0.3"/>
    <row r="935" s="1" customFormat="1" ht="13.5" customHeight="1" x14ac:dyDescent="0.3"/>
    <row r="936" s="1" customFormat="1" ht="13.5" customHeight="1" x14ac:dyDescent="0.3"/>
    <row r="937" s="1" customFormat="1" ht="13.5" customHeight="1" x14ac:dyDescent="0.3"/>
    <row r="938" s="1" customFormat="1" ht="13.5" customHeight="1" x14ac:dyDescent="0.3"/>
    <row r="939" s="1" customFormat="1" ht="13.5" customHeight="1" x14ac:dyDescent="0.3"/>
    <row r="940" s="1" customFormat="1" ht="13.5" customHeight="1" x14ac:dyDescent="0.3"/>
    <row r="941" s="1" customFormat="1" ht="13.5" customHeight="1" x14ac:dyDescent="0.3"/>
    <row r="942" s="1" customFormat="1" ht="13.5" customHeight="1" x14ac:dyDescent="0.3"/>
    <row r="943" s="1" customFormat="1" ht="13.5" customHeight="1" x14ac:dyDescent="0.3"/>
    <row r="944" s="1" customFormat="1" ht="13.5" customHeight="1" x14ac:dyDescent="0.3"/>
    <row r="945" s="1" customFormat="1" ht="13.5" customHeight="1" x14ac:dyDescent="0.3"/>
    <row r="946" s="1" customFormat="1" ht="13.5" customHeight="1" x14ac:dyDescent="0.3"/>
    <row r="947" s="1" customFormat="1" ht="13.5" customHeight="1" x14ac:dyDescent="0.3"/>
    <row r="948" s="1" customFormat="1" ht="13.5" customHeight="1" x14ac:dyDescent="0.3"/>
    <row r="949" s="1" customFormat="1" ht="13.5" customHeight="1" x14ac:dyDescent="0.3"/>
    <row r="950" s="1" customFormat="1" ht="13.5" customHeight="1" x14ac:dyDescent="0.3"/>
    <row r="951" s="1" customFormat="1" ht="13.5" customHeight="1" x14ac:dyDescent="0.3"/>
    <row r="952" s="1" customFormat="1" ht="13.5" customHeight="1" x14ac:dyDescent="0.3"/>
    <row r="953" s="1" customFormat="1" ht="13.5" customHeight="1" x14ac:dyDescent="0.3"/>
    <row r="954" s="1" customFormat="1" ht="13.5" customHeight="1" x14ac:dyDescent="0.3"/>
    <row r="955" s="1" customFormat="1" ht="13.5" customHeight="1" x14ac:dyDescent="0.3"/>
    <row r="956" s="1" customFormat="1" ht="13.5" customHeight="1" x14ac:dyDescent="0.3"/>
    <row r="957" s="1" customFormat="1" ht="13.5" customHeight="1" x14ac:dyDescent="0.3"/>
    <row r="958" s="1" customFormat="1" ht="13.5" customHeight="1" x14ac:dyDescent="0.3"/>
    <row r="959" s="1" customFormat="1" ht="13.5" customHeight="1" x14ac:dyDescent="0.3"/>
    <row r="960" s="1" customFormat="1" ht="13.5" customHeight="1" x14ac:dyDescent="0.3"/>
    <row r="961" s="1" customFormat="1" ht="13.5" customHeight="1" x14ac:dyDescent="0.3"/>
    <row r="962" s="1" customFormat="1" ht="13.5" customHeight="1" x14ac:dyDescent="0.3"/>
    <row r="963" s="1" customFormat="1" ht="13.5" customHeight="1" x14ac:dyDescent="0.3"/>
    <row r="964" s="1" customFormat="1" ht="13.5" customHeight="1" x14ac:dyDescent="0.3"/>
    <row r="965" s="1" customFormat="1" ht="13.5" customHeight="1" x14ac:dyDescent="0.3"/>
    <row r="966" s="1" customFormat="1" ht="13.5" customHeight="1" x14ac:dyDescent="0.3"/>
    <row r="967" s="1" customFormat="1" ht="13.5" customHeight="1" x14ac:dyDescent="0.3"/>
    <row r="968" s="1" customFormat="1" ht="13.5" customHeight="1" x14ac:dyDescent="0.3"/>
    <row r="969" s="1" customFormat="1" ht="13.5" customHeight="1" x14ac:dyDescent="0.3"/>
    <row r="970" s="1" customFormat="1" ht="13.5" customHeight="1" x14ac:dyDescent="0.3"/>
    <row r="971" s="1" customFormat="1" ht="13.5" customHeight="1" x14ac:dyDescent="0.3"/>
    <row r="972" s="1" customFormat="1" ht="13.5" customHeight="1" x14ac:dyDescent="0.3"/>
    <row r="973" s="1" customFormat="1" ht="13.5" customHeight="1" x14ac:dyDescent="0.3"/>
    <row r="974" s="1" customFormat="1" ht="13.5" customHeight="1" x14ac:dyDescent="0.3"/>
    <row r="975" s="1" customFormat="1" ht="13.5" customHeight="1" x14ac:dyDescent="0.3"/>
    <row r="976" s="1" customFormat="1" ht="13.5" customHeight="1" x14ac:dyDescent="0.3"/>
    <row r="977" s="1" customFormat="1" ht="13.5" customHeight="1" x14ac:dyDescent="0.3"/>
    <row r="978" s="1" customFormat="1" ht="13.5" customHeight="1" x14ac:dyDescent="0.3"/>
    <row r="979" s="1" customFormat="1" ht="13.5" customHeight="1" x14ac:dyDescent="0.3"/>
    <row r="980" s="1" customFormat="1" ht="13.5" customHeight="1" x14ac:dyDescent="0.3"/>
    <row r="981" s="1" customFormat="1" ht="13.5" customHeight="1" x14ac:dyDescent="0.3"/>
    <row r="982" s="1" customFormat="1" ht="13.5" customHeight="1" x14ac:dyDescent="0.3"/>
    <row r="983" s="1" customFormat="1" ht="13.5" customHeight="1" x14ac:dyDescent="0.3"/>
    <row r="984" s="1" customFormat="1" ht="13.5" customHeight="1" x14ac:dyDescent="0.3"/>
    <row r="985" s="1" customFormat="1" ht="13.5" customHeight="1" x14ac:dyDescent="0.3"/>
    <row r="986" s="1" customFormat="1" ht="13.5" customHeight="1" x14ac:dyDescent="0.3"/>
    <row r="987" s="1" customFormat="1" ht="13.5" customHeight="1" x14ac:dyDescent="0.3"/>
    <row r="988" s="1" customFormat="1" ht="13.5" customHeight="1" x14ac:dyDescent="0.3"/>
    <row r="989" s="1" customFormat="1" ht="13.5" customHeight="1" x14ac:dyDescent="0.3"/>
    <row r="990" s="1" customFormat="1" ht="13.5" customHeight="1" x14ac:dyDescent="0.3"/>
    <row r="991" s="1" customFormat="1" ht="13.5" customHeight="1" x14ac:dyDescent="0.3"/>
    <row r="992" s="1" customFormat="1" ht="13.5" customHeight="1" x14ac:dyDescent="0.3"/>
    <row r="993" s="1" customFormat="1" ht="13.5" customHeight="1" x14ac:dyDescent="0.3"/>
    <row r="994" s="1" customFormat="1" ht="13.5" customHeight="1" x14ac:dyDescent="0.3"/>
    <row r="995" s="1" customFormat="1" ht="13.5" customHeight="1" x14ac:dyDescent="0.3"/>
    <row r="996" s="1" customFormat="1" ht="13.5" customHeight="1" x14ac:dyDescent="0.3"/>
    <row r="997" s="1" customFormat="1" ht="13.5" customHeight="1" x14ac:dyDescent="0.3"/>
    <row r="998" s="1" customFormat="1" ht="13.5" customHeight="1" x14ac:dyDescent="0.3"/>
    <row r="999" s="1" customFormat="1" ht="13.5" customHeight="1" x14ac:dyDescent="0.3"/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592F2-7551-405E-926E-452C7404D338}">
  <dimension ref="A1:M999"/>
  <sheetViews>
    <sheetView workbookViewId="0">
      <selection activeCell="F15" sqref="F15"/>
    </sheetView>
  </sheetViews>
  <sheetFormatPr baseColWidth="10" defaultColWidth="12.6328125" defaultRowHeight="15" customHeight="1" x14ac:dyDescent="0.3"/>
  <cols>
    <col min="1" max="1" width="15.7265625" style="1" customWidth="1"/>
    <col min="2" max="7" width="10.6328125" style="1" customWidth="1"/>
    <col min="8" max="8" width="11.36328125" style="1" customWidth="1"/>
    <col min="9" max="25" width="10.6328125" style="1" customWidth="1"/>
    <col min="26" max="16384" width="12.6328125" style="1"/>
  </cols>
  <sheetData>
    <row r="1" spans="1:13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4.25" customHeight="1" x14ac:dyDescent="0.3">
      <c r="A2" s="1" t="s">
        <v>12</v>
      </c>
      <c r="B2" s="1" t="s">
        <v>13</v>
      </c>
      <c r="C2" s="1">
        <v>1</v>
      </c>
      <c r="H2" s="2" t="s">
        <v>14</v>
      </c>
      <c r="I2" s="3">
        <f t="shared" ref="I2:L2" si="0">SUM(C22+C37+C55+C65+C66+C96+C105+C113+C128+C146+C150)</f>
        <v>11</v>
      </c>
      <c r="J2" s="3">
        <f t="shared" si="0"/>
        <v>0</v>
      </c>
      <c r="K2" s="3">
        <f t="shared" si="0"/>
        <v>0</v>
      </c>
      <c r="L2" s="3">
        <f t="shared" si="0"/>
        <v>0</v>
      </c>
      <c r="M2" s="3">
        <f t="shared" ref="M2:M13" si="1">SUM(I2:L2)</f>
        <v>11</v>
      </c>
    </row>
    <row r="3" spans="1:13" ht="14.25" customHeight="1" x14ac:dyDescent="0.3">
      <c r="A3" s="1" t="s">
        <v>15</v>
      </c>
      <c r="B3" s="1" t="s">
        <v>16</v>
      </c>
      <c r="C3" s="1">
        <v>1</v>
      </c>
      <c r="H3" s="2" t="s">
        <v>17</v>
      </c>
      <c r="I3" s="3">
        <f t="shared" ref="I3:L3" si="2">SUM(C6+C32+C50+C52+C58+C69+C76+C94+C115+C122+C123+C152)</f>
        <v>12</v>
      </c>
      <c r="J3" s="3">
        <f t="shared" si="2"/>
        <v>0</v>
      </c>
      <c r="K3" s="3">
        <f t="shared" si="2"/>
        <v>0</v>
      </c>
      <c r="L3" s="3">
        <f t="shared" si="2"/>
        <v>0</v>
      </c>
      <c r="M3" s="3">
        <f t="shared" si="1"/>
        <v>12</v>
      </c>
    </row>
    <row r="4" spans="1:13" ht="14.25" customHeight="1" x14ac:dyDescent="0.3">
      <c r="A4" s="1" t="s">
        <v>18</v>
      </c>
      <c r="B4" s="1" t="s">
        <v>13</v>
      </c>
      <c r="C4" s="1">
        <v>1</v>
      </c>
      <c r="H4" s="2" t="s">
        <v>19</v>
      </c>
      <c r="I4" s="3">
        <f t="shared" ref="I4:L4" si="3">SUM(C26+C14+C27+C62+C68+C124+C138+C142+C153+C155)</f>
        <v>10</v>
      </c>
      <c r="J4" s="3">
        <f t="shared" si="3"/>
        <v>0</v>
      </c>
      <c r="K4" s="3">
        <f t="shared" si="3"/>
        <v>0</v>
      </c>
      <c r="L4" s="3">
        <f t="shared" si="3"/>
        <v>0</v>
      </c>
      <c r="M4" s="3">
        <f t="shared" si="1"/>
        <v>10</v>
      </c>
    </row>
    <row r="5" spans="1:13" ht="14.25" customHeight="1" x14ac:dyDescent="0.3">
      <c r="A5" s="1" t="s">
        <v>20</v>
      </c>
      <c r="B5" s="1" t="s">
        <v>21</v>
      </c>
      <c r="E5" s="1">
        <v>1</v>
      </c>
      <c r="H5" s="2" t="s">
        <v>22</v>
      </c>
      <c r="I5" s="3">
        <f t="shared" ref="I5:L5" si="4">SUM(C5+C36+C56+C63+C73+C85+C87+C95+C135)</f>
        <v>3</v>
      </c>
      <c r="J5" s="3">
        <f t="shared" si="4"/>
        <v>1</v>
      </c>
      <c r="K5" s="3">
        <f t="shared" si="4"/>
        <v>3</v>
      </c>
      <c r="L5" s="3">
        <f t="shared" si="4"/>
        <v>2</v>
      </c>
      <c r="M5" s="3">
        <f t="shared" si="1"/>
        <v>9</v>
      </c>
    </row>
    <row r="6" spans="1:13" ht="14.25" customHeight="1" x14ac:dyDescent="0.3">
      <c r="A6" s="1" t="s">
        <v>23</v>
      </c>
      <c r="B6" s="1" t="s">
        <v>24</v>
      </c>
      <c r="C6" s="1">
        <v>1</v>
      </c>
      <c r="H6" s="2" t="s">
        <v>25</v>
      </c>
      <c r="I6" s="3">
        <f t="shared" ref="I6:L6" si="5">SUM(C12+C15+C18+C28+C41+C59+C78+C64+C82+C83+C86+C106+C119+C143+C148+C154)</f>
        <v>15</v>
      </c>
      <c r="J6" s="3">
        <f t="shared" si="5"/>
        <v>0</v>
      </c>
      <c r="K6" s="3">
        <f t="shared" si="5"/>
        <v>0</v>
      </c>
      <c r="L6" s="3">
        <f t="shared" si="5"/>
        <v>1</v>
      </c>
      <c r="M6" s="3">
        <f t="shared" si="1"/>
        <v>16</v>
      </c>
    </row>
    <row r="7" spans="1:13" ht="14.25" customHeight="1" x14ac:dyDescent="0.3">
      <c r="A7" s="1" t="s">
        <v>26</v>
      </c>
      <c r="B7" s="1" t="s">
        <v>27</v>
      </c>
      <c r="C7" s="1">
        <v>1</v>
      </c>
      <c r="H7" s="2" t="s">
        <v>28</v>
      </c>
      <c r="I7" s="3">
        <f t="shared" ref="I7:L7" si="6">SUM(C3+C20+C46+C49+C54+C89+C90+C102+C112+C114+C129+C141)</f>
        <v>11</v>
      </c>
      <c r="J7" s="3">
        <f t="shared" si="6"/>
        <v>0</v>
      </c>
      <c r="K7" s="3">
        <f t="shared" si="6"/>
        <v>1</v>
      </c>
      <c r="L7" s="3">
        <f t="shared" si="6"/>
        <v>0</v>
      </c>
      <c r="M7" s="3">
        <f t="shared" si="1"/>
        <v>12</v>
      </c>
    </row>
    <row r="8" spans="1:13" ht="14.25" customHeight="1" x14ac:dyDescent="0.3">
      <c r="A8" s="1" t="s">
        <v>29</v>
      </c>
      <c r="B8" s="1" t="s">
        <v>30</v>
      </c>
      <c r="D8" s="1">
        <v>1</v>
      </c>
      <c r="H8" s="2" t="s">
        <v>27</v>
      </c>
      <c r="I8" s="3">
        <f t="shared" ref="I8:L8" si="7">SUM(C7+C30+C29+C44+C51+C60+C72+C79+C101+C99+C107+C111+C117+C140+C144)</f>
        <v>14</v>
      </c>
      <c r="J8" s="3">
        <f t="shared" si="7"/>
        <v>0</v>
      </c>
      <c r="K8" s="3">
        <f t="shared" si="7"/>
        <v>1</v>
      </c>
      <c r="L8" s="3">
        <f t="shared" si="7"/>
        <v>0</v>
      </c>
      <c r="M8" s="3">
        <f t="shared" si="1"/>
        <v>15</v>
      </c>
    </row>
    <row r="9" spans="1:13" ht="14.25" customHeight="1" x14ac:dyDescent="0.3">
      <c r="A9" s="1" t="s">
        <v>31</v>
      </c>
      <c r="B9" s="1" t="s">
        <v>13</v>
      </c>
      <c r="C9" s="1">
        <v>1</v>
      </c>
      <c r="H9" s="2" t="s">
        <v>13</v>
      </c>
      <c r="I9" s="3">
        <f t="shared" ref="I9:J9" si="8">SUM(C4+C9+C17+C19+C2+C48+C92+C120+C126+C127+C130+C133+C151)</f>
        <v>12</v>
      </c>
      <c r="J9" s="3">
        <f t="shared" si="8"/>
        <v>1</v>
      </c>
      <c r="K9" s="3">
        <f>SUM(D4+D9+D17+D19+D2+D48+D92+D120+D126+D127+D130+D133+D151)</f>
        <v>1</v>
      </c>
      <c r="L9" s="3">
        <f>SUM(F4+F9+F17+F19+F2+F48+F92+F120+F126+F127+F130+F133+F151)</f>
        <v>0</v>
      </c>
      <c r="M9" s="3">
        <f t="shared" si="1"/>
        <v>14</v>
      </c>
    </row>
    <row r="10" spans="1:13" ht="14.25" customHeight="1" x14ac:dyDescent="0.3">
      <c r="A10" s="1" t="s">
        <v>32</v>
      </c>
      <c r="B10" s="1" t="s">
        <v>33</v>
      </c>
      <c r="C10" s="1">
        <v>1</v>
      </c>
      <c r="H10" s="2" t="s">
        <v>30</v>
      </c>
      <c r="I10" s="3">
        <f t="shared" ref="I10:L10" si="9">SUM(C8+C13+C16+C25+C31+C35+C43+C45+C70+C71+C75+C81+C88+C93+C98+C100+C104+C118+C136+C137+C156)</f>
        <v>0</v>
      </c>
      <c r="J10" s="3">
        <f t="shared" si="9"/>
        <v>18</v>
      </c>
      <c r="K10" s="3">
        <f t="shared" si="9"/>
        <v>3</v>
      </c>
      <c r="L10" s="3">
        <f t="shared" si="9"/>
        <v>0</v>
      </c>
      <c r="M10" s="3">
        <f t="shared" si="1"/>
        <v>21</v>
      </c>
    </row>
    <row r="11" spans="1:13" ht="14.25" customHeight="1" x14ac:dyDescent="0.3">
      <c r="A11" s="1" t="s">
        <v>34</v>
      </c>
      <c r="B11" s="1" t="s">
        <v>33</v>
      </c>
      <c r="C11" s="1">
        <v>1</v>
      </c>
      <c r="H11" s="2" t="s">
        <v>35</v>
      </c>
      <c r="I11" s="3">
        <f t="shared" ref="I11:L11" si="10">SUM(C38+C42+C47+C53+C74+C77+C80+C91+C97+C103+C108+C116+C131+C145+C147)</f>
        <v>1</v>
      </c>
      <c r="J11" s="3">
        <f t="shared" si="10"/>
        <v>6</v>
      </c>
      <c r="K11" s="3">
        <f t="shared" si="10"/>
        <v>8</v>
      </c>
      <c r="L11" s="3">
        <f t="shared" si="10"/>
        <v>0</v>
      </c>
      <c r="M11" s="3">
        <f t="shared" si="1"/>
        <v>15</v>
      </c>
    </row>
    <row r="12" spans="1:13" ht="14.25" customHeight="1" x14ac:dyDescent="0.3">
      <c r="A12" s="1" t="s">
        <v>36</v>
      </c>
      <c r="B12" s="1" t="s">
        <v>37</v>
      </c>
      <c r="C12" s="1">
        <v>1</v>
      </c>
      <c r="H12" s="2" t="s">
        <v>38</v>
      </c>
      <c r="I12" s="3">
        <f t="shared" ref="I12:L12" si="11">SUM(C21+C24+C34+C40+C67+C84+C132)</f>
        <v>3</v>
      </c>
      <c r="J12" s="3">
        <f t="shared" si="11"/>
        <v>1</v>
      </c>
      <c r="K12" s="3">
        <f t="shared" si="11"/>
        <v>3</v>
      </c>
      <c r="L12" s="3">
        <f t="shared" si="11"/>
        <v>0</v>
      </c>
      <c r="M12" s="3">
        <f t="shared" si="1"/>
        <v>7</v>
      </c>
    </row>
    <row r="13" spans="1:13" ht="14.25" customHeight="1" x14ac:dyDescent="0.3">
      <c r="A13" s="1" t="s">
        <v>39</v>
      </c>
      <c r="B13" s="1" t="s">
        <v>30</v>
      </c>
      <c r="D13" s="1">
        <v>1</v>
      </c>
      <c r="H13" s="2" t="s">
        <v>33</v>
      </c>
      <c r="I13" s="3">
        <f t="shared" ref="I13:L13" si="12">SUM(C10+C11+C57+C125+C149)</f>
        <v>5</v>
      </c>
      <c r="J13" s="3">
        <f t="shared" si="12"/>
        <v>0</v>
      </c>
      <c r="K13" s="3">
        <f t="shared" si="12"/>
        <v>0</v>
      </c>
      <c r="L13" s="3">
        <f t="shared" si="12"/>
        <v>0</v>
      </c>
      <c r="M13" s="3">
        <f t="shared" si="1"/>
        <v>5</v>
      </c>
    </row>
    <row r="14" spans="1:13" ht="14.25" customHeight="1" x14ac:dyDescent="0.3">
      <c r="A14" s="1" t="s">
        <v>40</v>
      </c>
      <c r="B14" s="1" t="s">
        <v>19</v>
      </c>
      <c r="C14" s="1">
        <v>1</v>
      </c>
      <c r="I14" s="4"/>
      <c r="J14" s="4"/>
      <c r="K14" s="4"/>
      <c r="L14" s="4"/>
    </row>
    <row r="15" spans="1:13" ht="14.25" customHeight="1" x14ac:dyDescent="0.3">
      <c r="A15" s="1" t="s">
        <v>41</v>
      </c>
      <c r="B15" s="1" t="s">
        <v>42</v>
      </c>
      <c r="C15" s="1">
        <v>1</v>
      </c>
      <c r="I15" s="4"/>
      <c r="J15" s="4"/>
      <c r="K15" s="4"/>
      <c r="L15" s="4"/>
    </row>
    <row r="16" spans="1:13" ht="14.25" customHeight="1" x14ac:dyDescent="0.3">
      <c r="A16" s="1" t="s">
        <v>43</v>
      </c>
      <c r="B16" s="1" t="s">
        <v>30</v>
      </c>
      <c r="D16" s="1">
        <v>1</v>
      </c>
      <c r="I16" s="4"/>
      <c r="J16" s="4"/>
      <c r="K16" s="4"/>
      <c r="L16" s="4"/>
    </row>
    <row r="17" spans="1:12" ht="14.25" customHeight="1" x14ac:dyDescent="0.3">
      <c r="A17" s="1" t="s">
        <v>44</v>
      </c>
      <c r="B17" s="1" t="s">
        <v>13</v>
      </c>
      <c r="C17" s="1">
        <v>1</v>
      </c>
      <c r="I17" s="4"/>
      <c r="J17" s="4"/>
      <c r="K17" s="4"/>
      <c r="L17" s="4"/>
    </row>
    <row r="18" spans="1:12" ht="14.25" customHeight="1" x14ac:dyDescent="0.3">
      <c r="A18" s="1" t="s">
        <v>45</v>
      </c>
      <c r="B18" s="1" t="s">
        <v>37</v>
      </c>
      <c r="C18" s="1">
        <v>1</v>
      </c>
      <c r="I18" s="4"/>
      <c r="J18" s="4"/>
      <c r="K18" s="4"/>
      <c r="L18" s="4"/>
    </row>
    <row r="19" spans="1:12" ht="14.25" customHeight="1" x14ac:dyDescent="0.3">
      <c r="A19" s="1" t="s">
        <v>46</v>
      </c>
      <c r="B19" s="1" t="s">
        <v>13</v>
      </c>
      <c r="C19" s="1">
        <v>1</v>
      </c>
    </row>
    <row r="20" spans="1:12" ht="14.25" customHeight="1" x14ac:dyDescent="0.3">
      <c r="A20" s="1" t="s">
        <v>47</v>
      </c>
      <c r="B20" s="1" t="s">
        <v>16</v>
      </c>
      <c r="C20" s="1">
        <v>1</v>
      </c>
    </row>
    <row r="21" spans="1:12" ht="14.25" customHeight="1" x14ac:dyDescent="0.3">
      <c r="A21" s="1" t="s">
        <v>48</v>
      </c>
      <c r="B21" s="1" t="s">
        <v>38</v>
      </c>
      <c r="C21" s="1">
        <v>1</v>
      </c>
    </row>
    <row r="22" spans="1:12" ht="14.25" customHeight="1" x14ac:dyDescent="0.3">
      <c r="A22" s="1" t="s">
        <v>49</v>
      </c>
      <c r="B22" s="1" t="s">
        <v>14</v>
      </c>
      <c r="C22" s="1">
        <v>1</v>
      </c>
    </row>
    <row r="23" spans="1:12" ht="14.25" customHeight="1" x14ac:dyDescent="0.3">
      <c r="A23" s="1" t="s">
        <v>50</v>
      </c>
      <c r="B23" s="1" t="s">
        <v>13</v>
      </c>
      <c r="C23" s="1">
        <v>1</v>
      </c>
    </row>
    <row r="24" spans="1:12" ht="14.25" customHeight="1" x14ac:dyDescent="0.3">
      <c r="A24" s="1" t="s">
        <v>51</v>
      </c>
      <c r="B24" s="1" t="s">
        <v>38</v>
      </c>
      <c r="C24" s="1">
        <v>1</v>
      </c>
    </row>
    <row r="25" spans="1:12" ht="14.25" customHeight="1" x14ac:dyDescent="0.3">
      <c r="A25" s="1" t="s">
        <v>52</v>
      </c>
      <c r="B25" s="1" t="s">
        <v>30</v>
      </c>
      <c r="D25" s="1">
        <v>1</v>
      </c>
    </row>
    <row r="26" spans="1:12" ht="14.25" customHeight="1" x14ac:dyDescent="0.3">
      <c r="A26" s="1" t="s">
        <v>53</v>
      </c>
      <c r="B26" s="1" t="s">
        <v>19</v>
      </c>
      <c r="C26" s="1">
        <v>1</v>
      </c>
    </row>
    <row r="27" spans="1:12" ht="14.25" customHeight="1" x14ac:dyDescent="0.3">
      <c r="A27" s="1" t="s">
        <v>54</v>
      </c>
      <c r="B27" s="1" t="s">
        <v>19</v>
      </c>
      <c r="C27" s="1">
        <v>1</v>
      </c>
    </row>
    <row r="28" spans="1:12" ht="14.25" customHeight="1" x14ac:dyDescent="0.3">
      <c r="A28" s="1" t="s">
        <v>55</v>
      </c>
      <c r="B28" s="1" t="s">
        <v>37</v>
      </c>
      <c r="C28" s="1">
        <v>1</v>
      </c>
    </row>
    <row r="29" spans="1:12" ht="14.25" customHeight="1" x14ac:dyDescent="0.3">
      <c r="A29" s="1" t="s">
        <v>56</v>
      </c>
      <c r="B29" s="1" t="s">
        <v>27</v>
      </c>
      <c r="C29" s="1">
        <v>1</v>
      </c>
    </row>
    <row r="30" spans="1:12" ht="14.25" customHeight="1" x14ac:dyDescent="0.3">
      <c r="A30" s="1" t="s">
        <v>57</v>
      </c>
      <c r="B30" s="1" t="s">
        <v>27</v>
      </c>
      <c r="C30" s="1">
        <v>1</v>
      </c>
    </row>
    <row r="31" spans="1:12" ht="14.25" customHeight="1" x14ac:dyDescent="0.3">
      <c r="A31" s="1" t="s">
        <v>58</v>
      </c>
      <c r="B31" s="1" t="s">
        <v>30</v>
      </c>
      <c r="D31" s="1">
        <v>1</v>
      </c>
    </row>
    <row r="32" spans="1:12" ht="14.25" customHeight="1" x14ac:dyDescent="0.3">
      <c r="A32" s="1" t="s">
        <v>59</v>
      </c>
      <c r="B32" s="1" t="s">
        <v>24</v>
      </c>
      <c r="C32" s="1">
        <v>1</v>
      </c>
    </row>
    <row r="33" spans="1:12" ht="14.25" customHeight="1" x14ac:dyDescent="0.3">
      <c r="A33" s="1" t="s">
        <v>60</v>
      </c>
      <c r="B33" s="1" t="s">
        <v>27</v>
      </c>
      <c r="C33" s="1">
        <v>1</v>
      </c>
    </row>
    <row r="34" spans="1:12" ht="14.25" customHeight="1" x14ac:dyDescent="0.3">
      <c r="A34" s="1" t="s">
        <v>61</v>
      </c>
      <c r="B34" s="1" t="s">
        <v>38</v>
      </c>
      <c r="E34" s="1">
        <v>1</v>
      </c>
    </row>
    <row r="35" spans="1:12" ht="14.25" customHeight="1" x14ac:dyDescent="0.3">
      <c r="A35" s="1" t="s">
        <v>62</v>
      </c>
      <c r="B35" s="1" t="s">
        <v>30</v>
      </c>
      <c r="D35" s="1">
        <v>1</v>
      </c>
    </row>
    <row r="36" spans="1:12" ht="14.25" customHeight="1" x14ac:dyDescent="0.3">
      <c r="A36" s="1" t="s">
        <v>63</v>
      </c>
      <c r="B36" s="1" t="s">
        <v>21</v>
      </c>
      <c r="C36" s="1">
        <v>1</v>
      </c>
    </row>
    <row r="37" spans="1:12" ht="14.25" customHeight="1" x14ac:dyDescent="0.3">
      <c r="A37" s="1" t="s">
        <v>64</v>
      </c>
      <c r="B37" s="1" t="s">
        <v>14</v>
      </c>
      <c r="C37" s="1">
        <v>1</v>
      </c>
    </row>
    <row r="38" spans="1:12" ht="14.25" customHeight="1" x14ac:dyDescent="0.3">
      <c r="A38" s="1" t="s">
        <v>65</v>
      </c>
      <c r="B38" s="1" t="s">
        <v>66</v>
      </c>
      <c r="E38" s="1">
        <v>1</v>
      </c>
    </row>
    <row r="39" spans="1:12" ht="14.25" customHeight="1" x14ac:dyDescent="0.3">
      <c r="A39" s="1" t="s">
        <v>67</v>
      </c>
      <c r="B39" s="1" t="s">
        <v>16</v>
      </c>
      <c r="C39" s="1">
        <v>1</v>
      </c>
    </row>
    <row r="40" spans="1:12" ht="14.25" customHeight="1" x14ac:dyDescent="0.3">
      <c r="A40" s="1" t="s">
        <v>68</v>
      </c>
      <c r="B40" s="1" t="s">
        <v>38</v>
      </c>
      <c r="E40" s="1">
        <v>1</v>
      </c>
    </row>
    <row r="41" spans="1:12" ht="14.25" customHeight="1" x14ac:dyDescent="0.3">
      <c r="A41" s="1" t="s">
        <v>69</v>
      </c>
      <c r="B41" s="1" t="s">
        <v>37</v>
      </c>
      <c r="C41" s="1">
        <v>1</v>
      </c>
    </row>
    <row r="42" spans="1:12" ht="14.25" customHeight="1" x14ac:dyDescent="0.3">
      <c r="A42" s="1" t="s">
        <v>70</v>
      </c>
      <c r="B42" s="1" t="s">
        <v>66</v>
      </c>
      <c r="D42" s="1">
        <v>1</v>
      </c>
    </row>
    <row r="43" spans="1:12" ht="14.25" customHeight="1" x14ac:dyDescent="0.3">
      <c r="A43" s="1" t="s">
        <v>71</v>
      </c>
      <c r="B43" s="1" t="s">
        <v>30</v>
      </c>
      <c r="D43" s="1">
        <v>1</v>
      </c>
    </row>
    <row r="44" spans="1:12" ht="14.25" customHeight="1" x14ac:dyDescent="0.3">
      <c r="A44" s="1" t="s">
        <v>72</v>
      </c>
      <c r="B44" s="1" t="s">
        <v>27</v>
      </c>
      <c r="C44" s="1">
        <v>1</v>
      </c>
    </row>
    <row r="45" spans="1:12" ht="14.25" customHeight="1" x14ac:dyDescent="0.3">
      <c r="A45" s="1" t="s">
        <v>73</v>
      </c>
      <c r="B45" s="1" t="s">
        <v>30</v>
      </c>
      <c r="D45" s="1">
        <v>1</v>
      </c>
      <c r="H45" s="1" t="s">
        <v>6</v>
      </c>
      <c r="I45" s="1" t="s">
        <v>7</v>
      </c>
      <c r="J45" s="1" t="s">
        <v>8</v>
      </c>
      <c r="K45" s="1" t="s">
        <v>9</v>
      </c>
      <c r="L45" s="1" t="s">
        <v>10</v>
      </c>
    </row>
    <row r="46" spans="1:12" ht="14.25" customHeight="1" x14ac:dyDescent="0.3">
      <c r="A46" s="1" t="s">
        <v>74</v>
      </c>
      <c r="B46" s="1" t="s">
        <v>16</v>
      </c>
      <c r="C46" s="1">
        <v>1</v>
      </c>
      <c r="H46" s="2" t="s">
        <v>14</v>
      </c>
      <c r="I46" s="4">
        <f t="shared" ref="I46:I57" si="13">I2/M2</f>
        <v>1</v>
      </c>
      <c r="J46" s="4">
        <f t="shared" ref="J46:J57" si="14">J2/M2</f>
        <v>0</v>
      </c>
      <c r="K46" s="4">
        <f t="shared" ref="K46:K57" si="15">K2/M2</f>
        <v>0</v>
      </c>
      <c r="L46" s="4">
        <f t="shared" ref="L46:L57" si="16">L2/M2</f>
        <v>0</v>
      </c>
    </row>
    <row r="47" spans="1:12" ht="14.25" customHeight="1" x14ac:dyDescent="0.3">
      <c r="A47" s="1" t="s">
        <v>75</v>
      </c>
      <c r="B47" s="1" t="s">
        <v>66</v>
      </c>
      <c r="E47" s="1">
        <v>1</v>
      </c>
      <c r="H47" s="2" t="s">
        <v>17</v>
      </c>
      <c r="I47" s="4">
        <f t="shared" si="13"/>
        <v>1</v>
      </c>
      <c r="J47" s="4">
        <f t="shared" si="14"/>
        <v>0</v>
      </c>
      <c r="K47" s="4">
        <f t="shared" si="15"/>
        <v>0</v>
      </c>
      <c r="L47" s="4">
        <f t="shared" si="16"/>
        <v>0</v>
      </c>
    </row>
    <row r="48" spans="1:12" ht="14.25" customHeight="1" x14ac:dyDescent="0.3">
      <c r="A48" s="1" t="s">
        <v>76</v>
      </c>
      <c r="B48" s="1" t="s">
        <v>13</v>
      </c>
      <c r="C48" s="1">
        <v>1</v>
      </c>
      <c r="H48" s="2" t="s">
        <v>19</v>
      </c>
      <c r="I48" s="4">
        <f t="shared" si="13"/>
        <v>1</v>
      </c>
      <c r="J48" s="4">
        <f t="shared" si="14"/>
        <v>0</v>
      </c>
      <c r="K48" s="4">
        <f t="shared" si="15"/>
        <v>0</v>
      </c>
      <c r="L48" s="4">
        <f t="shared" si="16"/>
        <v>0</v>
      </c>
    </row>
    <row r="49" spans="1:12" ht="14.25" customHeight="1" x14ac:dyDescent="0.3">
      <c r="A49" s="1" t="s">
        <v>77</v>
      </c>
      <c r="B49" s="1" t="s">
        <v>16</v>
      </c>
      <c r="C49" s="1">
        <v>1</v>
      </c>
      <c r="H49" s="2" t="s">
        <v>22</v>
      </c>
      <c r="I49" s="4">
        <f t="shared" si="13"/>
        <v>0.33333333333333331</v>
      </c>
      <c r="J49" s="4">
        <f t="shared" si="14"/>
        <v>0.1111111111111111</v>
      </c>
      <c r="K49" s="4">
        <f t="shared" si="15"/>
        <v>0.33333333333333331</v>
      </c>
      <c r="L49" s="4">
        <f t="shared" si="16"/>
        <v>0.22222222222222221</v>
      </c>
    </row>
    <row r="50" spans="1:12" ht="14.25" customHeight="1" x14ac:dyDescent="0.3">
      <c r="A50" s="1" t="s">
        <v>78</v>
      </c>
      <c r="B50" s="1" t="s">
        <v>24</v>
      </c>
      <c r="C50" s="1">
        <v>1</v>
      </c>
      <c r="H50" s="2" t="s">
        <v>25</v>
      </c>
      <c r="I50" s="4">
        <f t="shared" si="13"/>
        <v>0.9375</v>
      </c>
      <c r="J50" s="4">
        <f t="shared" si="14"/>
        <v>0</v>
      </c>
      <c r="K50" s="4">
        <f t="shared" si="15"/>
        <v>0</v>
      </c>
      <c r="L50" s="4">
        <f t="shared" si="16"/>
        <v>6.25E-2</v>
      </c>
    </row>
    <row r="51" spans="1:12" ht="14.25" customHeight="1" x14ac:dyDescent="0.3">
      <c r="A51" s="1" t="s">
        <v>79</v>
      </c>
      <c r="B51" s="1" t="s">
        <v>27</v>
      </c>
      <c r="E51" s="1">
        <v>1</v>
      </c>
      <c r="H51" s="2" t="s">
        <v>28</v>
      </c>
      <c r="I51" s="4">
        <f t="shared" si="13"/>
        <v>0.91666666666666663</v>
      </c>
      <c r="J51" s="4">
        <f t="shared" si="14"/>
        <v>0</v>
      </c>
      <c r="K51" s="4">
        <f t="shared" si="15"/>
        <v>8.3333333333333329E-2</v>
      </c>
      <c r="L51" s="4">
        <f t="shared" si="16"/>
        <v>0</v>
      </c>
    </row>
    <row r="52" spans="1:12" ht="14.25" customHeight="1" x14ac:dyDescent="0.3">
      <c r="A52" s="1" t="s">
        <v>80</v>
      </c>
      <c r="B52" s="1" t="s">
        <v>24</v>
      </c>
      <c r="C52" s="1">
        <v>1</v>
      </c>
      <c r="H52" s="2" t="s">
        <v>27</v>
      </c>
      <c r="I52" s="4">
        <f t="shared" si="13"/>
        <v>0.93333333333333335</v>
      </c>
      <c r="J52" s="4">
        <f t="shared" si="14"/>
        <v>0</v>
      </c>
      <c r="K52" s="4">
        <f t="shared" si="15"/>
        <v>6.6666666666666666E-2</v>
      </c>
      <c r="L52" s="4">
        <f t="shared" si="16"/>
        <v>0</v>
      </c>
    </row>
    <row r="53" spans="1:12" ht="14.25" customHeight="1" x14ac:dyDescent="0.3">
      <c r="A53" s="1" t="s">
        <v>81</v>
      </c>
      <c r="B53" s="1" t="s">
        <v>66</v>
      </c>
      <c r="E53" s="1">
        <v>1</v>
      </c>
      <c r="H53" s="2" t="s">
        <v>13</v>
      </c>
      <c r="I53" s="4">
        <f t="shared" si="13"/>
        <v>0.8571428571428571</v>
      </c>
      <c r="J53" s="4">
        <f t="shared" si="14"/>
        <v>7.1428571428571425E-2</v>
      </c>
      <c r="K53" s="4">
        <f t="shared" si="15"/>
        <v>7.1428571428571425E-2</v>
      </c>
      <c r="L53" s="4">
        <f t="shared" si="16"/>
        <v>0</v>
      </c>
    </row>
    <row r="54" spans="1:12" ht="14.25" customHeight="1" x14ac:dyDescent="0.3">
      <c r="A54" s="1" t="s">
        <v>82</v>
      </c>
      <c r="B54" s="1" t="s">
        <v>16</v>
      </c>
      <c r="C54" s="1">
        <v>1</v>
      </c>
      <c r="H54" s="2" t="s">
        <v>30</v>
      </c>
      <c r="I54" s="4">
        <f t="shared" si="13"/>
        <v>0</v>
      </c>
      <c r="J54" s="4">
        <f t="shared" si="14"/>
        <v>0.8571428571428571</v>
      </c>
      <c r="K54" s="4">
        <f t="shared" si="15"/>
        <v>0.14285714285714285</v>
      </c>
      <c r="L54" s="4">
        <f t="shared" si="16"/>
        <v>0</v>
      </c>
    </row>
    <row r="55" spans="1:12" ht="14.25" customHeight="1" x14ac:dyDescent="0.3">
      <c r="A55" s="1" t="s">
        <v>83</v>
      </c>
      <c r="B55" s="1" t="s">
        <v>14</v>
      </c>
      <c r="C55" s="1">
        <v>1</v>
      </c>
      <c r="H55" s="2" t="s">
        <v>35</v>
      </c>
      <c r="I55" s="4">
        <f t="shared" si="13"/>
        <v>6.6666666666666666E-2</v>
      </c>
      <c r="J55" s="4">
        <f t="shared" si="14"/>
        <v>0.4</v>
      </c>
      <c r="K55" s="4">
        <f t="shared" si="15"/>
        <v>0.53333333333333333</v>
      </c>
      <c r="L55" s="4">
        <f t="shared" si="16"/>
        <v>0</v>
      </c>
    </row>
    <row r="56" spans="1:12" ht="14.25" customHeight="1" x14ac:dyDescent="0.3">
      <c r="A56" s="1" t="s">
        <v>84</v>
      </c>
      <c r="B56" s="1" t="s">
        <v>21</v>
      </c>
      <c r="C56" s="1">
        <v>1</v>
      </c>
      <c r="H56" s="2" t="s">
        <v>38</v>
      </c>
      <c r="I56" s="4">
        <f t="shared" si="13"/>
        <v>0.42857142857142855</v>
      </c>
      <c r="J56" s="4">
        <f t="shared" si="14"/>
        <v>0.14285714285714285</v>
      </c>
      <c r="K56" s="4">
        <f t="shared" si="15"/>
        <v>0.42857142857142855</v>
      </c>
      <c r="L56" s="4">
        <f t="shared" si="16"/>
        <v>0</v>
      </c>
    </row>
    <row r="57" spans="1:12" ht="14.25" customHeight="1" x14ac:dyDescent="0.3">
      <c r="A57" s="1" t="s">
        <v>85</v>
      </c>
      <c r="B57" s="1" t="s">
        <v>33</v>
      </c>
      <c r="C57" s="1">
        <v>1</v>
      </c>
      <c r="H57" s="2" t="s">
        <v>33</v>
      </c>
      <c r="I57" s="4">
        <f t="shared" si="13"/>
        <v>1</v>
      </c>
      <c r="J57" s="4">
        <f t="shared" si="14"/>
        <v>0</v>
      </c>
      <c r="K57" s="4">
        <f t="shared" si="15"/>
        <v>0</v>
      </c>
      <c r="L57" s="4">
        <f t="shared" si="16"/>
        <v>0</v>
      </c>
    </row>
    <row r="58" spans="1:12" ht="14.25" customHeight="1" x14ac:dyDescent="0.3">
      <c r="A58" s="1" t="s">
        <v>86</v>
      </c>
      <c r="B58" s="1" t="s">
        <v>24</v>
      </c>
      <c r="C58" s="1">
        <v>1</v>
      </c>
    </row>
    <row r="59" spans="1:12" ht="14.25" customHeight="1" x14ac:dyDescent="0.3">
      <c r="A59" s="1" t="s">
        <v>87</v>
      </c>
      <c r="B59" s="1" t="s">
        <v>37</v>
      </c>
      <c r="C59" s="1">
        <v>1</v>
      </c>
    </row>
    <row r="60" spans="1:12" ht="14.25" customHeight="1" x14ac:dyDescent="0.3">
      <c r="A60" s="1" t="s">
        <v>88</v>
      </c>
      <c r="B60" s="1" t="s">
        <v>27</v>
      </c>
      <c r="C60" s="1">
        <v>1</v>
      </c>
    </row>
    <row r="61" spans="1:12" ht="14.25" customHeight="1" x14ac:dyDescent="0.3">
      <c r="A61" s="1" t="s">
        <v>89</v>
      </c>
      <c r="B61" s="1" t="s">
        <v>13</v>
      </c>
      <c r="C61" s="1">
        <v>1</v>
      </c>
    </row>
    <row r="62" spans="1:12" ht="14.25" customHeight="1" x14ac:dyDescent="0.3">
      <c r="A62" s="1" t="s">
        <v>90</v>
      </c>
      <c r="B62" s="1" t="s">
        <v>19</v>
      </c>
      <c r="C62" s="1">
        <v>1</v>
      </c>
    </row>
    <row r="63" spans="1:12" ht="14.25" customHeight="1" x14ac:dyDescent="0.3">
      <c r="A63" s="1" t="s">
        <v>91</v>
      </c>
      <c r="B63" s="1" t="s">
        <v>21</v>
      </c>
      <c r="F63" s="1">
        <v>1</v>
      </c>
    </row>
    <row r="64" spans="1:12" ht="14.25" customHeight="1" x14ac:dyDescent="0.3">
      <c r="A64" s="1" t="s">
        <v>92</v>
      </c>
      <c r="B64" s="1" t="s">
        <v>42</v>
      </c>
      <c r="C64" s="1">
        <v>1</v>
      </c>
    </row>
    <row r="65" spans="1:6" ht="14.25" customHeight="1" x14ac:dyDescent="0.3">
      <c r="A65" s="1" t="s">
        <v>93</v>
      </c>
      <c r="B65" s="1" t="s">
        <v>14</v>
      </c>
      <c r="C65" s="1">
        <v>1</v>
      </c>
    </row>
    <row r="66" spans="1:6" ht="14.25" customHeight="1" x14ac:dyDescent="0.3">
      <c r="A66" s="1" t="s">
        <v>94</v>
      </c>
      <c r="B66" s="1" t="s">
        <v>14</v>
      </c>
      <c r="C66" s="1">
        <v>1</v>
      </c>
    </row>
    <row r="67" spans="1:6" ht="14.25" customHeight="1" x14ac:dyDescent="0.3">
      <c r="A67" s="1" t="s">
        <v>95</v>
      </c>
      <c r="B67" s="1" t="s">
        <v>38</v>
      </c>
      <c r="D67" s="1">
        <v>1</v>
      </c>
    </row>
    <row r="68" spans="1:6" ht="14.25" customHeight="1" x14ac:dyDescent="0.3">
      <c r="A68" s="1" t="s">
        <v>96</v>
      </c>
      <c r="B68" s="1" t="s">
        <v>19</v>
      </c>
      <c r="C68" s="1">
        <v>1</v>
      </c>
    </row>
    <row r="69" spans="1:6" ht="14.25" customHeight="1" x14ac:dyDescent="0.3">
      <c r="A69" s="1" t="s">
        <v>97</v>
      </c>
      <c r="B69" s="1" t="s">
        <v>24</v>
      </c>
      <c r="C69" s="1">
        <v>1</v>
      </c>
    </row>
    <row r="70" spans="1:6" ht="14.25" customHeight="1" x14ac:dyDescent="0.3">
      <c r="A70" s="1" t="s">
        <v>98</v>
      </c>
      <c r="B70" s="1" t="s">
        <v>30</v>
      </c>
      <c r="D70" s="1">
        <v>1</v>
      </c>
    </row>
    <row r="71" spans="1:6" ht="14.25" customHeight="1" x14ac:dyDescent="0.3">
      <c r="A71" s="1" t="s">
        <v>99</v>
      </c>
      <c r="B71" s="1" t="s">
        <v>30</v>
      </c>
      <c r="D71" s="1">
        <v>1</v>
      </c>
    </row>
    <row r="72" spans="1:6" ht="14.25" customHeight="1" x14ac:dyDescent="0.3">
      <c r="A72" s="1" t="s">
        <v>100</v>
      </c>
      <c r="B72" s="1" t="s">
        <v>27</v>
      </c>
      <c r="C72" s="1">
        <v>1</v>
      </c>
    </row>
    <row r="73" spans="1:6" ht="14.25" customHeight="1" x14ac:dyDescent="0.3">
      <c r="A73" s="1" t="s">
        <v>101</v>
      </c>
      <c r="B73" s="1" t="s">
        <v>21</v>
      </c>
      <c r="F73" s="1">
        <v>1</v>
      </c>
    </row>
    <row r="74" spans="1:6" ht="14.25" customHeight="1" x14ac:dyDescent="0.3">
      <c r="A74" s="1" t="s">
        <v>102</v>
      </c>
      <c r="B74" s="1" t="s">
        <v>66</v>
      </c>
      <c r="D74" s="1">
        <v>1</v>
      </c>
    </row>
    <row r="75" spans="1:6" ht="14.25" customHeight="1" x14ac:dyDescent="0.3">
      <c r="A75" s="1" t="s">
        <v>103</v>
      </c>
      <c r="B75" s="1" t="s">
        <v>30</v>
      </c>
      <c r="D75" s="1">
        <v>1</v>
      </c>
    </row>
    <row r="76" spans="1:6" ht="14.25" customHeight="1" x14ac:dyDescent="0.3">
      <c r="A76" s="1" t="s">
        <v>104</v>
      </c>
      <c r="B76" s="1" t="s">
        <v>24</v>
      </c>
      <c r="C76" s="1">
        <v>1</v>
      </c>
    </row>
    <row r="77" spans="1:6" ht="14.25" customHeight="1" x14ac:dyDescent="0.3">
      <c r="A77" s="1" t="s">
        <v>105</v>
      </c>
      <c r="B77" s="1" t="s">
        <v>66</v>
      </c>
      <c r="C77" s="1">
        <v>1</v>
      </c>
    </row>
    <row r="78" spans="1:6" ht="14.25" customHeight="1" x14ac:dyDescent="0.3">
      <c r="A78" s="1" t="s">
        <v>106</v>
      </c>
      <c r="B78" s="1" t="s">
        <v>42</v>
      </c>
      <c r="C78" s="1">
        <v>1</v>
      </c>
    </row>
    <row r="79" spans="1:6" ht="14.25" customHeight="1" x14ac:dyDescent="0.3">
      <c r="A79" s="1" t="s">
        <v>107</v>
      </c>
      <c r="B79" s="1" t="s">
        <v>27</v>
      </c>
      <c r="C79" s="1">
        <v>1</v>
      </c>
    </row>
    <row r="80" spans="1:6" ht="14.25" customHeight="1" x14ac:dyDescent="0.3">
      <c r="A80" s="1" t="s">
        <v>108</v>
      </c>
      <c r="B80" s="1" t="s">
        <v>66</v>
      </c>
      <c r="E80" s="1">
        <v>1</v>
      </c>
    </row>
    <row r="81" spans="1:6" ht="14.25" customHeight="1" x14ac:dyDescent="0.3">
      <c r="A81" s="1" t="s">
        <v>109</v>
      </c>
      <c r="B81" s="1" t="s">
        <v>30</v>
      </c>
      <c r="D81" s="1">
        <v>1</v>
      </c>
    </row>
    <row r="82" spans="1:6" ht="14.25" customHeight="1" x14ac:dyDescent="0.3">
      <c r="A82" s="1" t="s">
        <v>110</v>
      </c>
      <c r="B82" s="1" t="s">
        <v>37</v>
      </c>
      <c r="C82" s="1">
        <v>1</v>
      </c>
    </row>
    <row r="83" spans="1:6" ht="14.25" customHeight="1" x14ac:dyDescent="0.3">
      <c r="A83" s="1" t="s">
        <v>111</v>
      </c>
      <c r="B83" s="1" t="s">
        <v>37</v>
      </c>
      <c r="F83" s="1">
        <v>1</v>
      </c>
    </row>
    <row r="84" spans="1:6" ht="14.25" customHeight="1" x14ac:dyDescent="0.3">
      <c r="A84" s="1" t="s">
        <v>112</v>
      </c>
      <c r="B84" s="1" t="s">
        <v>38</v>
      </c>
      <c r="C84" s="1">
        <v>1</v>
      </c>
    </row>
    <row r="85" spans="1:6" ht="14.25" customHeight="1" x14ac:dyDescent="0.3">
      <c r="A85" s="1" t="s">
        <v>113</v>
      </c>
      <c r="B85" s="1" t="s">
        <v>21</v>
      </c>
      <c r="C85" s="1">
        <v>1</v>
      </c>
    </row>
    <row r="86" spans="1:6" ht="14.25" customHeight="1" x14ac:dyDescent="0.3">
      <c r="A86" s="1" t="s">
        <v>114</v>
      </c>
      <c r="B86" s="1" t="s">
        <v>42</v>
      </c>
      <c r="C86" s="1">
        <v>1</v>
      </c>
    </row>
    <row r="87" spans="1:6" ht="14.25" customHeight="1" x14ac:dyDescent="0.3">
      <c r="A87" s="1" t="s">
        <v>115</v>
      </c>
      <c r="B87" s="1" t="s">
        <v>21</v>
      </c>
      <c r="D87" s="1">
        <v>1</v>
      </c>
    </row>
    <row r="88" spans="1:6" ht="14.25" customHeight="1" x14ac:dyDescent="0.3">
      <c r="A88" s="1" t="s">
        <v>116</v>
      </c>
      <c r="B88" s="1" t="s">
        <v>30</v>
      </c>
      <c r="D88" s="1">
        <v>1</v>
      </c>
    </row>
    <row r="89" spans="1:6" ht="14.25" customHeight="1" x14ac:dyDescent="0.3">
      <c r="A89" s="1" t="s">
        <v>117</v>
      </c>
      <c r="B89" s="1" t="s">
        <v>16</v>
      </c>
      <c r="C89" s="1">
        <v>1</v>
      </c>
    </row>
    <row r="90" spans="1:6" ht="14.25" customHeight="1" x14ac:dyDescent="0.3">
      <c r="A90" s="1" t="s">
        <v>118</v>
      </c>
      <c r="B90" s="1" t="s">
        <v>16</v>
      </c>
      <c r="E90" s="1">
        <v>1</v>
      </c>
    </row>
    <row r="91" spans="1:6" ht="14.25" customHeight="1" x14ac:dyDescent="0.3">
      <c r="A91" s="1" t="s">
        <v>119</v>
      </c>
      <c r="B91" s="1" t="s">
        <v>66</v>
      </c>
      <c r="D91" s="1">
        <v>1</v>
      </c>
    </row>
    <row r="92" spans="1:6" ht="14.25" customHeight="1" x14ac:dyDescent="0.3">
      <c r="A92" s="1" t="s">
        <v>120</v>
      </c>
      <c r="B92" s="1" t="s">
        <v>13</v>
      </c>
      <c r="C92" s="1">
        <v>1</v>
      </c>
    </row>
    <row r="93" spans="1:6" ht="14.25" customHeight="1" x14ac:dyDescent="0.3">
      <c r="A93" s="1" t="s">
        <v>121</v>
      </c>
      <c r="B93" s="1" t="s">
        <v>30</v>
      </c>
      <c r="E93" s="1">
        <v>1</v>
      </c>
    </row>
    <row r="94" spans="1:6" ht="14.25" customHeight="1" x14ac:dyDescent="0.3">
      <c r="A94" s="1" t="s">
        <v>122</v>
      </c>
      <c r="B94" s="1" t="s">
        <v>24</v>
      </c>
      <c r="C94" s="1">
        <v>1</v>
      </c>
    </row>
    <row r="95" spans="1:6" ht="14.25" customHeight="1" x14ac:dyDescent="0.3">
      <c r="A95" s="1" t="s">
        <v>123</v>
      </c>
      <c r="B95" s="1" t="s">
        <v>21</v>
      </c>
      <c r="E95" s="1">
        <v>1</v>
      </c>
    </row>
    <row r="96" spans="1:6" ht="14.25" customHeight="1" x14ac:dyDescent="0.3">
      <c r="A96" s="1" t="s">
        <v>124</v>
      </c>
      <c r="B96" s="1" t="s">
        <v>14</v>
      </c>
      <c r="C96" s="1">
        <v>1</v>
      </c>
    </row>
    <row r="97" spans="1:5" ht="14.25" customHeight="1" x14ac:dyDescent="0.3">
      <c r="A97" s="1" t="s">
        <v>125</v>
      </c>
      <c r="B97" s="1" t="s">
        <v>66</v>
      </c>
      <c r="E97" s="1">
        <v>1</v>
      </c>
    </row>
    <row r="98" spans="1:5" ht="14.25" customHeight="1" x14ac:dyDescent="0.3">
      <c r="A98" s="1" t="s">
        <v>126</v>
      </c>
      <c r="B98" s="1" t="s">
        <v>30</v>
      </c>
      <c r="D98" s="1">
        <v>1</v>
      </c>
    </row>
    <row r="99" spans="1:5" ht="14.25" customHeight="1" x14ac:dyDescent="0.3">
      <c r="A99" s="1" t="s">
        <v>127</v>
      </c>
      <c r="B99" s="1" t="s">
        <v>27</v>
      </c>
      <c r="C99" s="1">
        <v>1</v>
      </c>
    </row>
    <row r="100" spans="1:5" ht="14.25" customHeight="1" x14ac:dyDescent="0.3">
      <c r="A100" s="1" t="s">
        <v>128</v>
      </c>
      <c r="B100" s="1" t="s">
        <v>30</v>
      </c>
      <c r="D100" s="1">
        <v>1</v>
      </c>
    </row>
    <row r="101" spans="1:5" ht="14.25" customHeight="1" x14ac:dyDescent="0.3">
      <c r="A101" s="1" t="s">
        <v>129</v>
      </c>
      <c r="B101" s="1" t="s">
        <v>27</v>
      </c>
      <c r="C101" s="1">
        <v>1</v>
      </c>
    </row>
    <row r="102" spans="1:5" ht="14.25" customHeight="1" x14ac:dyDescent="0.3">
      <c r="A102" s="1" t="s">
        <v>130</v>
      </c>
      <c r="B102" s="1" t="s">
        <v>16</v>
      </c>
      <c r="C102" s="1">
        <v>1</v>
      </c>
    </row>
    <row r="103" spans="1:5" ht="14.25" customHeight="1" x14ac:dyDescent="0.3">
      <c r="A103" s="1" t="s">
        <v>131</v>
      </c>
      <c r="B103" s="1" t="s">
        <v>66</v>
      </c>
      <c r="D103" s="1">
        <v>1</v>
      </c>
    </row>
    <row r="104" spans="1:5" ht="14.25" customHeight="1" x14ac:dyDescent="0.3">
      <c r="A104" s="1" t="s">
        <v>132</v>
      </c>
      <c r="B104" s="1" t="s">
        <v>30</v>
      </c>
      <c r="D104" s="1">
        <v>1</v>
      </c>
    </row>
    <row r="105" spans="1:5" ht="14.25" customHeight="1" x14ac:dyDescent="0.3">
      <c r="A105" s="1" t="s">
        <v>133</v>
      </c>
      <c r="B105" s="1" t="s">
        <v>14</v>
      </c>
      <c r="C105" s="1">
        <v>1</v>
      </c>
    </row>
    <row r="106" spans="1:5" ht="14.25" customHeight="1" x14ac:dyDescent="0.3">
      <c r="A106" s="1" t="s">
        <v>134</v>
      </c>
      <c r="B106" s="1" t="s">
        <v>42</v>
      </c>
      <c r="C106" s="1">
        <v>1</v>
      </c>
    </row>
    <row r="107" spans="1:5" ht="14.25" customHeight="1" x14ac:dyDescent="0.3">
      <c r="A107" s="1" t="s">
        <v>135</v>
      </c>
      <c r="B107" s="1" t="s">
        <v>27</v>
      </c>
      <c r="C107" s="1">
        <v>1</v>
      </c>
    </row>
    <row r="108" spans="1:5" ht="14.25" customHeight="1" x14ac:dyDescent="0.3">
      <c r="A108" s="1" t="s">
        <v>136</v>
      </c>
      <c r="B108" s="1" t="s">
        <v>66</v>
      </c>
      <c r="E108" s="1">
        <v>1</v>
      </c>
    </row>
    <row r="109" spans="1:5" ht="14.25" customHeight="1" x14ac:dyDescent="0.3">
      <c r="A109" s="1" t="s">
        <v>137</v>
      </c>
      <c r="B109" s="1" t="s">
        <v>13</v>
      </c>
      <c r="C109" s="1">
        <v>1</v>
      </c>
    </row>
    <row r="110" spans="1:5" ht="14.25" customHeight="1" x14ac:dyDescent="0.3">
      <c r="A110" s="1" t="s">
        <v>138</v>
      </c>
      <c r="B110" s="1" t="s">
        <v>42</v>
      </c>
      <c r="C110" s="1">
        <v>1</v>
      </c>
    </row>
    <row r="111" spans="1:5" ht="14.25" customHeight="1" x14ac:dyDescent="0.3">
      <c r="A111" s="1" t="s">
        <v>139</v>
      </c>
      <c r="B111" s="1" t="s">
        <v>27</v>
      </c>
      <c r="C111" s="1">
        <v>1</v>
      </c>
    </row>
    <row r="112" spans="1:5" ht="14.25" customHeight="1" x14ac:dyDescent="0.3">
      <c r="A112" s="1" t="s">
        <v>140</v>
      </c>
      <c r="B112" s="1" t="s">
        <v>16</v>
      </c>
      <c r="C112" s="1">
        <v>1</v>
      </c>
    </row>
    <row r="113" spans="1:6" ht="14.25" customHeight="1" x14ac:dyDescent="0.3">
      <c r="A113" s="1" t="s">
        <v>141</v>
      </c>
      <c r="B113" s="1" t="s">
        <v>14</v>
      </c>
      <c r="C113" s="1">
        <v>1</v>
      </c>
    </row>
    <row r="114" spans="1:6" ht="14.25" customHeight="1" x14ac:dyDescent="0.3">
      <c r="A114" s="1" t="s">
        <v>142</v>
      </c>
      <c r="B114" s="1" t="s">
        <v>16</v>
      </c>
      <c r="C114" s="1">
        <v>1</v>
      </c>
    </row>
    <row r="115" spans="1:6" ht="14.25" customHeight="1" x14ac:dyDescent="0.3">
      <c r="A115" s="1" t="s">
        <v>143</v>
      </c>
      <c r="B115" s="1" t="s">
        <v>24</v>
      </c>
      <c r="C115" s="1">
        <v>1</v>
      </c>
    </row>
    <row r="116" spans="1:6" ht="14.25" customHeight="1" x14ac:dyDescent="0.3">
      <c r="A116" s="1" t="s">
        <v>144</v>
      </c>
      <c r="B116" s="1" t="s">
        <v>66</v>
      </c>
      <c r="D116" s="1">
        <v>1</v>
      </c>
    </row>
    <row r="117" spans="1:6" ht="14.25" customHeight="1" x14ac:dyDescent="0.3">
      <c r="A117" s="1" t="s">
        <v>145</v>
      </c>
      <c r="B117" s="1" t="s">
        <v>27</v>
      </c>
      <c r="C117" s="1">
        <v>1</v>
      </c>
    </row>
    <row r="118" spans="1:6" ht="14.25" customHeight="1" x14ac:dyDescent="0.3">
      <c r="A118" s="1" t="s">
        <v>146</v>
      </c>
      <c r="B118" s="1" t="s">
        <v>30</v>
      </c>
      <c r="E118" s="1">
        <v>1</v>
      </c>
    </row>
    <row r="119" spans="1:6" ht="14.25" customHeight="1" x14ac:dyDescent="0.3">
      <c r="A119" s="1" t="s">
        <v>147</v>
      </c>
      <c r="B119" s="1" t="s">
        <v>42</v>
      </c>
      <c r="C119" s="1">
        <v>1</v>
      </c>
    </row>
    <row r="120" spans="1:6" ht="14.25" customHeight="1" x14ac:dyDescent="0.3">
      <c r="A120" s="1" t="s">
        <v>148</v>
      </c>
      <c r="B120" s="1" t="s">
        <v>13</v>
      </c>
      <c r="C120" s="1">
        <v>1</v>
      </c>
    </row>
    <row r="121" spans="1:6" ht="14.25" customHeight="1" x14ac:dyDescent="0.3">
      <c r="A121" s="1" t="s">
        <v>149</v>
      </c>
      <c r="B121" s="1" t="s">
        <v>150</v>
      </c>
      <c r="F121" s="1">
        <v>1</v>
      </c>
    </row>
    <row r="122" spans="1:6" ht="14.25" customHeight="1" x14ac:dyDescent="0.3">
      <c r="A122" s="1" t="s">
        <v>151</v>
      </c>
      <c r="B122" s="1" t="s">
        <v>24</v>
      </c>
      <c r="C122" s="1">
        <v>1</v>
      </c>
    </row>
    <row r="123" spans="1:6" ht="14.25" customHeight="1" x14ac:dyDescent="0.3">
      <c r="A123" s="1" t="s">
        <v>152</v>
      </c>
      <c r="B123" s="1" t="s">
        <v>24</v>
      </c>
      <c r="C123" s="1">
        <v>1</v>
      </c>
    </row>
    <row r="124" spans="1:6" ht="14.25" customHeight="1" x14ac:dyDescent="0.3">
      <c r="A124" s="1" t="s">
        <v>153</v>
      </c>
      <c r="B124" s="1" t="s">
        <v>19</v>
      </c>
      <c r="C124" s="1">
        <v>1</v>
      </c>
    </row>
    <row r="125" spans="1:6" ht="14.25" customHeight="1" x14ac:dyDescent="0.3">
      <c r="A125" s="1" t="s">
        <v>154</v>
      </c>
      <c r="B125" s="1" t="s">
        <v>33</v>
      </c>
      <c r="C125" s="1">
        <v>1</v>
      </c>
    </row>
    <row r="126" spans="1:6" ht="14.25" customHeight="1" x14ac:dyDescent="0.3">
      <c r="A126" s="1" t="s">
        <v>155</v>
      </c>
      <c r="B126" s="1" t="s">
        <v>13</v>
      </c>
      <c r="C126" s="1">
        <v>1</v>
      </c>
    </row>
    <row r="127" spans="1:6" ht="14.25" customHeight="1" x14ac:dyDescent="0.3">
      <c r="A127" s="1" t="s">
        <v>156</v>
      </c>
      <c r="B127" s="1" t="s">
        <v>13</v>
      </c>
      <c r="C127" s="1">
        <v>1</v>
      </c>
    </row>
    <row r="128" spans="1:6" ht="14.25" customHeight="1" x14ac:dyDescent="0.3">
      <c r="A128" s="1" t="s">
        <v>157</v>
      </c>
      <c r="B128" s="1" t="s">
        <v>14</v>
      </c>
      <c r="C128" s="1">
        <v>1</v>
      </c>
    </row>
    <row r="129" spans="1:5" ht="14.25" customHeight="1" x14ac:dyDescent="0.3">
      <c r="A129" s="1" t="s">
        <v>158</v>
      </c>
      <c r="B129" s="1" t="s">
        <v>16</v>
      </c>
      <c r="C129" s="1">
        <v>1</v>
      </c>
    </row>
    <row r="130" spans="1:5" ht="14.25" customHeight="1" x14ac:dyDescent="0.3">
      <c r="A130" s="1" t="s">
        <v>159</v>
      </c>
      <c r="B130" s="1" t="s">
        <v>13</v>
      </c>
      <c r="C130" s="1">
        <v>1</v>
      </c>
    </row>
    <row r="131" spans="1:5" ht="14.25" customHeight="1" x14ac:dyDescent="0.3">
      <c r="A131" s="1" t="s">
        <v>160</v>
      </c>
      <c r="B131" s="1" t="s">
        <v>66</v>
      </c>
      <c r="E131" s="1">
        <v>1</v>
      </c>
    </row>
    <row r="132" spans="1:5" ht="14.25" customHeight="1" x14ac:dyDescent="0.3">
      <c r="A132" s="1" t="s">
        <v>161</v>
      </c>
      <c r="B132" s="1" t="s">
        <v>38</v>
      </c>
      <c r="E132" s="1">
        <v>1</v>
      </c>
    </row>
    <row r="133" spans="1:5" ht="14.25" customHeight="1" x14ac:dyDescent="0.3">
      <c r="A133" s="1" t="s">
        <v>162</v>
      </c>
      <c r="B133" s="1" t="s">
        <v>13</v>
      </c>
      <c r="C133" s="1">
        <v>1</v>
      </c>
    </row>
    <row r="134" spans="1:5" ht="14.25" customHeight="1" x14ac:dyDescent="0.3">
      <c r="A134" s="1" t="s">
        <v>163</v>
      </c>
      <c r="B134" s="1" t="s">
        <v>66</v>
      </c>
      <c r="D134" s="1">
        <v>1</v>
      </c>
    </row>
    <row r="135" spans="1:5" ht="14.25" customHeight="1" x14ac:dyDescent="0.3">
      <c r="A135" s="1" t="s">
        <v>164</v>
      </c>
      <c r="B135" s="1" t="s">
        <v>21</v>
      </c>
      <c r="E135" s="1">
        <v>1</v>
      </c>
    </row>
    <row r="136" spans="1:5" ht="14.25" customHeight="1" x14ac:dyDescent="0.3">
      <c r="A136" s="1" t="s">
        <v>165</v>
      </c>
      <c r="B136" s="1" t="s">
        <v>30</v>
      </c>
      <c r="E136" s="1">
        <v>1</v>
      </c>
    </row>
    <row r="137" spans="1:5" ht="14.25" customHeight="1" x14ac:dyDescent="0.3">
      <c r="A137" s="1" t="s">
        <v>166</v>
      </c>
      <c r="B137" s="1" t="s">
        <v>30</v>
      </c>
      <c r="D137" s="1">
        <v>1</v>
      </c>
    </row>
    <row r="138" spans="1:5" ht="14.25" customHeight="1" x14ac:dyDescent="0.3">
      <c r="A138" s="1" t="s">
        <v>167</v>
      </c>
      <c r="B138" s="1" t="s">
        <v>19</v>
      </c>
      <c r="C138" s="1">
        <v>1</v>
      </c>
    </row>
    <row r="139" spans="1:5" ht="14.25" customHeight="1" x14ac:dyDescent="0.3">
      <c r="A139" s="1" t="s">
        <v>168</v>
      </c>
      <c r="B139" s="1" t="s">
        <v>13</v>
      </c>
      <c r="E139" s="1">
        <v>1</v>
      </c>
    </row>
    <row r="140" spans="1:5" ht="14.25" customHeight="1" x14ac:dyDescent="0.3">
      <c r="A140" s="1" t="s">
        <v>169</v>
      </c>
      <c r="B140" s="1" t="s">
        <v>27</v>
      </c>
      <c r="C140" s="1">
        <v>1</v>
      </c>
    </row>
    <row r="141" spans="1:5" ht="14.25" customHeight="1" x14ac:dyDescent="0.3">
      <c r="A141" s="1" t="s">
        <v>170</v>
      </c>
      <c r="B141" s="1" t="s">
        <v>16</v>
      </c>
      <c r="C141" s="1">
        <v>1</v>
      </c>
    </row>
    <row r="142" spans="1:5" ht="14.25" customHeight="1" x14ac:dyDescent="0.3">
      <c r="A142" s="1" t="s">
        <v>171</v>
      </c>
      <c r="B142" s="1" t="s">
        <v>19</v>
      </c>
      <c r="C142" s="1">
        <v>1</v>
      </c>
    </row>
    <row r="143" spans="1:5" ht="14.25" customHeight="1" x14ac:dyDescent="0.3">
      <c r="A143" s="1" t="s">
        <v>172</v>
      </c>
      <c r="B143" s="1" t="s">
        <v>37</v>
      </c>
      <c r="C143" s="1">
        <v>1</v>
      </c>
    </row>
    <row r="144" spans="1:5" ht="14.25" customHeight="1" x14ac:dyDescent="0.3">
      <c r="A144" s="1" t="s">
        <v>173</v>
      </c>
      <c r="B144" s="1" t="s">
        <v>27</v>
      </c>
      <c r="C144" s="1">
        <v>1</v>
      </c>
    </row>
    <row r="145" spans="1:5" ht="14.25" customHeight="1" x14ac:dyDescent="0.3">
      <c r="A145" s="1" t="s">
        <v>174</v>
      </c>
      <c r="B145" s="1" t="s">
        <v>66</v>
      </c>
      <c r="D145" s="1">
        <v>1</v>
      </c>
    </row>
    <row r="146" spans="1:5" ht="14.25" customHeight="1" x14ac:dyDescent="0.3">
      <c r="A146" s="1" t="s">
        <v>175</v>
      </c>
      <c r="B146" s="1" t="s">
        <v>14</v>
      </c>
      <c r="C146" s="1">
        <v>1</v>
      </c>
    </row>
    <row r="147" spans="1:5" ht="14.25" customHeight="1" x14ac:dyDescent="0.3">
      <c r="A147" s="1" t="s">
        <v>176</v>
      </c>
      <c r="B147" s="1" t="s">
        <v>66</v>
      </c>
      <c r="E147" s="1">
        <v>1</v>
      </c>
    </row>
    <row r="148" spans="1:5" ht="14.25" customHeight="1" x14ac:dyDescent="0.3">
      <c r="A148" s="1" t="s">
        <v>177</v>
      </c>
      <c r="B148" s="1" t="s">
        <v>42</v>
      </c>
      <c r="C148" s="1">
        <v>1</v>
      </c>
    </row>
    <row r="149" spans="1:5" ht="14.25" customHeight="1" x14ac:dyDescent="0.3">
      <c r="A149" s="1" t="s">
        <v>178</v>
      </c>
      <c r="B149" s="1" t="s">
        <v>33</v>
      </c>
      <c r="C149" s="1">
        <v>1</v>
      </c>
    </row>
    <row r="150" spans="1:5" ht="14.25" customHeight="1" x14ac:dyDescent="0.3">
      <c r="A150" s="1" t="s">
        <v>179</v>
      </c>
      <c r="B150" s="1" t="s">
        <v>14</v>
      </c>
      <c r="C150" s="1">
        <v>1</v>
      </c>
    </row>
    <row r="151" spans="1:5" ht="14.25" customHeight="1" x14ac:dyDescent="0.3">
      <c r="A151" s="1" t="s">
        <v>180</v>
      </c>
      <c r="B151" s="1" t="s">
        <v>13</v>
      </c>
      <c r="D151" s="1">
        <v>1</v>
      </c>
    </row>
    <row r="152" spans="1:5" ht="14.25" customHeight="1" x14ac:dyDescent="0.3">
      <c r="A152" s="1" t="s">
        <v>181</v>
      </c>
      <c r="B152" s="1" t="s">
        <v>24</v>
      </c>
      <c r="C152" s="1">
        <v>1</v>
      </c>
    </row>
    <row r="153" spans="1:5" ht="14.25" customHeight="1" x14ac:dyDescent="0.3">
      <c r="A153" s="1" t="s">
        <v>182</v>
      </c>
      <c r="B153" s="1" t="s">
        <v>19</v>
      </c>
      <c r="C153" s="1">
        <v>1</v>
      </c>
    </row>
    <row r="154" spans="1:5" ht="14.25" customHeight="1" x14ac:dyDescent="0.3">
      <c r="A154" s="1" t="s">
        <v>183</v>
      </c>
      <c r="B154" s="1" t="s">
        <v>42</v>
      </c>
      <c r="C154" s="1">
        <v>1</v>
      </c>
    </row>
    <row r="155" spans="1:5" ht="14.25" customHeight="1" x14ac:dyDescent="0.3">
      <c r="A155" s="1" t="s">
        <v>184</v>
      </c>
      <c r="B155" s="1" t="s">
        <v>19</v>
      </c>
      <c r="C155" s="1">
        <v>1</v>
      </c>
    </row>
    <row r="156" spans="1:5" ht="14.25" customHeight="1" x14ac:dyDescent="0.3">
      <c r="A156" s="1" t="s">
        <v>185</v>
      </c>
      <c r="B156" s="1" t="s">
        <v>30</v>
      </c>
      <c r="D156" s="1">
        <v>1</v>
      </c>
    </row>
    <row r="157" spans="1:5" ht="14.25" customHeight="1" x14ac:dyDescent="0.3"/>
    <row r="158" spans="1:5" ht="14.25" customHeight="1" x14ac:dyDescent="0.3"/>
    <row r="159" spans="1:5" ht="14.25" customHeight="1" x14ac:dyDescent="0.3"/>
    <row r="160" spans="1:5" ht="14.25" customHeight="1" x14ac:dyDescent="0.3"/>
    <row r="161" s="1" customFormat="1" ht="14.25" customHeight="1" x14ac:dyDescent="0.3"/>
    <row r="162" s="1" customFormat="1" ht="14.25" customHeight="1" x14ac:dyDescent="0.3"/>
    <row r="163" s="1" customFormat="1" ht="14.25" customHeight="1" x14ac:dyDescent="0.3"/>
    <row r="164" s="1" customFormat="1" ht="14.25" customHeight="1" x14ac:dyDescent="0.3"/>
    <row r="165" s="1" customFormat="1" ht="14.25" customHeight="1" x14ac:dyDescent="0.3"/>
    <row r="166" s="1" customFormat="1" ht="14.25" customHeight="1" x14ac:dyDescent="0.3"/>
    <row r="167" s="1" customFormat="1" ht="14.25" customHeight="1" x14ac:dyDescent="0.3"/>
    <row r="168" s="1" customFormat="1" ht="14.25" customHeight="1" x14ac:dyDescent="0.3"/>
    <row r="169" s="1" customFormat="1" ht="14.25" customHeight="1" x14ac:dyDescent="0.3"/>
    <row r="170" s="1" customFormat="1" ht="14.25" customHeight="1" x14ac:dyDescent="0.3"/>
    <row r="171" s="1" customFormat="1" ht="14.25" customHeight="1" x14ac:dyDescent="0.3"/>
    <row r="172" s="1" customFormat="1" ht="14.25" customHeight="1" x14ac:dyDescent="0.3"/>
    <row r="173" s="1" customFormat="1" ht="14.25" customHeight="1" x14ac:dyDescent="0.3"/>
    <row r="174" s="1" customFormat="1" ht="14.25" customHeight="1" x14ac:dyDescent="0.3"/>
    <row r="175" s="1" customFormat="1" ht="14.25" customHeight="1" x14ac:dyDescent="0.3"/>
    <row r="176" s="1" customFormat="1" ht="14.25" customHeight="1" x14ac:dyDescent="0.3"/>
    <row r="177" s="1" customFormat="1" ht="14.25" customHeight="1" x14ac:dyDescent="0.3"/>
    <row r="178" s="1" customFormat="1" ht="14.25" customHeight="1" x14ac:dyDescent="0.3"/>
    <row r="179" s="1" customFormat="1" ht="14.25" customHeight="1" x14ac:dyDescent="0.3"/>
    <row r="180" s="1" customFormat="1" ht="14.25" customHeight="1" x14ac:dyDescent="0.3"/>
    <row r="181" s="1" customFormat="1" ht="14.25" customHeight="1" x14ac:dyDescent="0.3"/>
    <row r="182" s="1" customFormat="1" ht="14.25" customHeight="1" x14ac:dyDescent="0.3"/>
    <row r="183" s="1" customFormat="1" ht="14.25" customHeight="1" x14ac:dyDescent="0.3"/>
    <row r="184" s="1" customFormat="1" ht="14.25" customHeight="1" x14ac:dyDescent="0.3"/>
    <row r="185" s="1" customFormat="1" ht="14.25" customHeight="1" x14ac:dyDescent="0.3"/>
    <row r="186" s="1" customFormat="1" ht="14.25" customHeight="1" x14ac:dyDescent="0.3"/>
    <row r="187" s="1" customFormat="1" ht="14.25" customHeight="1" x14ac:dyDescent="0.3"/>
    <row r="188" s="1" customFormat="1" ht="14.25" customHeight="1" x14ac:dyDescent="0.3"/>
    <row r="189" s="1" customFormat="1" ht="14.25" customHeight="1" x14ac:dyDescent="0.3"/>
    <row r="190" s="1" customFormat="1" ht="14.25" customHeight="1" x14ac:dyDescent="0.3"/>
    <row r="191" s="1" customFormat="1" ht="14.25" customHeight="1" x14ac:dyDescent="0.3"/>
    <row r="192" s="1" customFormat="1" ht="14.25" customHeight="1" x14ac:dyDescent="0.3"/>
    <row r="193" s="1" customFormat="1" ht="14.25" customHeight="1" x14ac:dyDescent="0.3"/>
    <row r="194" s="1" customFormat="1" ht="14.25" customHeight="1" x14ac:dyDescent="0.3"/>
    <row r="195" s="1" customFormat="1" ht="14.25" customHeight="1" x14ac:dyDescent="0.3"/>
    <row r="196" s="1" customFormat="1" ht="14.25" customHeight="1" x14ac:dyDescent="0.3"/>
    <row r="197" s="1" customFormat="1" ht="14.25" customHeight="1" x14ac:dyDescent="0.3"/>
    <row r="198" s="1" customFormat="1" ht="14.25" customHeight="1" x14ac:dyDescent="0.3"/>
    <row r="199" s="1" customFormat="1" ht="14.25" customHeight="1" x14ac:dyDescent="0.3"/>
    <row r="200" s="1" customFormat="1" ht="14.25" customHeight="1" x14ac:dyDescent="0.3"/>
    <row r="201" s="1" customFormat="1" ht="14.25" customHeight="1" x14ac:dyDescent="0.3"/>
    <row r="202" s="1" customFormat="1" ht="14.25" customHeight="1" x14ac:dyDescent="0.3"/>
    <row r="203" s="1" customFormat="1" ht="14.25" customHeight="1" x14ac:dyDescent="0.3"/>
    <row r="204" s="1" customFormat="1" ht="14.25" customHeight="1" x14ac:dyDescent="0.3"/>
    <row r="205" s="1" customFormat="1" ht="14.25" customHeight="1" x14ac:dyDescent="0.3"/>
    <row r="206" s="1" customFormat="1" ht="14.25" customHeight="1" x14ac:dyDescent="0.3"/>
    <row r="207" s="1" customFormat="1" ht="14.25" customHeight="1" x14ac:dyDescent="0.3"/>
    <row r="208" s="1" customFormat="1" ht="14.25" customHeight="1" x14ac:dyDescent="0.3"/>
    <row r="209" s="1" customFormat="1" ht="14.25" customHeight="1" x14ac:dyDescent="0.3"/>
    <row r="210" s="1" customFormat="1" ht="14.25" customHeight="1" x14ac:dyDescent="0.3"/>
    <row r="211" s="1" customFormat="1" ht="14.25" customHeight="1" x14ac:dyDescent="0.3"/>
    <row r="212" s="1" customFormat="1" ht="14.25" customHeight="1" x14ac:dyDescent="0.3"/>
    <row r="213" s="1" customFormat="1" ht="14.25" customHeight="1" x14ac:dyDescent="0.3"/>
    <row r="214" s="1" customFormat="1" ht="14.25" customHeight="1" x14ac:dyDescent="0.3"/>
    <row r="215" s="1" customFormat="1" ht="14.25" customHeight="1" x14ac:dyDescent="0.3"/>
    <row r="216" s="1" customFormat="1" ht="14.25" customHeight="1" x14ac:dyDescent="0.3"/>
    <row r="217" s="1" customFormat="1" ht="14.25" customHeight="1" x14ac:dyDescent="0.3"/>
    <row r="218" s="1" customFormat="1" ht="14.25" customHeight="1" x14ac:dyDescent="0.3"/>
    <row r="219" s="1" customFormat="1" ht="14.25" customHeight="1" x14ac:dyDescent="0.3"/>
    <row r="220" s="1" customFormat="1" ht="14.25" customHeight="1" x14ac:dyDescent="0.3"/>
    <row r="221" s="1" customFormat="1" ht="14.25" customHeight="1" x14ac:dyDescent="0.3"/>
    <row r="222" s="1" customFormat="1" ht="14.25" customHeight="1" x14ac:dyDescent="0.3"/>
    <row r="223" s="1" customFormat="1" ht="14.25" customHeight="1" x14ac:dyDescent="0.3"/>
    <row r="224" s="1" customFormat="1" ht="14.25" customHeight="1" x14ac:dyDescent="0.3"/>
    <row r="225" s="1" customFormat="1" ht="14.25" customHeight="1" x14ac:dyDescent="0.3"/>
    <row r="226" s="1" customFormat="1" ht="14.25" customHeight="1" x14ac:dyDescent="0.3"/>
    <row r="227" s="1" customFormat="1" ht="14.25" customHeight="1" x14ac:dyDescent="0.3"/>
    <row r="228" s="1" customFormat="1" ht="14.25" customHeight="1" x14ac:dyDescent="0.3"/>
    <row r="229" s="1" customFormat="1" ht="14.25" customHeight="1" x14ac:dyDescent="0.3"/>
    <row r="230" s="1" customFormat="1" ht="14.25" customHeight="1" x14ac:dyDescent="0.3"/>
    <row r="231" s="1" customFormat="1" ht="14.25" customHeight="1" x14ac:dyDescent="0.3"/>
    <row r="232" s="1" customFormat="1" ht="14.25" customHeight="1" x14ac:dyDescent="0.3"/>
    <row r="233" s="1" customFormat="1" ht="14.25" customHeight="1" x14ac:dyDescent="0.3"/>
    <row r="234" s="1" customFormat="1" ht="14.25" customHeight="1" x14ac:dyDescent="0.3"/>
    <row r="235" s="1" customFormat="1" ht="14.25" customHeight="1" x14ac:dyDescent="0.3"/>
    <row r="236" s="1" customFormat="1" ht="14.25" customHeight="1" x14ac:dyDescent="0.3"/>
    <row r="237" s="1" customFormat="1" ht="14.25" customHeight="1" x14ac:dyDescent="0.3"/>
    <row r="238" s="1" customFormat="1" ht="14.25" customHeight="1" x14ac:dyDescent="0.3"/>
    <row r="239" s="1" customFormat="1" ht="14.25" customHeight="1" x14ac:dyDescent="0.3"/>
    <row r="240" s="1" customFormat="1" ht="14.25" customHeight="1" x14ac:dyDescent="0.3"/>
    <row r="241" s="1" customFormat="1" ht="14.25" customHeight="1" x14ac:dyDescent="0.3"/>
    <row r="242" s="1" customFormat="1" ht="14.25" customHeight="1" x14ac:dyDescent="0.3"/>
    <row r="243" s="1" customFormat="1" ht="14.25" customHeight="1" x14ac:dyDescent="0.3"/>
    <row r="244" s="1" customFormat="1" ht="14.25" customHeight="1" x14ac:dyDescent="0.3"/>
    <row r="245" s="1" customFormat="1" ht="14.25" customHeight="1" x14ac:dyDescent="0.3"/>
    <row r="246" s="1" customFormat="1" ht="14.25" customHeight="1" x14ac:dyDescent="0.3"/>
    <row r="247" s="1" customFormat="1" ht="14.25" customHeight="1" x14ac:dyDescent="0.3"/>
    <row r="248" s="1" customFormat="1" ht="14.25" customHeight="1" x14ac:dyDescent="0.3"/>
    <row r="249" s="1" customFormat="1" ht="14.25" customHeight="1" x14ac:dyDescent="0.3"/>
    <row r="250" s="1" customFormat="1" ht="14.25" customHeight="1" x14ac:dyDescent="0.3"/>
    <row r="251" s="1" customFormat="1" ht="14.25" customHeight="1" x14ac:dyDescent="0.3"/>
    <row r="252" s="1" customFormat="1" ht="14.25" customHeight="1" x14ac:dyDescent="0.3"/>
    <row r="253" s="1" customFormat="1" ht="14.25" customHeight="1" x14ac:dyDescent="0.3"/>
    <row r="254" s="1" customFormat="1" ht="14.25" customHeight="1" x14ac:dyDescent="0.3"/>
    <row r="255" s="1" customFormat="1" ht="14.25" customHeight="1" x14ac:dyDescent="0.3"/>
    <row r="256" s="1" customFormat="1" ht="14.25" customHeight="1" x14ac:dyDescent="0.3"/>
    <row r="257" s="1" customFormat="1" ht="14.25" customHeight="1" x14ac:dyDescent="0.3"/>
    <row r="258" s="1" customFormat="1" ht="14.25" customHeight="1" x14ac:dyDescent="0.3"/>
    <row r="259" s="1" customFormat="1" ht="14.25" customHeight="1" x14ac:dyDescent="0.3"/>
    <row r="260" s="1" customFormat="1" ht="14.25" customHeight="1" x14ac:dyDescent="0.3"/>
    <row r="261" s="1" customFormat="1" ht="14.25" customHeight="1" x14ac:dyDescent="0.3"/>
    <row r="262" s="1" customFormat="1" ht="14.25" customHeight="1" x14ac:dyDescent="0.3"/>
    <row r="263" s="1" customFormat="1" ht="14.25" customHeight="1" x14ac:dyDescent="0.3"/>
    <row r="264" s="1" customFormat="1" ht="14.25" customHeight="1" x14ac:dyDescent="0.3"/>
    <row r="265" s="1" customFormat="1" ht="14.25" customHeight="1" x14ac:dyDescent="0.3"/>
    <row r="266" s="1" customFormat="1" ht="14.25" customHeight="1" x14ac:dyDescent="0.3"/>
    <row r="267" s="1" customFormat="1" ht="14.25" customHeight="1" x14ac:dyDescent="0.3"/>
    <row r="268" s="1" customFormat="1" ht="14.25" customHeight="1" x14ac:dyDescent="0.3"/>
    <row r="269" s="1" customFormat="1" ht="14.25" customHeight="1" x14ac:dyDescent="0.3"/>
    <row r="270" s="1" customFormat="1" ht="14.25" customHeight="1" x14ac:dyDescent="0.3"/>
    <row r="271" s="1" customFormat="1" ht="14.25" customHeight="1" x14ac:dyDescent="0.3"/>
    <row r="272" s="1" customFormat="1" ht="14.25" customHeight="1" x14ac:dyDescent="0.3"/>
    <row r="273" s="1" customFormat="1" ht="14.25" customHeight="1" x14ac:dyDescent="0.3"/>
    <row r="274" s="1" customFormat="1" ht="14.25" customHeight="1" x14ac:dyDescent="0.3"/>
    <row r="275" s="1" customFormat="1" ht="14.25" customHeight="1" x14ac:dyDescent="0.3"/>
    <row r="276" s="1" customFormat="1" ht="14.25" customHeight="1" x14ac:dyDescent="0.3"/>
    <row r="277" s="1" customFormat="1" ht="14.25" customHeight="1" x14ac:dyDescent="0.3"/>
    <row r="278" s="1" customFormat="1" ht="14.25" customHeight="1" x14ac:dyDescent="0.3"/>
    <row r="279" s="1" customFormat="1" ht="14.25" customHeight="1" x14ac:dyDescent="0.3"/>
    <row r="280" s="1" customFormat="1" ht="14.25" customHeight="1" x14ac:dyDescent="0.3"/>
    <row r="281" s="1" customFormat="1" ht="14.25" customHeight="1" x14ac:dyDescent="0.3"/>
    <row r="282" s="1" customFormat="1" ht="14.25" customHeight="1" x14ac:dyDescent="0.3"/>
    <row r="283" s="1" customFormat="1" ht="14.25" customHeight="1" x14ac:dyDescent="0.3"/>
    <row r="284" s="1" customFormat="1" ht="14.25" customHeight="1" x14ac:dyDescent="0.3"/>
    <row r="285" s="1" customFormat="1" ht="14.25" customHeight="1" x14ac:dyDescent="0.3"/>
    <row r="286" s="1" customFormat="1" ht="14.25" customHeight="1" x14ac:dyDescent="0.3"/>
    <row r="287" s="1" customFormat="1" ht="14.25" customHeight="1" x14ac:dyDescent="0.3"/>
    <row r="288" s="1" customFormat="1" ht="14.25" customHeight="1" x14ac:dyDescent="0.3"/>
    <row r="289" s="1" customFormat="1" ht="14.25" customHeight="1" x14ac:dyDescent="0.3"/>
    <row r="290" s="1" customFormat="1" ht="14.25" customHeight="1" x14ac:dyDescent="0.3"/>
    <row r="291" s="1" customFormat="1" ht="14.25" customHeight="1" x14ac:dyDescent="0.3"/>
    <row r="292" s="1" customFormat="1" ht="14.25" customHeight="1" x14ac:dyDescent="0.3"/>
    <row r="293" s="1" customFormat="1" ht="14.25" customHeight="1" x14ac:dyDescent="0.3"/>
    <row r="294" s="1" customFormat="1" ht="14.25" customHeight="1" x14ac:dyDescent="0.3"/>
    <row r="295" s="1" customFormat="1" ht="14.25" customHeight="1" x14ac:dyDescent="0.3"/>
    <row r="296" s="1" customFormat="1" ht="14.25" customHeight="1" x14ac:dyDescent="0.3"/>
    <row r="297" s="1" customFormat="1" ht="14.25" customHeight="1" x14ac:dyDescent="0.3"/>
    <row r="298" s="1" customFormat="1" ht="14.25" customHeight="1" x14ac:dyDescent="0.3"/>
    <row r="299" s="1" customFormat="1" ht="14.25" customHeight="1" x14ac:dyDescent="0.3"/>
    <row r="300" s="1" customFormat="1" ht="14.25" customHeight="1" x14ac:dyDescent="0.3"/>
    <row r="301" s="1" customFormat="1" ht="14.25" customHeight="1" x14ac:dyDescent="0.3"/>
    <row r="302" s="1" customFormat="1" ht="14.25" customHeight="1" x14ac:dyDescent="0.3"/>
    <row r="303" s="1" customFormat="1" ht="14.25" customHeight="1" x14ac:dyDescent="0.3"/>
    <row r="304" s="1" customFormat="1" ht="14.25" customHeight="1" x14ac:dyDescent="0.3"/>
    <row r="305" s="1" customFormat="1" ht="14.25" customHeight="1" x14ac:dyDescent="0.3"/>
    <row r="306" s="1" customFormat="1" ht="14.25" customHeight="1" x14ac:dyDescent="0.3"/>
    <row r="307" s="1" customFormat="1" ht="14.25" customHeight="1" x14ac:dyDescent="0.3"/>
    <row r="308" s="1" customFormat="1" ht="14.25" customHeight="1" x14ac:dyDescent="0.3"/>
    <row r="309" s="1" customFormat="1" ht="14.25" customHeight="1" x14ac:dyDescent="0.3"/>
    <row r="310" s="1" customFormat="1" ht="14.25" customHeight="1" x14ac:dyDescent="0.3"/>
    <row r="311" s="1" customFormat="1" ht="14.25" customHeight="1" x14ac:dyDescent="0.3"/>
    <row r="312" s="1" customFormat="1" ht="14.25" customHeight="1" x14ac:dyDescent="0.3"/>
    <row r="313" s="1" customFormat="1" ht="14.25" customHeight="1" x14ac:dyDescent="0.3"/>
    <row r="314" s="1" customFormat="1" ht="14.25" customHeight="1" x14ac:dyDescent="0.3"/>
    <row r="315" s="1" customFormat="1" ht="14.25" customHeight="1" x14ac:dyDescent="0.3"/>
    <row r="316" s="1" customFormat="1" ht="14.25" customHeight="1" x14ac:dyDescent="0.3"/>
    <row r="317" s="1" customFormat="1" ht="14.25" customHeight="1" x14ac:dyDescent="0.3"/>
    <row r="318" s="1" customFormat="1" ht="14.25" customHeight="1" x14ac:dyDescent="0.3"/>
    <row r="319" s="1" customFormat="1" ht="14.25" customHeight="1" x14ac:dyDescent="0.3"/>
    <row r="320" s="1" customFormat="1" ht="14.25" customHeight="1" x14ac:dyDescent="0.3"/>
    <row r="321" s="1" customFormat="1" ht="14.25" customHeight="1" x14ac:dyDescent="0.3"/>
    <row r="322" s="1" customFormat="1" ht="14.25" customHeight="1" x14ac:dyDescent="0.3"/>
    <row r="323" s="1" customFormat="1" ht="14.25" customHeight="1" x14ac:dyDescent="0.3"/>
    <row r="324" s="1" customFormat="1" ht="14.25" customHeight="1" x14ac:dyDescent="0.3"/>
    <row r="325" s="1" customFormat="1" ht="14.25" customHeight="1" x14ac:dyDescent="0.3"/>
    <row r="326" s="1" customFormat="1" ht="14.25" customHeight="1" x14ac:dyDescent="0.3"/>
    <row r="327" s="1" customFormat="1" ht="14.25" customHeight="1" x14ac:dyDescent="0.3"/>
    <row r="328" s="1" customFormat="1" ht="14.25" customHeight="1" x14ac:dyDescent="0.3"/>
    <row r="329" s="1" customFormat="1" ht="14.25" customHeight="1" x14ac:dyDescent="0.3"/>
    <row r="330" s="1" customFormat="1" ht="14.25" customHeight="1" x14ac:dyDescent="0.3"/>
    <row r="331" s="1" customFormat="1" ht="14.25" customHeight="1" x14ac:dyDescent="0.3"/>
    <row r="332" s="1" customFormat="1" ht="14.25" customHeight="1" x14ac:dyDescent="0.3"/>
    <row r="333" s="1" customFormat="1" ht="14.25" customHeight="1" x14ac:dyDescent="0.3"/>
    <row r="334" s="1" customFormat="1" ht="14.25" customHeight="1" x14ac:dyDescent="0.3"/>
    <row r="335" s="1" customFormat="1" ht="14.25" customHeight="1" x14ac:dyDescent="0.3"/>
    <row r="336" s="1" customFormat="1" ht="14.25" customHeight="1" x14ac:dyDescent="0.3"/>
    <row r="337" s="1" customFormat="1" ht="14.25" customHeight="1" x14ac:dyDescent="0.3"/>
    <row r="338" s="1" customFormat="1" ht="14.25" customHeight="1" x14ac:dyDescent="0.3"/>
    <row r="339" s="1" customFormat="1" ht="14.25" customHeight="1" x14ac:dyDescent="0.3"/>
    <row r="340" s="1" customFormat="1" ht="14.25" customHeight="1" x14ac:dyDescent="0.3"/>
    <row r="341" s="1" customFormat="1" ht="14.25" customHeight="1" x14ac:dyDescent="0.3"/>
    <row r="342" s="1" customFormat="1" ht="14.25" customHeight="1" x14ac:dyDescent="0.3"/>
    <row r="343" s="1" customFormat="1" ht="14.25" customHeight="1" x14ac:dyDescent="0.3"/>
    <row r="344" s="1" customFormat="1" ht="14.25" customHeight="1" x14ac:dyDescent="0.3"/>
    <row r="345" s="1" customFormat="1" ht="14.25" customHeight="1" x14ac:dyDescent="0.3"/>
    <row r="346" s="1" customFormat="1" ht="14.25" customHeight="1" x14ac:dyDescent="0.3"/>
    <row r="347" s="1" customFormat="1" ht="14.25" customHeight="1" x14ac:dyDescent="0.3"/>
    <row r="348" s="1" customFormat="1" ht="14.25" customHeight="1" x14ac:dyDescent="0.3"/>
    <row r="349" s="1" customFormat="1" ht="14.25" customHeight="1" x14ac:dyDescent="0.3"/>
    <row r="350" s="1" customFormat="1" ht="14.25" customHeight="1" x14ac:dyDescent="0.3"/>
    <row r="351" s="1" customFormat="1" ht="14.25" customHeight="1" x14ac:dyDescent="0.3"/>
    <row r="352" s="1" customFormat="1" ht="14.25" customHeight="1" x14ac:dyDescent="0.3"/>
    <row r="353" s="1" customFormat="1" ht="14.25" customHeight="1" x14ac:dyDescent="0.3"/>
    <row r="354" s="1" customFormat="1" ht="14.25" customHeight="1" x14ac:dyDescent="0.3"/>
    <row r="355" s="1" customFormat="1" ht="14.25" customHeight="1" x14ac:dyDescent="0.3"/>
    <row r="356" s="1" customFormat="1" ht="14.25" customHeight="1" x14ac:dyDescent="0.3"/>
    <row r="357" s="1" customFormat="1" ht="14.25" customHeight="1" x14ac:dyDescent="0.3"/>
    <row r="358" s="1" customFormat="1" ht="14.25" customHeight="1" x14ac:dyDescent="0.3"/>
    <row r="359" s="1" customFormat="1" ht="14.25" customHeight="1" x14ac:dyDescent="0.3"/>
    <row r="360" s="1" customFormat="1" ht="14.25" customHeight="1" x14ac:dyDescent="0.3"/>
    <row r="361" s="1" customFormat="1" ht="14.25" customHeight="1" x14ac:dyDescent="0.3"/>
    <row r="362" s="1" customFormat="1" ht="14.25" customHeight="1" x14ac:dyDescent="0.3"/>
    <row r="363" s="1" customFormat="1" ht="14.25" customHeight="1" x14ac:dyDescent="0.3"/>
    <row r="364" s="1" customFormat="1" ht="14.25" customHeight="1" x14ac:dyDescent="0.3"/>
    <row r="365" s="1" customFormat="1" ht="14.25" customHeight="1" x14ac:dyDescent="0.3"/>
    <row r="366" s="1" customFormat="1" ht="14.25" customHeight="1" x14ac:dyDescent="0.3"/>
    <row r="367" s="1" customFormat="1" ht="14.25" customHeight="1" x14ac:dyDescent="0.3"/>
    <row r="368" s="1" customFormat="1" ht="14.25" customHeight="1" x14ac:dyDescent="0.3"/>
    <row r="369" s="1" customFormat="1" ht="14.25" customHeight="1" x14ac:dyDescent="0.3"/>
    <row r="370" s="1" customFormat="1" ht="14.25" customHeight="1" x14ac:dyDescent="0.3"/>
    <row r="371" s="1" customFormat="1" ht="14.25" customHeight="1" x14ac:dyDescent="0.3"/>
    <row r="372" s="1" customFormat="1" ht="14.25" customHeight="1" x14ac:dyDescent="0.3"/>
    <row r="373" s="1" customFormat="1" ht="14.25" customHeight="1" x14ac:dyDescent="0.3"/>
    <row r="374" s="1" customFormat="1" ht="14.25" customHeight="1" x14ac:dyDescent="0.3"/>
    <row r="375" s="1" customFormat="1" ht="14.25" customHeight="1" x14ac:dyDescent="0.3"/>
    <row r="376" s="1" customFormat="1" ht="14.25" customHeight="1" x14ac:dyDescent="0.3"/>
    <row r="377" s="1" customFormat="1" ht="14.25" customHeight="1" x14ac:dyDescent="0.3"/>
    <row r="378" s="1" customFormat="1" ht="14.25" customHeight="1" x14ac:dyDescent="0.3"/>
    <row r="379" s="1" customFormat="1" ht="14.25" customHeight="1" x14ac:dyDescent="0.3"/>
    <row r="380" s="1" customFormat="1" ht="14.25" customHeight="1" x14ac:dyDescent="0.3"/>
    <row r="381" s="1" customFormat="1" ht="14.25" customHeight="1" x14ac:dyDescent="0.3"/>
    <row r="382" s="1" customFormat="1" ht="14.25" customHeight="1" x14ac:dyDescent="0.3"/>
    <row r="383" s="1" customFormat="1" ht="14.25" customHeight="1" x14ac:dyDescent="0.3"/>
    <row r="384" s="1" customFormat="1" ht="14.25" customHeight="1" x14ac:dyDescent="0.3"/>
    <row r="385" s="1" customFormat="1" ht="14.25" customHeight="1" x14ac:dyDescent="0.3"/>
    <row r="386" s="1" customFormat="1" ht="14.25" customHeight="1" x14ac:dyDescent="0.3"/>
    <row r="387" s="1" customFormat="1" ht="14.25" customHeight="1" x14ac:dyDescent="0.3"/>
    <row r="388" s="1" customFormat="1" ht="14.25" customHeight="1" x14ac:dyDescent="0.3"/>
    <row r="389" s="1" customFormat="1" ht="14.25" customHeight="1" x14ac:dyDescent="0.3"/>
    <row r="390" s="1" customFormat="1" ht="14.25" customHeight="1" x14ac:dyDescent="0.3"/>
    <row r="391" s="1" customFormat="1" ht="14.25" customHeight="1" x14ac:dyDescent="0.3"/>
    <row r="392" s="1" customFormat="1" ht="14.25" customHeight="1" x14ac:dyDescent="0.3"/>
    <row r="393" s="1" customFormat="1" ht="14.25" customHeight="1" x14ac:dyDescent="0.3"/>
    <row r="394" s="1" customFormat="1" ht="14.25" customHeight="1" x14ac:dyDescent="0.3"/>
    <row r="395" s="1" customFormat="1" ht="14.25" customHeight="1" x14ac:dyDescent="0.3"/>
    <row r="396" s="1" customFormat="1" ht="14.25" customHeight="1" x14ac:dyDescent="0.3"/>
    <row r="397" s="1" customFormat="1" ht="14.25" customHeight="1" x14ac:dyDescent="0.3"/>
    <row r="398" s="1" customFormat="1" ht="14.25" customHeight="1" x14ac:dyDescent="0.3"/>
    <row r="399" s="1" customFormat="1" ht="14.25" customHeight="1" x14ac:dyDescent="0.3"/>
    <row r="400" s="1" customFormat="1" ht="14.25" customHeight="1" x14ac:dyDescent="0.3"/>
    <row r="401" s="1" customFormat="1" ht="14.25" customHeight="1" x14ac:dyDescent="0.3"/>
    <row r="402" s="1" customFormat="1" ht="14.25" customHeight="1" x14ac:dyDescent="0.3"/>
    <row r="403" s="1" customFormat="1" ht="14.25" customHeight="1" x14ac:dyDescent="0.3"/>
    <row r="404" s="1" customFormat="1" ht="14.25" customHeight="1" x14ac:dyDescent="0.3"/>
    <row r="405" s="1" customFormat="1" ht="14.25" customHeight="1" x14ac:dyDescent="0.3"/>
    <row r="406" s="1" customFormat="1" ht="14.25" customHeight="1" x14ac:dyDescent="0.3"/>
    <row r="407" s="1" customFormat="1" ht="14.25" customHeight="1" x14ac:dyDescent="0.3"/>
    <row r="408" s="1" customFormat="1" ht="14.25" customHeight="1" x14ac:dyDescent="0.3"/>
    <row r="409" s="1" customFormat="1" ht="14.25" customHeight="1" x14ac:dyDescent="0.3"/>
    <row r="410" s="1" customFormat="1" ht="14.25" customHeight="1" x14ac:dyDescent="0.3"/>
    <row r="411" s="1" customFormat="1" ht="14.25" customHeight="1" x14ac:dyDescent="0.3"/>
    <row r="412" s="1" customFormat="1" ht="14.25" customHeight="1" x14ac:dyDescent="0.3"/>
    <row r="413" s="1" customFormat="1" ht="14.25" customHeight="1" x14ac:dyDescent="0.3"/>
    <row r="414" s="1" customFormat="1" ht="14.25" customHeight="1" x14ac:dyDescent="0.3"/>
    <row r="415" s="1" customFormat="1" ht="14.25" customHeight="1" x14ac:dyDescent="0.3"/>
    <row r="416" s="1" customFormat="1" ht="14.25" customHeight="1" x14ac:dyDescent="0.3"/>
    <row r="417" s="1" customFormat="1" ht="14.25" customHeight="1" x14ac:dyDescent="0.3"/>
    <row r="418" s="1" customFormat="1" ht="14.25" customHeight="1" x14ac:dyDescent="0.3"/>
    <row r="419" s="1" customFormat="1" ht="14.25" customHeight="1" x14ac:dyDescent="0.3"/>
    <row r="420" s="1" customFormat="1" ht="14.25" customHeight="1" x14ac:dyDescent="0.3"/>
    <row r="421" s="1" customFormat="1" ht="14.25" customHeight="1" x14ac:dyDescent="0.3"/>
    <row r="422" s="1" customFormat="1" ht="14.25" customHeight="1" x14ac:dyDescent="0.3"/>
    <row r="423" s="1" customFormat="1" ht="14.25" customHeight="1" x14ac:dyDescent="0.3"/>
    <row r="424" s="1" customFormat="1" ht="14.25" customHeight="1" x14ac:dyDescent="0.3"/>
    <row r="425" s="1" customFormat="1" ht="14.25" customHeight="1" x14ac:dyDescent="0.3"/>
    <row r="426" s="1" customFormat="1" ht="14.25" customHeight="1" x14ac:dyDescent="0.3"/>
    <row r="427" s="1" customFormat="1" ht="14.25" customHeight="1" x14ac:dyDescent="0.3"/>
    <row r="428" s="1" customFormat="1" ht="14.25" customHeight="1" x14ac:dyDescent="0.3"/>
    <row r="429" s="1" customFormat="1" ht="14.25" customHeight="1" x14ac:dyDescent="0.3"/>
    <row r="430" s="1" customFormat="1" ht="14.25" customHeight="1" x14ac:dyDescent="0.3"/>
    <row r="431" s="1" customFormat="1" ht="14.25" customHeight="1" x14ac:dyDescent="0.3"/>
    <row r="432" s="1" customFormat="1" ht="14.25" customHeight="1" x14ac:dyDescent="0.3"/>
    <row r="433" s="1" customFormat="1" ht="14.25" customHeight="1" x14ac:dyDescent="0.3"/>
    <row r="434" s="1" customFormat="1" ht="14.25" customHeight="1" x14ac:dyDescent="0.3"/>
    <row r="435" s="1" customFormat="1" ht="14.25" customHeight="1" x14ac:dyDescent="0.3"/>
    <row r="436" s="1" customFormat="1" ht="14.25" customHeight="1" x14ac:dyDescent="0.3"/>
    <row r="437" s="1" customFormat="1" ht="14.25" customHeight="1" x14ac:dyDescent="0.3"/>
    <row r="438" s="1" customFormat="1" ht="14.25" customHeight="1" x14ac:dyDescent="0.3"/>
    <row r="439" s="1" customFormat="1" ht="14.25" customHeight="1" x14ac:dyDescent="0.3"/>
    <row r="440" s="1" customFormat="1" ht="14.25" customHeight="1" x14ac:dyDescent="0.3"/>
    <row r="441" s="1" customFormat="1" ht="14.25" customHeight="1" x14ac:dyDescent="0.3"/>
    <row r="442" s="1" customFormat="1" ht="14.25" customHeight="1" x14ac:dyDescent="0.3"/>
    <row r="443" s="1" customFormat="1" ht="14.25" customHeight="1" x14ac:dyDescent="0.3"/>
    <row r="444" s="1" customFormat="1" ht="14.25" customHeight="1" x14ac:dyDescent="0.3"/>
    <row r="445" s="1" customFormat="1" ht="14.25" customHeight="1" x14ac:dyDescent="0.3"/>
    <row r="446" s="1" customFormat="1" ht="14.25" customHeight="1" x14ac:dyDescent="0.3"/>
    <row r="447" s="1" customFormat="1" ht="14.25" customHeight="1" x14ac:dyDescent="0.3"/>
    <row r="448" s="1" customFormat="1" ht="14.25" customHeight="1" x14ac:dyDescent="0.3"/>
    <row r="449" s="1" customFormat="1" ht="14.25" customHeight="1" x14ac:dyDescent="0.3"/>
    <row r="450" s="1" customFormat="1" ht="14.25" customHeight="1" x14ac:dyDescent="0.3"/>
    <row r="451" s="1" customFormat="1" ht="14.25" customHeight="1" x14ac:dyDescent="0.3"/>
    <row r="452" s="1" customFormat="1" ht="14.25" customHeight="1" x14ac:dyDescent="0.3"/>
    <row r="453" s="1" customFormat="1" ht="14.25" customHeight="1" x14ac:dyDescent="0.3"/>
    <row r="454" s="1" customFormat="1" ht="14.25" customHeight="1" x14ac:dyDescent="0.3"/>
    <row r="455" s="1" customFormat="1" ht="14.25" customHeight="1" x14ac:dyDescent="0.3"/>
    <row r="456" s="1" customFormat="1" ht="14.25" customHeight="1" x14ac:dyDescent="0.3"/>
    <row r="457" s="1" customFormat="1" ht="14.25" customHeight="1" x14ac:dyDescent="0.3"/>
    <row r="458" s="1" customFormat="1" ht="14.25" customHeight="1" x14ac:dyDescent="0.3"/>
    <row r="459" s="1" customFormat="1" ht="14.25" customHeight="1" x14ac:dyDescent="0.3"/>
    <row r="460" s="1" customFormat="1" ht="14.25" customHeight="1" x14ac:dyDescent="0.3"/>
    <row r="461" s="1" customFormat="1" ht="14.25" customHeight="1" x14ac:dyDescent="0.3"/>
    <row r="462" s="1" customFormat="1" ht="14.25" customHeight="1" x14ac:dyDescent="0.3"/>
    <row r="463" s="1" customFormat="1" ht="14.25" customHeight="1" x14ac:dyDescent="0.3"/>
    <row r="464" s="1" customFormat="1" ht="14.25" customHeight="1" x14ac:dyDescent="0.3"/>
    <row r="465" s="1" customFormat="1" ht="14.25" customHeight="1" x14ac:dyDescent="0.3"/>
    <row r="466" s="1" customFormat="1" ht="14.25" customHeight="1" x14ac:dyDescent="0.3"/>
    <row r="467" s="1" customFormat="1" ht="14.25" customHeight="1" x14ac:dyDescent="0.3"/>
    <row r="468" s="1" customFormat="1" ht="14.25" customHeight="1" x14ac:dyDescent="0.3"/>
    <row r="469" s="1" customFormat="1" ht="14.25" customHeight="1" x14ac:dyDescent="0.3"/>
    <row r="470" s="1" customFormat="1" ht="14.25" customHeight="1" x14ac:dyDescent="0.3"/>
    <row r="471" s="1" customFormat="1" ht="14.25" customHeight="1" x14ac:dyDescent="0.3"/>
    <row r="472" s="1" customFormat="1" ht="14.25" customHeight="1" x14ac:dyDescent="0.3"/>
    <row r="473" s="1" customFormat="1" ht="14.25" customHeight="1" x14ac:dyDescent="0.3"/>
    <row r="474" s="1" customFormat="1" ht="14.25" customHeight="1" x14ac:dyDescent="0.3"/>
    <row r="475" s="1" customFormat="1" ht="14.25" customHeight="1" x14ac:dyDescent="0.3"/>
    <row r="476" s="1" customFormat="1" ht="14.25" customHeight="1" x14ac:dyDescent="0.3"/>
    <row r="477" s="1" customFormat="1" ht="14.25" customHeight="1" x14ac:dyDescent="0.3"/>
    <row r="478" s="1" customFormat="1" ht="14.25" customHeight="1" x14ac:dyDescent="0.3"/>
    <row r="479" s="1" customFormat="1" ht="14.25" customHeight="1" x14ac:dyDescent="0.3"/>
    <row r="480" s="1" customFormat="1" ht="14.25" customHeight="1" x14ac:dyDescent="0.3"/>
    <row r="481" s="1" customFormat="1" ht="14.25" customHeight="1" x14ac:dyDescent="0.3"/>
    <row r="482" s="1" customFormat="1" ht="14.25" customHeight="1" x14ac:dyDescent="0.3"/>
    <row r="483" s="1" customFormat="1" ht="14.25" customHeight="1" x14ac:dyDescent="0.3"/>
    <row r="484" s="1" customFormat="1" ht="14.25" customHeight="1" x14ac:dyDescent="0.3"/>
    <row r="485" s="1" customFormat="1" ht="14.25" customHeight="1" x14ac:dyDescent="0.3"/>
    <row r="486" s="1" customFormat="1" ht="14.25" customHeight="1" x14ac:dyDescent="0.3"/>
    <row r="487" s="1" customFormat="1" ht="14.25" customHeight="1" x14ac:dyDescent="0.3"/>
    <row r="488" s="1" customFormat="1" ht="14.25" customHeight="1" x14ac:dyDescent="0.3"/>
    <row r="489" s="1" customFormat="1" ht="14.25" customHeight="1" x14ac:dyDescent="0.3"/>
    <row r="490" s="1" customFormat="1" ht="14.25" customHeight="1" x14ac:dyDescent="0.3"/>
    <row r="491" s="1" customFormat="1" ht="14.25" customHeight="1" x14ac:dyDescent="0.3"/>
    <row r="492" s="1" customFormat="1" ht="14.25" customHeight="1" x14ac:dyDescent="0.3"/>
    <row r="493" s="1" customFormat="1" ht="14.25" customHeight="1" x14ac:dyDescent="0.3"/>
    <row r="494" s="1" customFormat="1" ht="14.25" customHeight="1" x14ac:dyDescent="0.3"/>
    <row r="495" s="1" customFormat="1" ht="14.25" customHeight="1" x14ac:dyDescent="0.3"/>
    <row r="496" s="1" customFormat="1" ht="14.25" customHeight="1" x14ac:dyDescent="0.3"/>
    <row r="497" s="1" customFormat="1" ht="14.25" customHeight="1" x14ac:dyDescent="0.3"/>
    <row r="498" s="1" customFormat="1" ht="14.25" customHeight="1" x14ac:dyDescent="0.3"/>
    <row r="499" s="1" customFormat="1" ht="14.25" customHeight="1" x14ac:dyDescent="0.3"/>
    <row r="500" s="1" customFormat="1" ht="14.25" customHeight="1" x14ac:dyDescent="0.3"/>
    <row r="501" s="1" customFormat="1" ht="14.25" customHeight="1" x14ac:dyDescent="0.3"/>
    <row r="502" s="1" customFormat="1" ht="14.25" customHeight="1" x14ac:dyDescent="0.3"/>
    <row r="503" s="1" customFormat="1" ht="14.25" customHeight="1" x14ac:dyDescent="0.3"/>
    <row r="504" s="1" customFormat="1" ht="14.25" customHeight="1" x14ac:dyDescent="0.3"/>
    <row r="505" s="1" customFormat="1" ht="14.25" customHeight="1" x14ac:dyDescent="0.3"/>
    <row r="506" s="1" customFormat="1" ht="14.25" customHeight="1" x14ac:dyDescent="0.3"/>
    <row r="507" s="1" customFormat="1" ht="14.25" customHeight="1" x14ac:dyDescent="0.3"/>
    <row r="508" s="1" customFormat="1" ht="14.25" customHeight="1" x14ac:dyDescent="0.3"/>
    <row r="509" s="1" customFormat="1" ht="14.25" customHeight="1" x14ac:dyDescent="0.3"/>
    <row r="510" s="1" customFormat="1" ht="14.25" customHeight="1" x14ac:dyDescent="0.3"/>
    <row r="511" s="1" customFormat="1" ht="14.25" customHeight="1" x14ac:dyDescent="0.3"/>
    <row r="512" s="1" customFormat="1" ht="14.25" customHeight="1" x14ac:dyDescent="0.3"/>
    <row r="513" s="1" customFormat="1" ht="14.25" customHeight="1" x14ac:dyDescent="0.3"/>
    <row r="514" s="1" customFormat="1" ht="14.25" customHeight="1" x14ac:dyDescent="0.3"/>
    <row r="515" s="1" customFormat="1" ht="14.25" customHeight="1" x14ac:dyDescent="0.3"/>
    <row r="516" s="1" customFormat="1" ht="14.25" customHeight="1" x14ac:dyDescent="0.3"/>
    <row r="517" s="1" customFormat="1" ht="14.25" customHeight="1" x14ac:dyDescent="0.3"/>
    <row r="518" s="1" customFormat="1" ht="14.25" customHeight="1" x14ac:dyDescent="0.3"/>
    <row r="519" s="1" customFormat="1" ht="14.25" customHeight="1" x14ac:dyDescent="0.3"/>
    <row r="520" s="1" customFormat="1" ht="14.25" customHeight="1" x14ac:dyDescent="0.3"/>
    <row r="521" s="1" customFormat="1" ht="14.25" customHeight="1" x14ac:dyDescent="0.3"/>
    <row r="522" s="1" customFormat="1" ht="14.25" customHeight="1" x14ac:dyDescent="0.3"/>
    <row r="523" s="1" customFormat="1" ht="14.25" customHeight="1" x14ac:dyDescent="0.3"/>
    <row r="524" s="1" customFormat="1" ht="14.25" customHeight="1" x14ac:dyDescent="0.3"/>
    <row r="525" s="1" customFormat="1" ht="14.25" customHeight="1" x14ac:dyDescent="0.3"/>
    <row r="526" s="1" customFormat="1" ht="14.25" customHeight="1" x14ac:dyDescent="0.3"/>
    <row r="527" s="1" customFormat="1" ht="14.25" customHeight="1" x14ac:dyDescent="0.3"/>
    <row r="528" s="1" customFormat="1" ht="14.25" customHeight="1" x14ac:dyDescent="0.3"/>
    <row r="529" s="1" customFormat="1" ht="14.25" customHeight="1" x14ac:dyDescent="0.3"/>
    <row r="530" s="1" customFormat="1" ht="14.25" customHeight="1" x14ac:dyDescent="0.3"/>
    <row r="531" s="1" customFormat="1" ht="14.25" customHeight="1" x14ac:dyDescent="0.3"/>
    <row r="532" s="1" customFormat="1" ht="14.25" customHeight="1" x14ac:dyDescent="0.3"/>
    <row r="533" s="1" customFormat="1" ht="14.25" customHeight="1" x14ac:dyDescent="0.3"/>
    <row r="534" s="1" customFormat="1" ht="14.25" customHeight="1" x14ac:dyDescent="0.3"/>
    <row r="535" s="1" customFormat="1" ht="14.25" customHeight="1" x14ac:dyDescent="0.3"/>
    <row r="536" s="1" customFormat="1" ht="14.25" customHeight="1" x14ac:dyDescent="0.3"/>
    <row r="537" s="1" customFormat="1" ht="14.25" customHeight="1" x14ac:dyDescent="0.3"/>
    <row r="538" s="1" customFormat="1" ht="14.25" customHeight="1" x14ac:dyDescent="0.3"/>
    <row r="539" s="1" customFormat="1" ht="14.25" customHeight="1" x14ac:dyDescent="0.3"/>
    <row r="540" s="1" customFormat="1" ht="14.25" customHeight="1" x14ac:dyDescent="0.3"/>
    <row r="541" s="1" customFormat="1" ht="14.25" customHeight="1" x14ac:dyDescent="0.3"/>
    <row r="542" s="1" customFormat="1" ht="14.25" customHeight="1" x14ac:dyDescent="0.3"/>
    <row r="543" s="1" customFormat="1" ht="14.25" customHeight="1" x14ac:dyDescent="0.3"/>
    <row r="544" s="1" customFormat="1" ht="14.25" customHeight="1" x14ac:dyDescent="0.3"/>
    <row r="545" s="1" customFormat="1" ht="14.25" customHeight="1" x14ac:dyDescent="0.3"/>
    <row r="546" s="1" customFormat="1" ht="14.25" customHeight="1" x14ac:dyDescent="0.3"/>
    <row r="547" s="1" customFormat="1" ht="14.25" customHeight="1" x14ac:dyDescent="0.3"/>
    <row r="548" s="1" customFormat="1" ht="14.25" customHeight="1" x14ac:dyDescent="0.3"/>
    <row r="549" s="1" customFormat="1" ht="14.25" customHeight="1" x14ac:dyDescent="0.3"/>
    <row r="550" s="1" customFormat="1" ht="14.25" customHeight="1" x14ac:dyDescent="0.3"/>
    <row r="551" s="1" customFormat="1" ht="14.25" customHeight="1" x14ac:dyDescent="0.3"/>
    <row r="552" s="1" customFormat="1" ht="14.25" customHeight="1" x14ac:dyDescent="0.3"/>
    <row r="553" s="1" customFormat="1" ht="14.25" customHeight="1" x14ac:dyDescent="0.3"/>
    <row r="554" s="1" customFormat="1" ht="14.25" customHeight="1" x14ac:dyDescent="0.3"/>
    <row r="555" s="1" customFormat="1" ht="14.25" customHeight="1" x14ac:dyDescent="0.3"/>
    <row r="556" s="1" customFormat="1" ht="14.25" customHeight="1" x14ac:dyDescent="0.3"/>
    <row r="557" s="1" customFormat="1" ht="14.25" customHeight="1" x14ac:dyDescent="0.3"/>
    <row r="558" s="1" customFormat="1" ht="14.25" customHeight="1" x14ac:dyDescent="0.3"/>
    <row r="559" s="1" customFormat="1" ht="14.25" customHeight="1" x14ac:dyDescent="0.3"/>
    <row r="560" s="1" customFormat="1" ht="14.25" customHeight="1" x14ac:dyDescent="0.3"/>
    <row r="561" s="1" customFormat="1" ht="14.25" customHeight="1" x14ac:dyDescent="0.3"/>
    <row r="562" s="1" customFormat="1" ht="14.25" customHeight="1" x14ac:dyDescent="0.3"/>
    <row r="563" s="1" customFormat="1" ht="14.25" customHeight="1" x14ac:dyDescent="0.3"/>
    <row r="564" s="1" customFormat="1" ht="14.25" customHeight="1" x14ac:dyDescent="0.3"/>
    <row r="565" s="1" customFormat="1" ht="14.25" customHeight="1" x14ac:dyDescent="0.3"/>
    <row r="566" s="1" customFormat="1" ht="14.25" customHeight="1" x14ac:dyDescent="0.3"/>
    <row r="567" s="1" customFormat="1" ht="14.25" customHeight="1" x14ac:dyDescent="0.3"/>
    <row r="568" s="1" customFormat="1" ht="14.25" customHeight="1" x14ac:dyDescent="0.3"/>
    <row r="569" s="1" customFormat="1" ht="14.25" customHeight="1" x14ac:dyDescent="0.3"/>
    <row r="570" s="1" customFormat="1" ht="14.25" customHeight="1" x14ac:dyDescent="0.3"/>
    <row r="571" s="1" customFormat="1" ht="14.25" customHeight="1" x14ac:dyDescent="0.3"/>
    <row r="572" s="1" customFormat="1" ht="14.25" customHeight="1" x14ac:dyDescent="0.3"/>
    <row r="573" s="1" customFormat="1" ht="14.25" customHeight="1" x14ac:dyDescent="0.3"/>
    <row r="574" s="1" customFormat="1" ht="14.25" customHeight="1" x14ac:dyDescent="0.3"/>
    <row r="575" s="1" customFormat="1" ht="14.25" customHeight="1" x14ac:dyDescent="0.3"/>
    <row r="576" s="1" customFormat="1" ht="14.25" customHeight="1" x14ac:dyDescent="0.3"/>
    <row r="577" s="1" customFormat="1" ht="14.25" customHeight="1" x14ac:dyDescent="0.3"/>
    <row r="578" s="1" customFormat="1" ht="14.25" customHeight="1" x14ac:dyDescent="0.3"/>
    <row r="579" s="1" customFormat="1" ht="14.25" customHeight="1" x14ac:dyDescent="0.3"/>
    <row r="580" s="1" customFormat="1" ht="14.25" customHeight="1" x14ac:dyDescent="0.3"/>
    <row r="581" s="1" customFormat="1" ht="14.25" customHeight="1" x14ac:dyDescent="0.3"/>
    <row r="582" s="1" customFormat="1" ht="14.25" customHeight="1" x14ac:dyDescent="0.3"/>
    <row r="583" s="1" customFormat="1" ht="14.25" customHeight="1" x14ac:dyDescent="0.3"/>
    <row r="584" s="1" customFormat="1" ht="14.25" customHeight="1" x14ac:dyDescent="0.3"/>
    <row r="585" s="1" customFormat="1" ht="14.25" customHeight="1" x14ac:dyDescent="0.3"/>
    <row r="586" s="1" customFormat="1" ht="14.25" customHeight="1" x14ac:dyDescent="0.3"/>
    <row r="587" s="1" customFormat="1" ht="14.25" customHeight="1" x14ac:dyDescent="0.3"/>
    <row r="588" s="1" customFormat="1" ht="14.25" customHeight="1" x14ac:dyDescent="0.3"/>
    <row r="589" s="1" customFormat="1" ht="14.25" customHeight="1" x14ac:dyDescent="0.3"/>
    <row r="590" s="1" customFormat="1" ht="14.25" customHeight="1" x14ac:dyDescent="0.3"/>
    <row r="591" s="1" customFormat="1" ht="14.25" customHeight="1" x14ac:dyDescent="0.3"/>
    <row r="592" s="1" customFormat="1" ht="14.25" customHeight="1" x14ac:dyDescent="0.3"/>
    <row r="593" s="1" customFormat="1" ht="14.25" customHeight="1" x14ac:dyDescent="0.3"/>
    <row r="594" s="1" customFormat="1" ht="14.25" customHeight="1" x14ac:dyDescent="0.3"/>
    <row r="595" s="1" customFormat="1" ht="14.25" customHeight="1" x14ac:dyDescent="0.3"/>
    <row r="596" s="1" customFormat="1" ht="14.25" customHeight="1" x14ac:dyDescent="0.3"/>
    <row r="597" s="1" customFormat="1" ht="14.25" customHeight="1" x14ac:dyDescent="0.3"/>
    <row r="598" s="1" customFormat="1" ht="14.25" customHeight="1" x14ac:dyDescent="0.3"/>
    <row r="599" s="1" customFormat="1" ht="14.25" customHeight="1" x14ac:dyDescent="0.3"/>
    <row r="600" s="1" customFormat="1" ht="14.25" customHeight="1" x14ac:dyDescent="0.3"/>
    <row r="601" s="1" customFormat="1" ht="14.25" customHeight="1" x14ac:dyDescent="0.3"/>
    <row r="602" s="1" customFormat="1" ht="14.25" customHeight="1" x14ac:dyDescent="0.3"/>
    <row r="603" s="1" customFormat="1" ht="14.25" customHeight="1" x14ac:dyDescent="0.3"/>
    <row r="604" s="1" customFormat="1" ht="14.25" customHeight="1" x14ac:dyDescent="0.3"/>
    <row r="605" s="1" customFormat="1" ht="14.25" customHeight="1" x14ac:dyDescent="0.3"/>
    <row r="606" s="1" customFormat="1" ht="14.25" customHeight="1" x14ac:dyDescent="0.3"/>
    <row r="607" s="1" customFormat="1" ht="14.25" customHeight="1" x14ac:dyDescent="0.3"/>
    <row r="608" s="1" customFormat="1" ht="14.25" customHeight="1" x14ac:dyDescent="0.3"/>
    <row r="609" s="1" customFormat="1" ht="14.25" customHeight="1" x14ac:dyDescent="0.3"/>
    <row r="610" s="1" customFormat="1" ht="14.25" customHeight="1" x14ac:dyDescent="0.3"/>
    <row r="611" s="1" customFormat="1" ht="14.25" customHeight="1" x14ac:dyDescent="0.3"/>
    <row r="612" s="1" customFormat="1" ht="14.25" customHeight="1" x14ac:dyDescent="0.3"/>
    <row r="613" s="1" customFormat="1" ht="14.25" customHeight="1" x14ac:dyDescent="0.3"/>
    <row r="614" s="1" customFormat="1" ht="14.25" customHeight="1" x14ac:dyDescent="0.3"/>
    <row r="615" s="1" customFormat="1" ht="14.25" customHeight="1" x14ac:dyDescent="0.3"/>
    <row r="616" s="1" customFormat="1" ht="14.25" customHeight="1" x14ac:dyDescent="0.3"/>
    <row r="617" s="1" customFormat="1" ht="14.25" customHeight="1" x14ac:dyDescent="0.3"/>
    <row r="618" s="1" customFormat="1" ht="14.25" customHeight="1" x14ac:dyDescent="0.3"/>
    <row r="619" s="1" customFormat="1" ht="14.25" customHeight="1" x14ac:dyDescent="0.3"/>
    <row r="620" s="1" customFormat="1" ht="14.25" customHeight="1" x14ac:dyDescent="0.3"/>
    <row r="621" s="1" customFormat="1" ht="14.25" customHeight="1" x14ac:dyDescent="0.3"/>
    <row r="622" s="1" customFormat="1" ht="14.25" customHeight="1" x14ac:dyDescent="0.3"/>
    <row r="623" s="1" customFormat="1" ht="14.25" customHeight="1" x14ac:dyDescent="0.3"/>
    <row r="624" s="1" customFormat="1" ht="14.25" customHeight="1" x14ac:dyDescent="0.3"/>
    <row r="625" s="1" customFormat="1" ht="14.25" customHeight="1" x14ac:dyDescent="0.3"/>
    <row r="626" s="1" customFormat="1" ht="14.25" customHeight="1" x14ac:dyDescent="0.3"/>
    <row r="627" s="1" customFormat="1" ht="14.25" customHeight="1" x14ac:dyDescent="0.3"/>
    <row r="628" s="1" customFormat="1" ht="14.25" customHeight="1" x14ac:dyDescent="0.3"/>
    <row r="629" s="1" customFormat="1" ht="14.25" customHeight="1" x14ac:dyDescent="0.3"/>
    <row r="630" s="1" customFormat="1" ht="14.25" customHeight="1" x14ac:dyDescent="0.3"/>
    <row r="631" s="1" customFormat="1" ht="14.25" customHeight="1" x14ac:dyDescent="0.3"/>
    <row r="632" s="1" customFormat="1" ht="14.25" customHeight="1" x14ac:dyDescent="0.3"/>
    <row r="633" s="1" customFormat="1" ht="14.25" customHeight="1" x14ac:dyDescent="0.3"/>
    <row r="634" s="1" customFormat="1" ht="14.25" customHeight="1" x14ac:dyDescent="0.3"/>
    <row r="635" s="1" customFormat="1" ht="14.25" customHeight="1" x14ac:dyDescent="0.3"/>
    <row r="636" s="1" customFormat="1" ht="14.25" customHeight="1" x14ac:dyDescent="0.3"/>
    <row r="637" s="1" customFormat="1" ht="14.25" customHeight="1" x14ac:dyDescent="0.3"/>
    <row r="638" s="1" customFormat="1" ht="14.25" customHeight="1" x14ac:dyDescent="0.3"/>
    <row r="639" s="1" customFormat="1" ht="14.25" customHeight="1" x14ac:dyDescent="0.3"/>
    <row r="640" s="1" customFormat="1" ht="14.25" customHeight="1" x14ac:dyDescent="0.3"/>
    <row r="641" s="1" customFormat="1" ht="14.25" customHeight="1" x14ac:dyDescent="0.3"/>
    <row r="642" s="1" customFormat="1" ht="14.25" customHeight="1" x14ac:dyDescent="0.3"/>
    <row r="643" s="1" customFormat="1" ht="14.25" customHeight="1" x14ac:dyDescent="0.3"/>
    <row r="644" s="1" customFormat="1" ht="14.25" customHeight="1" x14ac:dyDescent="0.3"/>
    <row r="645" s="1" customFormat="1" ht="14.25" customHeight="1" x14ac:dyDescent="0.3"/>
    <row r="646" s="1" customFormat="1" ht="14.25" customHeight="1" x14ac:dyDescent="0.3"/>
    <row r="647" s="1" customFormat="1" ht="14.25" customHeight="1" x14ac:dyDescent="0.3"/>
    <row r="648" s="1" customFormat="1" ht="14.25" customHeight="1" x14ac:dyDescent="0.3"/>
    <row r="649" s="1" customFormat="1" ht="14.25" customHeight="1" x14ac:dyDescent="0.3"/>
    <row r="650" s="1" customFormat="1" ht="14.25" customHeight="1" x14ac:dyDescent="0.3"/>
    <row r="651" s="1" customFormat="1" ht="14.25" customHeight="1" x14ac:dyDescent="0.3"/>
    <row r="652" s="1" customFormat="1" ht="14.25" customHeight="1" x14ac:dyDescent="0.3"/>
    <row r="653" s="1" customFormat="1" ht="14.25" customHeight="1" x14ac:dyDescent="0.3"/>
    <row r="654" s="1" customFormat="1" ht="14.25" customHeight="1" x14ac:dyDescent="0.3"/>
    <row r="655" s="1" customFormat="1" ht="14.25" customHeight="1" x14ac:dyDescent="0.3"/>
    <row r="656" s="1" customFormat="1" ht="14.25" customHeight="1" x14ac:dyDescent="0.3"/>
    <row r="657" s="1" customFormat="1" ht="14.25" customHeight="1" x14ac:dyDescent="0.3"/>
    <row r="658" s="1" customFormat="1" ht="14.25" customHeight="1" x14ac:dyDescent="0.3"/>
    <row r="659" s="1" customFormat="1" ht="14.25" customHeight="1" x14ac:dyDescent="0.3"/>
    <row r="660" s="1" customFormat="1" ht="14.25" customHeight="1" x14ac:dyDescent="0.3"/>
    <row r="661" s="1" customFormat="1" ht="14.25" customHeight="1" x14ac:dyDescent="0.3"/>
    <row r="662" s="1" customFormat="1" ht="14.25" customHeight="1" x14ac:dyDescent="0.3"/>
    <row r="663" s="1" customFormat="1" ht="14.25" customHeight="1" x14ac:dyDescent="0.3"/>
    <row r="664" s="1" customFormat="1" ht="14.25" customHeight="1" x14ac:dyDescent="0.3"/>
    <row r="665" s="1" customFormat="1" ht="14.25" customHeight="1" x14ac:dyDescent="0.3"/>
    <row r="666" s="1" customFormat="1" ht="14.25" customHeight="1" x14ac:dyDescent="0.3"/>
    <row r="667" s="1" customFormat="1" ht="14.25" customHeight="1" x14ac:dyDescent="0.3"/>
    <row r="668" s="1" customFormat="1" ht="14.25" customHeight="1" x14ac:dyDescent="0.3"/>
    <row r="669" s="1" customFormat="1" ht="14.25" customHeight="1" x14ac:dyDescent="0.3"/>
    <row r="670" s="1" customFormat="1" ht="14.25" customHeight="1" x14ac:dyDescent="0.3"/>
    <row r="671" s="1" customFormat="1" ht="14.25" customHeight="1" x14ac:dyDescent="0.3"/>
    <row r="672" s="1" customFormat="1" ht="14.25" customHeight="1" x14ac:dyDescent="0.3"/>
    <row r="673" s="1" customFormat="1" ht="14.25" customHeight="1" x14ac:dyDescent="0.3"/>
    <row r="674" s="1" customFormat="1" ht="14.25" customHeight="1" x14ac:dyDescent="0.3"/>
    <row r="675" s="1" customFormat="1" ht="14.25" customHeight="1" x14ac:dyDescent="0.3"/>
    <row r="676" s="1" customFormat="1" ht="14.25" customHeight="1" x14ac:dyDescent="0.3"/>
    <row r="677" s="1" customFormat="1" ht="14.25" customHeight="1" x14ac:dyDescent="0.3"/>
    <row r="678" s="1" customFormat="1" ht="14.25" customHeight="1" x14ac:dyDescent="0.3"/>
    <row r="679" s="1" customFormat="1" ht="14.25" customHeight="1" x14ac:dyDescent="0.3"/>
    <row r="680" s="1" customFormat="1" ht="14.25" customHeight="1" x14ac:dyDescent="0.3"/>
    <row r="681" s="1" customFormat="1" ht="14.25" customHeight="1" x14ac:dyDescent="0.3"/>
    <row r="682" s="1" customFormat="1" ht="14.25" customHeight="1" x14ac:dyDescent="0.3"/>
    <row r="683" s="1" customFormat="1" ht="14.25" customHeight="1" x14ac:dyDescent="0.3"/>
    <row r="684" s="1" customFormat="1" ht="14.25" customHeight="1" x14ac:dyDescent="0.3"/>
    <row r="685" s="1" customFormat="1" ht="14.25" customHeight="1" x14ac:dyDescent="0.3"/>
    <row r="686" s="1" customFormat="1" ht="14.25" customHeight="1" x14ac:dyDescent="0.3"/>
    <row r="687" s="1" customFormat="1" ht="14.25" customHeight="1" x14ac:dyDescent="0.3"/>
    <row r="688" s="1" customFormat="1" ht="14.25" customHeight="1" x14ac:dyDescent="0.3"/>
    <row r="689" s="1" customFormat="1" ht="14.25" customHeight="1" x14ac:dyDescent="0.3"/>
    <row r="690" s="1" customFormat="1" ht="14.25" customHeight="1" x14ac:dyDescent="0.3"/>
    <row r="691" s="1" customFormat="1" ht="14.25" customHeight="1" x14ac:dyDescent="0.3"/>
    <row r="692" s="1" customFormat="1" ht="14.25" customHeight="1" x14ac:dyDescent="0.3"/>
    <row r="693" s="1" customFormat="1" ht="14.25" customHeight="1" x14ac:dyDescent="0.3"/>
    <row r="694" s="1" customFormat="1" ht="14.25" customHeight="1" x14ac:dyDescent="0.3"/>
    <row r="695" s="1" customFormat="1" ht="14.25" customHeight="1" x14ac:dyDescent="0.3"/>
    <row r="696" s="1" customFormat="1" ht="14.25" customHeight="1" x14ac:dyDescent="0.3"/>
    <row r="697" s="1" customFormat="1" ht="14.25" customHeight="1" x14ac:dyDescent="0.3"/>
    <row r="698" s="1" customFormat="1" ht="14.25" customHeight="1" x14ac:dyDescent="0.3"/>
    <row r="699" s="1" customFormat="1" ht="14.25" customHeight="1" x14ac:dyDescent="0.3"/>
    <row r="700" s="1" customFormat="1" ht="14.25" customHeight="1" x14ac:dyDescent="0.3"/>
    <row r="701" s="1" customFormat="1" ht="14.25" customHeight="1" x14ac:dyDescent="0.3"/>
    <row r="702" s="1" customFormat="1" ht="14.25" customHeight="1" x14ac:dyDescent="0.3"/>
    <row r="703" s="1" customFormat="1" ht="14.25" customHeight="1" x14ac:dyDescent="0.3"/>
    <row r="704" s="1" customFormat="1" ht="14.25" customHeight="1" x14ac:dyDescent="0.3"/>
    <row r="705" s="1" customFormat="1" ht="14.25" customHeight="1" x14ac:dyDescent="0.3"/>
    <row r="706" s="1" customFormat="1" ht="14.25" customHeight="1" x14ac:dyDescent="0.3"/>
    <row r="707" s="1" customFormat="1" ht="14.25" customHeight="1" x14ac:dyDescent="0.3"/>
    <row r="708" s="1" customFormat="1" ht="14.25" customHeight="1" x14ac:dyDescent="0.3"/>
    <row r="709" s="1" customFormat="1" ht="14.25" customHeight="1" x14ac:dyDescent="0.3"/>
    <row r="710" s="1" customFormat="1" ht="14.25" customHeight="1" x14ac:dyDescent="0.3"/>
    <row r="711" s="1" customFormat="1" ht="14.25" customHeight="1" x14ac:dyDescent="0.3"/>
    <row r="712" s="1" customFormat="1" ht="14.25" customHeight="1" x14ac:dyDescent="0.3"/>
    <row r="713" s="1" customFormat="1" ht="14.25" customHeight="1" x14ac:dyDescent="0.3"/>
    <row r="714" s="1" customFormat="1" ht="14.25" customHeight="1" x14ac:dyDescent="0.3"/>
    <row r="715" s="1" customFormat="1" ht="14.25" customHeight="1" x14ac:dyDescent="0.3"/>
    <row r="716" s="1" customFormat="1" ht="14.25" customHeight="1" x14ac:dyDescent="0.3"/>
    <row r="717" s="1" customFormat="1" ht="14.25" customHeight="1" x14ac:dyDescent="0.3"/>
    <row r="718" s="1" customFormat="1" ht="14.25" customHeight="1" x14ac:dyDescent="0.3"/>
    <row r="719" s="1" customFormat="1" ht="14.25" customHeight="1" x14ac:dyDescent="0.3"/>
    <row r="720" s="1" customFormat="1" ht="14.25" customHeight="1" x14ac:dyDescent="0.3"/>
    <row r="721" s="1" customFormat="1" ht="14.25" customHeight="1" x14ac:dyDescent="0.3"/>
    <row r="722" s="1" customFormat="1" ht="14.25" customHeight="1" x14ac:dyDescent="0.3"/>
    <row r="723" s="1" customFormat="1" ht="14.25" customHeight="1" x14ac:dyDescent="0.3"/>
    <row r="724" s="1" customFormat="1" ht="14.25" customHeight="1" x14ac:dyDescent="0.3"/>
    <row r="725" s="1" customFormat="1" ht="14.25" customHeight="1" x14ac:dyDescent="0.3"/>
    <row r="726" s="1" customFormat="1" ht="14.25" customHeight="1" x14ac:dyDescent="0.3"/>
    <row r="727" s="1" customFormat="1" ht="14.25" customHeight="1" x14ac:dyDescent="0.3"/>
    <row r="728" s="1" customFormat="1" ht="14.25" customHeight="1" x14ac:dyDescent="0.3"/>
    <row r="729" s="1" customFormat="1" ht="14.25" customHeight="1" x14ac:dyDescent="0.3"/>
    <row r="730" s="1" customFormat="1" ht="14.25" customHeight="1" x14ac:dyDescent="0.3"/>
    <row r="731" s="1" customFormat="1" ht="14.25" customHeight="1" x14ac:dyDescent="0.3"/>
    <row r="732" s="1" customFormat="1" ht="14.25" customHeight="1" x14ac:dyDescent="0.3"/>
    <row r="733" s="1" customFormat="1" ht="14.25" customHeight="1" x14ac:dyDescent="0.3"/>
    <row r="734" s="1" customFormat="1" ht="14.25" customHeight="1" x14ac:dyDescent="0.3"/>
    <row r="735" s="1" customFormat="1" ht="14.25" customHeight="1" x14ac:dyDescent="0.3"/>
    <row r="736" s="1" customFormat="1" ht="14.25" customHeight="1" x14ac:dyDescent="0.3"/>
    <row r="737" s="1" customFormat="1" ht="14.25" customHeight="1" x14ac:dyDescent="0.3"/>
    <row r="738" s="1" customFormat="1" ht="14.25" customHeight="1" x14ac:dyDescent="0.3"/>
    <row r="739" s="1" customFormat="1" ht="14.25" customHeight="1" x14ac:dyDescent="0.3"/>
    <row r="740" s="1" customFormat="1" ht="14.25" customHeight="1" x14ac:dyDescent="0.3"/>
    <row r="741" s="1" customFormat="1" ht="14.25" customHeight="1" x14ac:dyDescent="0.3"/>
    <row r="742" s="1" customFormat="1" ht="14.25" customHeight="1" x14ac:dyDescent="0.3"/>
    <row r="743" s="1" customFormat="1" ht="14.25" customHeight="1" x14ac:dyDescent="0.3"/>
    <row r="744" s="1" customFormat="1" ht="14.25" customHeight="1" x14ac:dyDescent="0.3"/>
    <row r="745" s="1" customFormat="1" ht="14.25" customHeight="1" x14ac:dyDescent="0.3"/>
    <row r="746" s="1" customFormat="1" ht="14.25" customHeight="1" x14ac:dyDescent="0.3"/>
    <row r="747" s="1" customFormat="1" ht="14.25" customHeight="1" x14ac:dyDescent="0.3"/>
    <row r="748" s="1" customFormat="1" ht="14.25" customHeight="1" x14ac:dyDescent="0.3"/>
    <row r="749" s="1" customFormat="1" ht="14.25" customHeight="1" x14ac:dyDescent="0.3"/>
    <row r="750" s="1" customFormat="1" ht="14.25" customHeight="1" x14ac:dyDescent="0.3"/>
    <row r="751" s="1" customFormat="1" ht="14.25" customHeight="1" x14ac:dyDescent="0.3"/>
    <row r="752" s="1" customFormat="1" ht="14.25" customHeight="1" x14ac:dyDescent="0.3"/>
    <row r="753" s="1" customFormat="1" ht="14.25" customHeight="1" x14ac:dyDescent="0.3"/>
    <row r="754" s="1" customFormat="1" ht="14.25" customHeight="1" x14ac:dyDescent="0.3"/>
    <row r="755" s="1" customFormat="1" ht="14.25" customHeight="1" x14ac:dyDescent="0.3"/>
    <row r="756" s="1" customFormat="1" ht="14.25" customHeight="1" x14ac:dyDescent="0.3"/>
    <row r="757" s="1" customFormat="1" ht="14.25" customHeight="1" x14ac:dyDescent="0.3"/>
    <row r="758" s="1" customFormat="1" ht="14.25" customHeight="1" x14ac:dyDescent="0.3"/>
    <row r="759" s="1" customFormat="1" ht="14.25" customHeight="1" x14ac:dyDescent="0.3"/>
    <row r="760" s="1" customFormat="1" ht="14.25" customHeight="1" x14ac:dyDescent="0.3"/>
    <row r="761" s="1" customFormat="1" ht="14.25" customHeight="1" x14ac:dyDescent="0.3"/>
    <row r="762" s="1" customFormat="1" ht="14.25" customHeight="1" x14ac:dyDescent="0.3"/>
    <row r="763" s="1" customFormat="1" ht="14.25" customHeight="1" x14ac:dyDescent="0.3"/>
    <row r="764" s="1" customFormat="1" ht="14.25" customHeight="1" x14ac:dyDescent="0.3"/>
    <row r="765" s="1" customFormat="1" ht="14.25" customHeight="1" x14ac:dyDescent="0.3"/>
    <row r="766" s="1" customFormat="1" ht="14.25" customHeight="1" x14ac:dyDescent="0.3"/>
    <row r="767" s="1" customFormat="1" ht="14.25" customHeight="1" x14ac:dyDescent="0.3"/>
    <row r="768" s="1" customFormat="1" ht="14.25" customHeight="1" x14ac:dyDescent="0.3"/>
    <row r="769" s="1" customFormat="1" ht="14.25" customHeight="1" x14ac:dyDescent="0.3"/>
    <row r="770" s="1" customFormat="1" ht="14.25" customHeight="1" x14ac:dyDescent="0.3"/>
    <row r="771" s="1" customFormat="1" ht="14.25" customHeight="1" x14ac:dyDescent="0.3"/>
    <row r="772" s="1" customFormat="1" ht="14.25" customHeight="1" x14ac:dyDescent="0.3"/>
    <row r="773" s="1" customFormat="1" ht="14.25" customHeight="1" x14ac:dyDescent="0.3"/>
    <row r="774" s="1" customFormat="1" ht="14.25" customHeight="1" x14ac:dyDescent="0.3"/>
    <row r="775" s="1" customFormat="1" ht="14.25" customHeight="1" x14ac:dyDescent="0.3"/>
    <row r="776" s="1" customFormat="1" ht="14.25" customHeight="1" x14ac:dyDescent="0.3"/>
    <row r="777" s="1" customFormat="1" ht="14.25" customHeight="1" x14ac:dyDescent="0.3"/>
    <row r="778" s="1" customFormat="1" ht="14.25" customHeight="1" x14ac:dyDescent="0.3"/>
    <row r="779" s="1" customFormat="1" ht="14.25" customHeight="1" x14ac:dyDescent="0.3"/>
    <row r="780" s="1" customFormat="1" ht="14.25" customHeight="1" x14ac:dyDescent="0.3"/>
    <row r="781" s="1" customFormat="1" ht="14.25" customHeight="1" x14ac:dyDescent="0.3"/>
    <row r="782" s="1" customFormat="1" ht="14.25" customHeight="1" x14ac:dyDescent="0.3"/>
    <row r="783" s="1" customFormat="1" ht="14.25" customHeight="1" x14ac:dyDescent="0.3"/>
    <row r="784" s="1" customFormat="1" ht="14.25" customHeight="1" x14ac:dyDescent="0.3"/>
    <row r="785" s="1" customFormat="1" ht="14.25" customHeight="1" x14ac:dyDescent="0.3"/>
    <row r="786" s="1" customFormat="1" ht="14.25" customHeight="1" x14ac:dyDescent="0.3"/>
    <row r="787" s="1" customFormat="1" ht="14.25" customHeight="1" x14ac:dyDescent="0.3"/>
    <row r="788" s="1" customFormat="1" ht="14.25" customHeight="1" x14ac:dyDescent="0.3"/>
    <row r="789" s="1" customFormat="1" ht="14.25" customHeight="1" x14ac:dyDescent="0.3"/>
    <row r="790" s="1" customFormat="1" ht="14.25" customHeight="1" x14ac:dyDescent="0.3"/>
    <row r="791" s="1" customFormat="1" ht="14.25" customHeight="1" x14ac:dyDescent="0.3"/>
    <row r="792" s="1" customFormat="1" ht="14.25" customHeight="1" x14ac:dyDescent="0.3"/>
    <row r="793" s="1" customFormat="1" ht="14.25" customHeight="1" x14ac:dyDescent="0.3"/>
    <row r="794" s="1" customFormat="1" ht="14.25" customHeight="1" x14ac:dyDescent="0.3"/>
    <row r="795" s="1" customFormat="1" ht="14.25" customHeight="1" x14ac:dyDescent="0.3"/>
    <row r="796" s="1" customFormat="1" ht="14.25" customHeight="1" x14ac:dyDescent="0.3"/>
    <row r="797" s="1" customFormat="1" ht="14.25" customHeight="1" x14ac:dyDescent="0.3"/>
    <row r="798" s="1" customFormat="1" ht="14.25" customHeight="1" x14ac:dyDescent="0.3"/>
    <row r="799" s="1" customFormat="1" ht="14.25" customHeight="1" x14ac:dyDescent="0.3"/>
    <row r="800" s="1" customFormat="1" ht="14.25" customHeight="1" x14ac:dyDescent="0.3"/>
    <row r="801" s="1" customFormat="1" ht="14.25" customHeight="1" x14ac:dyDescent="0.3"/>
    <row r="802" s="1" customFormat="1" ht="14.25" customHeight="1" x14ac:dyDescent="0.3"/>
    <row r="803" s="1" customFormat="1" ht="14.25" customHeight="1" x14ac:dyDescent="0.3"/>
    <row r="804" s="1" customFormat="1" ht="14.25" customHeight="1" x14ac:dyDescent="0.3"/>
    <row r="805" s="1" customFormat="1" ht="14.25" customHeight="1" x14ac:dyDescent="0.3"/>
    <row r="806" s="1" customFormat="1" ht="14.25" customHeight="1" x14ac:dyDescent="0.3"/>
    <row r="807" s="1" customFormat="1" ht="14.25" customHeight="1" x14ac:dyDescent="0.3"/>
    <row r="808" s="1" customFormat="1" ht="14.25" customHeight="1" x14ac:dyDescent="0.3"/>
    <row r="809" s="1" customFormat="1" ht="14.25" customHeight="1" x14ac:dyDescent="0.3"/>
    <row r="810" s="1" customFormat="1" ht="14.25" customHeight="1" x14ac:dyDescent="0.3"/>
    <row r="811" s="1" customFormat="1" ht="14.25" customHeight="1" x14ac:dyDescent="0.3"/>
    <row r="812" s="1" customFormat="1" ht="14.25" customHeight="1" x14ac:dyDescent="0.3"/>
    <row r="813" s="1" customFormat="1" ht="14.25" customHeight="1" x14ac:dyDescent="0.3"/>
    <row r="814" s="1" customFormat="1" ht="14.25" customHeight="1" x14ac:dyDescent="0.3"/>
    <row r="815" s="1" customFormat="1" ht="14.25" customHeight="1" x14ac:dyDescent="0.3"/>
    <row r="816" s="1" customFormat="1" ht="14.25" customHeight="1" x14ac:dyDescent="0.3"/>
    <row r="817" s="1" customFormat="1" ht="14.25" customHeight="1" x14ac:dyDescent="0.3"/>
    <row r="818" s="1" customFormat="1" ht="14.25" customHeight="1" x14ac:dyDescent="0.3"/>
    <row r="819" s="1" customFormat="1" ht="14.25" customHeight="1" x14ac:dyDescent="0.3"/>
    <row r="820" s="1" customFormat="1" ht="14.25" customHeight="1" x14ac:dyDescent="0.3"/>
    <row r="821" s="1" customFormat="1" ht="14.25" customHeight="1" x14ac:dyDescent="0.3"/>
    <row r="822" s="1" customFormat="1" ht="14.25" customHeight="1" x14ac:dyDescent="0.3"/>
    <row r="823" s="1" customFormat="1" ht="14.25" customHeight="1" x14ac:dyDescent="0.3"/>
    <row r="824" s="1" customFormat="1" ht="14.25" customHeight="1" x14ac:dyDescent="0.3"/>
    <row r="825" s="1" customFormat="1" ht="14.25" customHeight="1" x14ac:dyDescent="0.3"/>
    <row r="826" s="1" customFormat="1" ht="14.25" customHeight="1" x14ac:dyDescent="0.3"/>
    <row r="827" s="1" customFormat="1" ht="14.25" customHeight="1" x14ac:dyDescent="0.3"/>
    <row r="828" s="1" customFormat="1" ht="14.25" customHeight="1" x14ac:dyDescent="0.3"/>
    <row r="829" s="1" customFormat="1" ht="14.25" customHeight="1" x14ac:dyDescent="0.3"/>
    <row r="830" s="1" customFormat="1" ht="14.25" customHeight="1" x14ac:dyDescent="0.3"/>
    <row r="831" s="1" customFormat="1" ht="14.25" customHeight="1" x14ac:dyDescent="0.3"/>
    <row r="832" s="1" customFormat="1" ht="14.25" customHeight="1" x14ac:dyDescent="0.3"/>
    <row r="833" s="1" customFormat="1" ht="14.25" customHeight="1" x14ac:dyDescent="0.3"/>
    <row r="834" s="1" customFormat="1" ht="14.25" customHeight="1" x14ac:dyDescent="0.3"/>
    <row r="835" s="1" customFormat="1" ht="14.25" customHeight="1" x14ac:dyDescent="0.3"/>
    <row r="836" s="1" customFormat="1" ht="14.25" customHeight="1" x14ac:dyDescent="0.3"/>
    <row r="837" s="1" customFormat="1" ht="14.25" customHeight="1" x14ac:dyDescent="0.3"/>
    <row r="838" s="1" customFormat="1" ht="14.25" customHeight="1" x14ac:dyDescent="0.3"/>
    <row r="839" s="1" customFormat="1" ht="14.25" customHeight="1" x14ac:dyDescent="0.3"/>
    <row r="840" s="1" customFormat="1" ht="14.25" customHeight="1" x14ac:dyDescent="0.3"/>
    <row r="841" s="1" customFormat="1" ht="14.25" customHeight="1" x14ac:dyDescent="0.3"/>
    <row r="842" s="1" customFormat="1" ht="14.25" customHeight="1" x14ac:dyDescent="0.3"/>
    <row r="843" s="1" customFormat="1" ht="14.25" customHeight="1" x14ac:dyDescent="0.3"/>
    <row r="844" s="1" customFormat="1" ht="14.25" customHeight="1" x14ac:dyDescent="0.3"/>
    <row r="845" s="1" customFormat="1" ht="14.25" customHeight="1" x14ac:dyDescent="0.3"/>
    <row r="846" s="1" customFormat="1" ht="14.25" customHeight="1" x14ac:dyDescent="0.3"/>
    <row r="847" s="1" customFormat="1" ht="14.25" customHeight="1" x14ac:dyDescent="0.3"/>
    <row r="848" s="1" customFormat="1" ht="14.25" customHeight="1" x14ac:dyDescent="0.3"/>
    <row r="849" s="1" customFormat="1" ht="14.25" customHeight="1" x14ac:dyDescent="0.3"/>
    <row r="850" s="1" customFormat="1" ht="14.25" customHeight="1" x14ac:dyDescent="0.3"/>
    <row r="851" s="1" customFormat="1" ht="14.25" customHeight="1" x14ac:dyDescent="0.3"/>
    <row r="852" s="1" customFormat="1" ht="14.25" customHeight="1" x14ac:dyDescent="0.3"/>
    <row r="853" s="1" customFormat="1" ht="14.25" customHeight="1" x14ac:dyDescent="0.3"/>
    <row r="854" s="1" customFormat="1" ht="14.25" customHeight="1" x14ac:dyDescent="0.3"/>
    <row r="855" s="1" customFormat="1" ht="14.25" customHeight="1" x14ac:dyDescent="0.3"/>
    <row r="856" s="1" customFormat="1" ht="14.25" customHeight="1" x14ac:dyDescent="0.3"/>
    <row r="857" s="1" customFormat="1" ht="14.25" customHeight="1" x14ac:dyDescent="0.3"/>
    <row r="858" s="1" customFormat="1" ht="14.25" customHeight="1" x14ac:dyDescent="0.3"/>
    <row r="859" s="1" customFormat="1" ht="14.25" customHeight="1" x14ac:dyDescent="0.3"/>
    <row r="860" s="1" customFormat="1" ht="14.25" customHeight="1" x14ac:dyDescent="0.3"/>
    <row r="861" s="1" customFormat="1" ht="14.25" customHeight="1" x14ac:dyDescent="0.3"/>
    <row r="862" s="1" customFormat="1" ht="14.25" customHeight="1" x14ac:dyDescent="0.3"/>
    <row r="863" s="1" customFormat="1" ht="14.25" customHeight="1" x14ac:dyDescent="0.3"/>
    <row r="864" s="1" customFormat="1" ht="14.25" customHeight="1" x14ac:dyDescent="0.3"/>
    <row r="865" s="1" customFormat="1" ht="14.25" customHeight="1" x14ac:dyDescent="0.3"/>
    <row r="866" s="1" customFormat="1" ht="14.25" customHeight="1" x14ac:dyDescent="0.3"/>
    <row r="867" s="1" customFormat="1" ht="14.25" customHeight="1" x14ac:dyDescent="0.3"/>
    <row r="868" s="1" customFormat="1" ht="14.25" customHeight="1" x14ac:dyDescent="0.3"/>
    <row r="869" s="1" customFormat="1" ht="14.25" customHeight="1" x14ac:dyDescent="0.3"/>
    <row r="870" s="1" customFormat="1" ht="14.25" customHeight="1" x14ac:dyDescent="0.3"/>
    <row r="871" s="1" customFormat="1" ht="14.25" customHeight="1" x14ac:dyDescent="0.3"/>
    <row r="872" s="1" customFormat="1" ht="14.25" customHeight="1" x14ac:dyDescent="0.3"/>
    <row r="873" s="1" customFormat="1" ht="14.25" customHeight="1" x14ac:dyDescent="0.3"/>
    <row r="874" s="1" customFormat="1" ht="14.25" customHeight="1" x14ac:dyDescent="0.3"/>
    <row r="875" s="1" customFormat="1" ht="14.25" customHeight="1" x14ac:dyDescent="0.3"/>
    <row r="876" s="1" customFormat="1" ht="14.25" customHeight="1" x14ac:dyDescent="0.3"/>
    <row r="877" s="1" customFormat="1" ht="14.25" customHeight="1" x14ac:dyDescent="0.3"/>
    <row r="878" s="1" customFormat="1" ht="14.25" customHeight="1" x14ac:dyDescent="0.3"/>
    <row r="879" s="1" customFormat="1" ht="14.25" customHeight="1" x14ac:dyDescent="0.3"/>
    <row r="880" s="1" customFormat="1" ht="14.25" customHeight="1" x14ac:dyDescent="0.3"/>
    <row r="881" s="1" customFormat="1" ht="14.25" customHeight="1" x14ac:dyDescent="0.3"/>
    <row r="882" s="1" customFormat="1" ht="14.25" customHeight="1" x14ac:dyDescent="0.3"/>
    <row r="883" s="1" customFormat="1" ht="14.25" customHeight="1" x14ac:dyDescent="0.3"/>
    <row r="884" s="1" customFormat="1" ht="14.25" customHeight="1" x14ac:dyDescent="0.3"/>
    <row r="885" s="1" customFormat="1" ht="14.25" customHeight="1" x14ac:dyDescent="0.3"/>
    <row r="886" s="1" customFormat="1" ht="14.25" customHeight="1" x14ac:dyDescent="0.3"/>
    <row r="887" s="1" customFormat="1" ht="14.25" customHeight="1" x14ac:dyDescent="0.3"/>
    <row r="888" s="1" customFormat="1" ht="14.25" customHeight="1" x14ac:dyDescent="0.3"/>
    <row r="889" s="1" customFormat="1" ht="14.25" customHeight="1" x14ac:dyDescent="0.3"/>
    <row r="890" s="1" customFormat="1" ht="14.25" customHeight="1" x14ac:dyDescent="0.3"/>
    <row r="891" s="1" customFormat="1" ht="14.25" customHeight="1" x14ac:dyDescent="0.3"/>
    <row r="892" s="1" customFormat="1" ht="14.25" customHeight="1" x14ac:dyDescent="0.3"/>
    <row r="893" s="1" customFormat="1" ht="14.25" customHeight="1" x14ac:dyDescent="0.3"/>
    <row r="894" s="1" customFormat="1" ht="14.25" customHeight="1" x14ac:dyDescent="0.3"/>
    <row r="895" s="1" customFormat="1" ht="14.25" customHeight="1" x14ac:dyDescent="0.3"/>
    <row r="896" s="1" customFormat="1" ht="14.25" customHeight="1" x14ac:dyDescent="0.3"/>
    <row r="897" s="1" customFormat="1" ht="14.25" customHeight="1" x14ac:dyDescent="0.3"/>
    <row r="898" s="1" customFormat="1" ht="14.25" customHeight="1" x14ac:dyDescent="0.3"/>
    <row r="899" s="1" customFormat="1" ht="14.25" customHeight="1" x14ac:dyDescent="0.3"/>
    <row r="900" s="1" customFormat="1" ht="14.25" customHeight="1" x14ac:dyDescent="0.3"/>
    <row r="901" s="1" customFormat="1" ht="14.25" customHeight="1" x14ac:dyDescent="0.3"/>
    <row r="902" s="1" customFormat="1" ht="14.25" customHeight="1" x14ac:dyDescent="0.3"/>
    <row r="903" s="1" customFormat="1" ht="14.25" customHeight="1" x14ac:dyDescent="0.3"/>
    <row r="904" s="1" customFormat="1" ht="14.25" customHeight="1" x14ac:dyDescent="0.3"/>
    <row r="905" s="1" customFormat="1" ht="14.25" customHeight="1" x14ac:dyDescent="0.3"/>
    <row r="906" s="1" customFormat="1" ht="14.25" customHeight="1" x14ac:dyDescent="0.3"/>
    <row r="907" s="1" customFormat="1" ht="14.25" customHeight="1" x14ac:dyDescent="0.3"/>
    <row r="908" s="1" customFormat="1" ht="14.25" customHeight="1" x14ac:dyDescent="0.3"/>
    <row r="909" s="1" customFormat="1" ht="14.25" customHeight="1" x14ac:dyDescent="0.3"/>
    <row r="910" s="1" customFormat="1" ht="14.25" customHeight="1" x14ac:dyDescent="0.3"/>
    <row r="911" s="1" customFormat="1" ht="14.25" customHeight="1" x14ac:dyDescent="0.3"/>
    <row r="912" s="1" customFormat="1" ht="14.25" customHeight="1" x14ac:dyDescent="0.3"/>
    <row r="913" s="1" customFormat="1" ht="14.25" customHeight="1" x14ac:dyDescent="0.3"/>
    <row r="914" s="1" customFormat="1" ht="14.25" customHeight="1" x14ac:dyDescent="0.3"/>
    <row r="915" s="1" customFormat="1" ht="14.25" customHeight="1" x14ac:dyDescent="0.3"/>
    <row r="916" s="1" customFormat="1" ht="14.25" customHeight="1" x14ac:dyDescent="0.3"/>
    <row r="917" s="1" customFormat="1" ht="14.25" customHeight="1" x14ac:dyDescent="0.3"/>
    <row r="918" s="1" customFormat="1" ht="14.25" customHeight="1" x14ac:dyDescent="0.3"/>
    <row r="919" s="1" customFormat="1" ht="14.25" customHeight="1" x14ac:dyDescent="0.3"/>
    <row r="920" s="1" customFormat="1" ht="14.25" customHeight="1" x14ac:dyDescent="0.3"/>
    <row r="921" s="1" customFormat="1" ht="14.25" customHeight="1" x14ac:dyDescent="0.3"/>
    <row r="922" s="1" customFormat="1" ht="14.25" customHeight="1" x14ac:dyDescent="0.3"/>
    <row r="923" s="1" customFormat="1" ht="14.25" customHeight="1" x14ac:dyDescent="0.3"/>
    <row r="924" s="1" customFormat="1" ht="14.25" customHeight="1" x14ac:dyDescent="0.3"/>
    <row r="925" s="1" customFormat="1" ht="14.25" customHeight="1" x14ac:dyDescent="0.3"/>
    <row r="926" s="1" customFormat="1" ht="14.25" customHeight="1" x14ac:dyDescent="0.3"/>
    <row r="927" s="1" customFormat="1" ht="14.25" customHeight="1" x14ac:dyDescent="0.3"/>
    <row r="928" s="1" customFormat="1" ht="14.25" customHeight="1" x14ac:dyDescent="0.3"/>
    <row r="929" s="1" customFormat="1" ht="14.25" customHeight="1" x14ac:dyDescent="0.3"/>
    <row r="930" s="1" customFormat="1" ht="14.25" customHeight="1" x14ac:dyDescent="0.3"/>
    <row r="931" s="1" customFormat="1" ht="14.25" customHeight="1" x14ac:dyDescent="0.3"/>
    <row r="932" s="1" customFormat="1" ht="14.25" customHeight="1" x14ac:dyDescent="0.3"/>
    <row r="933" s="1" customFormat="1" ht="14.25" customHeight="1" x14ac:dyDescent="0.3"/>
    <row r="934" s="1" customFormat="1" ht="14.25" customHeight="1" x14ac:dyDescent="0.3"/>
    <row r="935" s="1" customFormat="1" ht="14.25" customHeight="1" x14ac:dyDescent="0.3"/>
    <row r="936" s="1" customFormat="1" ht="14.25" customHeight="1" x14ac:dyDescent="0.3"/>
    <row r="937" s="1" customFormat="1" ht="14.25" customHeight="1" x14ac:dyDescent="0.3"/>
    <row r="938" s="1" customFormat="1" ht="14.25" customHeight="1" x14ac:dyDescent="0.3"/>
    <row r="939" s="1" customFormat="1" ht="14.25" customHeight="1" x14ac:dyDescent="0.3"/>
    <row r="940" s="1" customFormat="1" ht="14.25" customHeight="1" x14ac:dyDescent="0.3"/>
    <row r="941" s="1" customFormat="1" ht="14.25" customHeight="1" x14ac:dyDescent="0.3"/>
    <row r="942" s="1" customFormat="1" ht="14.25" customHeight="1" x14ac:dyDescent="0.3"/>
    <row r="943" s="1" customFormat="1" ht="14.25" customHeight="1" x14ac:dyDescent="0.3"/>
    <row r="944" s="1" customFormat="1" ht="14.25" customHeight="1" x14ac:dyDescent="0.3"/>
    <row r="945" s="1" customFormat="1" ht="14.25" customHeight="1" x14ac:dyDescent="0.3"/>
    <row r="946" s="1" customFormat="1" ht="14.25" customHeight="1" x14ac:dyDescent="0.3"/>
    <row r="947" s="1" customFormat="1" ht="14.25" customHeight="1" x14ac:dyDescent="0.3"/>
    <row r="948" s="1" customFormat="1" ht="14.25" customHeight="1" x14ac:dyDescent="0.3"/>
    <row r="949" s="1" customFormat="1" ht="14.25" customHeight="1" x14ac:dyDescent="0.3"/>
    <row r="950" s="1" customFormat="1" ht="14.25" customHeight="1" x14ac:dyDescent="0.3"/>
    <row r="951" s="1" customFormat="1" ht="14.25" customHeight="1" x14ac:dyDescent="0.3"/>
    <row r="952" s="1" customFormat="1" ht="14.25" customHeight="1" x14ac:dyDescent="0.3"/>
    <row r="953" s="1" customFormat="1" ht="14.25" customHeight="1" x14ac:dyDescent="0.3"/>
    <row r="954" s="1" customFormat="1" ht="14.25" customHeight="1" x14ac:dyDescent="0.3"/>
    <row r="955" s="1" customFormat="1" ht="14.25" customHeight="1" x14ac:dyDescent="0.3"/>
    <row r="956" s="1" customFormat="1" ht="14.25" customHeight="1" x14ac:dyDescent="0.3"/>
    <row r="957" s="1" customFormat="1" ht="14.25" customHeight="1" x14ac:dyDescent="0.3"/>
    <row r="958" s="1" customFormat="1" ht="14.25" customHeight="1" x14ac:dyDescent="0.3"/>
    <row r="959" s="1" customFormat="1" ht="14.25" customHeight="1" x14ac:dyDescent="0.3"/>
    <row r="960" s="1" customFormat="1" ht="14.25" customHeight="1" x14ac:dyDescent="0.3"/>
    <row r="961" s="1" customFormat="1" ht="14.25" customHeight="1" x14ac:dyDescent="0.3"/>
    <row r="962" s="1" customFormat="1" ht="14.25" customHeight="1" x14ac:dyDescent="0.3"/>
    <row r="963" s="1" customFormat="1" ht="14.25" customHeight="1" x14ac:dyDescent="0.3"/>
    <row r="964" s="1" customFormat="1" ht="14.25" customHeight="1" x14ac:dyDescent="0.3"/>
    <row r="965" s="1" customFormat="1" ht="14.25" customHeight="1" x14ac:dyDescent="0.3"/>
    <row r="966" s="1" customFormat="1" ht="14.25" customHeight="1" x14ac:dyDescent="0.3"/>
    <row r="967" s="1" customFormat="1" ht="14.25" customHeight="1" x14ac:dyDescent="0.3"/>
    <row r="968" s="1" customFormat="1" ht="14.25" customHeight="1" x14ac:dyDescent="0.3"/>
    <row r="969" s="1" customFormat="1" ht="14.25" customHeight="1" x14ac:dyDescent="0.3"/>
    <row r="970" s="1" customFormat="1" ht="14.25" customHeight="1" x14ac:dyDescent="0.3"/>
    <row r="971" s="1" customFormat="1" ht="14.25" customHeight="1" x14ac:dyDescent="0.3"/>
    <row r="972" s="1" customFormat="1" ht="14.25" customHeight="1" x14ac:dyDescent="0.3"/>
    <row r="973" s="1" customFormat="1" ht="14.25" customHeight="1" x14ac:dyDescent="0.3"/>
    <row r="974" s="1" customFormat="1" ht="14.25" customHeight="1" x14ac:dyDescent="0.3"/>
    <row r="975" s="1" customFormat="1" ht="14.25" customHeight="1" x14ac:dyDescent="0.3"/>
    <row r="976" s="1" customFormat="1" ht="14.25" customHeight="1" x14ac:dyDescent="0.3"/>
    <row r="977" s="1" customFormat="1" ht="14.25" customHeight="1" x14ac:dyDescent="0.3"/>
    <row r="978" s="1" customFormat="1" ht="14.25" customHeight="1" x14ac:dyDescent="0.3"/>
    <row r="979" s="1" customFormat="1" ht="14.25" customHeight="1" x14ac:dyDescent="0.3"/>
    <row r="980" s="1" customFormat="1" ht="14.25" customHeight="1" x14ac:dyDescent="0.3"/>
    <row r="981" s="1" customFormat="1" ht="14.25" customHeight="1" x14ac:dyDescent="0.3"/>
    <row r="982" s="1" customFormat="1" ht="14.25" customHeight="1" x14ac:dyDescent="0.3"/>
    <row r="983" s="1" customFormat="1" ht="14.25" customHeight="1" x14ac:dyDescent="0.3"/>
    <row r="984" s="1" customFormat="1" ht="14.25" customHeight="1" x14ac:dyDescent="0.3"/>
    <row r="985" s="1" customFormat="1" ht="14.25" customHeight="1" x14ac:dyDescent="0.3"/>
    <row r="986" s="1" customFormat="1" ht="14.25" customHeight="1" x14ac:dyDescent="0.3"/>
    <row r="987" s="1" customFormat="1" ht="14.25" customHeight="1" x14ac:dyDescent="0.3"/>
    <row r="988" s="1" customFormat="1" ht="14.25" customHeight="1" x14ac:dyDescent="0.3"/>
    <row r="989" s="1" customFormat="1" ht="14.25" customHeight="1" x14ac:dyDescent="0.3"/>
    <row r="990" s="1" customFormat="1" ht="14.25" customHeight="1" x14ac:dyDescent="0.3"/>
    <row r="991" s="1" customFormat="1" ht="14.25" customHeight="1" x14ac:dyDescent="0.3"/>
    <row r="992" s="1" customFormat="1" ht="14.25" customHeight="1" x14ac:dyDescent="0.3"/>
    <row r="993" s="1" customFormat="1" ht="14.25" customHeight="1" x14ac:dyDescent="0.3"/>
    <row r="994" s="1" customFormat="1" ht="14.25" customHeight="1" x14ac:dyDescent="0.3"/>
    <row r="995" s="1" customFormat="1" ht="14.25" customHeight="1" x14ac:dyDescent="0.3"/>
    <row r="996" s="1" customFormat="1" ht="14.25" customHeight="1" x14ac:dyDescent="0.3"/>
    <row r="997" s="1" customFormat="1" ht="14.25" customHeight="1" x14ac:dyDescent="0.3"/>
    <row r="998" s="1" customFormat="1" ht="14.25" customHeight="1" x14ac:dyDescent="0.3"/>
    <row r="999" s="1" customFormat="1" ht="14.25" customHeight="1" x14ac:dyDescent="0.3"/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CD43E-6773-4A52-8C24-8193D4EA6A71}">
  <dimension ref="A1:M999"/>
  <sheetViews>
    <sheetView workbookViewId="0">
      <selection activeCell="F9" sqref="F9"/>
    </sheetView>
  </sheetViews>
  <sheetFormatPr baseColWidth="10" defaultColWidth="12.6328125" defaultRowHeight="15" customHeight="1" x14ac:dyDescent="0.3"/>
  <cols>
    <col min="1" max="1" width="15.7265625" style="1" customWidth="1"/>
    <col min="2" max="7" width="10.6328125" style="1" customWidth="1"/>
    <col min="8" max="8" width="11.36328125" style="1" customWidth="1"/>
    <col min="9" max="25" width="10.6328125" style="1" customWidth="1"/>
    <col min="26" max="16384" width="12.6328125" style="1"/>
  </cols>
  <sheetData>
    <row r="1" spans="1:13" ht="13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3.5" customHeight="1" x14ac:dyDescent="0.3">
      <c r="A2" s="1" t="s">
        <v>12</v>
      </c>
      <c r="B2" s="1" t="s">
        <v>13</v>
      </c>
      <c r="C2" s="1">
        <v>1</v>
      </c>
      <c r="H2" s="2" t="s">
        <v>14</v>
      </c>
      <c r="I2" s="3">
        <f t="shared" ref="I2:L2" si="0">SUM(C22+C37+C55+C65+C66+C96+C105+C113+C128+C146+C150)</f>
        <v>11</v>
      </c>
      <c r="J2" s="3">
        <f t="shared" si="0"/>
        <v>0</v>
      </c>
      <c r="K2" s="3">
        <f t="shared" si="0"/>
        <v>0</v>
      </c>
      <c r="L2" s="3">
        <f t="shared" si="0"/>
        <v>0</v>
      </c>
      <c r="M2" s="3">
        <f t="shared" ref="M2:M13" si="1">SUM(I2:L2)</f>
        <v>11</v>
      </c>
    </row>
    <row r="3" spans="1:13" ht="13.5" customHeight="1" x14ac:dyDescent="0.3">
      <c r="A3" s="1" t="s">
        <v>15</v>
      </c>
      <c r="B3" s="1" t="s">
        <v>16</v>
      </c>
      <c r="C3" s="1">
        <v>1</v>
      </c>
      <c r="H3" s="2" t="s">
        <v>17</v>
      </c>
      <c r="I3" s="3">
        <f t="shared" ref="I3:L3" si="2">SUM(C6+C32+C50+C52+C58+C69+C76+C94+C115+C122+C123+C152)</f>
        <v>3</v>
      </c>
      <c r="J3" s="3">
        <f t="shared" si="2"/>
        <v>8</v>
      </c>
      <c r="K3" s="3">
        <f t="shared" si="2"/>
        <v>1</v>
      </c>
      <c r="L3" s="3">
        <f t="shared" si="2"/>
        <v>0</v>
      </c>
      <c r="M3" s="3">
        <f t="shared" si="1"/>
        <v>12</v>
      </c>
    </row>
    <row r="4" spans="1:13" ht="13.5" customHeight="1" x14ac:dyDescent="0.3">
      <c r="A4" s="1" t="s">
        <v>18</v>
      </c>
      <c r="B4" s="1" t="s">
        <v>13</v>
      </c>
      <c r="D4" s="1">
        <v>1</v>
      </c>
      <c r="H4" s="2" t="s">
        <v>19</v>
      </c>
      <c r="I4" s="3">
        <f t="shared" ref="I4:L4" si="3">SUM(C26+C14+C27+C62+C68+C124+C138+C142+C153+C155)</f>
        <v>10</v>
      </c>
      <c r="J4" s="3">
        <f t="shared" si="3"/>
        <v>0</v>
      </c>
      <c r="K4" s="3">
        <f t="shared" si="3"/>
        <v>0</v>
      </c>
      <c r="L4" s="3">
        <f t="shared" si="3"/>
        <v>0</v>
      </c>
      <c r="M4" s="3">
        <f t="shared" si="1"/>
        <v>10</v>
      </c>
    </row>
    <row r="5" spans="1:13" ht="13.5" customHeight="1" x14ac:dyDescent="0.3">
      <c r="A5" s="1" t="s">
        <v>20</v>
      </c>
      <c r="B5" s="1" t="s">
        <v>21</v>
      </c>
      <c r="E5" s="1">
        <v>1</v>
      </c>
      <c r="H5" s="2" t="s">
        <v>22</v>
      </c>
      <c r="I5" s="3">
        <f t="shared" ref="I5:L5" si="4">SUM(C5+C36+C56+C63+C73+C85+C87+C95+C135)</f>
        <v>3</v>
      </c>
      <c r="J5" s="3">
        <f t="shared" si="4"/>
        <v>0</v>
      </c>
      <c r="K5" s="3">
        <f t="shared" si="4"/>
        <v>5</v>
      </c>
      <c r="L5" s="3">
        <f t="shared" si="4"/>
        <v>1</v>
      </c>
      <c r="M5" s="3">
        <f t="shared" si="1"/>
        <v>9</v>
      </c>
    </row>
    <row r="6" spans="1:13" ht="13.5" customHeight="1" x14ac:dyDescent="0.3">
      <c r="A6" s="1" t="s">
        <v>23</v>
      </c>
      <c r="B6" s="1" t="s">
        <v>24</v>
      </c>
      <c r="C6" s="1">
        <v>1</v>
      </c>
      <c r="H6" s="2" t="s">
        <v>25</v>
      </c>
      <c r="I6" s="3">
        <f t="shared" ref="I6:L6" si="5">SUM(C12+C15+C18+C28+C41+C59+C78+C64+C82+C83+C86+C106+C119+C143+C148+C154)</f>
        <v>15</v>
      </c>
      <c r="J6" s="3">
        <f t="shared" si="5"/>
        <v>1</v>
      </c>
      <c r="K6" s="3">
        <f t="shared" si="5"/>
        <v>0</v>
      </c>
      <c r="L6" s="3">
        <f t="shared" si="5"/>
        <v>0</v>
      </c>
      <c r="M6" s="3">
        <f t="shared" si="1"/>
        <v>16</v>
      </c>
    </row>
    <row r="7" spans="1:13" ht="13.5" customHeight="1" x14ac:dyDescent="0.3">
      <c r="A7" s="1" t="s">
        <v>26</v>
      </c>
      <c r="B7" s="1" t="s">
        <v>27</v>
      </c>
      <c r="C7" s="1">
        <v>1</v>
      </c>
      <c r="H7" s="2" t="s">
        <v>28</v>
      </c>
      <c r="I7" s="3">
        <f t="shared" ref="I7:L7" si="6">SUM(C3+C20+C46+C49+C54+C89+C90+C102+C112+C114+C129+C141)</f>
        <v>7</v>
      </c>
      <c r="J7" s="3">
        <f t="shared" si="6"/>
        <v>2</v>
      </c>
      <c r="K7" s="3">
        <f t="shared" si="6"/>
        <v>3</v>
      </c>
      <c r="L7" s="3">
        <f t="shared" si="6"/>
        <v>0</v>
      </c>
      <c r="M7" s="3">
        <f t="shared" si="1"/>
        <v>12</v>
      </c>
    </row>
    <row r="8" spans="1:13" ht="13.5" customHeight="1" x14ac:dyDescent="0.3">
      <c r="A8" s="1" t="s">
        <v>29</v>
      </c>
      <c r="B8" s="1" t="s">
        <v>30</v>
      </c>
      <c r="D8" s="1">
        <v>1</v>
      </c>
      <c r="H8" s="2" t="s">
        <v>27</v>
      </c>
      <c r="I8" s="3">
        <f t="shared" ref="I8:L8" si="7">SUM(C7+C30+C29+C44+C51+C60+C72+C79+C101+C99+C107+C111+C117+C140+C144)</f>
        <v>3</v>
      </c>
      <c r="J8" s="3">
        <f t="shared" si="7"/>
        <v>9</v>
      </c>
      <c r="K8" s="3">
        <f t="shared" si="7"/>
        <v>2</v>
      </c>
      <c r="L8" s="3">
        <f t="shared" si="7"/>
        <v>1</v>
      </c>
      <c r="M8" s="3">
        <f t="shared" si="1"/>
        <v>15</v>
      </c>
    </row>
    <row r="9" spans="1:13" ht="13.5" customHeight="1" x14ac:dyDescent="0.3">
      <c r="A9" s="1" t="s">
        <v>31</v>
      </c>
      <c r="B9" s="1" t="s">
        <v>13</v>
      </c>
      <c r="D9" s="1">
        <v>1</v>
      </c>
      <c r="H9" s="2" t="s">
        <v>13</v>
      </c>
      <c r="I9" s="3">
        <f t="shared" ref="I9:J9" si="8">SUM(C4+C9+C17+C19+C2+C48+C92+C120+C126+C127+C130+C133+C151)</f>
        <v>2</v>
      </c>
      <c r="J9" s="3">
        <f t="shared" si="8"/>
        <v>10</v>
      </c>
      <c r="K9" s="3">
        <f>SUM(D4+D9+D17+D19+D2+D48+D92+D120+D126+D127+D130+D133+D151)</f>
        <v>10</v>
      </c>
      <c r="L9" s="3">
        <f>SUM(F4+F9+F17+F19+F2+F48+F92+F120+F126+F127+F130+F133+F151)</f>
        <v>0</v>
      </c>
      <c r="M9" s="3">
        <f t="shared" si="1"/>
        <v>22</v>
      </c>
    </row>
    <row r="10" spans="1:13" ht="13.5" customHeight="1" x14ac:dyDescent="0.3">
      <c r="A10" s="1" t="s">
        <v>32</v>
      </c>
      <c r="B10" s="1" t="s">
        <v>33</v>
      </c>
      <c r="C10" s="1">
        <v>1</v>
      </c>
      <c r="H10" s="2" t="s">
        <v>30</v>
      </c>
      <c r="I10" s="3">
        <f t="shared" ref="I10:L10" si="9">SUM(C8+C13+C16+C25+C31+C35+C43+C45+C70+C71+C75+C81+C88+C93+C98+C100+C104+C118+C136+C137+C156)</f>
        <v>0</v>
      </c>
      <c r="J10" s="3">
        <f t="shared" si="9"/>
        <v>19</v>
      </c>
      <c r="K10" s="3">
        <f t="shared" si="9"/>
        <v>2</v>
      </c>
      <c r="L10" s="3">
        <f t="shared" si="9"/>
        <v>0</v>
      </c>
      <c r="M10" s="3">
        <f t="shared" si="1"/>
        <v>21</v>
      </c>
    </row>
    <row r="11" spans="1:13" ht="13.5" customHeight="1" x14ac:dyDescent="0.3">
      <c r="A11" s="1" t="s">
        <v>34</v>
      </c>
      <c r="B11" s="1" t="s">
        <v>33</v>
      </c>
      <c r="C11" s="1">
        <v>1</v>
      </c>
      <c r="H11" s="2" t="s">
        <v>35</v>
      </c>
      <c r="I11" s="3">
        <f t="shared" ref="I11:L11" si="10">SUM(C38+C42+C47+C53+C74+C77+C80+C91+C97+C103+C108+C116+C131+C145+C147)</f>
        <v>0</v>
      </c>
      <c r="J11" s="3">
        <f t="shared" si="10"/>
        <v>10</v>
      </c>
      <c r="K11" s="3">
        <f t="shared" si="10"/>
        <v>5</v>
      </c>
      <c r="L11" s="3">
        <f t="shared" si="10"/>
        <v>0</v>
      </c>
      <c r="M11" s="3">
        <f t="shared" si="1"/>
        <v>15</v>
      </c>
    </row>
    <row r="12" spans="1:13" ht="13.5" customHeight="1" x14ac:dyDescent="0.3">
      <c r="A12" s="1" t="s">
        <v>36</v>
      </c>
      <c r="B12" s="1" t="s">
        <v>37</v>
      </c>
      <c r="C12" s="1">
        <v>1</v>
      </c>
      <c r="H12" s="2" t="s">
        <v>38</v>
      </c>
      <c r="I12" s="3">
        <f t="shared" ref="I12:L12" si="11">SUM(C21+C24+C34+C40+C67+C84+C132)</f>
        <v>3</v>
      </c>
      <c r="J12" s="3">
        <f t="shared" si="11"/>
        <v>2</v>
      </c>
      <c r="K12" s="3">
        <f t="shared" si="11"/>
        <v>2</v>
      </c>
      <c r="L12" s="3">
        <f t="shared" si="11"/>
        <v>0</v>
      </c>
      <c r="M12" s="3">
        <f t="shared" si="1"/>
        <v>7</v>
      </c>
    </row>
    <row r="13" spans="1:13" ht="13.5" customHeight="1" x14ac:dyDescent="0.3">
      <c r="A13" s="1" t="s">
        <v>39</v>
      </c>
      <c r="B13" s="1" t="s">
        <v>30</v>
      </c>
      <c r="D13" s="1">
        <v>1</v>
      </c>
      <c r="H13" s="2" t="s">
        <v>33</v>
      </c>
      <c r="I13" s="3">
        <f t="shared" ref="I13:L13" si="12">SUM(C10+C11+C57+C125+C149)</f>
        <v>5</v>
      </c>
      <c r="J13" s="3">
        <f t="shared" si="12"/>
        <v>0</v>
      </c>
      <c r="K13" s="3">
        <f t="shared" si="12"/>
        <v>0</v>
      </c>
      <c r="L13" s="3">
        <f t="shared" si="12"/>
        <v>0</v>
      </c>
      <c r="M13" s="3">
        <f t="shared" si="1"/>
        <v>5</v>
      </c>
    </row>
    <row r="14" spans="1:13" ht="13.5" customHeight="1" x14ac:dyDescent="0.3">
      <c r="A14" s="1" t="s">
        <v>40</v>
      </c>
      <c r="B14" s="1" t="s">
        <v>19</v>
      </c>
      <c r="C14" s="1">
        <v>1</v>
      </c>
      <c r="I14" s="4"/>
      <c r="J14" s="4"/>
      <c r="K14" s="4"/>
      <c r="L14" s="4"/>
    </row>
    <row r="15" spans="1:13" ht="13.5" customHeight="1" x14ac:dyDescent="0.3">
      <c r="A15" s="1" t="s">
        <v>41</v>
      </c>
      <c r="B15" s="1" t="s">
        <v>42</v>
      </c>
      <c r="C15" s="1">
        <v>1</v>
      </c>
      <c r="I15" s="4"/>
      <c r="J15" s="4"/>
      <c r="K15" s="4"/>
      <c r="L15" s="4"/>
    </row>
    <row r="16" spans="1:13" ht="13.5" customHeight="1" x14ac:dyDescent="0.3">
      <c r="A16" s="1" t="s">
        <v>43</v>
      </c>
      <c r="B16" s="1" t="s">
        <v>30</v>
      </c>
      <c r="D16" s="1">
        <v>1</v>
      </c>
      <c r="I16" s="4"/>
      <c r="J16" s="4"/>
      <c r="K16" s="4"/>
      <c r="L16" s="4"/>
    </row>
    <row r="17" spans="1:12" ht="13.5" customHeight="1" x14ac:dyDescent="0.3">
      <c r="A17" s="1" t="s">
        <v>44</v>
      </c>
      <c r="B17" s="1" t="s">
        <v>13</v>
      </c>
      <c r="D17" s="1">
        <v>1</v>
      </c>
      <c r="I17" s="4"/>
      <c r="J17" s="4"/>
      <c r="K17" s="4"/>
      <c r="L17" s="4"/>
    </row>
    <row r="18" spans="1:12" ht="13.5" customHeight="1" x14ac:dyDescent="0.3">
      <c r="A18" s="1" t="s">
        <v>45</v>
      </c>
      <c r="B18" s="1" t="s">
        <v>37</v>
      </c>
      <c r="C18" s="1">
        <v>1</v>
      </c>
      <c r="I18" s="4"/>
      <c r="J18" s="4"/>
      <c r="K18" s="4"/>
      <c r="L18" s="4"/>
    </row>
    <row r="19" spans="1:12" ht="13.5" customHeight="1" x14ac:dyDescent="0.3">
      <c r="A19" s="1" t="s">
        <v>46</v>
      </c>
      <c r="B19" s="1" t="s">
        <v>13</v>
      </c>
      <c r="D19" s="1">
        <v>1</v>
      </c>
    </row>
    <row r="20" spans="1:12" ht="13.5" customHeight="1" x14ac:dyDescent="0.3">
      <c r="A20" s="1" t="s">
        <v>47</v>
      </c>
      <c r="B20" s="1" t="s">
        <v>16</v>
      </c>
      <c r="C20" s="1">
        <v>1</v>
      </c>
    </row>
    <row r="21" spans="1:12" ht="13.5" customHeight="1" x14ac:dyDescent="0.3">
      <c r="A21" s="1" t="s">
        <v>48</v>
      </c>
      <c r="B21" s="1" t="s">
        <v>38</v>
      </c>
      <c r="C21" s="1">
        <v>1</v>
      </c>
    </row>
    <row r="22" spans="1:12" ht="13.5" customHeight="1" x14ac:dyDescent="0.3">
      <c r="A22" s="1" t="s">
        <v>49</v>
      </c>
      <c r="B22" s="1" t="s">
        <v>14</v>
      </c>
      <c r="C22" s="1">
        <v>1</v>
      </c>
    </row>
    <row r="23" spans="1:12" ht="13.5" customHeight="1" x14ac:dyDescent="0.3">
      <c r="A23" s="1" t="s">
        <v>50</v>
      </c>
      <c r="B23" s="1" t="s">
        <v>13</v>
      </c>
      <c r="D23" s="1">
        <v>1</v>
      </c>
    </row>
    <row r="24" spans="1:12" ht="13.5" customHeight="1" x14ac:dyDescent="0.3">
      <c r="A24" s="1" t="s">
        <v>51</v>
      </c>
      <c r="B24" s="1" t="s">
        <v>38</v>
      </c>
      <c r="C24" s="1">
        <v>1</v>
      </c>
    </row>
    <row r="25" spans="1:12" ht="13.5" customHeight="1" x14ac:dyDescent="0.3">
      <c r="A25" s="1" t="s">
        <v>52</v>
      </c>
      <c r="B25" s="1" t="s">
        <v>30</v>
      </c>
      <c r="D25" s="1">
        <v>1</v>
      </c>
    </row>
    <row r="26" spans="1:12" ht="13.5" customHeight="1" x14ac:dyDescent="0.3">
      <c r="A26" s="1" t="s">
        <v>53</v>
      </c>
      <c r="B26" s="1" t="s">
        <v>19</v>
      </c>
      <c r="C26" s="1">
        <v>1</v>
      </c>
    </row>
    <row r="27" spans="1:12" ht="13.5" customHeight="1" x14ac:dyDescent="0.3">
      <c r="A27" s="1" t="s">
        <v>54</v>
      </c>
      <c r="B27" s="1" t="s">
        <v>19</v>
      </c>
      <c r="C27" s="1">
        <v>1</v>
      </c>
    </row>
    <row r="28" spans="1:12" ht="13.5" customHeight="1" x14ac:dyDescent="0.3">
      <c r="A28" s="1" t="s">
        <v>55</v>
      </c>
      <c r="B28" s="1" t="s">
        <v>37</v>
      </c>
      <c r="C28" s="1">
        <v>1</v>
      </c>
    </row>
    <row r="29" spans="1:12" ht="13.5" customHeight="1" x14ac:dyDescent="0.3">
      <c r="A29" s="1" t="s">
        <v>56</v>
      </c>
      <c r="B29" s="1" t="s">
        <v>27</v>
      </c>
      <c r="D29" s="1">
        <v>1</v>
      </c>
    </row>
    <row r="30" spans="1:12" ht="13.5" customHeight="1" x14ac:dyDescent="0.3">
      <c r="A30" s="1" t="s">
        <v>57</v>
      </c>
      <c r="B30" s="1" t="s">
        <v>27</v>
      </c>
      <c r="C30" s="1">
        <v>1</v>
      </c>
    </row>
    <row r="31" spans="1:12" ht="13.5" customHeight="1" x14ac:dyDescent="0.3">
      <c r="A31" s="1" t="s">
        <v>58</v>
      </c>
      <c r="B31" s="1" t="s">
        <v>30</v>
      </c>
      <c r="D31" s="1">
        <v>1</v>
      </c>
    </row>
    <row r="32" spans="1:12" ht="13.5" customHeight="1" x14ac:dyDescent="0.3">
      <c r="A32" s="1" t="s">
        <v>59</v>
      </c>
      <c r="B32" s="1" t="s">
        <v>24</v>
      </c>
      <c r="D32" s="1">
        <v>1</v>
      </c>
    </row>
    <row r="33" spans="1:12" ht="13.5" customHeight="1" x14ac:dyDescent="0.3">
      <c r="A33" s="1" t="s">
        <v>60</v>
      </c>
      <c r="B33" s="1" t="s">
        <v>27</v>
      </c>
      <c r="D33" s="1">
        <v>1</v>
      </c>
    </row>
    <row r="34" spans="1:12" ht="13.5" customHeight="1" x14ac:dyDescent="0.3">
      <c r="A34" s="1" t="s">
        <v>61</v>
      </c>
      <c r="B34" s="1" t="s">
        <v>38</v>
      </c>
      <c r="E34" s="1">
        <v>1</v>
      </c>
    </row>
    <row r="35" spans="1:12" ht="13.5" customHeight="1" x14ac:dyDescent="0.3">
      <c r="A35" s="1" t="s">
        <v>62</v>
      </c>
      <c r="B35" s="1" t="s">
        <v>30</v>
      </c>
      <c r="D35" s="1">
        <v>1</v>
      </c>
    </row>
    <row r="36" spans="1:12" ht="13.5" customHeight="1" x14ac:dyDescent="0.3">
      <c r="A36" s="1" t="s">
        <v>63</v>
      </c>
      <c r="B36" s="1" t="s">
        <v>21</v>
      </c>
      <c r="E36" s="1">
        <v>1</v>
      </c>
    </row>
    <row r="37" spans="1:12" ht="13.5" customHeight="1" x14ac:dyDescent="0.3">
      <c r="A37" s="1" t="s">
        <v>64</v>
      </c>
      <c r="B37" s="1" t="s">
        <v>14</v>
      </c>
      <c r="C37" s="1">
        <v>1</v>
      </c>
    </row>
    <row r="38" spans="1:12" ht="13.5" customHeight="1" x14ac:dyDescent="0.3">
      <c r="A38" s="1" t="s">
        <v>65</v>
      </c>
      <c r="B38" s="1" t="s">
        <v>66</v>
      </c>
      <c r="E38" s="1">
        <v>1</v>
      </c>
    </row>
    <row r="39" spans="1:12" ht="13.5" customHeight="1" x14ac:dyDescent="0.3">
      <c r="A39" s="1" t="s">
        <v>67</v>
      </c>
      <c r="B39" s="1" t="s">
        <v>16</v>
      </c>
      <c r="E39" s="1">
        <v>1</v>
      </c>
    </row>
    <row r="40" spans="1:12" ht="13.5" customHeight="1" x14ac:dyDescent="0.3">
      <c r="A40" s="1" t="s">
        <v>68</v>
      </c>
      <c r="B40" s="1" t="s">
        <v>38</v>
      </c>
      <c r="E40" s="1">
        <v>1</v>
      </c>
    </row>
    <row r="41" spans="1:12" ht="13.5" customHeight="1" x14ac:dyDescent="0.3">
      <c r="A41" s="1" t="s">
        <v>69</v>
      </c>
      <c r="B41" s="1" t="s">
        <v>37</v>
      </c>
      <c r="C41" s="1">
        <v>1</v>
      </c>
    </row>
    <row r="42" spans="1:12" ht="13.5" customHeight="1" x14ac:dyDescent="0.3">
      <c r="A42" s="1" t="s">
        <v>70</v>
      </c>
      <c r="B42" s="1" t="s">
        <v>66</v>
      </c>
      <c r="D42" s="1">
        <v>1</v>
      </c>
    </row>
    <row r="43" spans="1:12" ht="13.5" customHeight="1" x14ac:dyDescent="0.3">
      <c r="A43" s="1" t="s">
        <v>71</v>
      </c>
      <c r="B43" s="1" t="s">
        <v>30</v>
      </c>
      <c r="D43" s="1">
        <v>1</v>
      </c>
    </row>
    <row r="44" spans="1:12" ht="13.5" customHeight="1" x14ac:dyDescent="0.3">
      <c r="A44" s="1" t="s">
        <v>72</v>
      </c>
      <c r="B44" s="1" t="s">
        <v>27</v>
      </c>
      <c r="D44" s="1">
        <v>1</v>
      </c>
    </row>
    <row r="45" spans="1:12" ht="13.5" customHeight="1" x14ac:dyDescent="0.3">
      <c r="A45" s="1" t="s">
        <v>73</v>
      </c>
      <c r="B45" s="1" t="s">
        <v>30</v>
      </c>
      <c r="E45" s="1">
        <v>1</v>
      </c>
      <c r="H45" s="1" t="s">
        <v>6</v>
      </c>
      <c r="I45" s="1" t="s">
        <v>7</v>
      </c>
      <c r="J45" s="1" t="s">
        <v>8</v>
      </c>
      <c r="K45" s="1" t="s">
        <v>9</v>
      </c>
      <c r="L45" s="1" t="s">
        <v>10</v>
      </c>
    </row>
    <row r="46" spans="1:12" ht="13.5" customHeight="1" x14ac:dyDescent="0.3">
      <c r="A46" s="1" t="s">
        <v>74</v>
      </c>
      <c r="B46" s="1" t="s">
        <v>16</v>
      </c>
      <c r="D46" s="1">
        <v>1</v>
      </c>
      <c r="H46" s="2" t="s">
        <v>14</v>
      </c>
      <c r="I46" s="4">
        <f t="shared" ref="I46:I57" si="13">I2/M2</f>
        <v>1</v>
      </c>
      <c r="J46" s="4">
        <f t="shared" ref="J46:J57" si="14">J2/M2</f>
        <v>0</v>
      </c>
      <c r="K46" s="4">
        <f t="shared" ref="K46:K57" si="15">K2/M2</f>
        <v>0</v>
      </c>
      <c r="L46" s="4">
        <f t="shared" ref="L46:L57" si="16">L2/M2</f>
        <v>0</v>
      </c>
    </row>
    <row r="47" spans="1:12" ht="13.5" customHeight="1" x14ac:dyDescent="0.3">
      <c r="A47" s="1" t="s">
        <v>75</v>
      </c>
      <c r="B47" s="1" t="s">
        <v>66</v>
      </c>
      <c r="D47" s="1">
        <v>1</v>
      </c>
      <c r="H47" s="2" t="s">
        <v>17</v>
      </c>
      <c r="I47" s="4">
        <f t="shared" si="13"/>
        <v>0.25</v>
      </c>
      <c r="J47" s="4">
        <f t="shared" si="14"/>
        <v>0.66666666666666663</v>
      </c>
      <c r="K47" s="4">
        <f t="shared" si="15"/>
        <v>8.3333333333333329E-2</v>
      </c>
      <c r="L47" s="4">
        <f t="shared" si="16"/>
        <v>0</v>
      </c>
    </row>
    <row r="48" spans="1:12" ht="13.5" customHeight="1" x14ac:dyDescent="0.3">
      <c r="A48" s="1" t="s">
        <v>76</v>
      </c>
      <c r="B48" s="1" t="s">
        <v>13</v>
      </c>
      <c r="D48" s="1">
        <v>1</v>
      </c>
      <c r="H48" s="2" t="s">
        <v>19</v>
      </c>
      <c r="I48" s="4">
        <f t="shared" si="13"/>
        <v>1</v>
      </c>
      <c r="J48" s="4">
        <f t="shared" si="14"/>
        <v>0</v>
      </c>
      <c r="K48" s="4">
        <f t="shared" si="15"/>
        <v>0</v>
      </c>
      <c r="L48" s="4">
        <f t="shared" si="16"/>
        <v>0</v>
      </c>
    </row>
    <row r="49" spans="1:12" ht="13.5" customHeight="1" x14ac:dyDescent="0.3">
      <c r="A49" s="1" t="s">
        <v>77</v>
      </c>
      <c r="B49" s="1" t="s">
        <v>16</v>
      </c>
      <c r="D49" s="1">
        <v>1</v>
      </c>
      <c r="H49" s="2" t="s">
        <v>22</v>
      </c>
      <c r="I49" s="4">
        <f t="shared" si="13"/>
        <v>0.33333333333333331</v>
      </c>
      <c r="J49" s="4">
        <f t="shared" si="14"/>
        <v>0</v>
      </c>
      <c r="K49" s="4">
        <f t="shared" si="15"/>
        <v>0.55555555555555558</v>
      </c>
      <c r="L49" s="4">
        <f t="shared" si="16"/>
        <v>0.1111111111111111</v>
      </c>
    </row>
    <row r="50" spans="1:12" ht="13.5" customHeight="1" x14ac:dyDescent="0.3">
      <c r="A50" s="1" t="s">
        <v>78</v>
      </c>
      <c r="B50" s="1" t="s">
        <v>24</v>
      </c>
      <c r="D50" s="1">
        <v>1</v>
      </c>
      <c r="H50" s="2" t="s">
        <v>25</v>
      </c>
      <c r="I50" s="4">
        <f t="shared" si="13"/>
        <v>0.9375</v>
      </c>
      <c r="J50" s="4">
        <f t="shared" si="14"/>
        <v>6.25E-2</v>
      </c>
      <c r="K50" s="4">
        <f t="shared" si="15"/>
        <v>0</v>
      </c>
      <c r="L50" s="4">
        <f t="shared" si="16"/>
        <v>0</v>
      </c>
    </row>
    <row r="51" spans="1:12" ht="13.5" customHeight="1" x14ac:dyDescent="0.3">
      <c r="A51" s="1" t="s">
        <v>79</v>
      </c>
      <c r="B51" s="1" t="s">
        <v>27</v>
      </c>
      <c r="D51" s="1">
        <v>1</v>
      </c>
      <c r="H51" s="2" t="s">
        <v>28</v>
      </c>
      <c r="I51" s="4">
        <f t="shared" si="13"/>
        <v>0.58333333333333337</v>
      </c>
      <c r="J51" s="4">
        <f t="shared" si="14"/>
        <v>0.16666666666666666</v>
      </c>
      <c r="K51" s="4">
        <f t="shared" si="15"/>
        <v>0.25</v>
      </c>
      <c r="L51" s="4">
        <f t="shared" si="16"/>
        <v>0</v>
      </c>
    </row>
    <row r="52" spans="1:12" ht="13.5" customHeight="1" x14ac:dyDescent="0.3">
      <c r="A52" s="1" t="s">
        <v>80</v>
      </c>
      <c r="B52" s="1" t="s">
        <v>24</v>
      </c>
      <c r="D52" s="1">
        <v>1</v>
      </c>
      <c r="H52" s="2" t="s">
        <v>27</v>
      </c>
      <c r="I52" s="4">
        <f t="shared" si="13"/>
        <v>0.2</v>
      </c>
      <c r="J52" s="4">
        <f t="shared" si="14"/>
        <v>0.6</v>
      </c>
      <c r="K52" s="4">
        <f t="shared" si="15"/>
        <v>0.13333333333333333</v>
      </c>
      <c r="L52" s="4">
        <f t="shared" si="16"/>
        <v>6.6666666666666666E-2</v>
      </c>
    </row>
    <row r="53" spans="1:12" ht="13.5" customHeight="1" x14ac:dyDescent="0.3">
      <c r="A53" s="1" t="s">
        <v>81</v>
      </c>
      <c r="B53" s="1" t="s">
        <v>66</v>
      </c>
      <c r="D53" s="1">
        <v>1</v>
      </c>
      <c r="H53" s="2" t="s">
        <v>13</v>
      </c>
      <c r="I53" s="4">
        <f t="shared" si="13"/>
        <v>9.0909090909090912E-2</v>
      </c>
      <c r="J53" s="4">
        <f t="shared" si="14"/>
        <v>0.45454545454545453</v>
      </c>
      <c r="K53" s="4">
        <f t="shared" si="15"/>
        <v>0.45454545454545453</v>
      </c>
      <c r="L53" s="4">
        <f t="shared" si="16"/>
        <v>0</v>
      </c>
    </row>
    <row r="54" spans="1:12" ht="13.5" customHeight="1" x14ac:dyDescent="0.3">
      <c r="A54" s="1" t="s">
        <v>82</v>
      </c>
      <c r="B54" s="1" t="s">
        <v>16</v>
      </c>
      <c r="C54" s="1">
        <v>1</v>
      </c>
      <c r="H54" s="2" t="s">
        <v>30</v>
      </c>
      <c r="I54" s="4">
        <f t="shared" si="13"/>
        <v>0</v>
      </c>
      <c r="J54" s="4">
        <f t="shared" si="14"/>
        <v>0.90476190476190477</v>
      </c>
      <c r="K54" s="4">
        <f t="shared" si="15"/>
        <v>9.5238095238095233E-2</v>
      </c>
      <c r="L54" s="4">
        <f t="shared" si="16"/>
        <v>0</v>
      </c>
    </row>
    <row r="55" spans="1:12" ht="13.5" customHeight="1" x14ac:dyDescent="0.3">
      <c r="A55" s="1" t="s">
        <v>83</v>
      </c>
      <c r="B55" s="1" t="s">
        <v>14</v>
      </c>
      <c r="C55" s="1">
        <v>1</v>
      </c>
      <c r="H55" s="2" t="s">
        <v>35</v>
      </c>
      <c r="I55" s="4">
        <f t="shared" si="13"/>
        <v>0</v>
      </c>
      <c r="J55" s="4">
        <f t="shared" si="14"/>
        <v>0.66666666666666663</v>
      </c>
      <c r="K55" s="4">
        <f t="shared" si="15"/>
        <v>0.33333333333333331</v>
      </c>
      <c r="L55" s="4">
        <f t="shared" si="16"/>
        <v>0</v>
      </c>
    </row>
    <row r="56" spans="1:12" ht="13.5" customHeight="1" x14ac:dyDescent="0.3">
      <c r="A56" s="1" t="s">
        <v>84</v>
      </c>
      <c r="B56" s="1" t="s">
        <v>21</v>
      </c>
      <c r="C56" s="1">
        <v>1</v>
      </c>
      <c r="H56" s="2" t="s">
        <v>38</v>
      </c>
      <c r="I56" s="4">
        <f t="shared" si="13"/>
        <v>0.42857142857142855</v>
      </c>
      <c r="J56" s="4">
        <f t="shared" si="14"/>
        <v>0.2857142857142857</v>
      </c>
      <c r="K56" s="4">
        <f t="shared" si="15"/>
        <v>0.2857142857142857</v>
      </c>
      <c r="L56" s="4">
        <f t="shared" si="16"/>
        <v>0</v>
      </c>
    </row>
    <row r="57" spans="1:12" ht="13.5" customHeight="1" x14ac:dyDescent="0.3">
      <c r="A57" s="1" t="s">
        <v>85</v>
      </c>
      <c r="B57" s="1" t="s">
        <v>33</v>
      </c>
      <c r="C57" s="1">
        <v>1</v>
      </c>
      <c r="H57" s="2" t="s">
        <v>33</v>
      </c>
      <c r="I57" s="4">
        <f t="shared" si="13"/>
        <v>1</v>
      </c>
      <c r="J57" s="4">
        <f t="shared" si="14"/>
        <v>0</v>
      </c>
      <c r="K57" s="4">
        <f t="shared" si="15"/>
        <v>0</v>
      </c>
      <c r="L57" s="4">
        <f t="shared" si="16"/>
        <v>0</v>
      </c>
    </row>
    <row r="58" spans="1:12" ht="13.5" customHeight="1" x14ac:dyDescent="0.3">
      <c r="A58" s="1" t="s">
        <v>86</v>
      </c>
      <c r="B58" s="1" t="s">
        <v>24</v>
      </c>
      <c r="D58" s="1">
        <v>1</v>
      </c>
    </row>
    <row r="59" spans="1:12" ht="13.5" customHeight="1" x14ac:dyDescent="0.3">
      <c r="A59" s="1" t="s">
        <v>87</v>
      </c>
      <c r="B59" s="1" t="s">
        <v>37</v>
      </c>
      <c r="C59" s="1">
        <v>1</v>
      </c>
    </row>
    <row r="60" spans="1:12" ht="13.5" customHeight="1" x14ac:dyDescent="0.3">
      <c r="A60" s="1" t="s">
        <v>88</v>
      </c>
      <c r="B60" s="1" t="s">
        <v>27</v>
      </c>
      <c r="C60" s="1">
        <v>1</v>
      </c>
    </row>
    <row r="61" spans="1:12" ht="13.5" customHeight="1" x14ac:dyDescent="0.3">
      <c r="A61" s="1" t="s">
        <v>89</v>
      </c>
      <c r="B61" s="1" t="s">
        <v>13</v>
      </c>
      <c r="C61" s="1">
        <v>1</v>
      </c>
    </row>
    <row r="62" spans="1:12" ht="13.5" customHeight="1" x14ac:dyDescent="0.3">
      <c r="A62" s="1" t="s">
        <v>90</v>
      </c>
      <c r="B62" s="1" t="s">
        <v>19</v>
      </c>
      <c r="C62" s="1">
        <v>1</v>
      </c>
    </row>
    <row r="63" spans="1:12" ht="13.5" customHeight="1" x14ac:dyDescent="0.3">
      <c r="A63" s="1" t="s">
        <v>91</v>
      </c>
      <c r="B63" s="1" t="s">
        <v>21</v>
      </c>
      <c r="F63" s="1">
        <v>1</v>
      </c>
    </row>
    <row r="64" spans="1:12" ht="13.5" customHeight="1" x14ac:dyDescent="0.3">
      <c r="A64" s="1" t="s">
        <v>92</v>
      </c>
      <c r="B64" s="1" t="s">
        <v>42</v>
      </c>
      <c r="C64" s="1">
        <v>1</v>
      </c>
    </row>
    <row r="65" spans="1:6" ht="13.5" customHeight="1" x14ac:dyDescent="0.3">
      <c r="A65" s="1" t="s">
        <v>93</v>
      </c>
      <c r="B65" s="1" t="s">
        <v>14</v>
      </c>
      <c r="C65" s="1">
        <v>1</v>
      </c>
    </row>
    <row r="66" spans="1:6" ht="13.5" customHeight="1" x14ac:dyDescent="0.3">
      <c r="A66" s="1" t="s">
        <v>94</v>
      </c>
      <c r="B66" s="1" t="s">
        <v>14</v>
      </c>
      <c r="C66" s="1">
        <v>1</v>
      </c>
    </row>
    <row r="67" spans="1:6" ht="13.5" customHeight="1" x14ac:dyDescent="0.3">
      <c r="A67" s="1" t="s">
        <v>95</v>
      </c>
      <c r="B67" s="1" t="s">
        <v>38</v>
      </c>
      <c r="D67" s="1">
        <v>1</v>
      </c>
    </row>
    <row r="68" spans="1:6" ht="13.5" customHeight="1" x14ac:dyDescent="0.3">
      <c r="A68" s="1" t="s">
        <v>96</v>
      </c>
      <c r="B68" s="1" t="s">
        <v>19</v>
      </c>
      <c r="C68" s="1">
        <v>1</v>
      </c>
    </row>
    <row r="69" spans="1:6" ht="13.5" customHeight="1" x14ac:dyDescent="0.3">
      <c r="A69" s="1" t="s">
        <v>97</v>
      </c>
      <c r="B69" s="1" t="s">
        <v>24</v>
      </c>
      <c r="D69" s="1">
        <v>1</v>
      </c>
    </row>
    <row r="70" spans="1:6" ht="13.5" customHeight="1" x14ac:dyDescent="0.3">
      <c r="A70" s="1" t="s">
        <v>98</v>
      </c>
      <c r="B70" s="1" t="s">
        <v>30</v>
      </c>
      <c r="D70" s="1">
        <v>1</v>
      </c>
    </row>
    <row r="71" spans="1:6" ht="13.5" customHeight="1" x14ac:dyDescent="0.3">
      <c r="A71" s="1" t="s">
        <v>99</v>
      </c>
      <c r="B71" s="1" t="s">
        <v>30</v>
      </c>
      <c r="D71" s="1">
        <v>1</v>
      </c>
    </row>
    <row r="72" spans="1:6" ht="13.5" customHeight="1" x14ac:dyDescent="0.3">
      <c r="A72" s="1" t="s">
        <v>100</v>
      </c>
      <c r="B72" s="1" t="s">
        <v>27</v>
      </c>
      <c r="D72" s="1">
        <v>1</v>
      </c>
    </row>
    <row r="73" spans="1:6" ht="13.5" customHeight="1" x14ac:dyDescent="0.3">
      <c r="A73" s="1" t="s">
        <v>101</v>
      </c>
      <c r="B73" s="1" t="s">
        <v>21</v>
      </c>
      <c r="C73" s="1">
        <v>1</v>
      </c>
    </row>
    <row r="74" spans="1:6" ht="13.5" customHeight="1" x14ac:dyDescent="0.3">
      <c r="A74" s="1" t="s">
        <v>102</v>
      </c>
      <c r="B74" s="1" t="s">
        <v>66</v>
      </c>
      <c r="D74" s="1">
        <v>1</v>
      </c>
    </row>
    <row r="75" spans="1:6" ht="13.5" customHeight="1" x14ac:dyDescent="0.3">
      <c r="A75" s="1" t="s">
        <v>103</v>
      </c>
      <c r="B75" s="1" t="s">
        <v>30</v>
      </c>
      <c r="D75" s="1">
        <v>1</v>
      </c>
    </row>
    <row r="76" spans="1:6" ht="13.5" customHeight="1" x14ac:dyDescent="0.3">
      <c r="A76" s="1" t="s">
        <v>104</v>
      </c>
      <c r="B76" s="1" t="s">
        <v>24</v>
      </c>
      <c r="C76" s="1">
        <v>1</v>
      </c>
    </row>
    <row r="77" spans="1:6" ht="13.5" customHeight="1" x14ac:dyDescent="0.3">
      <c r="A77" s="1" t="s">
        <v>105</v>
      </c>
      <c r="B77" s="1" t="s">
        <v>66</v>
      </c>
      <c r="E77" s="1">
        <v>1</v>
      </c>
    </row>
    <row r="78" spans="1:6" ht="13.5" customHeight="1" x14ac:dyDescent="0.3">
      <c r="A78" s="1" t="s">
        <v>106</v>
      </c>
      <c r="B78" s="1" t="s">
        <v>42</v>
      </c>
      <c r="C78" s="1">
        <v>1</v>
      </c>
    </row>
    <row r="79" spans="1:6" ht="13.5" customHeight="1" x14ac:dyDescent="0.3">
      <c r="A79" s="1" t="s">
        <v>107</v>
      </c>
      <c r="B79" s="1" t="s">
        <v>27</v>
      </c>
      <c r="F79" s="1">
        <v>1</v>
      </c>
    </row>
    <row r="80" spans="1:6" ht="13.5" customHeight="1" x14ac:dyDescent="0.3">
      <c r="A80" s="1" t="s">
        <v>108</v>
      </c>
      <c r="B80" s="1" t="s">
        <v>66</v>
      </c>
      <c r="D80" s="1">
        <v>1</v>
      </c>
    </row>
    <row r="81" spans="1:5" ht="13.5" customHeight="1" x14ac:dyDescent="0.3">
      <c r="A81" s="1" t="s">
        <v>109</v>
      </c>
      <c r="B81" s="1" t="s">
        <v>30</v>
      </c>
      <c r="D81" s="1">
        <v>1</v>
      </c>
    </row>
    <row r="82" spans="1:5" ht="13.5" customHeight="1" x14ac:dyDescent="0.3">
      <c r="A82" s="1" t="s">
        <v>110</v>
      </c>
      <c r="B82" s="1" t="s">
        <v>37</v>
      </c>
      <c r="C82" s="1">
        <v>1</v>
      </c>
    </row>
    <row r="83" spans="1:5" ht="13.5" customHeight="1" x14ac:dyDescent="0.3">
      <c r="A83" s="1" t="s">
        <v>111</v>
      </c>
      <c r="B83" s="1" t="s">
        <v>37</v>
      </c>
      <c r="C83" s="1">
        <v>1</v>
      </c>
    </row>
    <row r="84" spans="1:5" ht="13.5" customHeight="1" x14ac:dyDescent="0.3">
      <c r="A84" s="1" t="s">
        <v>112</v>
      </c>
      <c r="B84" s="1" t="s">
        <v>38</v>
      </c>
      <c r="C84" s="1">
        <v>1</v>
      </c>
    </row>
    <row r="85" spans="1:5" ht="13.5" customHeight="1" x14ac:dyDescent="0.3">
      <c r="A85" s="1" t="s">
        <v>113</v>
      </c>
      <c r="B85" s="1" t="s">
        <v>21</v>
      </c>
      <c r="E85" s="1">
        <v>1</v>
      </c>
    </row>
    <row r="86" spans="1:5" ht="13.5" customHeight="1" x14ac:dyDescent="0.3">
      <c r="A86" s="1" t="s">
        <v>114</v>
      </c>
      <c r="B86" s="1" t="s">
        <v>42</v>
      </c>
      <c r="C86" s="1">
        <v>1</v>
      </c>
    </row>
    <row r="87" spans="1:5" ht="13.5" customHeight="1" x14ac:dyDescent="0.3">
      <c r="A87" s="1" t="s">
        <v>115</v>
      </c>
      <c r="B87" s="1" t="s">
        <v>21</v>
      </c>
      <c r="E87" s="1">
        <v>1</v>
      </c>
    </row>
    <row r="88" spans="1:5" ht="13.5" customHeight="1" x14ac:dyDescent="0.3">
      <c r="A88" s="1" t="s">
        <v>116</v>
      </c>
      <c r="B88" s="1" t="s">
        <v>30</v>
      </c>
      <c r="D88" s="1">
        <v>1</v>
      </c>
    </row>
    <row r="89" spans="1:5" ht="13.5" customHeight="1" x14ac:dyDescent="0.3">
      <c r="A89" s="1" t="s">
        <v>117</v>
      </c>
      <c r="B89" s="1" t="s">
        <v>16</v>
      </c>
      <c r="C89" s="1">
        <v>1</v>
      </c>
    </row>
    <row r="90" spans="1:5" ht="13.5" customHeight="1" x14ac:dyDescent="0.3">
      <c r="A90" s="1" t="s">
        <v>118</v>
      </c>
      <c r="B90" s="1" t="s">
        <v>16</v>
      </c>
      <c r="E90" s="1">
        <v>1</v>
      </c>
    </row>
    <row r="91" spans="1:5" ht="13.5" customHeight="1" x14ac:dyDescent="0.3">
      <c r="A91" s="1" t="s">
        <v>119</v>
      </c>
      <c r="B91" s="1" t="s">
        <v>66</v>
      </c>
      <c r="D91" s="1">
        <v>1</v>
      </c>
    </row>
    <row r="92" spans="1:5" ht="13.5" customHeight="1" x14ac:dyDescent="0.3">
      <c r="A92" s="1" t="s">
        <v>120</v>
      </c>
      <c r="B92" s="1" t="s">
        <v>13</v>
      </c>
      <c r="E92" s="1">
        <v>1</v>
      </c>
    </row>
    <row r="93" spans="1:5" ht="13.5" customHeight="1" x14ac:dyDescent="0.3">
      <c r="A93" s="1" t="s">
        <v>121</v>
      </c>
      <c r="B93" s="1" t="s">
        <v>30</v>
      </c>
      <c r="D93" s="1">
        <v>1</v>
      </c>
    </row>
    <row r="94" spans="1:5" ht="13.5" customHeight="1" x14ac:dyDescent="0.3">
      <c r="A94" s="1" t="s">
        <v>122</v>
      </c>
      <c r="B94" s="1" t="s">
        <v>24</v>
      </c>
      <c r="D94" s="1">
        <v>1</v>
      </c>
    </row>
    <row r="95" spans="1:5" ht="13.5" customHeight="1" x14ac:dyDescent="0.3">
      <c r="A95" s="1" t="s">
        <v>123</v>
      </c>
      <c r="B95" s="1" t="s">
        <v>21</v>
      </c>
      <c r="E95" s="1">
        <v>1</v>
      </c>
    </row>
    <row r="96" spans="1:5" ht="13.5" customHeight="1" x14ac:dyDescent="0.3">
      <c r="A96" s="1" t="s">
        <v>124</v>
      </c>
      <c r="B96" s="1" t="s">
        <v>14</v>
      </c>
      <c r="C96" s="1">
        <v>1</v>
      </c>
    </row>
    <row r="97" spans="1:5" ht="13.5" customHeight="1" x14ac:dyDescent="0.3">
      <c r="A97" s="1" t="s">
        <v>125</v>
      </c>
      <c r="B97" s="1" t="s">
        <v>66</v>
      </c>
      <c r="E97" s="1">
        <v>1</v>
      </c>
    </row>
    <row r="98" spans="1:5" ht="13.5" customHeight="1" x14ac:dyDescent="0.3">
      <c r="A98" s="1" t="s">
        <v>126</v>
      </c>
      <c r="B98" s="1" t="s">
        <v>30</v>
      </c>
      <c r="D98" s="1">
        <v>1</v>
      </c>
    </row>
    <row r="99" spans="1:5" ht="13.5" customHeight="1" x14ac:dyDescent="0.3">
      <c r="A99" s="1" t="s">
        <v>127</v>
      </c>
      <c r="B99" s="1" t="s">
        <v>27</v>
      </c>
      <c r="D99" s="1">
        <v>1</v>
      </c>
    </row>
    <row r="100" spans="1:5" ht="13.5" customHeight="1" x14ac:dyDescent="0.3">
      <c r="A100" s="1" t="s">
        <v>128</v>
      </c>
      <c r="B100" s="1" t="s">
        <v>30</v>
      </c>
      <c r="D100" s="1">
        <v>1</v>
      </c>
    </row>
    <row r="101" spans="1:5" ht="13.5" customHeight="1" x14ac:dyDescent="0.3">
      <c r="A101" s="1" t="s">
        <v>129</v>
      </c>
      <c r="B101" s="1" t="s">
        <v>27</v>
      </c>
      <c r="D101" s="1">
        <v>1</v>
      </c>
    </row>
    <row r="102" spans="1:5" ht="13.5" customHeight="1" x14ac:dyDescent="0.3">
      <c r="A102" s="1" t="s">
        <v>130</v>
      </c>
      <c r="B102" s="1" t="s">
        <v>16</v>
      </c>
      <c r="C102" s="1">
        <v>1</v>
      </c>
    </row>
    <row r="103" spans="1:5" ht="13.5" customHeight="1" x14ac:dyDescent="0.3">
      <c r="A103" s="1" t="s">
        <v>131</v>
      </c>
      <c r="B103" s="1" t="s">
        <v>66</v>
      </c>
      <c r="D103" s="1">
        <v>1</v>
      </c>
    </row>
    <row r="104" spans="1:5" ht="13.5" customHeight="1" x14ac:dyDescent="0.3">
      <c r="A104" s="1" t="s">
        <v>132</v>
      </c>
      <c r="B104" s="1" t="s">
        <v>30</v>
      </c>
      <c r="D104" s="1">
        <v>1</v>
      </c>
    </row>
    <row r="105" spans="1:5" ht="13.5" customHeight="1" x14ac:dyDescent="0.3">
      <c r="A105" s="1" t="s">
        <v>133</v>
      </c>
      <c r="B105" s="1" t="s">
        <v>14</v>
      </c>
      <c r="C105" s="1">
        <v>1</v>
      </c>
    </row>
    <row r="106" spans="1:5" ht="13.5" customHeight="1" x14ac:dyDescent="0.3">
      <c r="A106" s="1" t="s">
        <v>134</v>
      </c>
      <c r="B106" s="1" t="s">
        <v>42</v>
      </c>
      <c r="C106" s="1">
        <v>1</v>
      </c>
    </row>
    <row r="107" spans="1:5" ht="13.5" customHeight="1" x14ac:dyDescent="0.3">
      <c r="A107" s="1" t="s">
        <v>135</v>
      </c>
      <c r="B107" s="1" t="s">
        <v>27</v>
      </c>
      <c r="D107" s="1">
        <v>1</v>
      </c>
    </row>
    <row r="108" spans="1:5" ht="13.5" customHeight="1" x14ac:dyDescent="0.3">
      <c r="A108" s="1" t="s">
        <v>136</v>
      </c>
      <c r="B108" s="1" t="s">
        <v>66</v>
      </c>
      <c r="D108" s="1">
        <v>1</v>
      </c>
    </row>
    <row r="109" spans="1:5" ht="13.5" customHeight="1" x14ac:dyDescent="0.3">
      <c r="A109" s="1" t="s">
        <v>137</v>
      </c>
      <c r="B109" s="1" t="s">
        <v>13</v>
      </c>
      <c r="C109" s="1">
        <v>1</v>
      </c>
    </row>
    <row r="110" spans="1:5" ht="13.5" customHeight="1" x14ac:dyDescent="0.3">
      <c r="A110" s="1" t="s">
        <v>138</v>
      </c>
      <c r="B110" s="1" t="s">
        <v>42</v>
      </c>
      <c r="C110" s="1">
        <v>1</v>
      </c>
    </row>
    <row r="111" spans="1:5" ht="13.5" customHeight="1" x14ac:dyDescent="0.3">
      <c r="A111" s="1" t="s">
        <v>139</v>
      </c>
      <c r="B111" s="1" t="s">
        <v>27</v>
      </c>
      <c r="E111" s="1">
        <v>1</v>
      </c>
    </row>
    <row r="112" spans="1:5" ht="13.5" customHeight="1" x14ac:dyDescent="0.3">
      <c r="A112" s="1" t="s">
        <v>140</v>
      </c>
      <c r="B112" s="1" t="s">
        <v>16</v>
      </c>
      <c r="E112" s="1">
        <v>1</v>
      </c>
    </row>
    <row r="113" spans="1:6" ht="13.5" customHeight="1" x14ac:dyDescent="0.3">
      <c r="A113" s="1" t="s">
        <v>141</v>
      </c>
      <c r="B113" s="1" t="s">
        <v>14</v>
      </c>
      <c r="C113" s="1">
        <v>1</v>
      </c>
    </row>
    <row r="114" spans="1:6" ht="13.5" customHeight="1" x14ac:dyDescent="0.3">
      <c r="A114" s="1" t="s">
        <v>142</v>
      </c>
      <c r="B114" s="1" t="s">
        <v>16</v>
      </c>
      <c r="E114" s="1">
        <v>1</v>
      </c>
    </row>
    <row r="115" spans="1:6" ht="13.5" customHeight="1" x14ac:dyDescent="0.3">
      <c r="A115" s="1" t="s">
        <v>143</v>
      </c>
      <c r="B115" s="1" t="s">
        <v>24</v>
      </c>
      <c r="D115" s="1">
        <v>1</v>
      </c>
    </row>
    <row r="116" spans="1:6" ht="13.5" customHeight="1" x14ac:dyDescent="0.3">
      <c r="A116" s="1" t="s">
        <v>144</v>
      </c>
      <c r="B116" s="1" t="s">
        <v>66</v>
      </c>
      <c r="D116" s="1">
        <v>1</v>
      </c>
    </row>
    <row r="117" spans="1:6" ht="13.5" customHeight="1" x14ac:dyDescent="0.3">
      <c r="A117" s="1" t="s">
        <v>145</v>
      </c>
      <c r="B117" s="1" t="s">
        <v>27</v>
      </c>
      <c r="E117" s="1">
        <v>1</v>
      </c>
    </row>
    <row r="118" spans="1:6" ht="13.5" customHeight="1" x14ac:dyDescent="0.3">
      <c r="A118" s="1" t="s">
        <v>146</v>
      </c>
      <c r="B118" s="1" t="s">
        <v>30</v>
      </c>
      <c r="E118" s="1">
        <v>1</v>
      </c>
    </row>
    <row r="119" spans="1:6" ht="13.5" customHeight="1" x14ac:dyDescent="0.3">
      <c r="A119" s="1" t="s">
        <v>147</v>
      </c>
      <c r="B119" s="1" t="s">
        <v>42</v>
      </c>
      <c r="C119" s="1">
        <v>1</v>
      </c>
    </row>
    <row r="120" spans="1:6" ht="13.5" customHeight="1" x14ac:dyDescent="0.3">
      <c r="A120" s="1" t="s">
        <v>148</v>
      </c>
      <c r="B120" s="1" t="s">
        <v>13</v>
      </c>
      <c r="D120" s="1">
        <v>1</v>
      </c>
    </row>
    <row r="121" spans="1:6" ht="13.5" customHeight="1" x14ac:dyDescent="0.3">
      <c r="A121" s="1" t="s">
        <v>149</v>
      </c>
      <c r="B121" s="1" t="s">
        <v>150</v>
      </c>
      <c r="F121" s="1">
        <v>1</v>
      </c>
    </row>
    <row r="122" spans="1:6" ht="13.5" customHeight="1" x14ac:dyDescent="0.3">
      <c r="A122" s="1" t="s">
        <v>151</v>
      </c>
      <c r="B122" s="1" t="s">
        <v>24</v>
      </c>
      <c r="C122" s="1">
        <v>1</v>
      </c>
    </row>
    <row r="123" spans="1:6" ht="13.5" customHeight="1" x14ac:dyDescent="0.3">
      <c r="A123" s="1" t="s">
        <v>152</v>
      </c>
      <c r="B123" s="1" t="s">
        <v>24</v>
      </c>
      <c r="D123" s="1">
        <v>1</v>
      </c>
    </row>
    <row r="124" spans="1:6" ht="13.5" customHeight="1" x14ac:dyDescent="0.3">
      <c r="A124" s="1" t="s">
        <v>153</v>
      </c>
      <c r="B124" s="1" t="s">
        <v>19</v>
      </c>
      <c r="C124" s="1">
        <v>1</v>
      </c>
    </row>
    <row r="125" spans="1:6" ht="13.5" customHeight="1" x14ac:dyDescent="0.3">
      <c r="A125" s="1" t="s">
        <v>154</v>
      </c>
      <c r="B125" s="1" t="s">
        <v>33</v>
      </c>
      <c r="C125" s="1">
        <v>1</v>
      </c>
    </row>
    <row r="126" spans="1:6" ht="13.5" customHeight="1" x14ac:dyDescent="0.3">
      <c r="A126" s="1" t="s">
        <v>155</v>
      </c>
      <c r="B126" s="1" t="s">
        <v>13</v>
      </c>
      <c r="D126" s="1">
        <v>1</v>
      </c>
    </row>
    <row r="127" spans="1:6" ht="13.5" customHeight="1" x14ac:dyDescent="0.3">
      <c r="A127" s="1" t="s">
        <v>156</v>
      </c>
      <c r="B127" s="1" t="s">
        <v>13</v>
      </c>
      <c r="D127" s="1">
        <v>1</v>
      </c>
    </row>
    <row r="128" spans="1:6" ht="13.5" customHeight="1" x14ac:dyDescent="0.3">
      <c r="A128" s="1" t="s">
        <v>157</v>
      </c>
      <c r="B128" s="1" t="s">
        <v>14</v>
      </c>
      <c r="C128" s="1">
        <v>1</v>
      </c>
    </row>
    <row r="129" spans="1:5" ht="13.5" customHeight="1" x14ac:dyDescent="0.3">
      <c r="A129" s="1" t="s">
        <v>158</v>
      </c>
      <c r="B129" s="1" t="s">
        <v>16</v>
      </c>
      <c r="C129" s="1">
        <v>1</v>
      </c>
    </row>
    <row r="130" spans="1:5" ht="13.5" customHeight="1" x14ac:dyDescent="0.3">
      <c r="A130" s="1" t="s">
        <v>159</v>
      </c>
      <c r="B130" s="1" t="s">
        <v>13</v>
      </c>
      <c r="C130" s="1">
        <v>1</v>
      </c>
    </row>
    <row r="131" spans="1:5" ht="13.5" customHeight="1" x14ac:dyDescent="0.3">
      <c r="A131" s="1" t="s">
        <v>160</v>
      </c>
      <c r="B131" s="1" t="s">
        <v>66</v>
      </c>
      <c r="E131" s="1">
        <v>1</v>
      </c>
    </row>
    <row r="132" spans="1:5" ht="13.5" customHeight="1" x14ac:dyDescent="0.3">
      <c r="A132" s="1" t="s">
        <v>161</v>
      </c>
      <c r="B132" s="1" t="s">
        <v>38</v>
      </c>
      <c r="D132" s="1">
        <v>1</v>
      </c>
    </row>
    <row r="133" spans="1:5" ht="13.5" customHeight="1" x14ac:dyDescent="0.3">
      <c r="A133" s="1" t="s">
        <v>162</v>
      </c>
      <c r="B133" s="1" t="s">
        <v>13</v>
      </c>
      <c r="D133" s="1">
        <v>1</v>
      </c>
    </row>
    <row r="134" spans="1:5" ht="13.5" customHeight="1" x14ac:dyDescent="0.3">
      <c r="A134" s="1" t="s">
        <v>163</v>
      </c>
      <c r="B134" s="1" t="s">
        <v>66</v>
      </c>
      <c r="D134" s="1">
        <v>1</v>
      </c>
    </row>
    <row r="135" spans="1:5" ht="13.5" customHeight="1" x14ac:dyDescent="0.3">
      <c r="A135" s="1" t="s">
        <v>164</v>
      </c>
      <c r="B135" s="1" t="s">
        <v>21</v>
      </c>
      <c r="C135" s="1">
        <v>1</v>
      </c>
    </row>
    <row r="136" spans="1:5" ht="13.5" customHeight="1" x14ac:dyDescent="0.3">
      <c r="A136" s="1" t="s">
        <v>165</v>
      </c>
      <c r="B136" s="1" t="s">
        <v>30</v>
      </c>
      <c r="D136" s="1">
        <v>1</v>
      </c>
    </row>
    <row r="137" spans="1:5" ht="13.5" customHeight="1" x14ac:dyDescent="0.3">
      <c r="A137" s="1" t="s">
        <v>166</v>
      </c>
      <c r="B137" s="1" t="s">
        <v>30</v>
      </c>
      <c r="D137" s="1">
        <v>1</v>
      </c>
    </row>
    <row r="138" spans="1:5" ht="13.5" customHeight="1" x14ac:dyDescent="0.3">
      <c r="A138" s="1" t="s">
        <v>167</v>
      </c>
      <c r="B138" s="1" t="s">
        <v>19</v>
      </c>
      <c r="C138" s="1">
        <v>1</v>
      </c>
    </row>
    <row r="139" spans="1:5" ht="13.5" customHeight="1" x14ac:dyDescent="0.3">
      <c r="A139" s="1" t="s">
        <v>168</v>
      </c>
      <c r="B139" s="1" t="s">
        <v>13</v>
      </c>
      <c r="D139" s="1">
        <v>1</v>
      </c>
    </row>
    <row r="140" spans="1:5" ht="13.5" customHeight="1" x14ac:dyDescent="0.3">
      <c r="A140" s="1" t="s">
        <v>169</v>
      </c>
      <c r="B140" s="1" t="s">
        <v>27</v>
      </c>
      <c r="D140" s="1">
        <v>1</v>
      </c>
    </row>
    <row r="141" spans="1:5" ht="13.5" customHeight="1" x14ac:dyDescent="0.3">
      <c r="A141" s="1" t="s">
        <v>170</v>
      </c>
      <c r="B141" s="1" t="s">
        <v>16</v>
      </c>
      <c r="C141" s="1">
        <v>1</v>
      </c>
    </row>
    <row r="142" spans="1:5" ht="13.5" customHeight="1" x14ac:dyDescent="0.3">
      <c r="A142" s="1" t="s">
        <v>171</v>
      </c>
      <c r="B142" s="1" t="s">
        <v>19</v>
      </c>
      <c r="C142" s="1">
        <v>1</v>
      </c>
    </row>
    <row r="143" spans="1:5" ht="13.5" customHeight="1" x14ac:dyDescent="0.3">
      <c r="A143" s="1" t="s">
        <v>172</v>
      </c>
      <c r="B143" s="1" t="s">
        <v>37</v>
      </c>
      <c r="C143" s="1">
        <v>1</v>
      </c>
    </row>
    <row r="144" spans="1:5" ht="13.5" customHeight="1" x14ac:dyDescent="0.3">
      <c r="A144" s="1" t="s">
        <v>173</v>
      </c>
      <c r="B144" s="1" t="s">
        <v>27</v>
      </c>
      <c r="D144" s="1">
        <v>1</v>
      </c>
    </row>
    <row r="145" spans="1:5" ht="13.5" customHeight="1" x14ac:dyDescent="0.3">
      <c r="A145" s="1" t="s">
        <v>174</v>
      </c>
      <c r="B145" s="1" t="s">
        <v>66</v>
      </c>
      <c r="D145" s="1">
        <v>1</v>
      </c>
    </row>
    <row r="146" spans="1:5" ht="13.5" customHeight="1" x14ac:dyDescent="0.3">
      <c r="A146" s="1" t="s">
        <v>175</v>
      </c>
      <c r="B146" s="1" t="s">
        <v>14</v>
      </c>
      <c r="C146" s="1">
        <v>1</v>
      </c>
    </row>
    <row r="147" spans="1:5" ht="13.5" customHeight="1" x14ac:dyDescent="0.3">
      <c r="A147" s="1" t="s">
        <v>176</v>
      </c>
      <c r="B147" s="1" t="s">
        <v>66</v>
      </c>
      <c r="E147" s="1">
        <v>1</v>
      </c>
    </row>
    <row r="148" spans="1:5" ht="13.5" customHeight="1" x14ac:dyDescent="0.3">
      <c r="A148" s="1" t="s">
        <v>177</v>
      </c>
      <c r="B148" s="1" t="s">
        <v>42</v>
      </c>
      <c r="C148" s="1">
        <v>1</v>
      </c>
    </row>
    <row r="149" spans="1:5" ht="13.5" customHeight="1" x14ac:dyDescent="0.3">
      <c r="A149" s="1" t="s">
        <v>178</v>
      </c>
      <c r="B149" s="1" t="s">
        <v>33</v>
      </c>
      <c r="C149" s="1">
        <v>1</v>
      </c>
    </row>
    <row r="150" spans="1:5" ht="13.5" customHeight="1" x14ac:dyDescent="0.3">
      <c r="A150" s="1" t="s">
        <v>179</v>
      </c>
      <c r="B150" s="1" t="s">
        <v>14</v>
      </c>
      <c r="C150" s="1">
        <v>1</v>
      </c>
    </row>
    <row r="151" spans="1:5" ht="13.5" customHeight="1" x14ac:dyDescent="0.3">
      <c r="A151" s="1" t="s">
        <v>180</v>
      </c>
      <c r="B151" s="1" t="s">
        <v>13</v>
      </c>
      <c r="D151" s="1">
        <v>1</v>
      </c>
    </row>
    <row r="152" spans="1:5" ht="13.5" customHeight="1" x14ac:dyDescent="0.3">
      <c r="A152" s="1" t="s">
        <v>181</v>
      </c>
      <c r="B152" s="1" t="s">
        <v>24</v>
      </c>
      <c r="E152" s="1">
        <v>1</v>
      </c>
    </row>
    <row r="153" spans="1:5" ht="13.5" customHeight="1" x14ac:dyDescent="0.3">
      <c r="A153" s="1" t="s">
        <v>182</v>
      </c>
      <c r="B153" s="1" t="s">
        <v>19</v>
      </c>
      <c r="C153" s="1">
        <v>1</v>
      </c>
    </row>
    <row r="154" spans="1:5" ht="13.5" customHeight="1" x14ac:dyDescent="0.3">
      <c r="A154" s="1" t="s">
        <v>183</v>
      </c>
      <c r="B154" s="1" t="s">
        <v>42</v>
      </c>
      <c r="D154" s="1">
        <v>1</v>
      </c>
    </row>
    <row r="155" spans="1:5" ht="13.5" customHeight="1" x14ac:dyDescent="0.3">
      <c r="A155" s="1" t="s">
        <v>184</v>
      </c>
      <c r="B155" s="1" t="s">
        <v>19</v>
      </c>
      <c r="C155" s="1">
        <v>1</v>
      </c>
    </row>
    <row r="156" spans="1:5" ht="13.5" customHeight="1" x14ac:dyDescent="0.3">
      <c r="A156" s="1" t="s">
        <v>185</v>
      </c>
      <c r="B156" s="1" t="s">
        <v>30</v>
      </c>
      <c r="D156" s="1">
        <v>1</v>
      </c>
    </row>
    <row r="157" spans="1:5" ht="13.5" customHeight="1" x14ac:dyDescent="0.3"/>
    <row r="158" spans="1:5" ht="13.5" customHeight="1" x14ac:dyDescent="0.3"/>
    <row r="159" spans="1:5" ht="13.5" customHeight="1" x14ac:dyDescent="0.3"/>
    <row r="160" spans="1:5" ht="13.5" customHeight="1" x14ac:dyDescent="0.3"/>
    <row r="161" s="1" customFormat="1" ht="13.5" customHeight="1" x14ac:dyDescent="0.3"/>
    <row r="162" s="1" customFormat="1" ht="13.5" customHeight="1" x14ac:dyDescent="0.3"/>
    <row r="163" s="1" customFormat="1" ht="13.5" customHeight="1" x14ac:dyDescent="0.3"/>
    <row r="164" s="1" customFormat="1" ht="13.5" customHeight="1" x14ac:dyDescent="0.3"/>
    <row r="165" s="1" customFormat="1" ht="13.5" customHeight="1" x14ac:dyDescent="0.3"/>
    <row r="166" s="1" customFormat="1" ht="13.5" customHeight="1" x14ac:dyDescent="0.3"/>
    <row r="167" s="1" customFormat="1" ht="13.5" customHeight="1" x14ac:dyDescent="0.3"/>
    <row r="168" s="1" customFormat="1" ht="13.5" customHeight="1" x14ac:dyDescent="0.3"/>
    <row r="169" s="1" customFormat="1" ht="13.5" customHeight="1" x14ac:dyDescent="0.3"/>
    <row r="170" s="1" customFormat="1" ht="13.5" customHeight="1" x14ac:dyDescent="0.3"/>
    <row r="171" s="1" customFormat="1" ht="13.5" customHeight="1" x14ac:dyDescent="0.3"/>
    <row r="172" s="1" customFormat="1" ht="13.5" customHeight="1" x14ac:dyDescent="0.3"/>
    <row r="173" s="1" customFormat="1" ht="13.5" customHeight="1" x14ac:dyDescent="0.3"/>
    <row r="174" s="1" customFormat="1" ht="13.5" customHeight="1" x14ac:dyDescent="0.3"/>
    <row r="175" s="1" customFormat="1" ht="13.5" customHeight="1" x14ac:dyDescent="0.3"/>
    <row r="176" s="1" customFormat="1" ht="13.5" customHeight="1" x14ac:dyDescent="0.3"/>
    <row r="177" s="1" customFormat="1" ht="13.5" customHeight="1" x14ac:dyDescent="0.3"/>
    <row r="178" s="1" customFormat="1" ht="13.5" customHeight="1" x14ac:dyDescent="0.3"/>
    <row r="179" s="1" customFormat="1" ht="13.5" customHeight="1" x14ac:dyDescent="0.3"/>
    <row r="180" s="1" customFormat="1" ht="13.5" customHeight="1" x14ac:dyDescent="0.3"/>
    <row r="181" s="1" customFormat="1" ht="13.5" customHeight="1" x14ac:dyDescent="0.3"/>
    <row r="182" s="1" customFormat="1" ht="13.5" customHeight="1" x14ac:dyDescent="0.3"/>
    <row r="183" s="1" customFormat="1" ht="13.5" customHeight="1" x14ac:dyDescent="0.3"/>
    <row r="184" s="1" customFormat="1" ht="13.5" customHeight="1" x14ac:dyDescent="0.3"/>
    <row r="185" s="1" customFormat="1" ht="13.5" customHeight="1" x14ac:dyDescent="0.3"/>
    <row r="186" s="1" customFormat="1" ht="13.5" customHeight="1" x14ac:dyDescent="0.3"/>
    <row r="187" s="1" customFormat="1" ht="13.5" customHeight="1" x14ac:dyDescent="0.3"/>
    <row r="188" s="1" customFormat="1" ht="13.5" customHeight="1" x14ac:dyDescent="0.3"/>
    <row r="189" s="1" customFormat="1" ht="13.5" customHeight="1" x14ac:dyDescent="0.3"/>
    <row r="190" s="1" customFormat="1" ht="13.5" customHeight="1" x14ac:dyDescent="0.3"/>
    <row r="191" s="1" customFormat="1" ht="13.5" customHeight="1" x14ac:dyDescent="0.3"/>
    <row r="192" s="1" customFormat="1" ht="13.5" customHeight="1" x14ac:dyDescent="0.3"/>
    <row r="193" s="1" customFormat="1" ht="13.5" customHeight="1" x14ac:dyDescent="0.3"/>
    <row r="194" s="1" customFormat="1" ht="13.5" customHeight="1" x14ac:dyDescent="0.3"/>
    <row r="195" s="1" customFormat="1" ht="13.5" customHeight="1" x14ac:dyDescent="0.3"/>
    <row r="196" s="1" customFormat="1" ht="13.5" customHeight="1" x14ac:dyDescent="0.3"/>
    <row r="197" s="1" customFormat="1" ht="13.5" customHeight="1" x14ac:dyDescent="0.3"/>
    <row r="198" s="1" customFormat="1" ht="13.5" customHeight="1" x14ac:dyDescent="0.3"/>
    <row r="199" s="1" customFormat="1" ht="13.5" customHeight="1" x14ac:dyDescent="0.3"/>
    <row r="200" s="1" customFormat="1" ht="13.5" customHeight="1" x14ac:dyDescent="0.3"/>
    <row r="201" s="1" customFormat="1" ht="13.5" customHeight="1" x14ac:dyDescent="0.3"/>
    <row r="202" s="1" customFormat="1" ht="13.5" customHeight="1" x14ac:dyDescent="0.3"/>
    <row r="203" s="1" customFormat="1" ht="13.5" customHeight="1" x14ac:dyDescent="0.3"/>
    <row r="204" s="1" customFormat="1" ht="13.5" customHeight="1" x14ac:dyDescent="0.3"/>
    <row r="205" s="1" customFormat="1" ht="13.5" customHeight="1" x14ac:dyDescent="0.3"/>
    <row r="206" s="1" customFormat="1" ht="13.5" customHeight="1" x14ac:dyDescent="0.3"/>
    <row r="207" s="1" customFormat="1" ht="13.5" customHeight="1" x14ac:dyDescent="0.3"/>
    <row r="208" s="1" customFormat="1" ht="13.5" customHeight="1" x14ac:dyDescent="0.3"/>
    <row r="209" s="1" customFormat="1" ht="13.5" customHeight="1" x14ac:dyDescent="0.3"/>
    <row r="210" s="1" customFormat="1" ht="13.5" customHeight="1" x14ac:dyDescent="0.3"/>
    <row r="211" s="1" customFormat="1" ht="13.5" customHeight="1" x14ac:dyDescent="0.3"/>
    <row r="212" s="1" customFormat="1" ht="13.5" customHeight="1" x14ac:dyDescent="0.3"/>
    <row r="213" s="1" customFormat="1" ht="13.5" customHeight="1" x14ac:dyDescent="0.3"/>
    <row r="214" s="1" customFormat="1" ht="13.5" customHeight="1" x14ac:dyDescent="0.3"/>
    <row r="215" s="1" customFormat="1" ht="13.5" customHeight="1" x14ac:dyDescent="0.3"/>
    <row r="216" s="1" customFormat="1" ht="13.5" customHeight="1" x14ac:dyDescent="0.3"/>
    <row r="217" s="1" customFormat="1" ht="13.5" customHeight="1" x14ac:dyDescent="0.3"/>
    <row r="218" s="1" customFormat="1" ht="13.5" customHeight="1" x14ac:dyDescent="0.3"/>
    <row r="219" s="1" customFormat="1" ht="13.5" customHeight="1" x14ac:dyDescent="0.3"/>
    <row r="220" s="1" customFormat="1" ht="13.5" customHeight="1" x14ac:dyDescent="0.3"/>
    <row r="221" s="1" customFormat="1" ht="13.5" customHeight="1" x14ac:dyDescent="0.3"/>
    <row r="222" s="1" customFormat="1" ht="13.5" customHeight="1" x14ac:dyDescent="0.3"/>
    <row r="223" s="1" customFormat="1" ht="13.5" customHeight="1" x14ac:dyDescent="0.3"/>
    <row r="224" s="1" customFormat="1" ht="13.5" customHeight="1" x14ac:dyDescent="0.3"/>
    <row r="225" s="1" customFormat="1" ht="13.5" customHeight="1" x14ac:dyDescent="0.3"/>
    <row r="226" s="1" customFormat="1" ht="13.5" customHeight="1" x14ac:dyDescent="0.3"/>
    <row r="227" s="1" customFormat="1" ht="13.5" customHeight="1" x14ac:dyDescent="0.3"/>
    <row r="228" s="1" customFormat="1" ht="13.5" customHeight="1" x14ac:dyDescent="0.3"/>
    <row r="229" s="1" customFormat="1" ht="13.5" customHeight="1" x14ac:dyDescent="0.3"/>
    <row r="230" s="1" customFormat="1" ht="13.5" customHeight="1" x14ac:dyDescent="0.3"/>
    <row r="231" s="1" customFormat="1" ht="13.5" customHeight="1" x14ac:dyDescent="0.3"/>
    <row r="232" s="1" customFormat="1" ht="13.5" customHeight="1" x14ac:dyDescent="0.3"/>
    <row r="233" s="1" customFormat="1" ht="13.5" customHeight="1" x14ac:dyDescent="0.3"/>
    <row r="234" s="1" customFormat="1" ht="13.5" customHeight="1" x14ac:dyDescent="0.3"/>
    <row r="235" s="1" customFormat="1" ht="13.5" customHeight="1" x14ac:dyDescent="0.3"/>
    <row r="236" s="1" customFormat="1" ht="13.5" customHeight="1" x14ac:dyDescent="0.3"/>
    <row r="237" s="1" customFormat="1" ht="13.5" customHeight="1" x14ac:dyDescent="0.3"/>
    <row r="238" s="1" customFormat="1" ht="13.5" customHeight="1" x14ac:dyDescent="0.3"/>
    <row r="239" s="1" customFormat="1" ht="13.5" customHeight="1" x14ac:dyDescent="0.3"/>
    <row r="240" s="1" customFormat="1" ht="13.5" customHeight="1" x14ac:dyDescent="0.3"/>
    <row r="241" s="1" customFormat="1" ht="13.5" customHeight="1" x14ac:dyDescent="0.3"/>
    <row r="242" s="1" customFormat="1" ht="13.5" customHeight="1" x14ac:dyDescent="0.3"/>
    <row r="243" s="1" customFormat="1" ht="13.5" customHeight="1" x14ac:dyDescent="0.3"/>
    <row r="244" s="1" customFormat="1" ht="13.5" customHeight="1" x14ac:dyDescent="0.3"/>
    <row r="245" s="1" customFormat="1" ht="13.5" customHeight="1" x14ac:dyDescent="0.3"/>
    <row r="246" s="1" customFormat="1" ht="13.5" customHeight="1" x14ac:dyDescent="0.3"/>
    <row r="247" s="1" customFormat="1" ht="13.5" customHeight="1" x14ac:dyDescent="0.3"/>
    <row r="248" s="1" customFormat="1" ht="13.5" customHeight="1" x14ac:dyDescent="0.3"/>
    <row r="249" s="1" customFormat="1" ht="13.5" customHeight="1" x14ac:dyDescent="0.3"/>
    <row r="250" s="1" customFormat="1" ht="13.5" customHeight="1" x14ac:dyDescent="0.3"/>
    <row r="251" s="1" customFormat="1" ht="13.5" customHeight="1" x14ac:dyDescent="0.3"/>
    <row r="252" s="1" customFormat="1" ht="13.5" customHeight="1" x14ac:dyDescent="0.3"/>
    <row r="253" s="1" customFormat="1" ht="13.5" customHeight="1" x14ac:dyDescent="0.3"/>
    <row r="254" s="1" customFormat="1" ht="13.5" customHeight="1" x14ac:dyDescent="0.3"/>
    <row r="255" s="1" customFormat="1" ht="13.5" customHeight="1" x14ac:dyDescent="0.3"/>
    <row r="256" s="1" customFormat="1" ht="13.5" customHeight="1" x14ac:dyDescent="0.3"/>
    <row r="257" s="1" customFormat="1" ht="13.5" customHeight="1" x14ac:dyDescent="0.3"/>
    <row r="258" s="1" customFormat="1" ht="13.5" customHeight="1" x14ac:dyDescent="0.3"/>
    <row r="259" s="1" customFormat="1" ht="13.5" customHeight="1" x14ac:dyDescent="0.3"/>
    <row r="260" s="1" customFormat="1" ht="13.5" customHeight="1" x14ac:dyDescent="0.3"/>
    <row r="261" s="1" customFormat="1" ht="13.5" customHeight="1" x14ac:dyDescent="0.3"/>
    <row r="262" s="1" customFormat="1" ht="13.5" customHeight="1" x14ac:dyDescent="0.3"/>
    <row r="263" s="1" customFormat="1" ht="13.5" customHeight="1" x14ac:dyDescent="0.3"/>
    <row r="264" s="1" customFormat="1" ht="13.5" customHeight="1" x14ac:dyDescent="0.3"/>
    <row r="265" s="1" customFormat="1" ht="13.5" customHeight="1" x14ac:dyDescent="0.3"/>
    <row r="266" s="1" customFormat="1" ht="13.5" customHeight="1" x14ac:dyDescent="0.3"/>
    <row r="267" s="1" customFormat="1" ht="13.5" customHeight="1" x14ac:dyDescent="0.3"/>
    <row r="268" s="1" customFormat="1" ht="13.5" customHeight="1" x14ac:dyDescent="0.3"/>
    <row r="269" s="1" customFormat="1" ht="13.5" customHeight="1" x14ac:dyDescent="0.3"/>
    <row r="270" s="1" customFormat="1" ht="13.5" customHeight="1" x14ac:dyDescent="0.3"/>
    <row r="271" s="1" customFormat="1" ht="13.5" customHeight="1" x14ac:dyDescent="0.3"/>
    <row r="272" s="1" customFormat="1" ht="13.5" customHeight="1" x14ac:dyDescent="0.3"/>
    <row r="273" s="1" customFormat="1" ht="13.5" customHeight="1" x14ac:dyDescent="0.3"/>
    <row r="274" s="1" customFormat="1" ht="13.5" customHeight="1" x14ac:dyDescent="0.3"/>
    <row r="275" s="1" customFormat="1" ht="13.5" customHeight="1" x14ac:dyDescent="0.3"/>
    <row r="276" s="1" customFormat="1" ht="13.5" customHeight="1" x14ac:dyDescent="0.3"/>
    <row r="277" s="1" customFormat="1" ht="13.5" customHeight="1" x14ac:dyDescent="0.3"/>
    <row r="278" s="1" customFormat="1" ht="13.5" customHeight="1" x14ac:dyDescent="0.3"/>
    <row r="279" s="1" customFormat="1" ht="13.5" customHeight="1" x14ac:dyDescent="0.3"/>
    <row r="280" s="1" customFormat="1" ht="13.5" customHeight="1" x14ac:dyDescent="0.3"/>
    <row r="281" s="1" customFormat="1" ht="13.5" customHeight="1" x14ac:dyDescent="0.3"/>
    <row r="282" s="1" customFormat="1" ht="13.5" customHeight="1" x14ac:dyDescent="0.3"/>
    <row r="283" s="1" customFormat="1" ht="13.5" customHeight="1" x14ac:dyDescent="0.3"/>
    <row r="284" s="1" customFormat="1" ht="13.5" customHeight="1" x14ac:dyDescent="0.3"/>
    <row r="285" s="1" customFormat="1" ht="13.5" customHeight="1" x14ac:dyDescent="0.3"/>
    <row r="286" s="1" customFormat="1" ht="13.5" customHeight="1" x14ac:dyDescent="0.3"/>
    <row r="287" s="1" customFormat="1" ht="13.5" customHeight="1" x14ac:dyDescent="0.3"/>
    <row r="288" s="1" customFormat="1" ht="13.5" customHeight="1" x14ac:dyDescent="0.3"/>
    <row r="289" s="1" customFormat="1" ht="13.5" customHeight="1" x14ac:dyDescent="0.3"/>
    <row r="290" s="1" customFormat="1" ht="13.5" customHeight="1" x14ac:dyDescent="0.3"/>
    <row r="291" s="1" customFormat="1" ht="13.5" customHeight="1" x14ac:dyDescent="0.3"/>
    <row r="292" s="1" customFormat="1" ht="13.5" customHeight="1" x14ac:dyDescent="0.3"/>
    <row r="293" s="1" customFormat="1" ht="13.5" customHeight="1" x14ac:dyDescent="0.3"/>
    <row r="294" s="1" customFormat="1" ht="13.5" customHeight="1" x14ac:dyDescent="0.3"/>
    <row r="295" s="1" customFormat="1" ht="13.5" customHeight="1" x14ac:dyDescent="0.3"/>
    <row r="296" s="1" customFormat="1" ht="13.5" customHeight="1" x14ac:dyDescent="0.3"/>
    <row r="297" s="1" customFormat="1" ht="13.5" customHeight="1" x14ac:dyDescent="0.3"/>
    <row r="298" s="1" customFormat="1" ht="13.5" customHeight="1" x14ac:dyDescent="0.3"/>
    <row r="299" s="1" customFormat="1" ht="13.5" customHeight="1" x14ac:dyDescent="0.3"/>
    <row r="300" s="1" customFormat="1" ht="13.5" customHeight="1" x14ac:dyDescent="0.3"/>
    <row r="301" s="1" customFormat="1" ht="13.5" customHeight="1" x14ac:dyDescent="0.3"/>
    <row r="302" s="1" customFormat="1" ht="13.5" customHeight="1" x14ac:dyDescent="0.3"/>
    <row r="303" s="1" customFormat="1" ht="13.5" customHeight="1" x14ac:dyDescent="0.3"/>
    <row r="304" s="1" customFormat="1" ht="13.5" customHeight="1" x14ac:dyDescent="0.3"/>
    <row r="305" s="1" customFormat="1" ht="13.5" customHeight="1" x14ac:dyDescent="0.3"/>
    <row r="306" s="1" customFormat="1" ht="13.5" customHeight="1" x14ac:dyDescent="0.3"/>
    <row r="307" s="1" customFormat="1" ht="13.5" customHeight="1" x14ac:dyDescent="0.3"/>
    <row r="308" s="1" customFormat="1" ht="13.5" customHeight="1" x14ac:dyDescent="0.3"/>
    <row r="309" s="1" customFormat="1" ht="13.5" customHeight="1" x14ac:dyDescent="0.3"/>
    <row r="310" s="1" customFormat="1" ht="13.5" customHeight="1" x14ac:dyDescent="0.3"/>
    <row r="311" s="1" customFormat="1" ht="13.5" customHeight="1" x14ac:dyDescent="0.3"/>
    <row r="312" s="1" customFormat="1" ht="13.5" customHeight="1" x14ac:dyDescent="0.3"/>
    <row r="313" s="1" customFormat="1" ht="13.5" customHeight="1" x14ac:dyDescent="0.3"/>
    <row r="314" s="1" customFormat="1" ht="13.5" customHeight="1" x14ac:dyDescent="0.3"/>
    <row r="315" s="1" customFormat="1" ht="13.5" customHeight="1" x14ac:dyDescent="0.3"/>
    <row r="316" s="1" customFormat="1" ht="13.5" customHeight="1" x14ac:dyDescent="0.3"/>
    <row r="317" s="1" customFormat="1" ht="13.5" customHeight="1" x14ac:dyDescent="0.3"/>
    <row r="318" s="1" customFormat="1" ht="13.5" customHeight="1" x14ac:dyDescent="0.3"/>
    <row r="319" s="1" customFormat="1" ht="13.5" customHeight="1" x14ac:dyDescent="0.3"/>
    <row r="320" s="1" customFormat="1" ht="13.5" customHeight="1" x14ac:dyDescent="0.3"/>
    <row r="321" s="1" customFormat="1" ht="13.5" customHeight="1" x14ac:dyDescent="0.3"/>
    <row r="322" s="1" customFormat="1" ht="13.5" customHeight="1" x14ac:dyDescent="0.3"/>
    <row r="323" s="1" customFormat="1" ht="13.5" customHeight="1" x14ac:dyDescent="0.3"/>
    <row r="324" s="1" customFormat="1" ht="13.5" customHeight="1" x14ac:dyDescent="0.3"/>
    <row r="325" s="1" customFormat="1" ht="13.5" customHeight="1" x14ac:dyDescent="0.3"/>
    <row r="326" s="1" customFormat="1" ht="13.5" customHeight="1" x14ac:dyDescent="0.3"/>
    <row r="327" s="1" customFormat="1" ht="13.5" customHeight="1" x14ac:dyDescent="0.3"/>
    <row r="328" s="1" customFormat="1" ht="13.5" customHeight="1" x14ac:dyDescent="0.3"/>
    <row r="329" s="1" customFormat="1" ht="13.5" customHeight="1" x14ac:dyDescent="0.3"/>
    <row r="330" s="1" customFormat="1" ht="13.5" customHeight="1" x14ac:dyDescent="0.3"/>
    <row r="331" s="1" customFormat="1" ht="13.5" customHeight="1" x14ac:dyDescent="0.3"/>
    <row r="332" s="1" customFormat="1" ht="13.5" customHeight="1" x14ac:dyDescent="0.3"/>
    <row r="333" s="1" customFormat="1" ht="13.5" customHeight="1" x14ac:dyDescent="0.3"/>
    <row r="334" s="1" customFormat="1" ht="13.5" customHeight="1" x14ac:dyDescent="0.3"/>
    <row r="335" s="1" customFormat="1" ht="13.5" customHeight="1" x14ac:dyDescent="0.3"/>
    <row r="336" s="1" customFormat="1" ht="13.5" customHeight="1" x14ac:dyDescent="0.3"/>
    <row r="337" s="1" customFormat="1" ht="13.5" customHeight="1" x14ac:dyDescent="0.3"/>
    <row r="338" s="1" customFormat="1" ht="13.5" customHeight="1" x14ac:dyDescent="0.3"/>
    <row r="339" s="1" customFormat="1" ht="13.5" customHeight="1" x14ac:dyDescent="0.3"/>
    <row r="340" s="1" customFormat="1" ht="13.5" customHeight="1" x14ac:dyDescent="0.3"/>
    <row r="341" s="1" customFormat="1" ht="13.5" customHeight="1" x14ac:dyDescent="0.3"/>
    <row r="342" s="1" customFormat="1" ht="13.5" customHeight="1" x14ac:dyDescent="0.3"/>
    <row r="343" s="1" customFormat="1" ht="13.5" customHeight="1" x14ac:dyDescent="0.3"/>
    <row r="344" s="1" customFormat="1" ht="13.5" customHeight="1" x14ac:dyDescent="0.3"/>
    <row r="345" s="1" customFormat="1" ht="13.5" customHeight="1" x14ac:dyDescent="0.3"/>
    <row r="346" s="1" customFormat="1" ht="13.5" customHeight="1" x14ac:dyDescent="0.3"/>
    <row r="347" s="1" customFormat="1" ht="13.5" customHeight="1" x14ac:dyDescent="0.3"/>
    <row r="348" s="1" customFormat="1" ht="13.5" customHeight="1" x14ac:dyDescent="0.3"/>
    <row r="349" s="1" customFormat="1" ht="13.5" customHeight="1" x14ac:dyDescent="0.3"/>
    <row r="350" s="1" customFormat="1" ht="13.5" customHeight="1" x14ac:dyDescent="0.3"/>
    <row r="351" s="1" customFormat="1" ht="13.5" customHeight="1" x14ac:dyDescent="0.3"/>
    <row r="352" s="1" customFormat="1" ht="13.5" customHeight="1" x14ac:dyDescent="0.3"/>
    <row r="353" s="1" customFormat="1" ht="13.5" customHeight="1" x14ac:dyDescent="0.3"/>
    <row r="354" s="1" customFormat="1" ht="13.5" customHeight="1" x14ac:dyDescent="0.3"/>
    <row r="355" s="1" customFormat="1" ht="13.5" customHeight="1" x14ac:dyDescent="0.3"/>
    <row r="356" s="1" customFormat="1" ht="13.5" customHeight="1" x14ac:dyDescent="0.3"/>
    <row r="357" s="1" customFormat="1" ht="13.5" customHeight="1" x14ac:dyDescent="0.3"/>
    <row r="358" s="1" customFormat="1" ht="13.5" customHeight="1" x14ac:dyDescent="0.3"/>
    <row r="359" s="1" customFormat="1" ht="13.5" customHeight="1" x14ac:dyDescent="0.3"/>
    <row r="360" s="1" customFormat="1" ht="13.5" customHeight="1" x14ac:dyDescent="0.3"/>
    <row r="361" s="1" customFormat="1" ht="13.5" customHeight="1" x14ac:dyDescent="0.3"/>
    <row r="362" s="1" customFormat="1" ht="13.5" customHeight="1" x14ac:dyDescent="0.3"/>
    <row r="363" s="1" customFormat="1" ht="13.5" customHeight="1" x14ac:dyDescent="0.3"/>
    <row r="364" s="1" customFormat="1" ht="13.5" customHeight="1" x14ac:dyDescent="0.3"/>
    <row r="365" s="1" customFormat="1" ht="13.5" customHeight="1" x14ac:dyDescent="0.3"/>
    <row r="366" s="1" customFormat="1" ht="13.5" customHeight="1" x14ac:dyDescent="0.3"/>
    <row r="367" s="1" customFormat="1" ht="13.5" customHeight="1" x14ac:dyDescent="0.3"/>
    <row r="368" s="1" customFormat="1" ht="13.5" customHeight="1" x14ac:dyDescent="0.3"/>
    <row r="369" s="1" customFormat="1" ht="13.5" customHeight="1" x14ac:dyDescent="0.3"/>
    <row r="370" s="1" customFormat="1" ht="13.5" customHeight="1" x14ac:dyDescent="0.3"/>
    <row r="371" s="1" customFormat="1" ht="13.5" customHeight="1" x14ac:dyDescent="0.3"/>
    <row r="372" s="1" customFormat="1" ht="13.5" customHeight="1" x14ac:dyDescent="0.3"/>
    <row r="373" s="1" customFormat="1" ht="13.5" customHeight="1" x14ac:dyDescent="0.3"/>
    <row r="374" s="1" customFormat="1" ht="13.5" customHeight="1" x14ac:dyDescent="0.3"/>
    <row r="375" s="1" customFormat="1" ht="13.5" customHeight="1" x14ac:dyDescent="0.3"/>
    <row r="376" s="1" customFormat="1" ht="13.5" customHeight="1" x14ac:dyDescent="0.3"/>
    <row r="377" s="1" customFormat="1" ht="13.5" customHeight="1" x14ac:dyDescent="0.3"/>
    <row r="378" s="1" customFormat="1" ht="13.5" customHeight="1" x14ac:dyDescent="0.3"/>
    <row r="379" s="1" customFormat="1" ht="13.5" customHeight="1" x14ac:dyDescent="0.3"/>
    <row r="380" s="1" customFormat="1" ht="13.5" customHeight="1" x14ac:dyDescent="0.3"/>
    <row r="381" s="1" customFormat="1" ht="13.5" customHeight="1" x14ac:dyDescent="0.3"/>
    <row r="382" s="1" customFormat="1" ht="13.5" customHeight="1" x14ac:dyDescent="0.3"/>
    <row r="383" s="1" customFormat="1" ht="13.5" customHeight="1" x14ac:dyDescent="0.3"/>
    <row r="384" s="1" customFormat="1" ht="13.5" customHeight="1" x14ac:dyDescent="0.3"/>
    <row r="385" s="1" customFormat="1" ht="13.5" customHeight="1" x14ac:dyDescent="0.3"/>
    <row r="386" s="1" customFormat="1" ht="13.5" customHeight="1" x14ac:dyDescent="0.3"/>
    <row r="387" s="1" customFormat="1" ht="13.5" customHeight="1" x14ac:dyDescent="0.3"/>
    <row r="388" s="1" customFormat="1" ht="13.5" customHeight="1" x14ac:dyDescent="0.3"/>
    <row r="389" s="1" customFormat="1" ht="13.5" customHeight="1" x14ac:dyDescent="0.3"/>
    <row r="390" s="1" customFormat="1" ht="13.5" customHeight="1" x14ac:dyDescent="0.3"/>
    <row r="391" s="1" customFormat="1" ht="13.5" customHeight="1" x14ac:dyDescent="0.3"/>
    <row r="392" s="1" customFormat="1" ht="13.5" customHeight="1" x14ac:dyDescent="0.3"/>
    <row r="393" s="1" customFormat="1" ht="13.5" customHeight="1" x14ac:dyDescent="0.3"/>
    <row r="394" s="1" customFormat="1" ht="13.5" customHeight="1" x14ac:dyDescent="0.3"/>
    <row r="395" s="1" customFormat="1" ht="13.5" customHeight="1" x14ac:dyDescent="0.3"/>
    <row r="396" s="1" customFormat="1" ht="13.5" customHeight="1" x14ac:dyDescent="0.3"/>
    <row r="397" s="1" customFormat="1" ht="13.5" customHeight="1" x14ac:dyDescent="0.3"/>
    <row r="398" s="1" customFormat="1" ht="13.5" customHeight="1" x14ac:dyDescent="0.3"/>
    <row r="399" s="1" customFormat="1" ht="13.5" customHeight="1" x14ac:dyDescent="0.3"/>
    <row r="400" s="1" customFormat="1" ht="13.5" customHeight="1" x14ac:dyDescent="0.3"/>
    <row r="401" s="1" customFormat="1" ht="13.5" customHeight="1" x14ac:dyDescent="0.3"/>
    <row r="402" s="1" customFormat="1" ht="13.5" customHeight="1" x14ac:dyDescent="0.3"/>
    <row r="403" s="1" customFormat="1" ht="13.5" customHeight="1" x14ac:dyDescent="0.3"/>
    <row r="404" s="1" customFormat="1" ht="13.5" customHeight="1" x14ac:dyDescent="0.3"/>
    <row r="405" s="1" customFormat="1" ht="13.5" customHeight="1" x14ac:dyDescent="0.3"/>
    <row r="406" s="1" customFormat="1" ht="13.5" customHeight="1" x14ac:dyDescent="0.3"/>
    <row r="407" s="1" customFormat="1" ht="13.5" customHeight="1" x14ac:dyDescent="0.3"/>
    <row r="408" s="1" customFormat="1" ht="13.5" customHeight="1" x14ac:dyDescent="0.3"/>
    <row r="409" s="1" customFormat="1" ht="13.5" customHeight="1" x14ac:dyDescent="0.3"/>
    <row r="410" s="1" customFormat="1" ht="13.5" customHeight="1" x14ac:dyDescent="0.3"/>
    <row r="411" s="1" customFormat="1" ht="13.5" customHeight="1" x14ac:dyDescent="0.3"/>
    <row r="412" s="1" customFormat="1" ht="13.5" customHeight="1" x14ac:dyDescent="0.3"/>
    <row r="413" s="1" customFormat="1" ht="13.5" customHeight="1" x14ac:dyDescent="0.3"/>
    <row r="414" s="1" customFormat="1" ht="13.5" customHeight="1" x14ac:dyDescent="0.3"/>
    <row r="415" s="1" customFormat="1" ht="13.5" customHeight="1" x14ac:dyDescent="0.3"/>
    <row r="416" s="1" customFormat="1" ht="13.5" customHeight="1" x14ac:dyDescent="0.3"/>
    <row r="417" s="1" customFormat="1" ht="13.5" customHeight="1" x14ac:dyDescent="0.3"/>
    <row r="418" s="1" customFormat="1" ht="13.5" customHeight="1" x14ac:dyDescent="0.3"/>
    <row r="419" s="1" customFormat="1" ht="13.5" customHeight="1" x14ac:dyDescent="0.3"/>
    <row r="420" s="1" customFormat="1" ht="13.5" customHeight="1" x14ac:dyDescent="0.3"/>
    <row r="421" s="1" customFormat="1" ht="13.5" customHeight="1" x14ac:dyDescent="0.3"/>
    <row r="422" s="1" customFormat="1" ht="13.5" customHeight="1" x14ac:dyDescent="0.3"/>
    <row r="423" s="1" customFormat="1" ht="13.5" customHeight="1" x14ac:dyDescent="0.3"/>
    <row r="424" s="1" customFormat="1" ht="13.5" customHeight="1" x14ac:dyDescent="0.3"/>
    <row r="425" s="1" customFormat="1" ht="13.5" customHeight="1" x14ac:dyDescent="0.3"/>
    <row r="426" s="1" customFormat="1" ht="13.5" customHeight="1" x14ac:dyDescent="0.3"/>
    <row r="427" s="1" customFormat="1" ht="13.5" customHeight="1" x14ac:dyDescent="0.3"/>
    <row r="428" s="1" customFormat="1" ht="13.5" customHeight="1" x14ac:dyDescent="0.3"/>
    <row r="429" s="1" customFormat="1" ht="13.5" customHeight="1" x14ac:dyDescent="0.3"/>
    <row r="430" s="1" customFormat="1" ht="13.5" customHeight="1" x14ac:dyDescent="0.3"/>
    <row r="431" s="1" customFormat="1" ht="13.5" customHeight="1" x14ac:dyDescent="0.3"/>
    <row r="432" s="1" customFormat="1" ht="13.5" customHeight="1" x14ac:dyDescent="0.3"/>
    <row r="433" s="1" customFormat="1" ht="13.5" customHeight="1" x14ac:dyDescent="0.3"/>
    <row r="434" s="1" customFormat="1" ht="13.5" customHeight="1" x14ac:dyDescent="0.3"/>
    <row r="435" s="1" customFormat="1" ht="13.5" customHeight="1" x14ac:dyDescent="0.3"/>
    <row r="436" s="1" customFormat="1" ht="13.5" customHeight="1" x14ac:dyDescent="0.3"/>
    <row r="437" s="1" customFormat="1" ht="13.5" customHeight="1" x14ac:dyDescent="0.3"/>
    <row r="438" s="1" customFormat="1" ht="13.5" customHeight="1" x14ac:dyDescent="0.3"/>
    <row r="439" s="1" customFormat="1" ht="13.5" customHeight="1" x14ac:dyDescent="0.3"/>
    <row r="440" s="1" customFormat="1" ht="13.5" customHeight="1" x14ac:dyDescent="0.3"/>
    <row r="441" s="1" customFormat="1" ht="13.5" customHeight="1" x14ac:dyDescent="0.3"/>
    <row r="442" s="1" customFormat="1" ht="13.5" customHeight="1" x14ac:dyDescent="0.3"/>
    <row r="443" s="1" customFormat="1" ht="13.5" customHeight="1" x14ac:dyDescent="0.3"/>
    <row r="444" s="1" customFormat="1" ht="13.5" customHeight="1" x14ac:dyDescent="0.3"/>
    <row r="445" s="1" customFormat="1" ht="13.5" customHeight="1" x14ac:dyDescent="0.3"/>
    <row r="446" s="1" customFormat="1" ht="13.5" customHeight="1" x14ac:dyDescent="0.3"/>
    <row r="447" s="1" customFormat="1" ht="13.5" customHeight="1" x14ac:dyDescent="0.3"/>
    <row r="448" s="1" customFormat="1" ht="13.5" customHeight="1" x14ac:dyDescent="0.3"/>
    <row r="449" s="1" customFormat="1" ht="13.5" customHeight="1" x14ac:dyDescent="0.3"/>
    <row r="450" s="1" customFormat="1" ht="13.5" customHeight="1" x14ac:dyDescent="0.3"/>
    <row r="451" s="1" customFormat="1" ht="13.5" customHeight="1" x14ac:dyDescent="0.3"/>
    <row r="452" s="1" customFormat="1" ht="13.5" customHeight="1" x14ac:dyDescent="0.3"/>
    <row r="453" s="1" customFormat="1" ht="13.5" customHeight="1" x14ac:dyDescent="0.3"/>
    <row r="454" s="1" customFormat="1" ht="13.5" customHeight="1" x14ac:dyDescent="0.3"/>
    <row r="455" s="1" customFormat="1" ht="13.5" customHeight="1" x14ac:dyDescent="0.3"/>
    <row r="456" s="1" customFormat="1" ht="13.5" customHeight="1" x14ac:dyDescent="0.3"/>
    <row r="457" s="1" customFormat="1" ht="13.5" customHeight="1" x14ac:dyDescent="0.3"/>
    <row r="458" s="1" customFormat="1" ht="13.5" customHeight="1" x14ac:dyDescent="0.3"/>
    <row r="459" s="1" customFormat="1" ht="13.5" customHeight="1" x14ac:dyDescent="0.3"/>
    <row r="460" s="1" customFormat="1" ht="13.5" customHeight="1" x14ac:dyDescent="0.3"/>
    <row r="461" s="1" customFormat="1" ht="13.5" customHeight="1" x14ac:dyDescent="0.3"/>
    <row r="462" s="1" customFormat="1" ht="13.5" customHeight="1" x14ac:dyDescent="0.3"/>
    <row r="463" s="1" customFormat="1" ht="13.5" customHeight="1" x14ac:dyDescent="0.3"/>
    <row r="464" s="1" customFormat="1" ht="13.5" customHeight="1" x14ac:dyDescent="0.3"/>
    <row r="465" s="1" customFormat="1" ht="13.5" customHeight="1" x14ac:dyDescent="0.3"/>
    <row r="466" s="1" customFormat="1" ht="13.5" customHeight="1" x14ac:dyDescent="0.3"/>
    <row r="467" s="1" customFormat="1" ht="13.5" customHeight="1" x14ac:dyDescent="0.3"/>
    <row r="468" s="1" customFormat="1" ht="13.5" customHeight="1" x14ac:dyDescent="0.3"/>
    <row r="469" s="1" customFormat="1" ht="13.5" customHeight="1" x14ac:dyDescent="0.3"/>
    <row r="470" s="1" customFormat="1" ht="13.5" customHeight="1" x14ac:dyDescent="0.3"/>
    <row r="471" s="1" customFormat="1" ht="13.5" customHeight="1" x14ac:dyDescent="0.3"/>
    <row r="472" s="1" customFormat="1" ht="13.5" customHeight="1" x14ac:dyDescent="0.3"/>
    <row r="473" s="1" customFormat="1" ht="13.5" customHeight="1" x14ac:dyDescent="0.3"/>
    <row r="474" s="1" customFormat="1" ht="13.5" customHeight="1" x14ac:dyDescent="0.3"/>
    <row r="475" s="1" customFormat="1" ht="13.5" customHeight="1" x14ac:dyDescent="0.3"/>
    <row r="476" s="1" customFormat="1" ht="13.5" customHeight="1" x14ac:dyDescent="0.3"/>
    <row r="477" s="1" customFormat="1" ht="13.5" customHeight="1" x14ac:dyDescent="0.3"/>
    <row r="478" s="1" customFormat="1" ht="13.5" customHeight="1" x14ac:dyDescent="0.3"/>
    <row r="479" s="1" customFormat="1" ht="13.5" customHeight="1" x14ac:dyDescent="0.3"/>
    <row r="480" s="1" customFormat="1" ht="13.5" customHeight="1" x14ac:dyDescent="0.3"/>
    <row r="481" s="1" customFormat="1" ht="13.5" customHeight="1" x14ac:dyDescent="0.3"/>
    <row r="482" s="1" customFormat="1" ht="13.5" customHeight="1" x14ac:dyDescent="0.3"/>
    <row r="483" s="1" customFormat="1" ht="13.5" customHeight="1" x14ac:dyDescent="0.3"/>
    <row r="484" s="1" customFormat="1" ht="13.5" customHeight="1" x14ac:dyDescent="0.3"/>
    <row r="485" s="1" customFormat="1" ht="13.5" customHeight="1" x14ac:dyDescent="0.3"/>
    <row r="486" s="1" customFormat="1" ht="13.5" customHeight="1" x14ac:dyDescent="0.3"/>
    <row r="487" s="1" customFormat="1" ht="13.5" customHeight="1" x14ac:dyDescent="0.3"/>
    <row r="488" s="1" customFormat="1" ht="13.5" customHeight="1" x14ac:dyDescent="0.3"/>
    <row r="489" s="1" customFormat="1" ht="13.5" customHeight="1" x14ac:dyDescent="0.3"/>
    <row r="490" s="1" customFormat="1" ht="13.5" customHeight="1" x14ac:dyDescent="0.3"/>
    <row r="491" s="1" customFormat="1" ht="13.5" customHeight="1" x14ac:dyDescent="0.3"/>
    <row r="492" s="1" customFormat="1" ht="13.5" customHeight="1" x14ac:dyDescent="0.3"/>
    <row r="493" s="1" customFormat="1" ht="13.5" customHeight="1" x14ac:dyDescent="0.3"/>
    <row r="494" s="1" customFormat="1" ht="13.5" customHeight="1" x14ac:dyDescent="0.3"/>
    <row r="495" s="1" customFormat="1" ht="13.5" customHeight="1" x14ac:dyDescent="0.3"/>
    <row r="496" s="1" customFormat="1" ht="13.5" customHeight="1" x14ac:dyDescent="0.3"/>
    <row r="497" s="1" customFormat="1" ht="13.5" customHeight="1" x14ac:dyDescent="0.3"/>
    <row r="498" s="1" customFormat="1" ht="13.5" customHeight="1" x14ac:dyDescent="0.3"/>
    <row r="499" s="1" customFormat="1" ht="13.5" customHeight="1" x14ac:dyDescent="0.3"/>
    <row r="500" s="1" customFormat="1" ht="13.5" customHeight="1" x14ac:dyDescent="0.3"/>
    <row r="501" s="1" customFormat="1" ht="13.5" customHeight="1" x14ac:dyDescent="0.3"/>
    <row r="502" s="1" customFormat="1" ht="13.5" customHeight="1" x14ac:dyDescent="0.3"/>
    <row r="503" s="1" customFormat="1" ht="13.5" customHeight="1" x14ac:dyDescent="0.3"/>
    <row r="504" s="1" customFormat="1" ht="13.5" customHeight="1" x14ac:dyDescent="0.3"/>
    <row r="505" s="1" customFormat="1" ht="13.5" customHeight="1" x14ac:dyDescent="0.3"/>
    <row r="506" s="1" customFormat="1" ht="13.5" customHeight="1" x14ac:dyDescent="0.3"/>
    <row r="507" s="1" customFormat="1" ht="13.5" customHeight="1" x14ac:dyDescent="0.3"/>
    <row r="508" s="1" customFormat="1" ht="13.5" customHeight="1" x14ac:dyDescent="0.3"/>
    <row r="509" s="1" customFormat="1" ht="13.5" customHeight="1" x14ac:dyDescent="0.3"/>
    <row r="510" s="1" customFormat="1" ht="13.5" customHeight="1" x14ac:dyDescent="0.3"/>
    <row r="511" s="1" customFormat="1" ht="13.5" customHeight="1" x14ac:dyDescent="0.3"/>
    <row r="512" s="1" customFormat="1" ht="13.5" customHeight="1" x14ac:dyDescent="0.3"/>
    <row r="513" s="1" customFormat="1" ht="13.5" customHeight="1" x14ac:dyDescent="0.3"/>
    <row r="514" s="1" customFormat="1" ht="13.5" customHeight="1" x14ac:dyDescent="0.3"/>
    <row r="515" s="1" customFormat="1" ht="13.5" customHeight="1" x14ac:dyDescent="0.3"/>
    <row r="516" s="1" customFormat="1" ht="13.5" customHeight="1" x14ac:dyDescent="0.3"/>
    <row r="517" s="1" customFormat="1" ht="13.5" customHeight="1" x14ac:dyDescent="0.3"/>
    <row r="518" s="1" customFormat="1" ht="13.5" customHeight="1" x14ac:dyDescent="0.3"/>
    <row r="519" s="1" customFormat="1" ht="13.5" customHeight="1" x14ac:dyDescent="0.3"/>
    <row r="520" s="1" customFormat="1" ht="13.5" customHeight="1" x14ac:dyDescent="0.3"/>
    <row r="521" s="1" customFormat="1" ht="13.5" customHeight="1" x14ac:dyDescent="0.3"/>
    <row r="522" s="1" customFormat="1" ht="13.5" customHeight="1" x14ac:dyDescent="0.3"/>
    <row r="523" s="1" customFormat="1" ht="13.5" customHeight="1" x14ac:dyDescent="0.3"/>
    <row r="524" s="1" customFormat="1" ht="13.5" customHeight="1" x14ac:dyDescent="0.3"/>
    <row r="525" s="1" customFormat="1" ht="13.5" customHeight="1" x14ac:dyDescent="0.3"/>
    <row r="526" s="1" customFormat="1" ht="13.5" customHeight="1" x14ac:dyDescent="0.3"/>
    <row r="527" s="1" customFormat="1" ht="13.5" customHeight="1" x14ac:dyDescent="0.3"/>
    <row r="528" s="1" customFormat="1" ht="13.5" customHeight="1" x14ac:dyDescent="0.3"/>
    <row r="529" s="1" customFormat="1" ht="13.5" customHeight="1" x14ac:dyDescent="0.3"/>
    <row r="530" s="1" customFormat="1" ht="13.5" customHeight="1" x14ac:dyDescent="0.3"/>
    <row r="531" s="1" customFormat="1" ht="13.5" customHeight="1" x14ac:dyDescent="0.3"/>
    <row r="532" s="1" customFormat="1" ht="13.5" customHeight="1" x14ac:dyDescent="0.3"/>
    <row r="533" s="1" customFormat="1" ht="13.5" customHeight="1" x14ac:dyDescent="0.3"/>
    <row r="534" s="1" customFormat="1" ht="13.5" customHeight="1" x14ac:dyDescent="0.3"/>
    <row r="535" s="1" customFormat="1" ht="13.5" customHeight="1" x14ac:dyDescent="0.3"/>
    <row r="536" s="1" customFormat="1" ht="13.5" customHeight="1" x14ac:dyDescent="0.3"/>
    <row r="537" s="1" customFormat="1" ht="13.5" customHeight="1" x14ac:dyDescent="0.3"/>
    <row r="538" s="1" customFormat="1" ht="13.5" customHeight="1" x14ac:dyDescent="0.3"/>
    <row r="539" s="1" customFormat="1" ht="13.5" customHeight="1" x14ac:dyDescent="0.3"/>
    <row r="540" s="1" customFormat="1" ht="13.5" customHeight="1" x14ac:dyDescent="0.3"/>
    <row r="541" s="1" customFormat="1" ht="13.5" customHeight="1" x14ac:dyDescent="0.3"/>
    <row r="542" s="1" customFormat="1" ht="13.5" customHeight="1" x14ac:dyDescent="0.3"/>
    <row r="543" s="1" customFormat="1" ht="13.5" customHeight="1" x14ac:dyDescent="0.3"/>
    <row r="544" s="1" customFormat="1" ht="13.5" customHeight="1" x14ac:dyDescent="0.3"/>
    <row r="545" s="1" customFormat="1" ht="13.5" customHeight="1" x14ac:dyDescent="0.3"/>
    <row r="546" s="1" customFormat="1" ht="13.5" customHeight="1" x14ac:dyDescent="0.3"/>
    <row r="547" s="1" customFormat="1" ht="13.5" customHeight="1" x14ac:dyDescent="0.3"/>
    <row r="548" s="1" customFormat="1" ht="13.5" customHeight="1" x14ac:dyDescent="0.3"/>
    <row r="549" s="1" customFormat="1" ht="13.5" customHeight="1" x14ac:dyDescent="0.3"/>
    <row r="550" s="1" customFormat="1" ht="13.5" customHeight="1" x14ac:dyDescent="0.3"/>
    <row r="551" s="1" customFormat="1" ht="13.5" customHeight="1" x14ac:dyDescent="0.3"/>
    <row r="552" s="1" customFormat="1" ht="13.5" customHeight="1" x14ac:dyDescent="0.3"/>
    <row r="553" s="1" customFormat="1" ht="13.5" customHeight="1" x14ac:dyDescent="0.3"/>
    <row r="554" s="1" customFormat="1" ht="13.5" customHeight="1" x14ac:dyDescent="0.3"/>
    <row r="555" s="1" customFormat="1" ht="13.5" customHeight="1" x14ac:dyDescent="0.3"/>
    <row r="556" s="1" customFormat="1" ht="13.5" customHeight="1" x14ac:dyDescent="0.3"/>
    <row r="557" s="1" customFormat="1" ht="13.5" customHeight="1" x14ac:dyDescent="0.3"/>
    <row r="558" s="1" customFormat="1" ht="13.5" customHeight="1" x14ac:dyDescent="0.3"/>
    <row r="559" s="1" customFormat="1" ht="13.5" customHeight="1" x14ac:dyDescent="0.3"/>
    <row r="560" s="1" customFormat="1" ht="13.5" customHeight="1" x14ac:dyDescent="0.3"/>
    <row r="561" s="1" customFormat="1" ht="13.5" customHeight="1" x14ac:dyDescent="0.3"/>
    <row r="562" s="1" customFormat="1" ht="13.5" customHeight="1" x14ac:dyDescent="0.3"/>
    <row r="563" s="1" customFormat="1" ht="13.5" customHeight="1" x14ac:dyDescent="0.3"/>
    <row r="564" s="1" customFormat="1" ht="13.5" customHeight="1" x14ac:dyDescent="0.3"/>
    <row r="565" s="1" customFormat="1" ht="13.5" customHeight="1" x14ac:dyDescent="0.3"/>
    <row r="566" s="1" customFormat="1" ht="13.5" customHeight="1" x14ac:dyDescent="0.3"/>
    <row r="567" s="1" customFormat="1" ht="13.5" customHeight="1" x14ac:dyDescent="0.3"/>
    <row r="568" s="1" customFormat="1" ht="13.5" customHeight="1" x14ac:dyDescent="0.3"/>
    <row r="569" s="1" customFormat="1" ht="13.5" customHeight="1" x14ac:dyDescent="0.3"/>
    <row r="570" s="1" customFormat="1" ht="13.5" customHeight="1" x14ac:dyDescent="0.3"/>
    <row r="571" s="1" customFormat="1" ht="13.5" customHeight="1" x14ac:dyDescent="0.3"/>
    <row r="572" s="1" customFormat="1" ht="13.5" customHeight="1" x14ac:dyDescent="0.3"/>
    <row r="573" s="1" customFormat="1" ht="13.5" customHeight="1" x14ac:dyDescent="0.3"/>
    <row r="574" s="1" customFormat="1" ht="13.5" customHeight="1" x14ac:dyDescent="0.3"/>
    <row r="575" s="1" customFormat="1" ht="13.5" customHeight="1" x14ac:dyDescent="0.3"/>
    <row r="576" s="1" customFormat="1" ht="13.5" customHeight="1" x14ac:dyDescent="0.3"/>
    <row r="577" s="1" customFormat="1" ht="13.5" customHeight="1" x14ac:dyDescent="0.3"/>
    <row r="578" s="1" customFormat="1" ht="13.5" customHeight="1" x14ac:dyDescent="0.3"/>
    <row r="579" s="1" customFormat="1" ht="13.5" customHeight="1" x14ac:dyDescent="0.3"/>
    <row r="580" s="1" customFormat="1" ht="13.5" customHeight="1" x14ac:dyDescent="0.3"/>
    <row r="581" s="1" customFormat="1" ht="13.5" customHeight="1" x14ac:dyDescent="0.3"/>
    <row r="582" s="1" customFormat="1" ht="13.5" customHeight="1" x14ac:dyDescent="0.3"/>
    <row r="583" s="1" customFormat="1" ht="13.5" customHeight="1" x14ac:dyDescent="0.3"/>
    <row r="584" s="1" customFormat="1" ht="13.5" customHeight="1" x14ac:dyDescent="0.3"/>
    <row r="585" s="1" customFormat="1" ht="13.5" customHeight="1" x14ac:dyDescent="0.3"/>
    <row r="586" s="1" customFormat="1" ht="13.5" customHeight="1" x14ac:dyDescent="0.3"/>
    <row r="587" s="1" customFormat="1" ht="13.5" customHeight="1" x14ac:dyDescent="0.3"/>
    <row r="588" s="1" customFormat="1" ht="13.5" customHeight="1" x14ac:dyDescent="0.3"/>
    <row r="589" s="1" customFormat="1" ht="13.5" customHeight="1" x14ac:dyDescent="0.3"/>
    <row r="590" s="1" customFormat="1" ht="13.5" customHeight="1" x14ac:dyDescent="0.3"/>
    <row r="591" s="1" customFormat="1" ht="13.5" customHeight="1" x14ac:dyDescent="0.3"/>
    <row r="592" s="1" customFormat="1" ht="13.5" customHeight="1" x14ac:dyDescent="0.3"/>
    <row r="593" s="1" customFormat="1" ht="13.5" customHeight="1" x14ac:dyDescent="0.3"/>
    <row r="594" s="1" customFormat="1" ht="13.5" customHeight="1" x14ac:dyDescent="0.3"/>
    <row r="595" s="1" customFormat="1" ht="13.5" customHeight="1" x14ac:dyDescent="0.3"/>
    <row r="596" s="1" customFormat="1" ht="13.5" customHeight="1" x14ac:dyDescent="0.3"/>
    <row r="597" s="1" customFormat="1" ht="13.5" customHeight="1" x14ac:dyDescent="0.3"/>
    <row r="598" s="1" customFormat="1" ht="13.5" customHeight="1" x14ac:dyDescent="0.3"/>
    <row r="599" s="1" customFormat="1" ht="13.5" customHeight="1" x14ac:dyDescent="0.3"/>
    <row r="600" s="1" customFormat="1" ht="13.5" customHeight="1" x14ac:dyDescent="0.3"/>
    <row r="601" s="1" customFormat="1" ht="13.5" customHeight="1" x14ac:dyDescent="0.3"/>
    <row r="602" s="1" customFormat="1" ht="13.5" customHeight="1" x14ac:dyDescent="0.3"/>
    <row r="603" s="1" customFormat="1" ht="13.5" customHeight="1" x14ac:dyDescent="0.3"/>
    <row r="604" s="1" customFormat="1" ht="13.5" customHeight="1" x14ac:dyDescent="0.3"/>
    <row r="605" s="1" customFormat="1" ht="13.5" customHeight="1" x14ac:dyDescent="0.3"/>
    <row r="606" s="1" customFormat="1" ht="13.5" customHeight="1" x14ac:dyDescent="0.3"/>
    <row r="607" s="1" customFormat="1" ht="13.5" customHeight="1" x14ac:dyDescent="0.3"/>
    <row r="608" s="1" customFormat="1" ht="13.5" customHeight="1" x14ac:dyDescent="0.3"/>
    <row r="609" s="1" customFormat="1" ht="13.5" customHeight="1" x14ac:dyDescent="0.3"/>
    <row r="610" s="1" customFormat="1" ht="13.5" customHeight="1" x14ac:dyDescent="0.3"/>
    <row r="611" s="1" customFormat="1" ht="13.5" customHeight="1" x14ac:dyDescent="0.3"/>
    <row r="612" s="1" customFormat="1" ht="13.5" customHeight="1" x14ac:dyDescent="0.3"/>
    <row r="613" s="1" customFormat="1" ht="13.5" customHeight="1" x14ac:dyDescent="0.3"/>
    <row r="614" s="1" customFormat="1" ht="13.5" customHeight="1" x14ac:dyDescent="0.3"/>
    <row r="615" s="1" customFormat="1" ht="13.5" customHeight="1" x14ac:dyDescent="0.3"/>
    <row r="616" s="1" customFormat="1" ht="13.5" customHeight="1" x14ac:dyDescent="0.3"/>
    <row r="617" s="1" customFormat="1" ht="13.5" customHeight="1" x14ac:dyDescent="0.3"/>
    <row r="618" s="1" customFormat="1" ht="13.5" customHeight="1" x14ac:dyDescent="0.3"/>
    <row r="619" s="1" customFormat="1" ht="13.5" customHeight="1" x14ac:dyDescent="0.3"/>
    <row r="620" s="1" customFormat="1" ht="13.5" customHeight="1" x14ac:dyDescent="0.3"/>
    <row r="621" s="1" customFormat="1" ht="13.5" customHeight="1" x14ac:dyDescent="0.3"/>
    <row r="622" s="1" customFormat="1" ht="13.5" customHeight="1" x14ac:dyDescent="0.3"/>
    <row r="623" s="1" customFormat="1" ht="13.5" customHeight="1" x14ac:dyDescent="0.3"/>
    <row r="624" s="1" customFormat="1" ht="13.5" customHeight="1" x14ac:dyDescent="0.3"/>
    <row r="625" s="1" customFormat="1" ht="13.5" customHeight="1" x14ac:dyDescent="0.3"/>
    <row r="626" s="1" customFormat="1" ht="13.5" customHeight="1" x14ac:dyDescent="0.3"/>
    <row r="627" s="1" customFormat="1" ht="13.5" customHeight="1" x14ac:dyDescent="0.3"/>
    <row r="628" s="1" customFormat="1" ht="13.5" customHeight="1" x14ac:dyDescent="0.3"/>
    <row r="629" s="1" customFormat="1" ht="13.5" customHeight="1" x14ac:dyDescent="0.3"/>
    <row r="630" s="1" customFormat="1" ht="13.5" customHeight="1" x14ac:dyDescent="0.3"/>
    <row r="631" s="1" customFormat="1" ht="13.5" customHeight="1" x14ac:dyDescent="0.3"/>
    <row r="632" s="1" customFormat="1" ht="13.5" customHeight="1" x14ac:dyDescent="0.3"/>
    <row r="633" s="1" customFormat="1" ht="13.5" customHeight="1" x14ac:dyDescent="0.3"/>
    <row r="634" s="1" customFormat="1" ht="13.5" customHeight="1" x14ac:dyDescent="0.3"/>
    <row r="635" s="1" customFormat="1" ht="13.5" customHeight="1" x14ac:dyDescent="0.3"/>
    <row r="636" s="1" customFormat="1" ht="13.5" customHeight="1" x14ac:dyDescent="0.3"/>
    <row r="637" s="1" customFormat="1" ht="13.5" customHeight="1" x14ac:dyDescent="0.3"/>
    <row r="638" s="1" customFormat="1" ht="13.5" customHeight="1" x14ac:dyDescent="0.3"/>
    <row r="639" s="1" customFormat="1" ht="13.5" customHeight="1" x14ac:dyDescent="0.3"/>
    <row r="640" s="1" customFormat="1" ht="13.5" customHeight="1" x14ac:dyDescent="0.3"/>
    <row r="641" s="1" customFormat="1" ht="13.5" customHeight="1" x14ac:dyDescent="0.3"/>
    <row r="642" s="1" customFormat="1" ht="13.5" customHeight="1" x14ac:dyDescent="0.3"/>
    <row r="643" s="1" customFormat="1" ht="13.5" customHeight="1" x14ac:dyDescent="0.3"/>
    <row r="644" s="1" customFormat="1" ht="13.5" customHeight="1" x14ac:dyDescent="0.3"/>
    <row r="645" s="1" customFormat="1" ht="13.5" customHeight="1" x14ac:dyDescent="0.3"/>
    <row r="646" s="1" customFormat="1" ht="13.5" customHeight="1" x14ac:dyDescent="0.3"/>
    <row r="647" s="1" customFormat="1" ht="13.5" customHeight="1" x14ac:dyDescent="0.3"/>
    <row r="648" s="1" customFormat="1" ht="13.5" customHeight="1" x14ac:dyDescent="0.3"/>
    <row r="649" s="1" customFormat="1" ht="13.5" customHeight="1" x14ac:dyDescent="0.3"/>
    <row r="650" s="1" customFormat="1" ht="13.5" customHeight="1" x14ac:dyDescent="0.3"/>
    <row r="651" s="1" customFormat="1" ht="13.5" customHeight="1" x14ac:dyDescent="0.3"/>
    <row r="652" s="1" customFormat="1" ht="13.5" customHeight="1" x14ac:dyDescent="0.3"/>
    <row r="653" s="1" customFormat="1" ht="13.5" customHeight="1" x14ac:dyDescent="0.3"/>
    <row r="654" s="1" customFormat="1" ht="13.5" customHeight="1" x14ac:dyDescent="0.3"/>
    <row r="655" s="1" customFormat="1" ht="13.5" customHeight="1" x14ac:dyDescent="0.3"/>
    <row r="656" s="1" customFormat="1" ht="13.5" customHeight="1" x14ac:dyDescent="0.3"/>
    <row r="657" s="1" customFormat="1" ht="13.5" customHeight="1" x14ac:dyDescent="0.3"/>
    <row r="658" s="1" customFormat="1" ht="13.5" customHeight="1" x14ac:dyDescent="0.3"/>
    <row r="659" s="1" customFormat="1" ht="13.5" customHeight="1" x14ac:dyDescent="0.3"/>
    <row r="660" s="1" customFormat="1" ht="13.5" customHeight="1" x14ac:dyDescent="0.3"/>
    <row r="661" s="1" customFormat="1" ht="13.5" customHeight="1" x14ac:dyDescent="0.3"/>
    <row r="662" s="1" customFormat="1" ht="13.5" customHeight="1" x14ac:dyDescent="0.3"/>
    <row r="663" s="1" customFormat="1" ht="13.5" customHeight="1" x14ac:dyDescent="0.3"/>
    <row r="664" s="1" customFormat="1" ht="13.5" customHeight="1" x14ac:dyDescent="0.3"/>
    <row r="665" s="1" customFormat="1" ht="13.5" customHeight="1" x14ac:dyDescent="0.3"/>
    <row r="666" s="1" customFormat="1" ht="13.5" customHeight="1" x14ac:dyDescent="0.3"/>
    <row r="667" s="1" customFormat="1" ht="13.5" customHeight="1" x14ac:dyDescent="0.3"/>
    <row r="668" s="1" customFormat="1" ht="13.5" customHeight="1" x14ac:dyDescent="0.3"/>
    <row r="669" s="1" customFormat="1" ht="13.5" customHeight="1" x14ac:dyDescent="0.3"/>
    <row r="670" s="1" customFormat="1" ht="13.5" customHeight="1" x14ac:dyDescent="0.3"/>
    <row r="671" s="1" customFormat="1" ht="13.5" customHeight="1" x14ac:dyDescent="0.3"/>
    <row r="672" s="1" customFormat="1" ht="13.5" customHeight="1" x14ac:dyDescent="0.3"/>
    <row r="673" s="1" customFormat="1" ht="13.5" customHeight="1" x14ac:dyDescent="0.3"/>
    <row r="674" s="1" customFormat="1" ht="13.5" customHeight="1" x14ac:dyDescent="0.3"/>
    <row r="675" s="1" customFormat="1" ht="13.5" customHeight="1" x14ac:dyDescent="0.3"/>
    <row r="676" s="1" customFormat="1" ht="13.5" customHeight="1" x14ac:dyDescent="0.3"/>
    <row r="677" s="1" customFormat="1" ht="13.5" customHeight="1" x14ac:dyDescent="0.3"/>
    <row r="678" s="1" customFormat="1" ht="13.5" customHeight="1" x14ac:dyDescent="0.3"/>
    <row r="679" s="1" customFormat="1" ht="13.5" customHeight="1" x14ac:dyDescent="0.3"/>
    <row r="680" s="1" customFormat="1" ht="13.5" customHeight="1" x14ac:dyDescent="0.3"/>
    <row r="681" s="1" customFormat="1" ht="13.5" customHeight="1" x14ac:dyDescent="0.3"/>
    <row r="682" s="1" customFormat="1" ht="13.5" customHeight="1" x14ac:dyDescent="0.3"/>
    <row r="683" s="1" customFormat="1" ht="13.5" customHeight="1" x14ac:dyDescent="0.3"/>
    <row r="684" s="1" customFormat="1" ht="13.5" customHeight="1" x14ac:dyDescent="0.3"/>
    <row r="685" s="1" customFormat="1" ht="13.5" customHeight="1" x14ac:dyDescent="0.3"/>
    <row r="686" s="1" customFormat="1" ht="13.5" customHeight="1" x14ac:dyDescent="0.3"/>
    <row r="687" s="1" customFormat="1" ht="13.5" customHeight="1" x14ac:dyDescent="0.3"/>
    <row r="688" s="1" customFormat="1" ht="13.5" customHeight="1" x14ac:dyDescent="0.3"/>
    <row r="689" s="1" customFormat="1" ht="13.5" customHeight="1" x14ac:dyDescent="0.3"/>
    <row r="690" s="1" customFormat="1" ht="13.5" customHeight="1" x14ac:dyDescent="0.3"/>
    <row r="691" s="1" customFormat="1" ht="13.5" customHeight="1" x14ac:dyDescent="0.3"/>
    <row r="692" s="1" customFormat="1" ht="13.5" customHeight="1" x14ac:dyDescent="0.3"/>
    <row r="693" s="1" customFormat="1" ht="13.5" customHeight="1" x14ac:dyDescent="0.3"/>
    <row r="694" s="1" customFormat="1" ht="13.5" customHeight="1" x14ac:dyDescent="0.3"/>
    <row r="695" s="1" customFormat="1" ht="13.5" customHeight="1" x14ac:dyDescent="0.3"/>
    <row r="696" s="1" customFormat="1" ht="13.5" customHeight="1" x14ac:dyDescent="0.3"/>
    <row r="697" s="1" customFormat="1" ht="13.5" customHeight="1" x14ac:dyDescent="0.3"/>
    <row r="698" s="1" customFormat="1" ht="13.5" customHeight="1" x14ac:dyDescent="0.3"/>
    <row r="699" s="1" customFormat="1" ht="13.5" customHeight="1" x14ac:dyDescent="0.3"/>
    <row r="700" s="1" customFormat="1" ht="13.5" customHeight="1" x14ac:dyDescent="0.3"/>
    <row r="701" s="1" customFormat="1" ht="13.5" customHeight="1" x14ac:dyDescent="0.3"/>
    <row r="702" s="1" customFormat="1" ht="13.5" customHeight="1" x14ac:dyDescent="0.3"/>
    <row r="703" s="1" customFormat="1" ht="13.5" customHeight="1" x14ac:dyDescent="0.3"/>
    <row r="704" s="1" customFormat="1" ht="13.5" customHeight="1" x14ac:dyDescent="0.3"/>
    <row r="705" s="1" customFormat="1" ht="13.5" customHeight="1" x14ac:dyDescent="0.3"/>
    <row r="706" s="1" customFormat="1" ht="13.5" customHeight="1" x14ac:dyDescent="0.3"/>
    <row r="707" s="1" customFormat="1" ht="13.5" customHeight="1" x14ac:dyDescent="0.3"/>
    <row r="708" s="1" customFormat="1" ht="13.5" customHeight="1" x14ac:dyDescent="0.3"/>
    <row r="709" s="1" customFormat="1" ht="13.5" customHeight="1" x14ac:dyDescent="0.3"/>
    <row r="710" s="1" customFormat="1" ht="13.5" customHeight="1" x14ac:dyDescent="0.3"/>
    <row r="711" s="1" customFormat="1" ht="13.5" customHeight="1" x14ac:dyDescent="0.3"/>
    <row r="712" s="1" customFormat="1" ht="13.5" customHeight="1" x14ac:dyDescent="0.3"/>
    <row r="713" s="1" customFormat="1" ht="13.5" customHeight="1" x14ac:dyDescent="0.3"/>
    <row r="714" s="1" customFormat="1" ht="13.5" customHeight="1" x14ac:dyDescent="0.3"/>
    <row r="715" s="1" customFormat="1" ht="13.5" customHeight="1" x14ac:dyDescent="0.3"/>
    <row r="716" s="1" customFormat="1" ht="13.5" customHeight="1" x14ac:dyDescent="0.3"/>
    <row r="717" s="1" customFormat="1" ht="13.5" customHeight="1" x14ac:dyDescent="0.3"/>
    <row r="718" s="1" customFormat="1" ht="13.5" customHeight="1" x14ac:dyDescent="0.3"/>
    <row r="719" s="1" customFormat="1" ht="13.5" customHeight="1" x14ac:dyDescent="0.3"/>
    <row r="720" s="1" customFormat="1" ht="13.5" customHeight="1" x14ac:dyDescent="0.3"/>
    <row r="721" s="1" customFormat="1" ht="13.5" customHeight="1" x14ac:dyDescent="0.3"/>
    <row r="722" s="1" customFormat="1" ht="13.5" customHeight="1" x14ac:dyDescent="0.3"/>
    <row r="723" s="1" customFormat="1" ht="13.5" customHeight="1" x14ac:dyDescent="0.3"/>
    <row r="724" s="1" customFormat="1" ht="13.5" customHeight="1" x14ac:dyDescent="0.3"/>
    <row r="725" s="1" customFormat="1" ht="13.5" customHeight="1" x14ac:dyDescent="0.3"/>
    <row r="726" s="1" customFormat="1" ht="13.5" customHeight="1" x14ac:dyDescent="0.3"/>
    <row r="727" s="1" customFormat="1" ht="13.5" customHeight="1" x14ac:dyDescent="0.3"/>
    <row r="728" s="1" customFormat="1" ht="13.5" customHeight="1" x14ac:dyDescent="0.3"/>
    <row r="729" s="1" customFormat="1" ht="13.5" customHeight="1" x14ac:dyDescent="0.3"/>
    <row r="730" s="1" customFormat="1" ht="13.5" customHeight="1" x14ac:dyDescent="0.3"/>
    <row r="731" s="1" customFormat="1" ht="13.5" customHeight="1" x14ac:dyDescent="0.3"/>
    <row r="732" s="1" customFormat="1" ht="13.5" customHeight="1" x14ac:dyDescent="0.3"/>
    <row r="733" s="1" customFormat="1" ht="13.5" customHeight="1" x14ac:dyDescent="0.3"/>
    <row r="734" s="1" customFormat="1" ht="13.5" customHeight="1" x14ac:dyDescent="0.3"/>
    <row r="735" s="1" customFormat="1" ht="13.5" customHeight="1" x14ac:dyDescent="0.3"/>
    <row r="736" s="1" customFormat="1" ht="13.5" customHeight="1" x14ac:dyDescent="0.3"/>
    <row r="737" s="1" customFormat="1" ht="13.5" customHeight="1" x14ac:dyDescent="0.3"/>
    <row r="738" s="1" customFormat="1" ht="13.5" customHeight="1" x14ac:dyDescent="0.3"/>
    <row r="739" s="1" customFormat="1" ht="13.5" customHeight="1" x14ac:dyDescent="0.3"/>
    <row r="740" s="1" customFormat="1" ht="13.5" customHeight="1" x14ac:dyDescent="0.3"/>
    <row r="741" s="1" customFormat="1" ht="13.5" customHeight="1" x14ac:dyDescent="0.3"/>
    <row r="742" s="1" customFormat="1" ht="13.5" customHeight="1" x14ac:dyDescent="0.3"/>
    <row r="743" s="1" customFormat="1" ht="13.5" customHeight="1" x14ac:dyDescent="0.3"/>
    <row r="744" s="1" customFormat="1" ht="13.5" customHeight="1" x14ac:dyDescent="0.3"/>
    <row r="745" s="1" customFormat="1" ht="13.5" customHeight="1" x14ac:dyDescent="0.3"/>
    <row r="746" s="1" customFormat="1" ht="13.5" customHeight="1" x14ac:dyDescent="0.3"/>
    <row r="747" s="1" customFormat="1" ht="13.5" customHeight="1" x14ac:dyDescent="0.3"/>
    <row r="748" s="1" customFormat="1" ht="13.5" customHeight="1" x14ac:dyDescent="0.3"/>
    <row r="749" s="1" customFormat="1" ht="13.5" customHeight="1" x14ac:dyDescent="0.3"/>
    <row r="750" s="1" customFormat="1" ht="13.5" customHeight="1" x14ac:dyDescent="0.3"/>
    <row r="751" s="1" customFormat="1" ht="13.5" customHeight="1" x14ac:dyDescent="0.3"/>
    <row r="752" s="1" customFormat="1" ht="13.5" customHeight="1" x14ac:dyDescent="0.3"/>
    <row r="753" s="1" customFormat="1" ht="13.5" customHeight="1" x14ac:dyDescent="0.3"/>
    <row r="754" s="1" customFormat="1" ht="13.5" customHeight="1" x14ac:dyDescent="0.3"/>
    <row r="755" s="1" customFormat="1" ht="13.5" customHeight="1" x14ac:dyDescent="0.3"/>
    <row r="756" s="1" customFormat="1" ht="13.5" customHeight="1" x14ac:dyDescent="0.3"/>
    <row r="757" s="1" customFormat="1" ht="13.5" customHeight="1" x14ac:dyDescent="0.3"/>
    <row r="758" s="1" customFormat="1" ht="13.5" customHeight="1" x14ac:dyDescent="0.3"/>
    <row r="759" s="1" customFormat="1" ht="13.5" customHeight="1" x14ac:dyDescent="0.3"/>
    <row r="760" s="1" customFormat="1" ht="13.5" customHeight="1" x14ac:dyDescent="0.3"/>
    <row r="761" s="1" customFormat="1" ht="13.5" customHeight="1" x14ac:dyDescent="0.3"/>
    <row r="762" s="1" customFormat="1" ht="13.5" customHeight="1" x14ac:dyDescent="0.3"/>
    <row r="763" s="1" customFormat="1" ht="13.5" customHeight="1" x14ac:dyDescent="0.3"/>
    <row r="764" s="1" customFormat="1" ht="13.5" customHeight="1" x14ac:dyDescent="0.3"/>
    <row r="765" s="1" customFormat="1" ht="13.5" customHeight="1" x14ac:dyDescent="0.3"/>
    <row r="766" s="1" customFormat="1" ht="13.5" customHeight="1" x14ac:dyDescent="0.3"/>
    <row r="767" s="1" customFormat="1" ht="13.5" customHeight="1" x14ac:dyDescent="0.3"/>
    <row r="768" s="1" customFormat="1" ht="13.5" customHeight="1" x14ac:dyDescent="0.3"/>
    <row r="769" s="1" customFormat="1" ht="13.5" customHeight="1" x14ac:dyDescent="0.3"/>
    <row r="770" s="1" customFormat="1" ht="13.5" customHeight="1" x14ac:dyDescent="0.3"/>
    <row r="771" s="1" customFormat="1" ht="13.5" customHeight="1" x14ac:dyDescent="0.3"/>
    <row r="772" s="1" customFormat="1" ht="13.5" customHeight="1" x14ac:dyDescent="0.3"/>
    <row r="773" s="1" customFormat="1" ht="13.5" customHeight="1" x14ac:dyDescent="0.3"/>
    <row r="774" s="1" customFormat="1" ht="13.5" customHeight="1" x14ac:dyDescent="0.3"/>
    <row r="775" s="1" customFormat="1" ht="13.5" customHeight="1" x14ac:dyDescent="0.3"/>
    <row r="776" s="1" customFormat="1" ht="13.5" customHeight="1" x14ac:dyDescent="0.3"/>
    <row r="777" s="1" customFormat="1" ht="13.5" customHeight="1" x14ac:dyDescent="0.3"/>
    <row r="778" s="1" customFormat="1" ht="13.5" customHeight="1" x14ac:dyDescent="0.3"/>
    <row r="779" s="1" customFormat="1" ht="13.5" customHeight="1" x14ac:dyDescent="0.3"/>
    <row r="780" s="1" customFormat="1" ht="13.5" customHeight="1" x14ac:dyDescent="0.3"/>
    <row r="781" s="1" customFormat="1" ht="13.5" customHeight="1" x14ac:dyDescent="0.3"/>
    <row r="782" s="1" customFormat="1" ht="13.5" customHeight="1" x14ac:dyDescent="0.3"/>
    <row r="783" s="1" customFormat="1" ht="13.5" customHeight="1" x14ac:dyDescent="0.3"/>
    <row r="784" s="1" customFormat="1" ht="13.5" customHeight="1" x14ac:dyDescent="0.3"/>
    <row r="785" s="1" customFormat="1" ht="13.5" customHeight="1" x14ac:dyDescent="0.3"/>
    <row r="786" s="1" customFormat="1" ht="13.5" customHeight="1" x14ac:dyDescent="0.3"/>
    <row r="787" s="1" customFormat="1" ht="13.5" customHeight="1" x14ac:dyDescent="0.3"/>
    <row r="788" s="1" customFormat="1" ht="13.5" customHeight="1" x14ac:dyDescent="0.3"/>
    <row r="789" s="1" customFormat="1" ht="13.5" customHeight="1" x14ac:dyDescent="0.3"/>
    <row r="790" s="1" customFormat="1" ht="13.5" customHeight="1" x14ac:dyDescent="0.3"/>
    <row r="791" s="1" customFormat="1" ht="13.5" customHeight="1" x14ac:dyDescent="0.3"/>
    <row r="792" s="1" customFormat="1" ht="13.5" customHeight="1" x14ac:dyDescent="0.3"/>
    <row r="793" s="1" customFormat="1" ht="13.5" customHeight="1" x14ac:dyDescent="0.3"/>
    <row r="794" s="1" customFormat="1" ht="13.5" customHeight="1" x14ac:dyDescent="0.3"/>
    <row r="795" s="1" customFormat="1" ht="13.5" customHeight="1" x14ac:dyDescent="0.3"/>
    <row r="796" s="1" customFormat="1" ht="13.5" customHeight="1" x14ac:dyDescent="0.3"/>
    <row r="797" s="1" customFormat="1" ht="13.5" customHeight="1" x14ac:dyDescent="0.3"/>
    <row r="798" s="1" customFormat="1" ht="13.5" customHeight="1" x14ac:dyDescent="0.3"/>
    <row r="799" s="1" customFormat="1" ht="13.5" customHeight="1" x14ac:dyDescent="0.3"/>
    <row r="800" s="1" customFormat="1" ht="13.5" customHeight="1" x14ac:dyDescent="0.3"/>
    <row r="801" s="1" customFormat="1" ht="13.5" customHeight="1" x14ac:dyDescent="0.3"/>
    <row r="802" s="1" customFormat="1" ht="13.5" customHeight="1" x14ac:dyDescent="0.3"/>
    <row r="803" s="1" customFormat="1" ht="13.5" customHeight="1" x14ac:dyDescent="0.3"/>
    <row r="804" s="1" customFormat="1" ht="13.5" customHeight="1" x14ac:dyDescent="0.3"/>
    <row r="805" s="1" customFormat="1" ht="13.5" customHeight="1" x14ac:dyDescent="0.3"/>
    <row r="806" s="1" customFormat="1" ht="13.5" customHeight="1" x14ac:dyDescent="0.3"/>
    <row r="807" s="1" customFormat="1" ht="13.5" customHeight="1" x14ac:dyDescent="0.3"/>
    <row r="808" s="1" customFormat="1" ht="13.5" customHeight="1" x14ac:dyDescent="0.3"/>
    <row r="809" s="1" customFormat="1" ht="13.5" customHeight="1" x14ac:dyDescent="0.3"/>
    <row r="810" s="1" customFormat="1" ht="13.5" customHeight="1" x14ac:dyDescent="0.3"/>
    <row r="811" s="1" customFormat="1" ht="13.5" customHeight="1" x14ac:dyDescent="0.3"/>
    <row r="812" s="1" customFormat="1" ht="13.5" customHeight="1" x14ac:dyDescent="0.3"/>
    <row r="813" s="1" customFormat="1" ht="13.5" customHeight="1" x14ac:dyDescent="0.3"/>
    <row r="814" s="1" customFormat="1" ht="13.5" customHeight="1" x14ac:dyDescent="0.3"/>
    <row r="815" s="1" customFormat="1" ht="13.5" customHeight="1" x14ac:dyDescent="0.3"/>
    <row r="816" s="1" customFormat="1" ht="13.5" customHeight="1" x14ac:dyDescent="0.3"/>
    <row r="817" s="1" customFormat="1" ht="13.5" customHeight="1" x14ac:dyDescent="0.3"/>
    <row r="818" s="1" customFormat="1" ht="13.5" customHeight="1" x14ac:dyDescent="0.3"/>
    <row r="819" s="1" customFormat="1" ht="13.5" customHeight="1" x14ac:dyDescent="0.3"/>
    <row r="820" s="1" customFormat="1" ht="13.5" customHeight="1" x14ac:dyDescent="0.3"/>
    <row r="821" s="1" customFormat="1" ht="13.5" customHeight="1" x14ac:dyDescent="0.3"/>
    <row r="822" s="1" customFormat="1" ht="13.5" customHeight="1" x14ac:dyDescent="0.3"/>
    <row r="823" s="1" customFormat="1" ht="13.5" customHeight="1" x14ac:dyDescent="0.3"/>
    <row r="824" s="1" customFormat="1" ht="13.5" customHeight="1" x14ac:dyDescent="0.3"/>
    <row r="825" s="1" customFormat="1" ht="13.5" customHeight="1" x14ac:dyDescent="0.3"/>
    <row r="826" s="1" customFormat="1" ht="13.5" customHeight="1" x14ac:dyDescent="0.3"/>
    <row r="827" s="1" customFormat="1" ht="13.5" customHeight="1" x14ac:dyDescent="0.3"/>
    <row r="828" s="1" customFormat="1" ht="13.5" customHeight="1" x14ac:dyDescent="0.3"/>
    <row r="829" s="1" customFormat="1" ht="13.5" customHeight="1" x14ac:dyDescent="0.3"/>
    <row r="830" s="1" customFormat="1" ht="13.5" customHeight="1" x14ac:dyDescent="0.3"/>
    <row r="831" s="1" customFormat="1" ht="13.5" customHeight="1" x14ac:dyDescent="0.3"/>
    <row r="832" s="1" customFormat="1" ht="13.5" customHeight="1" x14ac:dyDescent="0.3"/>
    <row r="833" s="1" customFormat="1" ht="13.5" customHeight="1" x14ac:dyDescent="0.3"/>
    <row r="834" s="1" customFormat="1" ht="13.5" customHeight="1" x14ac:dyDescent="0.3"/>
    <row r="835" s="1" customFormat="1" ht="13.5" customHeight="1" x14ac:dyDescent="0.3"/>
    <row r="836" s="1" customFormat="1" ht="13.5" customHeight="1" x14ac:dyDescent="0.3"/>
    <row r="837" s="1" customFormat="1" ht="13.5" customHeight="1" x14ac:dyDescent="0.3"/>
    <row r="838" s="1" customFormat="1" ht="13.5" customHeight="1" x14ac:dyDescent="0.3"/>
    <row r="839" s="1" customFormat="1" ht="13.5" customHeight="1" x14ac:dyDescent="0.3"/>
    <row r="840" s="1" customFormat="1" ht="13.5" customHeight="1" x14ac:dyDescent="0.3"/>
    <row r="841" s="1" customFormat="1" ht="13.5" customHeight="1" x14ac:dyDescent="0.3"/>
    <row r="842" s="1" customFormat="1" ht="13.5" customHeight="1" x14ac:dyDescent="0.3"/>
    <row r="843" s="1" customFormat="1" ht="13.5" customHeight="1" x14ac:dyDescent="0.3"/>
    <row r="844" s="1" customFormat="1" ht="13.5" customHeight="1" x14ac:dyDescent="0.3"/>
    <row r="845" s="1" customFormat="1" ht="13.5" customHeight="1" x14ac:dyDescent="0.3"/>
    <row r="846" s="1" customFormat="1" ht="13.5" customHeight="1" x14ac:dyDescent="0.3"/>
    <row r="847" s="1" customFormat="1" ht="13.5" customHeight="1" x14ac:dyDescent="0.3"/>
    <row r="848" s="1" customFormat="1" ht="13.5" customHeight="1" x14ac:dyDescent="0.3"/>
    <row r="849" s="1" customFormat="1" ht="13.5" customHeight="1" x14ac:dyDescent="0.3"/>
    <row r="850" s="1" customFormat="1" ht="13.5" customHeight="1" x14ac:dyDescent="0.3"/>
    <row r="851" s="1" customFormat="1" ht="13.5" customHeight="1" x14ac:dyDescent="0.3"/>
    <row r="852" s="1" customFormat="1" ht="13.5" customHeight="1" x14ac:dyDescent="0.3"/>
    <row r="853" s="1" customFormat="1" ht="13.5" customHeight="1" x14ac:dyDescent="0.3"/>
    <row r="854" s="1" customFormat="1" ht="13.5" customHeight="1" x14ac:dyDescent="0.3"/>
    <row r="855" s="1" customFormat="1" ht="13.5" customHeight="1" x14ac:dyDescent="0.3"/>
    <row r="856" s="1" customFormat="1" ht="13.5" customHeight="1" x14ac:dyDescent="0.3"/>
    <row r="857" s="1" customFormat="1" ht="13.5" customHeight="1" x14ac:dyDescent="0.3"/>
    <row r="858" s="1" customFormat="1" ht="13.5" customHeight="1" x14ac:dyDescent="0.3"/>
    <row r="859" s="1" customFormat="1" ht="13.5" customHeight="1" x14ac:dyDescent="0.3"/>
    <row r="860" s="1" customFormat="1" ht="13.5" customHeight="1" x14ac:dyDescent="0.3"/>
    <row r="861" s="1" customFormat="1" ht="13.5" customHeight="1" x14ac:dyDescent="0.3"/>
    <row r="862" s="1" customFormat="1" ht="13.5" customHeight="1" x14ac:dyDescent="0.3"/>
    <row r="863" s="1" customFormat="1" ht="13.5" customHeight="1" x14ac:dyDescent="0.3"/>
    <row r="864" s="1" customFormat="1" ht="13.5" customHeight="1" x14ac:dyDescent="0.3"/>
    <row r="865" s="1" customFormat="1" ht="13.5" customHeight="1" x14ac:dyDescent="0.3"/>
    <row r="866" s="1" customFormat="1" ht="13.5" customHeight="1" x14ac:dyDescent="0.3"/>
    <row r="867" s="1" customFormat="1" ht="13.5" customHeight="1" x14ac:dyDescent="0.3"/>
    <row r="868" s="1" customFormat="1" ht="13.5" customHeight="1" x14ac:dyDescent="0.3"/>
    <row r="869" s="1" customFormat="1" ht="13.5" customHeight="1" x14ac:dyDescent="0.3"/>
    <row r="870" s="1" customFormat="1" ht="13.5" customHeight="1" x14ac:dyDescent="0.3"/>
    <row r="871" s="1" customFormat="1" ht="13.5" customHeight="1" x14ac:dyDescent="0.3"/>
    <row r="872" s="1" customFormat="1" ht="13.5" customHeight="1" x14ac:dyDescent="0.3"/>
    <row r="873" s="1" customFormat="1" ht="13.5" customHeight="1" x14ac:dyDescent="0.3"/>
    <row r="874" s="1" customFormat="1" ht="13.5" customHeight="1" x14ac:dyDescent="0.3"/>
    <row r="875" s="1" customFormat="1" ht="13.5" customHeight="1" x14ac:dyDescent="0.3"/>
    <row r="876" s="1" customFormat="1" ht="13.5" customHeight="1" x14ac:dyDescent="0.3"/>
    <row r="877" s="1" customFormat="1" ht="13.5" customHeight="1" x14ac:dyDescent="0.3"/>
    <row r="878" s="1" customFormat="1" ht="13.5" customHeight="1" x14ac:dyDescent="0.3"/>
    <row r="879" s="1" customFormat="1" ht="13.5" customHeight="1" x14ac:dyDescent="0.3"/>
    <row r="880" s="1" customFormat="1" ht="13.5" customHeight="1" x14ac:dyDescent="0.3"/>
    <row r="881" s="1" customFormat="1" ht="13.5" customHeight="1" x14ac:dyDescent="0.3"/>
    <row r="882" s="1" customFormat="1" ht="13.5" customHeight="1" x14ac:dyDescent="0.3"/>
    <row r="883" s="1" customFormat="1" ht="13.5" customHeight="1" x14ac:dyDescent="0.3"/>
    <row r="884" s="1" customFormat="1" ht="13.5" customHeight="1" x14ac:dyDescent="0.3"/>
    <row r="885" s="1" customFormat="1" ht="13.5" customHeight="1" x14ac:dyDescent="0.3"/>
    <row r="886" s="1" customFormat="1" ht="13.5" customHeight="1" x14ac:dyDescent="0.3"/>
    <row r="887" s="1" customFormat="1" ht="13.5" customHeight="1" x14ac:dyDescent="0.3"/>
    <row r="888" s="1" customFormat="1" ht="13.5" customHeight="1" x14ac:dyDescent="0.3"/>
    <row r="889" s="1" customFormat="1" ht="13.5" customHeight="1" x14ac:dyDescent="0.3"/>
    <row r="890" s="1" customFormat="1" ht="13.5" customHeight="1" x14ac:dyDescent="0.3"/>
    <row r="891" s="1" customFormat="1" ht="13.5" customHeight="1" x14ac:dyDescent="0.3"/>
    <row r="892" s="1" customFormat="1" ht="13.5" customHeight="1" x14ac:dyDescent="0.3"/>
    <row r="893" s="1" customFormat="1" ht="13.5" customHeight="1" x14ac:dyDescent="0.3"/>
    <row r="894" s="1" customFormat="1" ht="13.5" customHeight="1" x14ac:dyDescent="0.3"/>
    <row r="895" s="1" customFormat="1" ht="13.5" customHeight="1" x14ac:dyDescent="0.3"/>
    <row r="896" s="1" customFormat="1" ht="13.5" customHeight="1" x14ac:dyDescent="0.3"/>
    <row r="897" s="1" customFormat="1" ht="13.5" customHeight="1" x14ac:dyDescent="0.3"/>
    <row r="898" s="1" customFormat="1" ht="13.5" customHeight="1" x14ac:dyDescent="0.3"/>
    <row r="899" s="1" customFormat="1" ht="13.5" customHeight="1" x14ac:dyDescent="0.3"/>
    <row r="900" s="1" customFormat="1" ht="13.5" customHeight="1" x14ac:dyDescent="0.3"/>
    <row r="901" s="1" customFormat="1" ht="13.5" customHeight="1" x14ac:dyDescent="0.3"/>
    <row r="902" s="1" customFormat="1" ht="13.5" customHeight="1" x14ac:dyDescent="0.3"/>
    <row r="903" s="1" customFormat="1" ht="13.5" customHeight="1" x14ac:dyDescent="0.3"/>
    <row r="904" s="1" customFormat="1" ht="13.5" customHeight="1" x14ac:dyDescent="0.3"/>
    <row r="905" s="1" customFormat="1" ht="13.5" customHeight="1" x14ac:dyDescent="0.3"/>
    <row r="906" s="1" customFormat="1" ht="13.5" customHeight="1" x14ac:dyDescent="0.3"/>
    <row r="907" s="1" customFormat="1" ht="13.5" customHeight="1" x14ac:dyDescent="0.3"/>
    <row r="908" s="1" customFormat="1" ht="13.5" customHeight="1" x14ac:dyDescent="0.3"/>
    <row r="909" s="1" customFormat="1" ht="13.5" customHeight="1" x14ac:dyDescent="0.3"/>
    <row r="910" s="1" customFormat="1" ht="13.5" customHeight="1" x14ac:dyDescent="0.3"/>
    <row r="911" s="1" customFormat="1" ht="13.5" customHeight="1" x14ac:dyDescent="0.3"/>
    <row r="912" s="1" customFormat="1" ht="13.5" customHeight="1" x14ac:dyDescent="0.3"/>
    <row r="913" s="1" customFormat="1" ht="13.5" customHeight="1" x14ac:dyDescent="0.3"/>
    <row r="914" s="1" customFormat="1" ht="13.5" customHeight="1" x14ac:dyDescent="0.3"/>
    <row r="915" s="1" customFormat="1" ht="13.5" customHeight="1" x14ac:dyDescent="0.3"/>
    <row r="916" s="1" customFormat="1" ht="13.5" customHeight="1" x14ac:dyDescent="0.3"/>
    <row r="917" s="1" customFormat="1" ht="13.5" customHeight="1" x14ac:dyDescent="0.3"/>
    <row r="918" s="1" customFormat="1" ht="13.5" customHeight="1" x14ac:dyDescent="0.3"/>
    <row r="919" s="1" customFormat="1" ht="13.5" customHeight="1" x14ac:dyDescent="0.3"/>
    <row r="920" s="1" customFormat="1" ht="13.5" customHeight="1" x14ac:dyDescent="0.3"/>
    <row r="921" s="1" customFormat="1" ht="13.5" customHeight="1" x14ac:dyDescent="0.3"/>
    <row r="922" s="1" customFormat="1" ht="13.5" customHeight="1" x14ac:dyDescent="0.3"/>
    <row r="923" s="1" customFormat="1" ht="13.5" customHeight="1" x14ac:dyDescent="0.3"/>
    <row r="924" s="1" customFormat="1" ht="13.5" customHeight="1" x14ac:dyDescent="0.3"/>
    <row r="925" s="1" customFormat="1" ht="13.5" customHeight="1" x14ac:dyDescent="0.3"/>
    <row r="926" s="1" customFormat="1" ht="13.5" customHeight="1" x14ac:dyDescent="0.3"/>
    <row r="927" s="1" customFormat="1" ht="13.5" customHeight="1" x14ac:dyDescent="0.3"/>
    <row r="928" s="1" customFormat="1" ht="13.5" customHeight="1" x14ac:dyDescent="0.3"/>
    <row r="929" s="1" customFormat="1" ht="13.5" customHeight="1" x14ac:dyDescent="0.3"/>
    <row r="930" s="1" customFormat="1" ht="13.5" customHeight="1" x14ac:dyDescent="0.3"/>
    <row r="931" s="1" customFormat="1" ht="13.5" customHeight="1" x14ac:dyDescent="0.3"/>
    <row r="932" s="1" customFormat="1" ht="13.5" customHeight="1" x14ac:dyDescent="0.3"/>
    <row r="933" s="1" customFormat="1" ht="13.5" customHeight="1" x14ac:dyDescent="0.3"/>
    <row r="934" s="1" customFormat="1" ht="13.5" customHeight="1" x14ac:dyDescent="0.3"/>
    <row r="935" s="1" customFormat="1" ht="13.5" customHeight="1" x14ac:dyDescent="0.3"/>
    <row r="936" s="1" customFormat="1" ht="13.5" customHeight="1" x14ac:dyDescent="0.3"/>
    <row r="937" s="1" customFormat="1" ht="13.5" customHeight="1" x14ac:dyDescent="0.3"/>
    <row r="938" s="1" customFormat="1" ht="13.5" customHeight="1" x14ac:dyDescent="0.3"/>
    <row r="939" s="1" customFormat="1" ht="13.5" customHeight="1" x14ac:dyDescent="0.3"/>
    <row r="940" s="1" customFormat="1" ht="13.5" customHeight="1" x14ac:dyDescent="0.3"/>
    <row r="941" s="1" customFormat="1" ht="13.5" customHeight="1" x14ac:dyDescent="0.3"/>
    <row r="942" s="1" customFormat="1" ht="13.5" customHeight="1" x14ac:dyDescent="0.3"/>
    <row r="943" s="1" customFormat="1" ht="13.5" customHeight="1" x14ac:dyDescent="0.3"/>
    <row r="944" s="1" customFormat="1" ht="13.5" customHeight="1" x14ac:dyDescent="0.3"/>
    <row r="945" s="1" customFormat="1" ht="13.5" customHeight="1" x14ac:dyDescent="0.3"/>
    <row r="946" s="1" customFormat="1" ht="13.5" customHeight="1" x14ac:dyDescent="0.3"/>
    <row r="947" s="1" customFormat="1" ht="13.5" customHeight="1" x14ac:dyDescent="0.3"/>
    <row r="948" s="1" customFormat="1" ht="13.5" customHeight="1" x14ac:dyDescent="0.3"/>
    <row r="949" s="1" customFormat="1" ht="13.5" customHeight="1" x14ac:dyDescent="0.3"/>
    <row r="950" s="1" customFormat="1" ht="13.5" customHeight="1" x14ac:dyDescent="0.3"/>
    <row r="951" s="1" customFormat="1" ht="13.5" customHeight="1" x14ac:dyDescent="0.3"/>
    <row r="952" s="1" customFormat="1" ht="13.5" customHeight="1" x14ac:dyDescent="0.3"/>
    <row r="953" s="1" customFormat="1" ht="13.5" customHeight="1" x14ac:dyDescent="0.3"/>
    <row r="954" s="1" customFormat="1" ht="13.5" customHeight="1" x14ac:dyDescent="0.3"/>
    <row r="955" s="1" customFormat="1" ht="13.5" customHeight="1" x14ac:dyDescent="0.3"/>
    <row r="956" s="1" customFormat="1" ht="13.5" customHeight="1" x14ac:dyDescent="0.3"/>
    <row r="957" s="1" customFormat="1" ht="13.5" customHeight="1" x14ac:dyDescent="0.3"/>
    <row r="958" s="1" customFormat="1" ht="13.5" customHeight="1" x14ac:dyDescent="0.3"/>
    <row r="959" s="1" customFormat="1" ht="13.5" customHeight="1" x14ac:dyDescent="0.3"/>
    <row r="960" s="1" customFormat="1" ht="13.5" customHeight="1" x14ac:dyDescent="0.3"/>
    <row r="961" s="1" customFormat="1" ht="13.5" customHeight="1" x14ac:dyDescent="0.3"/>
    <row r="962" s="1" customFormat="1" ht="13.5" customHeight="1" x14ac:dyDescent="0.3"/>
    <row r="963" s="1" customFormat="1" ht="13.5" customHeight="1" x14ac:dyDescent="0.3"/>
    <row r="964" s="1" customFormat="1" ht="13.5" customHeight="1" x14ac:dyDescent="0.3"/>
    <row r="965" s="1" customFormat="1" ht="13.5" customHeight="1" x14ac:dyDescent="0.3"/>
    <row r="966" s="1" customFormat="1" ht="13.5" customHeight="1" x14ac:dyDescent="0.3"/>
    <row r="967" s="1" customFormat="1" ht="13.5" customHeight="1" x14ac:dyDescent="0.3"/>
    <row r="968" s="1" customFormat="1" ht="13.5" customHeight="1" x14ac:dyDescent="0.3"/>
    <row r="969" s="1" customFormat="1" ht="13.5" customHeight="1" x14ac:dyDescent="0.3"/>
    <row r="970" s="1" customFormat="1" ht="13.5" customHeight="1" x14ac:dyDescent="0.3"/>
    <row r="971" s="1" customFormat="1" ht="13.5" customHeight="1" x14ac:dyDescent="0.3"/>
    <row r="972" s="1" customFormat="1" ht="13.5" customHeight="1" x14ac:dyDescent="0.3"/>
    <row r="973" s="1" customFormat="1" ht="13.5" customHeight="1" x14ac:dyDescent="0.3"/>
    <row r="974" s="1" customFormat="1" ht="13.5" customHeight="1" x14ac:dyDescent="0.3"/>
    <row r="975" s="1" customFormat="1" ht="13.5" customHeight="1" x14ac:dyDescent="0.3"/>
    <row r="976" s="1" customFormat="1" ht="13.5" customHeight="1" x14ac:dyDescent="0.3"/>
    <row r="977" s="1" customFormat="1" ht="13.5" customHeight="1" x14ac:dyDescent="0.3"/>
    <row r="978" s="1" customFormat="1" ht="13.5" customHeight="1" x14ac:dyDescent="0.3"/>
    <row r="979" s="1" customFormat="1" ht="13.5" customHeight="1" x14ac:dyDescent="0.3"/>
    <row r="980" s="1" customFormat="1" ht="13.5" customHeight="1" x14ac:dyDescent="0.3"/>
    <row r="981" s="1" customFormat="1" ht="13.5" customHeight="1" x14ac:dyDescent="0.3"/>
    <row r="982" s="1" customFormat="1" ht="13.5" customHeight="1" x14ac:dyDescent="0.3"/>
    <row r="983" s="1" customFormat="1" ht="13.5" customHeight="1" x14ac:dyDescent="0.3"/>
    <row r="984" s="1" customFormat="1" ht="13.5" customHeight="1" x14ac:dyDescent="0.3"/>
    <row r="985" s="1" customFormat="1" ht="13.5" customHeight="1" x14ac:dyDescent="0.3"/>
    <row r="986" s="1" customFormat="1" ht="13.5" customHeight="1" x14ac:dyDescent="0.3"/>
    <row r="987" s="1" customFormat="1" ht="13.5" customHeight="1" x14ac:dyDescent="0.3"/>
    <row r="988" s="1" customFormat="1" ht="13.5" customHeight="1" x14ac:dyDescent="0.3"/>
    <row r="989" s="1" customFormat="1" ht="13.5" customHeight="1" x14ac:dyDescent="0.3"/>
    <row r="990" s="1" customFormat="1" ht="13.5" customHeight="1" x14ac:dyDescent="0.3"/>
    <row r="991" s="1" customFormat="1" ht="13.5" customHeight="1" x14ac:dyDescent="0.3"/>
    <row r="992" s="1" customFormat="1" ht="13.5" customHeight="1" x14ac:dyDescent="0.3"/>
    <row r="993" s="1" customFormat="1" ht="13.5" customHeight="1" x14ac:dyDescent="0.3"/>
    <row r="994" s="1" customFormat="1" ht="13.5" customHeight="1" x14ac:dyDescent="0.3"/>
    <row r="995" s="1" customFormat="1" ht="13.5" customHeight="1" x14ac:dyDescent="0.3"/>
    <row r="996" s="1" customFormat="1" ht="13.5" customHeight="1" x14ac:dyDescent="0.3"/>
    <row r="997" s="1" customFormat="1" ht="13.5" customHeight="1" x14ac:dyDescent="0.3"/>
    <row r="998" s="1" customFormat="1" ht="13.5" customHeight="1" x14ac:dyDescent="0.3"/>
    <row r="999" s="1" customFormat="1" ht="13.5" customHeight="1" x14ac:dyDescent="0.3"/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9C129-28DC-4111-9903-6E2F1BB04D70}">
  <dimension ref="A1:M999"/>
  <sheetViews>
    <sheetView workbookViewId="0">
      <selection sqref="A1:XFD1048576"/>
    </sheetView>
  </sheetViews>
  <sheetFormatPr baseColWidth="10" defaultColWidth="12.6328125" defaultRowHeight="15" customHeight="1" x14ac:dyDescent="0.3"/>
  <cols>
    <col min="1" max="1" width="15.7265625" style="1" customWidth="1"/>
    <col min="2" max="7" width="10.6328125" style="1" customWidth="1"/>
    <col min="8" max="8" width="11.36328125" style="1" customWidth="1"/>
    <col min="9" max="25" width="10.6328125" style="1" customWidth="1"/>
    <col min="26" max="16384" width="12.6328125" style="1"/>
  </cols>
  <sheetData>
    <row r="1" spans="1:13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4.25" customHeight="1" x14ac:dyDescent="0.3">
      <c r="A2" s="1" t="s">
        <v>12</v>
      </c>
      <c r="B2" s="1" t="s">
        <v>13</v>
      </c>
      <c r="C2" s="1">
        <v>1</v>
      </c>
      <c r="H2" s="2" t="s">
        <v>14</v>
      </c>
      <c r="I2" s="3">
        <f t="shared" ref="I2:L2" si="0">SUM(C22+C37+C55+C65+C66+C96+C105+C113+C128+C146+C150)</f>
        <v>11</v>
      </c>
      <c r="J2" s="3">
        <f t="shared" si="0"/>
        <v>0</v>
      </c>
      <c r="K2" s="3">
        <f t="shared" si="0"/>
        <v>0</v>
      </c>
      <c r="L2" s="3">
        <f t="shared" si="0"/>
        <v>0</v>
      </c>
      <c r="M2" s="3">
        <f t="shared" ref="M2:M13" si="1">SUM(I2:L2)</f>
        <v>11</v>
      </c>
    </row>
    <row r="3" spans="1:13" ht="14.25" customHeight="1" x14ac:dyDescent="0.3">
      <c r="A3" s="1" t="s">
        <v>15</v>
      </c>
      <c r="B3" s="1" t="s">
        <v>16</v>
      </c>
      <c r="C3" s="1">
        <v>1</v>
      </c>
      <c r="H3" s="2" t="s">
        <v>17</v>
      </c>
      <c r="I3" s="3">
        <f t="shared" ref="I3:L3" si="2">SUM(C6+C32+C50+C52+C58+C69+C76+C94+C115+C122+C123+C152)</f>
        <v>12</v>
      </c>
      <c r="J3" s="3">
        <f t="shared" si="2"/>
        <v>0</v>
      </c>
      <c r="K3" s="3">
        <f t="shared" si="2"/>
        <v>0</v>
      </c>
      <c r="L3" s="3">
        <f t="shared" si="2"/>
        <v>0</v>
      </c>
      <c r="M3" s="3">
        <f t="shared" si="1"/>
        <v>12</v>
      </c>
    </row>
    <row r="4" spans="1:13" ht="14.25" customHeight="1" x14ac:dyDescent="0.3">
      <c r="A4" s="1" t="s">
        <v>18</v>
      </c>
      <c r="B4" s="1" t="s">
        <v>13</v>
      </c>
      <c r="D4" s="1">
        <v>1</v>
      </c>
      <c r="H4" s="2" t="s">
        <v>19</v>
      </c>
      <c r="I4" s="3">
        <f t="shared" ref="I4:L4" si="3">SUM(C26+C14+C27+C62+C68+C124+C138+C142+C153+C155)</f>
        <v>10</v>
      </c>
      <c r="J4" s="3">
        <f t="shared" si="3"/>
        <v>0</v>
      </c>
      <c r="K4" s="3">
        <f t="shared" si="3"/>
        <v>0</v>
      </c>
      <c r="L4" s="3">
        <f t="shared" si="3"/>
        <v>0</v>
      </c>
      <c r="M4" s="3">
        <f t="shared" si="1"/>
        <v>10</v>
      </c>
    </row>
    <row r="5" spans="1:13" ht="14.25" customHeight="1" x14ac:dyDescent="0.3">
      <c r="A5" s="1" t="s">
        <v>20</v>
      </c>
      <c r="B5" s="1" t="s">
        <v>21</v>
      </c>
      <c r="C5" s="1">
        <v>1</v>
      </c>
      <c r="H5" s="2" t="s">
        <v>22</v>
      </c>
      <c r="I5" s="3">
        <f t="shared" ref="I5:L5" si="4">SUM(C5+C36+C56+C63+C73+C85+C87+C95+C135)</f>
        <v>8</v>
      </c>
      <c r="J5" s="3">
        <f t="shared" si="4"/>
        <v>0</v>
      </c>
      <c r="K5" s="3">
        <f t="shared" si="4"/>
        <v>0</v>
      </c>
      <c r="L5" s="3">
        <f t="shared" si="4"/>
        <v>1</v>
      </c>
      <c r="M5" s="3">
        <f t="shared" si="1"/>
        <v>9</v>
      </c>
    </row>
    <row r="6" spans="1:13" ht="14.25" customHeight="1" x14ac:dyDescent="0.3">
      <c r="A6" s="1" t="s">
        <v>23</v>
      </c>
      <c r="B6" s="1" t="s">
        <v>24</v>
      </c>
      <c r="C6" s="1">
        <v>1</v>
      </c>
      <c r="H6" s="2" t="s">
        <v>25</v>
      </c>
      <c r="I6" s="3">
        <f t="shared" ref="I6:L6" si="5">SUM(C12+C15+C18+C28+C41+C59+C78+C64+C82+C83+C86+C106+C119+C143+C148+C154)</f>
        <v>16</v>
      </c>
      <c r="J6" s="3">
        <f t="shared" si="5"/>
        <v>0</v>
      </c>
      <c r="K6" s="3">
        <f t="shared" si="5"/>
        <v>0</v>
      </c>
      <c r="L6" s="3">
        <f t="shared" si="5"/>
        <v>0</v>
      </c>
      <c r="M6" s="3">
        <f t="shared" si="1"/>
        <v>16</v>
      </c>
    </row>
    <row r="7" spans="1:13" ht="14.25" customHeight="1" x14ac:dyDescent="0.3">
      <c r="A7" s="1" t="s">
        <v>26</v>
      </c>
      <c r="B7" s="1" t="s">
        <v>27</v>
      </c>
      <c r="C7" s="1">
        <v>1</v>
      </c>
      <c r="H7" s="2" t="s">
        <v>28</v>
      </c>
      <c r="I7" s="3">
        <f t="shared" ref="I7:L7" si="6">SUM(C3+C20+C46+C49+C54+C89+C90+C102+C112+C114+C129+C141)</f>
        <v>8</v>
      </c>
      <c r="J7" s="3">
        <f t="shared" si="6"/>
        <v>0</v>
      </c>
      <c r="K7" s="3">
        <f t="shared" si="6"/>
        <v>4</v>
      </c>
      <c r="L7" s="3">
        <f t="shared" si="6"/>
        <v>0</v>
      </c>
      <c r="M7" s="3">
        <f t="shared" si="1"/>
        <v>12</v>
      </c>
    </row>
    <row r="8" spans="1:13" ht="14.25" customHeight="1" x14ac:dyDescent="0.3">
      <c r="A8" s="1" t="s">
        <v>29</v>
      </c>
      <c r="B8" s="1" t="s">
        <v>30</v>
      </c>
      <c r="E8" s="1">
        <v>1</v>
      </c>
      <c r="H8" s="2" t="s">
        <v>27</v>
      </c>
      <c r="I8" s="3">
        <f t="shared" ref="I8:L8" si="7">SUM(C7+C30+C29+C44+C51+C60+C72+C79+C101+C99+C107+C111+C117+C140+C144)</f>
        <v>12</v>
      </c>
      <c r="J8" s="3">
        <f t="shared" si="7"/>
        <v>1</v>
      </c>
      <c r="K8" s="3">
        <f t="shared" si="7"/>
        <v>2</v>
      </c>
      <c r="L8" s="3">
        <f t="shared" si="7"/>
        <v>0</v>
      </c>
      <c r="M8" s="3">
        <f t="shared" si="1"/>
        <v>15</v>
      </c>
    </row>
    <row r="9" spans="1:13" ht="14.25" customHeight="1" x14ac:dyDescent="0.3">
      <c r="A9" s="1" t="s">
        <v>31</v>
      </c>
      <c r="B9" s="1" t="s">
        <v>13</v>
      </c>
      <c r="C9" s="1">
        <v>1</v>
      </c>
      <c r="H9" s="2" t="s">
        <v>13</v>
      </c>
      <c r="I9" s="3">
        <f t="shared" ref="I9:J9" si="8">SUM(C4+C9+C17+C19+C2+C48+C92+C120+C126+C127+C130+C133+C151)</f>
        <v>4</v>
      </c>
      <c r="J9" s="3">
        <f t="shared" si="8"/>
        <v>8</v>
      </c>
      <c r="K9" s="3">
        <f>SUM(D4+D9+D17+D19+D2+D48+D92+D120+D126+D127+D130+D133+D151)</f>
        <v>8</v>
      </c>
      <c r="L9" s="3">
        <f>SUM(F4+F9+F17+F19+F2+F48+F92+F120+F126+F127+F130+F133+F151)</f>
        <v>0</v>
      </c>
      <c r="M9" s="3">
        <f t="shared" si="1"/>
        <v>20</v>
      </c>
    </row>
    <row r="10" spans="1:13" ht="14.25" customHeight="1" x14ac:dyDescent="0.3">
      <c r="A10" s="1" t="s">
        <v>32</v>
      </c>
      <c r="B10" s="1" t="s">
        <v>33</v>
      </c>
      <c r="C10" s="1">
        <v>1</v>
      </c>
      <c r="H10" s="2" t="s">
        <v>30</v>
      </c>
      <c r="I10" s="3">
        <f t="shared" ref="I10:L10" si="9">SUM(C8+C13+C16+C25+C31+C35+C43+C45+C70+C71+C75+C81+C88+C93+C98+C100+C104+C118+C136+C137+C156)</f>
        <v>3</v>
      </c>
      <c r="J10" s="3">
        <f t="shared" si="9"/>
        <v>3</v>
      </c>
      <c r="K10" s="3">
        <f t="shared" si="9"/>
        <v>15</v>
      </c>
      <c r="L10" s="3">
        <f t="shared" si="9"/>
        <v>0</v>
      </c>
      <c r="M10" s="3">
        <f t="shared" si="1"/>
        <v>21</v>
      </c>
    </row>
    <row r="11" spans="1:13" ht="14.25" customHeight="1" x14ac:dyDescent="0.3">
      <c r="A11" s="1" t="s">
        <v>34</v>
      </c>
      <c r="B11" s="1" t="s">
        <v>33</v>
      </c>
      <c r="C11" s="1">
        <v>1</v>
      </c>
      <c r="H11" s="2" t="s">
        <v>35</v>
      </c>
      <c r="I11" s="3">
        <f t="shared" ref="I11:L11" si="10">SUM(C38+C42+C47+C53+C74+C77+C80+C91+C97+C103+C108+C116+C131+C145+C147)</f>
        <v>4</v>
      </c>
      <c r="J11" s="3">
        <f t="shared" si="10"/>
        <v>3</v>
      </c>
      <c r="K11" s="3">
        <f t="shared" si="10"/>
        <v>8</v>
      </c>
      <c r="L11" s="3">
        <f t="shared" si="10"/>
        <v>0</v>
      </c>
      <c r="M11" s="3">
        <f t="shared" si="1"/>
        <v>15</v>
      </c>
    </row>
    <row r="12" spans="1:13" ht="14.25" customHeight="1" x14ac:dyDescent="0.3">
      <c r="A12" s="1" t="s">
        <v>36</v>
      </c>
      <c r="B12" s="1" t="s">
        <v>37</v>
      </c>
      <c r="C12" s="1">
        <v>1</v>
      </c>
      <c r="H12" s="2" t="s">
        <v>38</v>
      </c>
      <c r="I12" s="3">
        <f t="shared" ref="I12:L12" si="11">SUM(C21+C24+C34+C40+C67+C84+C132)</f>
        <v>5</v>
      </c>
      <c r="J12" s="3">
        <f t="shared" si="11"/>
        <v>0</v>
      </c>
      <c r="K12" s="3">
        <f t="shared" si="11"/>
        <v>2</v>
      </c>
      <c r="L12" s="3">
        <f t="shared" si="11"/>
        <v>0</v>
      </c>
      <c r="M12" s="3">
        <f t="shared" si="1"/>
        <v>7</v>
      </c>
    </row>
    <row r="13" spans="1:13" ht="14.25" customHeight="1" x14ac:dyDescent="0.3">
      <c r="A13" s="1" t="s">
        <v>39</v>
      </c>
      <c r="B13" s="1" t="s">
        <v>30</v>
      </c>
      <c r="E13" s="1">
        <v>1</v>
      </c>
      <c r="H13" s="2" t="s">
        <v>33</v>
      </c>
      <c r="I13" s="3">
        <f t="shared" ref="I13:L13" si="12">SUM(C10+C11+C57+C125+C149)</f>
        <v>5</v>
      </c>
      <c r="J13" s="3">
        <f t="shared" si="12"/>
        <v>0</v>
      </c>
      <c r="K13" s="3">
        <f t="shared" si="12"/>
        <v>0</v>
      </c>
      <c r="L13" s="3">
        <f t="shared" si="12"/>
        <v>0</v>
      </c>
      <c r="M13" s="3">
        <f t="shared" si="1"/>
        <v>5</v>
      </c>
    </row>
    <row r="14" spans="1:13" ht="14.25" customHeight="1" x14ac:dyDescent="0.3">
      <c r="A14" s="1" t="s">
        <v>40</v>
      </c>
      <c r="B14" s="1" t="s">
        <v>19</v>
      </c>
      <c r="C14" s="1">
        <v>1</v>
      </c>
      <c r="I14" s="4"/>
      <c r="J14" s="4"/>
      <c r="K14" s="4"/>
      <c r="L14" s="4"/>
    </row>
    <row r="15" spans="1:13" ht="14.25" customHeight="1" x14ac:dyDescent="0.3">
      <c r="A15" s="1" t="s">
        <v>41</v>
      </c>
      <c r="B15" s="1" t="s">
        <v>42</v>
      </c>
      <c r="C15" s="1">
        <v>1</v>
      </c>
      <c r="I15" s="4"/>
      <c r="J15" s="4"/>
      <c r="K15" s="4"/>
      <c r="L15" s="4"/>
    </row>
    <row r="16" spans="1:13" ht="14.25" customHeight="1" x14ac:dyDescent="0.3">
      <c r="A16" s="1" t="s">
        <v>43</v>
      </c>
      <c r="B16" s="1" t="s">
        <v>30</v>
      </c>
      <c r="E16" s="1">
        <v>1</v>
      </c>
      <c r="I16" s="4"/>
      <c r="J16" s="4"/>
      <c r="K16" s="4"/>
      <c r="L16" s="4"/>
    </row>
    <row r="17" spans="1:12" ht="14.25" customHeight="1" x14ac:dyDescent="0.3">
      <c r="A17" s="1" t="s">
        <v>44</v>
      </c>
      <c r="B17" s="1" t="s">
        <v>13</v>
      </c>
      <c r="D17" s="1">
        <v>1</v>
      </c>
      <c r="I17" s="4"/>
      <c r="J17" s="4"/>
      <c r="K17" s="4"/>
      <c r="L17" s="4"/>
    </row>
    <row r="18" spans="1:12" ht="14.25" customHeight="1" x14ac:dyDescent="0.3">
      <c r="A18" s="1" t="s">
        <v>45</v>
      </c>
      <c r="B18" s="1" t="s">
        <v>37</v>
      </c>
      <c r="C18" s="1">
        <v>1</v>
      </c>
      <c r="I18" s="4"/>
      <c r="J18" s="4"/>
      <c r="K18" s="4"/>
      <c r="L18" s="4"/>
    </row>
    <row r="19" spans="1:12" ht="14.25" customHeight="1" x14ac:dyDescent="0.3">
      <c r="A19" s="1" t="s">
        <v>46</v>
      </c>
      <c r="B19" s="1" t="s">
        <v>13</v>
      </c>
      <c r="D19" s="1">
        <v>1</v>
      </c>
    </row>
    <row r="20" spans="1:12" ht="14.25" customHeight="1" x14ac:dyDescent="0.3">
      <c r="A20" s="1" t="s">
        <v>47</v>
      </c>
      <c r="B20" s="1" t="s">
        <v>16</v>
      </c>
      <c r="C20" s="1">
        <v>1</v>
      </c>
    </row>
    <row r="21" spans="1:12" ht="14.25" customHeight="1" x14ac:dyDescent="0.3">
      <c r="A21" s="1" t="s">
        <v>48</v>
      </c>
      <c r="B21" s="1" t="s">
        <v>38</v>
      </c>
      <c r="C21" s="1">
        <v>1</v>
      </c>
    </row>
    <row r="22" spans="1:12" ht="14.25" customHeight="1" x14ac:dyDescent="0.3">
      <c r="A22" s="1" t="s">
        <v>49</v>
      </c>
      <c r="B22" s="1" t="s">
        <v>14</v>
      </c>
      <c r="C22" s="1">
        <v>1</v>
      </c>
    </row>
    <row r="23" spans="1:12" ht="14.25" customHeight="1" x14ac:dyDescent="0.3">
      <c r="A23" s="1" t="s">
        <v>50</v>
      </c>
      <c r="B23" s="1" t="s">
        <v>13</v>
      </c>
      <c r="E23" s="1">
        <v>1</v>
      </c>
    </row>
    <row r="24" spans="1:12" ht="14.25" customHeight="1" x14ac:dyDescent="0.3">
      <c r="A24" s="1" t="s">
        <v>51</v>
      </c>
      <c r="B24" s="1" t="s">
        <v>38</v>
      </c>
      <c r="C24" s="1">
        <v>1</v>
      </c>
    </row>
    <row r="25" spans="1:12" ht="14.25" customHeight="1" x14ac:dyDescent="0.3">
      <c r="A25" s="1" t="s">
        <v>52</v>
      </c>
      <c r="B25" s="1" t="s">
        <v>30</v>
      </c>
      <c r="E25" s="1">
        <v>1</v>
      </c>
    </row>
    <row r="26" spans="1:12" ht="14.25" customHeight="1" x14ac:dyDescent="0.3">
      <c r="A26" s="1" t="s">
        <v>53</v>
      </c>
      <c r="B26" s="1" t="s">
        <v>19</v>
      </c>
      <c r="C26" s="1">
        <v>1</v>
      </c>
    </row>
    <row r="27" spans="1:12" ht="14.25" customHeight="1" x14ac:dyDescent="0.3">
      <c r="A27" s="1" t="s">
        <v>54</v>
      </c>
      <c r="B27" s="1" t="s">
        <v>19</v>
      </c>
      <c r="C27" s="1">
        <v>1</v>
      </c>
    </row>
    <row r="28" spans="1:12" ht="14.25" customHeight="1" x14ac:dyDescent="0.3">
      <c r="A28" s="1" t="s">
        <v>55</v>
      </c>
      <c r="B28" s="1" t="s">
        <v>37</v>
      </c>
      <c r="C28" s="1">
        <v>1</v>
      </c>
    </row>
    <row r="29" spans="1:12" ht="14.25" customHeight="1" x14ac:dyDescent="0.3">
      <c r="A29" s="1" t="s">
        <v>56</v>
      </c>
      <c r="B29" s="1" t="s">
        <v>27</v>
      </c>
      <c r="C29" s="1">
        <v>1</v>
      </c>
    </row>
    <row r="30" spans="1:12" ht="14.25" customHeight="1" x14ac:dyDescent="0.3">
      <c r="A30" s="1" t="s">
        <v>57</v>
      </c>
      <c r="B30" s="1" t="s">
        <v>27</v>
      </c>
      <c r="C30" s="1">
        <v>1</v>
      </c>
    </row>
    <row r="31" spans="1:12" ht="14.25" customHeight="1" x14ac:dyDescent="0.3">
      <c r="A31" s="1" t="s">
        <v>58</v>
      </c>
      <c r="B31" s="1" t="s">
        <v>30</v>
      </c>
      <c r="D31" s="1">
        <v>1</v>
      </c>
    </row>
    <row r="32" spans="1:12" ht="14.25" customHeight="1" x14ac:dyDescent="0.3">
      <c r="A32" s="1" t="s">
        <v>59</v>
      </c>
      <c r="B32" s="1" t="s">
        <v>24</v>
      </c>
      <c r="C32" s="1">
        <v>1</v>
      </c>
    </row>
    <row r="33" spans="1:12" ht="14.25" customHeight="1" x14ac:dyDescent="0.3">
      <c r="A33" s="1" t="s">
        <v>60</v>
      </c>
      <c r="B33" s="1" t="s">
        <v>27</v>
      </c>
      <c r="C33" s="1">
        <v>1</v>
      </c>
    </row>
    <row r="34" spans="1:12" ht="14.25" customHeight="1" x14ac:dyDescent="0.3">
      <c r="A34" s="1" t="s">
        <v>61</v>
      </c>
      <c r="B34" s="1" t="s">
        <v>38</v>
      </c>
      <c r="C34" s="1">
        <v>1</v>
      </c>
    </row>
    <row r="35" spans="1:12" ht="14.25" customHeight="1" x14ac:dyDescent="0.3">
      <c r="A35" s="1" t="s">
        <v>62</v>
      </c>
      <c r="B35" s="1" t="s">
        <v>30</v>
      </c>
      <c r="E35" s="1">
        <v>1</v>
      </c>
    </row>
    <row r="36" spans="1:12" ht="14.25" customHeight="1" x14ac:dyDescent="0.3">
      <c r="A36" s="1" t="s">
        <v>63</v>
      </c>
      <c r="B36" s="1" t="s">
        <v>21</v>
      </c>
      <c r="C36" s="1">
        <v>1</v>
      </c>
    </row>
    <row r="37" spans="1:12" ht="14.25" customHeight="1" x14ac:dyDescent="0.3">
      <c r="A37" s="1" t="s">
        <v>64</v>
      </c>
      <c r="B37" s="1" t="s">
        <v>14</v>
      </c>
      <c r="C37" s="1">
        <v>1</v>
      </c>
    </row>
    <row r="38" spans="1:12" ht="14.25" customHeight="1" x14ac:dyDescent="0.3">
      <c r="A38" s="1" t="s">
        <v>65</v>
      </c>
      <c r="B38" s="1" t="s">
        <v>66</v>
      </c>
      <c r="E38" s="1">
        <v>1</v>
      </c>
    </row>
    <row r="39" spans="1:12" ht="14.25" customHeight="1" x14ac:dyDescent="0.3">
      <c r="A39" s="1" t="s">
        <v>67</v>
      </c>
      <c r="B39" s="1" t="s">
        <v>16</v>
      </c>
      <c r="D39" s="1">
        <v>1</v>
      </c>
    </row>
    <row r="40" spans="1:12" ht="14.25" customHeight="1" x14ac:dyDescent="0.3">
      <c r="A40" s="1" t="s">
        <v>68</v>
      </c>
      <c r="B40" s="1" t="s">
        <v>38</v>
      </c>
      <c r="E40" s="1">
        <v>1</v>
      </c>
    </row>
    <row r="41" spans="1:12" ht="14.25" customHeight="1" x14ac:dyDescent="0.3">
      <c r="A41" s="1" t="s">
        <v>69</v>
      </c>
      <c r="B41" s="1" t="s">
        <v>37</v>
      </c>
      <c r="C41" s="1">
        <v>1</v>
      </c>
    </row>
    <row r="42" spans="1:12" ht="14.25" customHeight="1" x14ac:dyDescent="0.3">
      <c r="A42" s="1" t="s">
        <v>70</v>
      </c>
      <c r="B42" s="1" t="s">
        <v>66</v>
      </c>
      <c r="D42" s="1">
        <v>1</v>
      </c>
    </row>
    <row r="43" spans="1:12" ht="14.25" customHeight="1" x14ac:dyDescent="0.3">
      <c r="A43" s="1" t="s">
        <v>71</v>
      </c>
      <c r="B43" s="1" t="s">
        <v>30</v>
      </c>
      <c r="E43" s="1">
        <v>1</v>
      </c>
    </row>
    <row r="44" spans="1:12" ht="14.25" customHeight="1" x14ac:dyDescent="0.3">
      <c r="A44" s="1" t="s">
        <v>72</v>
      </c>
      <c r="B44" s="1" t="s">
        <v>27</v>
      </c>
      <c r="C44" s="1">
        <v>1</v>
      </c>
    </row>
    <row r="45" spans="1:12" ht="14.25" customHeight="1" x14ac:dyDescent="0.3">
      <c r="A45" s="1" t="s">
        <v>73</v>
      </c>
      <c r="B45" s="1" t="s">
        <v>30</v>
      </c>
      <c r="C45" s="1">
        <v>1</v>
      </c>
      <c r="H45" s="1" t="s">
        <v>6</v>
      </c>
      <c r="I45" s="1" t="s">
        <v>7</v>
      </c>
      <c r="J45" s="1" t="s">
        <v>8</v>
      </c>
      <c r="K45" s="1" t="s">
        <v>9</v>
      </c>
      <c r="L45" s="1" t="s">
        <v>10</v>
      </c>
    </row>
    <row r="46" spans="1:12" ht="14.25" customHeight="1" x14ac:dyDescent="0.3">
      <c r="A46" s="1" t="s">
        <v>74</v>
      </c>
      <c r="B46" s="1" t="s">
        <v>16</v>
      </c>
      <c r="E46" s="1">
        <v>1</v>
      </c>
      <c r="H46" s="2" t="s">
        <v>14</v>
      </c>
      <c r="I46" s="4">
        <f t="shared" ref="I46:I57" si="13">I2/M2</f>
        <v>1</v>
      </c>
      <c r="J46" s="4">
        <f t="shared" ref="J46:J57" si="14">J2/M2</f>
        <v>0</v>
      </c>
      <c r="K46" s="4">
        <f t="shared" ref="K46:K57" si="15">K2/M2</f>
        <v>0</v>
      </c>
      <c r="L46" s="4">
        <f t="shared" ref="L46:L57" si="16">L2/M2</f>
        <v>0</v>
      </c>
    </row>
    <row r="47" spans="1:12" ht="14.25" customHeight="1" x14ac:dyDescent="0.3">
      <c r="A47" s="1" t="s">
        <v>75</v>
      </c>
      <c r="B47" s="1" t="s">
        <v>66</v>
      </c>
      <c r="C47" s="1">
        <v>1</v>
      </c>
      <c r="H47" s="2" t="s">
        <v>17</v>
      </c>
      <c r="I47" s="4">
        <f t="shared" si="13"/>
        <v>1</v>
      </c>
      <c r="J47" s="4">
        <f t="shared" si="14"/>
        <v>0</v>
      </c>
      <c r="K47" s="4">
        <f t="shared" si="15"/>
        <v>0</v>
      </c>
      <c r="L47" s="4">
        <f t="shared" si="16"/>
        <v>0</v>
      </c>
    </row>
    <row r="48" spans="1:12" ht="14.25" customHeight="1" x14ac:dyDescent="0.3">
      <c r="A48" s="1" t="s">
        <v>76</v>
      </c>
      <c r="B48" s="1" t="s">
        <v>13</v>
      </c>
      <c r="C48" s="1">
        <v>1</v>
      </c>
      <c r="H48" s="2" t="s">
        <v>19</v>
      </c>
      <c r="I48" s="4">
        <f t="shared" si="13"/>
        <v>1</v>
      </c>
      <c r="J48" s="4">
        <f t="shared" si="14"/>
        <v>0</v>
      </c>
      <c r="K48" s="4">
        <f t="shared" si="15"/>
        <v>0</v>
      </c>
      <c r="L48" s="4">
        <f t="shared" si="16"/>
        <v>0</v>
      </c>
    </row>
    <row r="49" spans="1:12" ht="14.25" customHeight="1" x14ac:dyDescent="0.3">
      <c r="A49" s="1" t="s">
        <v>77</v>
      </c>
      <c r="B49" s="1" t="s">
        <v>16</v>
      </c>
      <c r="C49" s="1">
        <v>1</v>
      </c>
      <c r="H49" s="2" t="s">
        <v>22</v>
      </c>
      <c r="I49" s="4">
        <f t="shared" si="13"/>
        <v>0.88888888888888884</v>
      </c>
      <c r="J49" s="4">
        <f t="shared" si="14"/>
        <v>0</v>
      </c>
      <c r="K49" s="4">
        <f t="shared" si="15"/>
        <v>0</v>
      </c>
      <c r="L49" s="4">
        <f t="shared" si="16"/>
        <v>0.1111111111111111</v>
      </c>
    </row>
    <row r="50" spans="1:12" ht="14.25" customHeight="1" x14ac:dyDescent="0.3">
      <c r="A50" s="1" t="s">
        <v>78</v>
      </c>
      <c r="B50" s="1" t="s">
        <v>24</v>
      </c>
      <c r="C50" s="1">
        <v>1</v>
      </c>
      <c r="H50" s="2" t="s">
        <v>25</v>
      </c>
      <c r="I50" s="4">
        <f t="shared" si="13"/>
        <v>1</v>
      </c>
      <c r="J50" s="4">
        <f t="shared" si="14"/>
        <v>0</v>
      </c>
      <c r="K50" s="4">
        <f t="shared" si="15"/>
        <v>0</v>
      </c>
      <c r="L50" s="4">
        <f t="shared" si="16"/>
        <v>0</v>
      </c>
    </row>
    <row r="51" spans="1:12" ht="14.25" customHeight="1" x14ac:dyDescent="0.3">
      <c r="A51" s="1" t="s">
        <v>79</v>
      </c>
      <c r="B51" s="1" t="s">
        <v>27</v>
      </c>
      <c r="C51" s="1">
        <v>1</v>
      </c>
      <c r="H51" s="2" t="s">
        <v>28</v>
      </c>
      <c r="I51" s="4">
        <f t="shared" si="13"/>
        <v>0.66666666666666663</v>
      </c>
      <c r="J51" s="4">
        <f t="shared" si="14"/>
        <v>0</v>
      </c>
      <c r="K51" s="4">
        <f t="shared" si="15"/>
        <v>0.33333333333333331</v>
      </c>
      <c r="L51" s="4">
        <f t="shared" si="16"/>
        <v>0</v>
      </c>
    </row>
    <row r="52" spans="1:12" ht="14.25" customHeight="1" x14ac:dyDescent="0.3">
      <c r="A52" s="1" t="s">
        <v>80</v>
      </c>
      <c r="B52" s="1" t="s">
        <v>24</v>
      </c>
      <c r="C52" s="1">
        <v>1</v>
      </c>
      <c r="H52" s="2" t="s">
        <v>27</v>
      </c>
      <c r="I52" s="4">
        <f t="shared" si="13"/>
        <v>0.8</v>
      </c>
      <c r="J52" s="4">
        <f t="shared" si="14"/>
        <v>6.6666666666666666E-2</v>
      </c>
      <c r="K52" s="4">
        <f t="shared" si="15"/>
        <v>0.13333333333333333</v>
      </c>
      <c r="L52" s="4">
        <f t="shared" si="16"/>
        <v>0</v>
      </c>
    </row>
    <row r="53" spans="1:12" ht="14.25" customHeight="1" x14ac:dyDescent="0.3">
      <c r="A53" s="1" t="s">
        <v>81</v>
      </c>
      <c r="B53" s="1" t="s">
        <v>66</v>
      </c>
      <c r="E53" s="1">
        <v>1</v>
      </c>
      <c r="H53" s="2" t="s">
        <v>13</v>
      </c>
      <c r="I53" s="4">
        <f t="shared" si="13"/>
        <v>0.2</v>
      </c>
      <c r="J53" s="4">
        <f t="shared" si="14"/>
        <v>0.4</v>
      </c>
      <c r="K53" s="4">
        <f t="shared" si="15"/>
        <v>0.4</v>
      </c>
      <c r="L53" s="4">
        <f t="shared" si="16"/>
        <v>0</v>
      </c>
    </row>
    <row r="54" spans="1:12" ht="14.25" customHeight="1" x14ac:dyDescent="0.3">
      <c r="A54" s="1" t="s">
        <v>82</v>
      </c>
      <c r="B54" s="1" t="s">
        <v>16</v>
      </c>
      <c r="C54" s="1">
        <v>1</v>
      </c>
      <c r="H54" s="2" t="s">
        <v>30</v>
      </c>
      <c r="I54" s="4">
        <f t="shared" si="13"/>
        <v>0.14285714285714285</v>
      </c>
      <c r="J54" s="4">
        <f t="shared" si="14"/>
        <v>0.14285714285714285</v>
      </c>
      <c r="K54" s="4">
        <f t="shared" si="15"/>
        <v>0.7142857142857143</v>
      </c>
      <c r="L54" s="4">
        <f t="shared" si="16"/>
        <v>0</v>
      </c>
    </row>
    <row r="55" spans="1:12" ht="14.25" customHeight="1" x14ac:dyDescent="0.3">
      <c r="A55" s="1" t="s">
        <v>83</v>
      </c>
      <c r="B55" s="1" t="s">
        <v>14</v>
      </c>
      <c r="C55" s="1">
        <v>1</v>
      </c>
      <c r="H55" s="2" t="s">
        <v>35</v>
      </c>
      <c r="I55" s="4">
        <f t="shared" si="13"/>
        <v>0.26666666666666666</v>
      </c>
      <c r="J55" s="4">
        <f t="shared" si="14"/>
        <v>0.2</v>
      </c>
      <c r="K55" s="4">
        <f t="shared" si="15"/>
        <v>0.53333333333333333</v>
      </c>
      <c r="L55" s="4">
        <f t="shared" si="16"/>
        <v>0</v>
      </c>
    </row>
    <row r="56" spans="1:12" ht="14.25" customHeight="1" x14ac:dyDescent="0.3">
      <c r="A56" s="1" t="s">
        <v>84</v>
      </c>
      <c r="B56" s="1" t="s">
        <v>21</v>
      </c>
      <c r="C56" s="1">
        <v>1</v>
      </c>
      <c r="H56" s="2" t="s">
        <v>38</v>
      </c>
      <c r="I56" s="4">
        <f t="shared" si="13"/>
        <v>0.7142857142857143</v>
      </c>
      <c r="J56" s="4">
        <f t="shared" si="14"/>
        <v>0</v>
      </c>
      <c r="K56" s="4">
        <f t="shared" si="15"/>
        <v>0.2857142857142857</v>
      </c>
      <c r="L56" s="4">
        <f t="shared" si="16"/>
        <v>0</v>
      </c>
    </row>
    <row r="57" spans="1:12" ht="14.25" customHeight="1" x14ac:dyDescent="0.3">
      <c r="A57" s="1" t="s">
        <v>85</v>
      </c>
      <c r="B57" s="1" t="s">
        <v>33</v>
      </c>
      <c r="C57" s="1">
        <v>1</v>
      </c>
      <c r="H57" s="2" t="s">
        <v>33</v>
      </c>
      <c r="I57" s="4">
        <f t="shared" si="13"/>
        <v>1</v>
      </c>
      <c r="J57" s="4">
        <f t="shared" si="14"/>
        <v>0</v>
      </c>
      <c r="K57" s="4">
        <f t="shared" si="15"/>
        <v>0</v>
      </c>
      <c r="L57" s="4">
        <f t="shared" si="16"/>
        <v>0</v>
      </c>
    </row>
    <row r="58" spans="1:12" ht="14.25" customHeight="1" x14ac:dyDescent="0.3">
      <c r="A58" s="1" t="s">
        <v>86</v>
      </c>
      <c r="B58" s="1" t="s">
        <v>24</v>
      </c>
      <c r="C58" s="1">
        <v>1</v>
      </c>
    </row>
    <row r="59" spans="1:12" ht="14.25" customHeight="1" x14ac:dyDescent="0.3">
      <c r="A59" s="1" t="s">
        <v>87</v>
      </c>
      <c r="B59" s="1" t="s">
        <v>37</v>
      </c>
      <c r="C59" s="1">
        <v>1</v>
      </c>
    </row>
    <row r="60" spans="1:12" ht="14.25" customHeight="1" x14ac:dyDescent="0.3">
      <c r="A60" s="1" t="s">
        <v>88</v>
      </c>
      <c r="B60" s="1" t="s">
        <v>27</v>
      </c>
      <c r="C60" s="1">
        <v>1</v>
      </c>
    </row>
    <row r="61" spans="1:12" ht="14.25" customHeight="1" x14ac:dyDescent="0.3">
      <c r="A61" s="1" t="s">
        <v>89</v>
      </c>
      <c r="B61" s="1" t="s">
        <v>13</v>
      </c>
      <c r="C61" s="1">
        <v>1</v>
      </c>
    </row>
    <row r="62" spans="1:12" ht="14.25" customHeight="1" x14ac:dyDescent="0.3">
      <c r="A62" s="1" t="s">
        <v>90</v>
      </c>
      <c r="B62" s="1" t="s">
        <v>19</v>
      </c>
      <c r="C62" s="1">
        <v>1</v>
      </c>
    </row>
    <row r="63" spans="1:12" ht="14.25" customHeight="1" x14ac:dyDescent="0.3">
      <c r="A63" s="1" t="s">
        <v>91</v>
      </c>
      <c r="B63" s="1" t="s">
        <v>21</v>
      </c>
      <c r="F63" s="1">
        <v>1</v>
      </c>
    </row>
    <row r="64" spans="1:12" ht="14.25" customHeight="1" x14ac:dyDescent="0.3">
      <c r="A64" s="1" t="s">
        <v>92</v>
      </c>
      <c r="B64" s="1" t="s">
        <v>42</v>
      </c>
      <c r="C64" s="1">
        <v>1</v>
      </c>
    </row>
    <row r="65" spans="1:5" ht="14.25" customHeight="1" x14ac:dyDescent="0.3">
      <c r="A65" s="1" t="s">
        <v>93</v>
      </c>
      <c r="B65" s="1" t="s">
        <v>14</v>
      </c>
      <c r="C65" s="1">
        <v>1</v>
      </c>
    </row>
    <row r="66" spans="1:5" ht="14.25" customHeight="1" x14ac:dyDescent="0.3">
      <c r="A66" s="1" t="s">
        <v>94</v>
      </c>
      <c r="B66" s="1" t="s">
        <v>14</v>
      </c>
      <c r="C66" s="1">
        <v>1</v>
      </c>
    </row>
    <row r="67" spans="1:5" ht="14.25" customHeight="1" x14ac:dyDescent="0.3">
      <c r="A67" s="1" t="s">
        <v>95</v>
      </c>
      <c r="B67" s="1" t="s">
        <v>38</v>
      </c>
      <c r="E67" s="1">
        <v>1</v>
      </c>
    </row>
    <row r="68" spans="1:5" ht="14.25" customHeight="1" x14ac:dyDescent="0.3">
      <c r="A68" s="1" t="s">
        <v>96</v>
      </c>
      <c r="B68" s="1" t="s">
        <v>19</v>
      </c>
      <c r="C68" s="1">
        <v>1</v>
      </c>
    </row>
    <row r="69" spans="1:5" ht="14.25" customHeight="1" x14ac:dyDescent="0.3">
      <c r="A69" s="1" t="s">
        <v>97</v>
      </c>
      <c r="B69" s="1" t="s">
        <v>24</v>
      </c>
      <c r="C69" s="1">
        <v>1</v>
      </c>
    </row>
    <row r="70" spans="1:5" ht="14.25" customHeight="1" x14ac:dyDescent="0.3">
      <c r="A70" s="1" t="s">
        <v>98</v>
      </c>
      <c r="B70" s="1" t="s">
        <v>30</v>
      </c>
      <c r="E70" s="1">
        <v>1</v>
      </c>
    </row>
    <row r="71" spans="1:5" ht="14.25" customHeight="1" x14ac:dyDescent="0.3">
      <c r="A71" s="1" t="s">
        <v>99</v>
      </c>
      <c r="B71" s="1" t="s">
        <v>30</v>
      </c>
      <c r="E71" s="1">
        <v>1</v>
      </c>
    </row>
    <row r="72" spans="1:5" ht="14.25" customHeight="1" x14ac:dyDescent="0.3">
      <c r="A72" s="1" t="s">
        <v>100</v>
      </c>
      <c r="B72" s="1" t="s">
        <v>27</v>
      </c>
      <c r="D72" s="1">
        <v>1</v>
      </c>
    </row>
    <row r="73" spans="1:5" ht="14.25" customHeight="1" x14ac:dyDescent="0.3">
      <c r="A73" s="1" t="s">
        <v>101</v>
      </c>
      <c r="B73" s="1" t="s">
        <v>21</v>
      </c>
      <c r="C73" s="1">
        <v>1</v>
      </c>
    </row>
    <row r="74" spans="1:5" ht="14.25" customHeight="1" x14ac:dyDescent="0.3">
      <c r="A74" s="1" t="s">
        <v>102</v>
      </c>
      <c r="B74" s="1" t="s">
        <v>66</v>
      </c>
      <c r="E74" s="1">
        <v>1</v>
      </c>
    </row>
    <row r="75" spans="1:5" ht="14.25" customHeight="1" x14ac:dyDescent="0.3">
      <c r="A75" s="1" t="s">
        <v>103</v>
      </c>
      <c r="B75" s="1" t="s">
        <v>30</v>
      </c>
      <c r="E75" s="1">
        <v>1</v>
      </c>
    </row>
    <row r="76" spans="1:5" ht="14.25" customHeight="1" x14ac:dyDescent="0.3">
      <c r="A76" s="1" t="s">
        <v>104</v>
      </c>
      <c r="B76" s="1" t="s">
        <v>24</v>
      </c>
      <c r="C76" s="1">
        <v>1</v>
      </c>
    </row>
    <row r="77" spans="1:5" ht="14.25" customHeight="1" x14ac:dyDescent="0.3">
      <c r="A77" s="1" t="s">
        <v>105</v>
      </c>
      <c r="B77" s="1" t="s">
        <v>66</v>
      </c>
      <c r="C77" s="1">
        <v>1</v>
      </c>
    </row>
    <row r="78" spans="1:5" ht="14.25" customHeight="1" x14ac:dyDescent="0.3">
      <c r="A78" s="1" t="s">
        <v>106</v>
      </c>
      <c r="B78" s="1" t="s">
        <v>42</v>
      </c>
      <c r="C78" s="1">
        <v>1</v>
      </c>
    </row>
    <row r="79" spans="1:5" ht="14.25" customHeight="1" x14ac:dyDescent="0.3">
      <c r="A79" s="1" t="s">
        <v>107</v>
      </c>
      <c r="B79" s="1" t="s">
        <v>27</v>
      </c>
      <c r="C79" s="1">
        <v>1</v>
      </c>
    </row>
    <row r="80" spans="1:5" ht="14.25" customHeight="1" x14ac:dyDescent="0.3">
      <c r="A80" s="1" t="s">
        <v>108</v>
      </c>
      <c r="B80" s="1" t="s">
        <v>66</v>
      </c>
      <c r="E80" s="1">
        <v>1</v>
      </c>
    </row>
    <row r="81" spans="1:5" ht="14.25" customHeight="1" x14ac:dyDescent="0.3">
      <c r="A81" s="1" t="s">
        <v>109</v>
      </c>
      <c r="B81" s="1" t="s">
        <v>30</v>
      </c>
      <c r="E81" s="1">
        <v>1</v>
      </c>
    </row>
    <row r="82" spans="1:5" ht="14.25" customHeight="1" x14ac:dyDescent="0.3">
      <c r="A82" s="1" t="s">
        <v>110</v>
      </c>
      <c r="B82" s="1" t="s">
        <v>37</v>
      </c>
      <c r="C82" s="1">
        <v>1</v>
      </c>
    </row>
    <row r="83" spans="1:5" ht="14.25" customHeight="1" x14ac:dyDescent="0.3">
      <c r="A83" s="1" t="s">
        <v>111</v>
      </c>
      <c r="B83" s="1" t="s">
        <v>37</v>
      </c>
      <c r="C83" s="1">
        <v>1</v>
      </c>
    </row>
    <row r="84" spans="1:5" ht="14.25" customHeight="1" x14ac:dyDescent="0.3">
      <c r="A84" s="1" t="s">
        <v>112</v>
      </c>
      <c r="B84" s="1" t="s">
        <v>38</v>
      </c>
      <c r="C84" s="1">
        <v>1</v>
      </c>
    </row>
    <row r="85" spans="1:5" ht="14.25" customHeight="1" x14ac:dyDescent="0.3">
      <c r="A85" s="1" t="s">
        <v>113</v>
      </c>
      <c r="B85" s="1" t="s">
        <v>21</v>
      </c>
      <c r="C85" s="1">
        <v>1</v>
      </c>
    </row>
    <row r="86" spans="1:5" ht="14.25" customHeight="1" x14ac:dyDescent="0.3">
      <c r="A86" s="1" t="s">
        <v>114</v>
      </c>
      <c r="B86" s="1" t="s">
        <v>42</v>
      </c>
      <c r="C86" s="1">
        <v>1</v>
      </c>
    </row>
    <row r="87" spans="1:5" ht="14.25" customHeight="1" x14ac:dyDescent="0.3">
      <c r="A87" s="1" t="s">
        <v>115</v>
      </c>
      <c r="B87" s="1" t="s">
        <v>21</v>
      </c>
      <c r="C87" s="1">
        <v>1</v>
      </c>
    </row>
    <row r="88" spans="1:5" ht="14.25" customHeight="1" x14ac:dyDescent="0.3">
      <c r="A88" s="1" t="s">
        <v>116</v>
      </c>
      <c r="B88" s="1" t="s">
        <v>30</v>
      </c>
      <c r="D88" s="1">
        <v>1</v>
      </c>
    </row>
    <row r="89" spans="1:5" ht="14.25" customHeight="1" x14ac:dyDescent="0.3">
      <c r="A89" s="1" t="s">
        <v>117</v>
      </c>
      <c r="B89" s="1" t="s">
        <v>16</v>
      </c>
      <c r="C89" s="1">
        <v>1</v>
      </c>
    </row>
    <row r="90" spans="1:5" ht="14.25" customHeight="1" x14ac:dyDescent="0.3">
      <c r="A90" s="1" t="s">
        <v>118</v>
      </c>
      <c r="B90" s="1" t="s">
        <v>16</v>
      </c>
      <c r="E90" s="1">
        <v>1</v>
      </c>
    </row>
    <row r="91" spans="1:5" ht="14.25" customHeight="1" x14ac:dyDescent="0.3">
      <c r="A91" s="1" t="s">
        <v>119</v>
      </c>
      <c r="B91" s="1" t="s">
        <v>66</v>
      </c>
      <c r="D91" s="1">
        <v>1</v>
      </c>
    </row>
    <row r="92" spans="1:5" ht="14.25" customHeight="1" x14ac:dyDescent="0.3">
      <c r="A92" s="1" t="s">
        <v>120</v>
      </c>
      <c r="B92" s="1" t="s">
        <v>13</v>
      </c>
      <c r="E92" s="1">
        <v>1</v>
      </c>
    </row>
    <row r="93" spans="1:5" ht="14.25" customHeight="1" x14ac:dyDescent="0.3">
      <c r="A93" s="1" t="s">
        <v>121</v>
      </c>
      <c r="B93" s="1" t="s">
        <v>30</v>
      </c>
      <c r="E93" s="1">
        <v>1</v>
      </c>
    </row>
    <row r="94" spans="1:5" ht="14.25" customHeight="1" x14ac:dyDescent="0.3">
      <c r="A94" s="1" t="s">
        <v>122</v>
      </c>
      <c r="B94" s="1" t="s">
        <v>24</v>
      </c>
      <c r="C94" s="1">
        <v>1</v>
      </c>
    </row>
    <row r="95" spans="1:5" ht="14.25" customHeight="1" x14ac:dyDescent="0.3">
      <c r="A95" s="1" t="s">
        <v>123</v>
      </c>
      <c r="B95" s="1" t="s">
        <v>21</v>
      </c>
      <c r="C95" s="1">
        <v>1</v>
      </c>
    </row>
    <row r="96" spans="1:5" ht="14.25" customHeight="1" x14ac:dyDescent="0.3">
      <c r="A96" s="1" t="s">
        <v>124</v>
      </c>
      <c r="B96" s="1" t="s">
        <v>14</v>
      </c>
      <c r="C96" s="1">
        <v>1</v>
      </c>
    </row>
    <row r="97" spans="1:5" ht="14.25" customHeight="1" x14ac:dyDescent="0.3">
      <c r="A97" s="1" t="s">
        <v>125</v>
      </c>
      <c r="B97" s="1" t="s">
        <v>66</v>
      </c>
      <c r="C97" s="1">
        <v>1</v>
      </c>
    </row>
    <row r="98" spans="1:5" ht="14.25" customHeight="1" x14ac:dyDescent="0.3">
      <c r="A98" s="1" t="s">
        <v>126</v>
      </c>
      <c r="B98" s="1" t="s">
        <v>30</v>
      </c>
      <c r="D98" s="1">
        <v>1</v>
      </c>
    </row>
    <row r="99" spans="1:5" ht="14.25" customHeight="1" x14ac:dyDescent="0.3">
      <c r="A99" s="1" t="s">
        <v>127</v>
      </c>
      <c r="B99" s="1" t="s">
        <v>27</v>
      </c>
      <c r="E99" s="1">
        <v>1</v>
      </c>
    </row>
    <row r="100" spans="1:5" ht="14.25" customHeight="1" x14ac:dyDescent="0.3">
      <c r="A100" s="1" t="s">
        <v>128</v>
      </c>
      <c r="B100" s="1" t="s">
        <v>30</v>
      </c>
      <c r="E100" s="1">
        <v>1</v>
      </c>
    </row>
    <row r="101" spans="1:5" ht="14.25" customHeight="1" x14ac:dyDescent="0.3">
      <c r="A101" s="1" t="s">
        <v>129</v>
      </c>
      <c r="B101" s="1" t="s">
        <v>27</v>
      </c>
      <c r="C101" s="1">
        <v>1</v>
      </c>
    </row>
    <row r="102" spans="1:5" ht="14.25" customHeight="1" x14ac:dyDescent="0.3">
      <c r="A102" s="1" t="s">
        <v>130</v>
      </c>
      <c r="B102" s="1" t="s">
        <v>16</v>
      </c>
      <c r="C102" s="1">
        <v>1</v>
      </c>
    </row>
    <row r="103" spans="1:5" ht="14.25" customHeight="1" x14ac:dyDescent="0.3">
      <c r="A103" s="1" t="s">
        <v>131</v>
      </c>
      <c r="B103" s="1" t="s">
        <v>66</v>
      </c>
      <c r="E103" s="1">
        <v>1</v>
      </c>
    </row>
    <row r="104" spans="1:5" ht="14.25" customHeight="1" x14ac:dyDescent="0.3">
      <c r="A104" s="1" t="s">
        <v>132</v>
      </c>
      <c r="B104" s="1" t="s">
        <v>30</v>
      </c>
      <c r="E104" s="1">
        <v>1</v>
      </c>
    </row>
    <row r="105" spans="1:5" ht="14.25" customHeight="1" x14ac:dyDescent="0.3">
      <c r="A105" s="1" t="s">
        <v>133</v>
      </c>
      <c r="B105" s="1" t="s">
        <v>14</v>
      </c>
      <c r="C105" s="1">
        <v>1</v>
      </c>
    </row>
    <row r="106" spans="1:5" ht="14.25" customHeight="1" x14ac:dyDescent="0.3">
      <c r="A106" s="1" t="s">
        <v>134</v>
      </c>
      <c r="B106" s="1" t="s">
        <v>42</v>
      </c>
      <c r="C106" s="1">
        <v>1</v>
      </c>
    </row>
    <row r="107" spans="1:5" ht="14.25" customHeight="1" x14ac:dyDescent="0.3">
      <c r="A107" s="1" t="s">
        <v>135</v>
      </c>
      <c r="B107" s="1" t="s">
        <v>27</v>
      </c>
      <c r="E107" s="1">
        <v>1</v>
      </c>
    </row>
    <row r="108" spans="1:5" ht="14.25" customHeight="1" x14ac:dyDescent="0.3">
      <c r="A108" s="1" t="s">
        <v>136</v>
      </c>
      <c r="B108" s="1" t="s">
        <v>66</v>
      </c>
      <c r="E108" s="1">
        <v>1</v>
      </c>
    </row>
    <row r="109" spans="1:5" ht="14.25" customHeight="1" x14ac:dyDescent="0.3">
      <c r="A109" s="1" t="s">
        <v>137</v>
      </c>
      <c r="B109" s="1" t="s">
        <v>13</v>
      </c>
      <c r="C109" s="1">
        <v>1</v>
      </c>
    </row>
    <row r="110" spans="1:5" ht="14.25" customHeight="1" x14ac:dyDescent="0.3">
      <c r="A110" s="1" t="s">
        <v>138</v>
      </c>
      <c r="B110" s="1" t="s">
        <v>42</v>
      </c>
      <c r="C110" s="1">
        <v>1</v>
      </c>
    </row>
    <row r="111" spans="1:5" ht="14.25" customHeight="1" x14ac:dyDescent="0.3">
      <c r="A111" s="1" t="s">
        <v>139</v>
      </c>
      <c r="B111" s="1" t="s">
        <v>27</v>
      </c>
      <c r="C111" s="1">
        <v>1</v>
      </c>
    </row>
    <row r="112" spans="1:5" ht="14.25" customHeight="1" x14ac:dyDescent="0.3">
      <c r="A112" s="1" t="s">
        <v>140</v>
      </c>
      <c r="B112" s="1" t="s">
        <v>16</v>
      </c>
      <c r="C112" s="1">
        <v>1</v>
      </c>
    </row>
    <row r="113" spans="1:6" ht="14.25" customHeight="1" x14ac:dyDescent="0.3">
      <c r="A113" s="1" t="s">
        <v>141</v>
      </c>
      <c r="B113" s="1" t="s">
        <v>14</v>
      </c>
      <c r="C113" s="1">
        <v>1</v>
      </c>
    </row>
    <row r="114" spans="1:6" ht="14.25" customHeight="1" x14ac:dyDescent="0.3">
      <c r="A114" s="1" t="s">
        <v>142</v>
      </c>
      <c r="B114" s="1" t="s">
        <v>16</v>
      </c>
      <c r="E114" s="1">
        <v>1</v>
      </c>
    </row>
    <row r="115" spans="1:6" ht="14.25" customHeight="1" x14ac:dyDescent="0.3">
      <c r="A115" s="1" t="s">
        <v>143</v>
      </c>
      <c r="B115" s="1" t="s">
        <v>24</v>
      </c>
      <c r="C115" s="1">
        <v>1</v>
      </c>
    </row>
    <row r="116" spans="1:6" ht="14.25" customHeight="1" x14ac:dyDescent="0.3">
      <c r="A116" s="1" t="s">
        <v>144</v>
      </c>
      <c r="B116" s="1" t="s">
        <v>66</v>
      </c>
      <c r="E116" s="1">
        <v>1</v>
      </c>
    </row>
    <row r="117" spans="1:6" ht="14.25" customHeight="1" x14ac:dyDescent="0.3">
      <c r="A117" s="1" t="s">
        <v>145</v>
      </c>
      <c r="B117" s="1" t="s">
        <v>27</v>
      </c>
      <c r="C117" s="1">
        <v>1</v>
      </c>
    </row>
    <row r="118" spans="1:6" ht="14.25" customHeight="1" x14ac:dyDescent="0.3">
      <c r="A118" s="1" t="s">
        <v>146</v>
      </c>
      <c r="B118" s="1" t="s">
        <v>30</v>
      </c>
      <c r="C118" s="1">
        <v>1</v>
      </c>
    </row>
    <row r="119" spans="1:6" ht="14.25" customHeight="1" x14ac:dyDescent="0.3">
      <c r="A119" s="1" t="s">
        <v>147</v>
      </c>
      <c r="B119" s="1" t="s">
        <v>42</v>
      </c>
      <c r="C119" s="1">
        <v>1</v>
      </c>
    </row>
    <row r="120" spans="1:6" ht="14.25" customHeight="1" x14ac:dyDescent="0.3">
      <c r="A120" s="1" t="s">
        <v>148</v>
      </c>
      <c r="B120" s="1" t="s">
        <v>13</v>
      </c>
      <c r="D120" s="1">
        <v>1</v>
      </c>
    </row>
    <row r="121" spans="1:6" ht="14.25" customHeight="1" x14ac:dyDescent="0.3">
      <c r="A121" s="1" t="s">
        <v>149</v>
      </c>
      <c r="B121" s="1" t="s">
        <v>150</v>
      </c>
      <c r="F121" s="1">
        <v>1</v>
      </c>
    </row>
    <row r="122" spans="1:6" ht="14.25" customHeight="1" x14ac:dyDescent="0.3">
      <c r="A122" s="1" t="s">
        <v>151</v>
      </c>
      <c r="B122" s="1" t="s">
        <v>24</v>
      </c>
      <c r="C122" s="1">
        <v>1</v>
      </c>
    </row>
    <row r="123" spans="1:6" ht="14.25" customHeight="1" x14ac:dyDescent="0.3">
      <c r="A123" s="1" t="s">
        <v>152</v>
      </c>
      <c r="B123" s="1" t="s">
        <v>24</v>
      </c>
      <c r="C123" s="1">
        <v>1</v>
      </c>
    </row>
    <row r="124" spans="1:6" ht="14.25" customHeight="1" x14ac:dyDescent="0.3">
      <c r="A124" s="1" t="s">
        <v>153</v>
      </c>
      <c r="B124" s="1" t="s">
        <v>19</v>
      </c>
      <c r="C124" s="1">
        <v>1</v>
      </c>
    </row>
    <row r="125" spans="1:6" ht="14.25" customHeight="1" x14ac:dyDescent="0.3">
      <c r="A125" s="1" t="s">
        <v>154</v>
      </c>
      <c r="B125" s="1" t="s">
        <v>33</v>
      </c>
      <c r="C125" s="1">
        <v>1</v>
      </c>
    </row>
    <row r="126" spans="1:6" ht="14.25" customHeight="1" x14ac:dyDescent="0.3">
      <c r="A126" s="1" t="s">
        <v>155</v>
      </c>
      <c r="B126" s="1" t="s">
        <v>13</v>
      </c>
      <c r="D126" s="1">
        <v>1</v>
      </c>
    </row>
    <row r="127" spans="1:6" ht="14.25" customHeight="1" x14ac:dyDescent="0.3">
      <c r="A127" s="1" t="s">
        <v>156</v>
      </c>
      <c r="B127" s="1" t="s">
        <v>13</v>
      </c>
      <c r="D127" s="1">
        <v>1</v>
      </c>
    </row>
    <row r="128" spans="1:6" ht="14.25" customHeight="1" x14ac:dyDescent="0.3">
      <c r="A128" s="1" t="s">
        <v>157</v>
      </c>
      <c r="B128" s="1" t="s">
        <v>14</v>
      </c>
      <c r="C128" s="1">
        <v>1</v>
      </c>
    </row>
    <row r="129" spans="1:5" ht="14.25" customHeight="1" x14ac:dyDescent="0.3">
      <c r="A129" s="1" t="s">
        <v>158</v>
      </c>
      <c r="B129" s="1" t="s">
        <v>16</v>
      </c>
      <c r="C129" s="1">
        <v>1</v>
      </c>
    </row>
    <row r="130" spans="1:5" ht="14.25" customHeight="1" x14ac:dyDescent="0.3">
      <c r="A130" s="1" t="s">
        <v>159</v>
      </c>
      <c r="B130" s="1" t="s">
        <v>13</v>
      </c>
      <c r="C130" s="1">
        <v>1</v>
      </c>
    </row>
    <row r="131" spans="1:5" ht="14.25" customHeight="1" x14ac:dyDescent="0.3">
      <c r="A131" s="1" t="s">
        <v>160</v>
      </c>
      <c r="B131" s="1" t="s">
        <v>66</v>
      </c>
      <c r="C131" s="1">
        <v>1</v>
      </c>
    </row>
    <row r="132" spans="1:5" ht="14.25" customHeight="1" x14ac:dyDescent="0.3">
      <c r="A132" s="1" t="s">
        <v>161</v>
      </c>
      <c r="B132" s="1" t="s">
        <v>38</v>
      </c>
      <c r="C132" s="1">
        <v>1</v>
      </c>
    </row>
    <row r="133" spans="1:5" ht="14.25" customHeight="1" x14ac:dyDescent="0.3">
      <c r="A133" s="1" t="s">
        <v>162</v>
      </c>
      <c r="B133" s="1" t="s">
        <v>13</v>
      </c>
      <c r="D133" s="1">
        <v>1</v>
      </c>
    </row>
    <row r="134" spans="1:5" ht="14.25" customHeight="1" x14ac:dyDescent="0.3">
      <c r="A134" s="1" t="s">
        <v>163</v>
      </c>
      <c r="B134" s="1" t="s">
        <v>66</v>
      </c>
      <c r="E134" s="1">
        <v>1</v>
      </c>
    </row>
    <row r="135" spans="1:5" ht="14.25" customHeight="1" x14ac:dyDescent="0.3">
      <c r="A135" s="1" t="s">
        <v>164</v>
      </c>
      <c r="B135" s="1" t="s">
        <v>21</v>
      </c>
      <c r="C135" s="1">
        <v>1</v>
      </c>
    </row>
    <row r="136" spans="1:5" ht="14.25" customHeight="1" x14ac:dyDescent="0.3">
      <c r="A136" s="1" t="s">
        <v>165</v>
      </c>
      <c r="B136" s="1" t="s">
        <v>30</v>
      </c>
      <c r="E136" s="1">
        <v>1</v>
      </c>
    </row>
    <row r="137" spans="1:5" ht="14.25" customHeight="1" x14ac:dyDescent="0.3">
      <c r="A137" s="1" t="s">
        <v>166</v>
      </c>
      <c r="B137" s="1" t="s">
        <v>30</v>
      </c>
      <c r="E137" s="1">
        <v>1</v>
      </c>
    </row>
    <row r="138" spans="1:5" ht="14.25" customHeight="1" x14ac:dyDescent="0.3">
      <c r="A138" s="1" t="s">
        <v>167</v>
      </c>
      <c r="B138" s="1" t="s">
        <v>19</v>
      </c>
      <c r="C138" s="1">
        <v>1</v>
      </c>
    </row>
    <row r="139" spans="1:5" ht="14.25" customHeight="1" x14ac:dyDescent="0.3">
      <c r="A139" s="1" t="s">
        <v>168</v>
      </c>
      <c r="B139" s="1" t="s">
        <v>13</v>
      </c>
      <c r="E139" s="1">
        <v>1</v>
      </c>
    </row>
    <row r="140" spans="1:5" ht="14.25" customHeight="1" x14ac:dyDescent="0.3">
      <c r="A140" s="1" t="s">
        <v>169</v>
      </c>
      <c r="B140" s="1" t="s">
        <v>27</v>
      </c>
      <c r="C140" s="1">
        <v>1</v>
      </c>
    </row>
    <row r="141" spans="1:5" ht="14.25" customHeight="1" x14ac:dyDescent="0.3">
      <c r="A141" s="1" t="s">
        <v>170</v>
      </c>
      <c r="B141" s="1" t="s">
        <v>16</v>
      </c>
      <c r="E141" s="1">
        <v>1</v>
      </c>
    </row>
    <row r="142" spans="1:5" ht="14.25" customHeight="1" x14ac:dyDescent="0.3">
      <c r="A142" s="1" t="s">
        <v>171</v>
      </c>
      <c r="B142" s="1" t="s">
        <v>19</v>
      </c>
      <c r="C142" s="1">
        <v>1</v>
      </c>
    </row>
    <row r="143" spans="1:5" ht="14.25" customHeight="1" x14ac:dyDescent="0.3">
      <c r="A143" s="1" t="s">
        <v>172</v>
      </c>
      <c r="B143" s="1" t="s">
        <v>37</v>
      </c>
      <c r="C143" s="1">
        <v>1</v>
      </c>
    </row>
    <row r="144" spans="1:5" ht="14.25" customHeight="1" x14ac:dyDescent="0.3">
      <c r="A144" s="1" t="s">
        <v>173</v>
      </c>
      <c r="B144" s="1" t="s">
        <v>27</v>
      </c>
      <c r="C144" s="1">
        <v>1</v>
      </c>
    </row>
    <row r="145" spans="1:5" ht="14.25" customHeight="1" x14ac:dyDescent="0.3">
      <c r="A145" s="1" t="s">
        <v>174</v>
      </c>
      <c r="B145" s="1" t="s">
        <v>66</v>
      </c>
      <c r="D145" s="1">
        <v>1</v>
      </c>
    </row>
    <row r="146" spans="1:5" ht="14.25" customHeight="1" x14ac:dyDescent="0.3">
      <c r="A146" s="1" t="s">
        <v>175</v>
      </c>
      <c r="B146" s="1" t="s">
        <v>14</v>
      </c>
      <c r="C146" s="1">
        <v>1</v>
      </c>
    </row>
    <row r="147" spans="1:5" ht="14.25" customHeight="1" x14ac:dyDescent="0.3">
      <c r="A147" s="1" t="s">
        <v>176</v>
      </c>
      <c r="B147" s="1" t="s">
        <v>66</v>
      </c>
      <c r="E147" s="1">
        <v>1</v>
      </c>
    </row>
    <row r="148" spans="1:5" ht="14.25" customHeight="1" x14ac:dyDescent="0.3">
      <c r="A148" s="1" t="s">
        <v>177</v>
      </c>
      <c r="B148" s="1" t="s">
        <v>42</v>
      </c>
      <c r="C148" s="1">
        <v>1</v>
      </c>
    </row>
    <row r="149" spans="1:5" ht="14.25" customHeight="1" x14ac:dyDescent="0.3">
      <c r="A149" s="1" t="s">
        <v>178</v>
      </c>
      <c r="B149" s="1" t="s">
        <v>33</v>
      </c>
      <c r="C149" s="1">
        <v>1</v>
      </c>
    </row>
    <row r="150" spans="1:5" ht="14.25" customHeight="1" x14ac:dyDescent="0.3">
      <c r="A150" s="1" t="s">
        <v>179</v>
      </c>
      <c r="B150" s="1" t="s">
        <v>14</v>
      </c>
      <c r="C150" s="1">
        <v>1</v>
      </c>
    </row>
    <row r="151" spans="1:5" ht="14.25" customHeight="1" x14ac:dyDescent="0.3">
      <c r="A151" s="1" t="s">
        <v>180</v>
      </c>
      <c r="B151" s="1" t="s">
        <v>13</v>
      </c>
      <c r="D151" s="1">
        <v>1</v>
      </c>
    </row>
    <row r="152" spans="1:5" ht="14.25" customHeight="1" x14ac:dyDescent="0.3">
      <c r="A152" s="1" t="s">
        <v>181</v>
      </c>
      <c r="B152" s="1" t="s">
        <v>24</v>
      </c>
      <c r="C152" s="1">
        <v>1</v>
      </c>
    </row>
    <row r="153" spans="1:5" ht="14.25" customHeight="1" x14ac:dyDescent="0.3">
      <c r="A153" s="1" t="s">
        <v>182</v>
      </c>
      <c r="B153" s="1" t="s">
        <v>19</v>
      </c>
      <c r="C153" s="1">
        <v>1</v>
      </c>
    </row>
    <row r="154" spans="1:5" ht="14.25" customHeight="1" x14ac:dyDescent="0.3">
      <c r="A154" s="1" t="s">
        <v>183</v>
      </c>
      <c r="B154" s="1" t="s">
        <v>42</v>
      </c>
      <c r="C154" s="1">
        <v>1</v>
      </c>
    </row>
    <row r="155" spans="1:5" ht="14.25" customHeight="1" x14ac:dyDescent="0.3">
      <c r="A155" s="1" t="s">
        <v>184</v>
      </c>
      <c r="B155" s="1" t="s">
        <v>19</v>
      </c>
      <c r="C155" s="1">
        <v>1</v>
      </c>
    </row>
    <row r="156" spans="1:5" ht="14.25" customHeight="1" x14ac:dyDescent="0.3">
      <c r="A156" s="1" t="s">
        <v>185</v>
      </c>
      <c r="B156" s="1" t="s">
        <v>30</v>
      </c>
      <c r="C156" s="1">
        <v>1</v>
      </c>
    </row>
    <row r="157" spans="1:5" ht="14.25" customHeight="1" x14ac:dyDescent="0.3"/>
    <row r="158" spans="1:5" ht="14.25" customHeight="1" x14ac:dyDescent="0.3"/>
    <row r="159" spans="1:5" ht="14.25" customHeight="1" x14ac:dyDescent="0.3"/>
    <row r="160" spans="1:5" ht="14.25" customHeight="1" x14ac:dyDescent="0.3"/>
    <row r="161" s="1" customFormat="1" ht="14.25" customHeight="1" x14ac:dyDescent="0.3"/>
    <row r="162" s="1" customFormat="1" ht="14.25" customHeight="1" x14ac:dyDescent="0.3"/>
    <row r="163" s="1" customFormat="1" ht="14.25" customHeight="1" x14ac:dyDescent="0.3"/>
    <row r="164" s="1" customFormat="1" ht="14.25" customHeight="1" x14ac:dyDescent="0.3"/>
    <row r="165" s="1" customFormat="1" ht="14.25" customHeight="1" x14ac:dyDescent="0.3"/>
    <row r="166" s="1" customFormat="1" ht="14.25" customHeight="1" x14ac:dyDescent="0.3"/>
    <row r="167" s="1" customFormat="1" ht="14.25" customHeight="1" x14ac:dyDescent="0.3"/>
    <row r="168" s="1" customFormat="1" ht="14.25" customHeight="1" x14ac:dyDescent="0.3"/>
    <row r="169" s="1" customFormat="1" ht="14.25" customHeight="1" x14ac:dyDescent="0.3"/>
    <row r="170" s="1" customFormat="1" ht="14.25" customHeight="1" x14ac:dyDescent="0.3"/>
    <row r="171" s="1" customFormat="1" ht="14.25" customHeight="1" x14ac:dyDescent="0.3"/>
    <row r="172" s="1" customFormat="1" ht="14.25" customHeight="1" x14ac:dyDescent="0.3"/>
    <row r="173" s="1" customFormat="1" ht="14.25" customHeight="1" x14ac:dyDescent="0.3"/>
    <row r="174" s="1" customFormat="1" ht="14.25" customHeight="1" x14ac:dyDescent="0.3"/>
    <row r="175" s="1" customFormat="1" ht="14.25" customHeight="1" x14ac:dyDescent="0.3"/>
    <row r="176" s="1" customFormat="1" ht="14.25" customHeight="1" x14ac:dyDescent="0.3"/>
    <row r="177" s="1" customFormat="1" ht="14.25" customHeight="1" x14ac:dyDescent="0.3"/>
    <row r="178" s="1" customFormat="1" ht="14.25" customHeight="1" x14ac:dyDescent="0.3"/>
    <row r="179" s="1" customFormat="1" ht="14.25" customHeight="1" x14ac:dyDescent="0.3"/>
    <row r="180" s="1" customFormat="1" ht="14.25" customHeight="1" x14ac:dyDescent="0.3"/>
    <row r="181" s="1" customFormat="1" ht="14.25" customHeight="1" x14ac:dyDescent="0.3"/>
    <row r="182" s="1" customFormat="1" ht="14.25" customHeight="1" x14ac:dyDescent="0.3"/>
    <row r="183" s="1" customFormat="1" ht="14.25" customHeight="1" x14ac:dyDescent="0.3"/>
    <row r="184" s="1" customFormat="1" ht="14.25" customHeight="1" x14ac:dyDescent="0.3"/>
    <row r="185" s="1" customFormat="1" ht="14.25" customHeight="1" x14ac:dyDescent="0.3"/>
    <row r="186" s="1" customFormat="1" ht="14.25" customHeight="1" x14ac:dyDescent="0.3"/>
    <row r="187" s="1" customFormat="1" ht="14.25" customHeight="1" x14ac:dyDescent="0.3"/>
    <row r="188" s="1" customFormat="1" ht="14.25" customHeight="1" x14ac:dyDescent="0.3"/>
    <row r="189" s="1" customFormat="1" ht="14.25" customHeight="1" x14ac:dyDescent="0.3"/>
    <row r="190" s="1" customFormat="1" ht="14.25" customHeight="1" x14ac:dyDescent="0.3"/>
    <row r="191" s="1" customFormat="1" ht="14.25" customHeight="1" x14ac:dyDescent="0.3"/>
    <row r="192" s="1" customFormat="1" ht="14.25" customHeight="1" x14ac:dyDescent="0.3"/>
    <row r="193" s="1" customFormat="1" ht="14.25" customHeight="1" x14ac:dyDescent="0.3"/>
    <row r="194" s="1" customFormat="1" ht="14.25" customHeight="1" x14ac:dyDescent="0.3"/>
    <row r="195" s="1" customFormat="1" ht="14.25" customHeight="1" x14ac:dyDescent="0.3"/>
    <row r="196" s="1" customFormat="1" ht="14.25" customHeight="1" x14ac:dyDescent="0.3"/>
    <row r="197" s="1" customFormat="1" ht="14.25" customHeight="1" x14ac:dyDescent="0.3"/>
    <row r="198" s="1" customFormat="1" ht="14.25" customHeight="1" x14ac:dyDescent="0.3"/>
    <row r="199" s="1" customFormat="1" ht="14.25" customHeight="1" x14ac:dyDescent="0.3"/>
    <row r="200" s="1" customFormat="1" ht="14.25" customHeight="1" x14ac:dyDescent="0.3"/>
    <row r="201" s="1" customFormat="1" ht="14.25" customHeight="1" x14ac:dyDescent="0.3"/>
    <row r="202" s="1" customFormat="1" ht="14.25" customHeight="1" x14ac:dyDescent="0.3"/>
    <row r="203" s="1" customFormat="1" ht="14.25" customHeight="1" x14ac:dyDescent="0.3"/>
    <row r="204" s="1" customFormat="1" ht="14.25" customHeight="1" x14ac:dyDescent="0.3"/>
    <row r="205" s="1" customFormat="1" ht="14.25" customHeight="1" x14ac:dyDescent="0.3"/>
    <row r="206" s="1" customFormat="1" ht="14.25" customHeight="1" x14ac:dyDescent="0.3"/>
    <row r="207" s="1" customFormat="1" ht="14.25" customHeight="1" x14ac:dyDescent="0.3"/>
    <row r="208" s="1" customFormat="1" ht="14.25" customHeight="1" x14ac:dyDescent="0.3"/>
    <row r="209" s="1" customFormat="1" ht="14.25" customHeight="1" x14ac:dyDescent="0.3"/>
    <row r="210" s="1" customFormat="1" ht="14.25" customHeight="1" x14ac:dyDescent="0.3"/>
    <row r="211" s="1" customFormat="1" ht="14.25" customHeight="1" x14ac:dyDescent="0.3"/>
    <row r="212" s="1" customFormat="1" ht="14.25" customHeight="1" x14ac:dyDescent="0.3"/>
    <row r="213" s="1" customFormat="1" ht="14.25" customHeight="1" x14ac:dyDescent="0.3"/>
    <row r="214" s="1" customFormat="1" ht="14.25" customHeight="1" x14ac:dyDescent="0.3"/>
    <row r="215" s="1" customFormat="1" ht="14.25" customHeight="1" x14ac:dyDescent="0.3"/>
    <row r="216" s="1" customFormat="1" ht="14.25" customHeight="1" x14ac:dyDescent="0.3"/>
    <row r="217" s="1" customFormat="1" ht="14.25" customHeight="1" x14ac:dyDescent="0.3"/>
    <row r="218" s="1" customFormat="1" ht="14.25" customHeight="1" x14ac:dyDescent="0.3"/>
    <row r="219" s="1" customFormat="1" ht="14.25" customHeight="1" x14ac:dyDescent="0.3"/>
    <row r="220" s="1" customFormat="1" ht="14.25" customHeight="1" x14ac:dyDescent="0.3"/>
    <row r="221" s="1" customFormat="1" ht="14.25" customHeight="1" x14ac:dyDescent="0.3"/>
    <row r="222" s="1" customFormat="1" ht="14.25" customHeight="1" x14ac:dyDescent="0.3"/>
    <row r="223" s="1" customFormat="1" ht="14.25" customHeight="1" x14ac:dyDescent="0.3"/>
    <row r="224" s="1" customFormat="1" ht="14.25" customHeight="1" x14ac:dyDescent="0.3"/>
    <row r="225" s="1" customFormat="1" ht="14.25" customHeight="1" x14ac:dyDescent="0.3"/>
    <row r="226" s="1" customFormat="1" ht="14.25" customHeight="1" x14ac:dyDescent="0.3"/>
    <row r="227" s="1" customFormat="1" ht="14.25" customHeight="1" x14ac:dyDescent="0.3"/>
    <row r="228" s="1" customFormat="1" ht="14.25" customHeight="1" x14ac:dyDescent="0.3"/>
    <row r="229" s="1" customFormat="1" ht="14.25" customHeight="1" x14ac:dyDescent="0.3"/>
    <row r="230" s="1" customFormat="1" ht="14.25" customHeight="1" x14ac:dyDescent="0.3"/>
    <row r="231" s="1" customFormat="1" ht="14.25" customHeight="1" x14ac:dyDescent="0.3"/>
    <row r="232" s="1" customFormat="1" ht="14.25" customHeight="1" x14ac:dyDescent="0.3"/>
    <row r="233" s="1" customFormat="1" ht="14.25" customHeight="1" x14ac:dyDescent="0.3"/>
    <row r="234" s="1" customFormat="1" ht="14.25" customHeight="1" x14ac:dyDescent="0.3"/>
    <row r="235" s="1" customFormat="1" ht="14.25" customHeight="1" x14ac:dyDescent="0.3"/>
    <row r="236" s="1" customFormat="1" ht="14.25" customHeight="1" x14ac:dyDescent="0.3"/>
    <row r="237" s="1" customFormat="1" ht="14.25" customHeight="1" x14ac:dyDescent="0.3"/>
    <row r="238" s="1" customFormat="1" ht="14.25" customHeight="1" x14ac:dyDescent="0.3"/>
    <row r="239" s="1" customFormat="1" ht="14.25" customHeight="1" x14ac:dyDescent="0.3"/>
    <row r="240" s="1" customFormat="1" ht="14.25" customHeight="1" x14ac:dyDescent="0.3"/>
    <row r="241" s="1" customFormat="1" ht="14.25" customHeight="1" x14ac:dyDescent="0.3"/>
    <row r="242" s="1" customFormat="1" ht="14.25" customHeight="1" x14ac:dyDescent="0.3"/>
    <row r="243" s="1" customFormat="1" ht="14.25" customHeight="1" x14ac:dyDescent="0.3"/>
    <row r="244" s="1" customFormat="1" ht="14.25" customHeight="1" x14ac:dyDescent="0.3"/>
    <row r="245" s="1" customFormat="1" ht="14.25" customHeight="1" x14ac:dyDescent="0.3"/>
    <row r="246" s="1" customFormat="1" ht="14.25" customHeight="1" x14ac:dyDescent="0.3"/>
    <row r="247" s="1" customFormat="1" ht="14.25" customHeight="1" x14ac:dyDescent="0.3"/>
    <row r="248" s="1" customFormat="1" ht="14.25" customHeight="1" x14ac:dyDescent="0.3"/>
    <row r="249" s="1" customFormat="1" ht="14.25" customHeight="1" x14ac:dyDescent="0.3"/>
    <row r="250" s="1" customFormat="1" ht="14.25" customHeight="1" x14ac:dyDescent="0.3"/>
    <row r="251" s="1" customFormat="1" ht="14.25" customHeight="1" x14ac:dyDescent="0.3"/>
    <row r="252" s="1" customFormat="1" ht="14.25" customHeight="1" x14ac:dyDescent="0.3"/>
    <row r="253" s="1" customFormat="1" ht="14.25" customHeight="1" x14ac:dyDescent="0.3"/>
    <row r="254" s="1" customFormat="1" ht="14.25" customHeight="1" x14ac:dyDescent="0.3"/>
    <row r="255" s="1" customFormat="1" ht="14.25" customHeight="1" x14ac:dyDescent="0.3"/>
    <row r="256" s="1" customFormat="1" ht="14.25" customHeight="1" x14ac:dyDescent="0.3"/>
    <row r="257" s="1" customFormat="1" ht="14.25" customHeight="1" x14ac:dyDescent="0.3"/>
    <row r="258" s="1" customFormat="1" ht="14.25" customHeight="1" x14ac:dyDescent="0.3"/>
    <row r="259" s="1" customFormat="1" ht="14.25" customHeight="1" x14ac:dyDescent="0.3"/>
    <row r="260" s="1" customFormat="1" ht="14.25" customHeight="1" x14ac:dyDescent="0.3"/>
    <row r="261" s="1" customFormat="1" ht="14.25" customHeight="1" x14ac:dyDescent="0.3"/>
    <row r="262" s="1" customFormat="1" ht="14.25" customHeight="1" x14ac:dyDescent="0.3"/>
    <row r="263" s="1" customFormat="1" ht="14.25" customHeight="1" x14ac:dyDescent="0.3"/>
    <row r="264" s="1" customFormat="1" ht="14.25" customHeight="1" x14ac:dyDescent="0.3"/>
    <row r="265" s="1" customFormat="1" ht="14.25" customHeight="1" x14ac:dyDescent="0.3"/>
    <row r="266" s="1" customFormat="1" ht="14.25" customHeight="1" x14ac:dyDescent="0.3"/>
    <row r="267" s="1" customFormat="1" ht="14.25" customHeight="1" x14ac:dyDescent="0.3"/>
    <row r="268" s="1" customFormat="1" ht="14.25" customHeight="1" x14ac:dyDescent="0.3"/>
    <row r="269" s="1" customFormat="1" ht="14.25" customHeight="1" x14ac:dyDescent="0.3"/>
    <row r="270" s="1" customFormat="1" ht="14.25" customHeight="1" x14ac:dyDescent="0.3"/>
    <row r="271" s="1" customFormat="1" ht="14.25" customHeight="1" x14ac:dyDescent="0.3"/>
    <row r="272" s="1" customFormat="1" ht="14.25" customHeight="1" x14ac:dyDescent="0.3"/>
    <row r="273" s="1" customFormat="1" ht="14.25" customHeight="1" x14ac:dyDescent="0.3"/>
    <row r="274" s="1" customFormat="1" ht="14.25" customHeight="1" x14ac:dyDescent="0.3"/>
    <row r="275" s="1" customFormat="1" ht="14.25" customHeight="1" x14ac:dyDescent="0.3"/>
    <row r="276" s="1" customFormat="1" ht="14.25" customHeight="1" x14ac:dyDescent="0.3"/>
    <row r="277" s="1" customFormat="1" ht="14.25" customHeight="1" x14ac:dyDescent="0.3"/>
    <row r="278" s="1" customFormat="1" ht="14.25" customHeight="1" x14ac:dyDescent="0.3"/>
    <row r="279" s="1" customFormat="1" ht="14.25" customHeight="1" x14ac:dyDescent="0.3"/>
    <row r="280" s="1" customFormat="1" ht="14.25" customHeight="1" x14ac:dyDescent="0.3"/>
    <row r="281" s="1" customFormat="1" ht="14.25" customHeight="1" x14ac:dyDescent="0.3"/>
    <row r="282" s="1" customFormat="1" ht="14.25" customHeight="1" x14ac:dyDescent="0.3"/>
    <row r="283" s="1" customFormat="1" ht="14.25" customHeight="1" x14ac:dyDescent="0.3"/>
    <row r="284" s="1" customFormat="1" ht="14.25" customHeight="1" x14ac:dyDescent="0.3"/>
    <row r="285" s="1" customFormat="1" ht="14.25" customHeight="1" x14ac:dyDescent="0.3"/>
    <row r="286" s="1" customFormat="1" ht="14.25" customHeight="1" x14ac:dyDescent="0.3"/>
    <row r="287" s="1" customFormat="1" ht="14.25" customHeight="1" x14ac:dyDescent="0.3"/>
    <row r="288" s="1" customFormat="1" ht="14.25" customHeight="1" x14ac:dyDescent="0.3"/>
    <row r="289" s="1" customFormat="1" ht="14.25" customHeight="1" x14ac:dyDescent="0.3"/>
    <row r="290" s="1" customFormat="1" ht="14.25" customHeight="1" x14ac:dyDescent="0.3"/>
    <row r="291" s="1" customFormat="1" ht="14.25" customHeight="1" x14ac:dyDescent="0.3"/>
    <row r="292" s="1" customFormat="1" ht="14.25" customHeight="1" x14ac:dyDescent="0.3"/>
    <row r="293" s="1" customFormat="1" ht="14.25" customHeight="1" x14ac:dyDescent="0.3"/>
    <row r="294" s="1" customFormat="1" ht="14.25" customHeight="1" x14ac:dyDescent="0.3"/>
    <row r="295" s="1" customFormat="1" ht="14.25" customHeight="1" x14ac:dyDescent="0.3"/>
    <row r="296" s="1" customFormat="1" ht="14.25" customHeight="1" x14ac:dyDescent="0.3"/>
    <row r="297" s="1" customFormat="1" ht="14.25" customHeight="1" x14ac:dyDescent="0.3"/>
    <row r="298" s="1" customFormat="1" ht="14.25" customHeight="1" x14ac:dyDescent="0.3"/>
    <row r="299" s="1" customFormat="1" ht="14.25" customHeight="1" x14ac:dyDescent="0.3"/>
    <row r="300" s="1" customFormat="1" ht="14.25" customHeight="1" x14ac:dyDescent="0.3"/>
    <row r="301" s="1" customFormat="1" ht="14.25" customHeight="1" x14ac:dyDescent="0.3"/>
    <row r="302" s="1" customFormat="1" ht="14.25" customHeight="1" x14ac:dyDescent="0.3"/>
    <row r="303" s="1" customFormat="1" ht="14.25" customHeight="1" x14ac:dyDescent="0.3"/>
    <row r="304" s="1" customFormat="1" ht="14.25" customHeight="1" x14ac:dyDescent="0.3"/>
    <row r="305" s="1" customFormat="1" ht="14.25" customHeight="1" x14ac:dyDescent="0.3"/>
    <row r="306" s="1" customFormat="1" ht="14.25" customHeight="1" x14ac:dyDescent="0.3"/>
    <row r="307" s="1" customFormat="1" ht="14.25" customHeight="1" x14ac:dyDescent="0.3"/>
    <row r="308" s="1" customFormat="1" ht="14.25" customHeight="1" x14ac:dyDescent="0.3"/>
    <row r="309" s="1" customFormat="1" ht="14.25" customHeight="1" x14ac:dyDescent="0.3"/>
    <row r="310" s="1" customFormat="1" ht="14.25" customHeight="1" x14ac:dyDescent="0.3"/>
    <row r="311" s="1" customFormat="1" ht="14.25" customHeight="1" x14ac:dyDescent="0.3"/>
    <row r="312" s="1" customFormat="1" ht="14.25" customHeight="1" x14ac:dyDescent="0.3"/>
    <row r="313" s="1" customFormat="1" ht="14.25" customHeight="1" x14ac:dyDescent="0.3"/>
    <row r="314" s="1" customFormat="1" ht="14.25" customHeight="1" x14ac:dyDescent="0.3"/>
    <row r="315" s="1" customFormat="1" ht="14.25" customHeight="1" x14ac:dyDescent="0.3"/>
    <row r="316" s="1" customFormat="1" ht="14.25" customHeight="1" x14ac:dyDescent="0.3"/>
    <row r="317" s="1" customFormat="1" ht="14.25" customHeight="1" x14ac:dyDescent="0.3"/>
    <row r="318" s="1" customFormat="1" ht="14.25" customHeight="1" x14ac:dyDescent="0.3"/>
    <row r="319" s="1" customFormat="1" ht="14.25" customHeight="1" x14ac:dyDescent="0.3"/>
    <row r="320" s="1" customFormat="1" ht="14.25" customHeight="1" x14ac:dyDescent="0.3"/>
    <row r="321" s="1" customFormat="1" ht="14.25" customHeight="1" x14ac:dyDescent="0.3"/>
    <row r="322" s="1" customFormat="1" ht="14.25" customHeight="1" x14ac:dyDescent="0.3"/>
    <row r="323" s="1" customFormat="1" ht="14.25" customHeight="1" x14ac:dyDescent="0.3"/>
    <row r="324" s="1" customFormat="1" ht="14.25" customHeight="1" x14ac:dyDescent="0.3"/>
    <row r="325" s="1" customFormat="1" ht="14.25" customHeight="1" x14ac:dyDescent="0.3"/>
    <row r="326" s="1" customFormat="1" ht="14.25" customHeight="1" x14ac:dyDescent="0.3"/>
    <row r="327" s="1" customFormat="1" ht="14.25" customHeight="1" x14ac:dyDescent="0.3"/>
    <row r="328" s="1" customFormat="1" ht="14.25" customHeight="1" x14ac:dyDescent="0.3"/>
    <row r="329" s="1" customFormat="1" ht="14.25" customHeight="1" x14ac:dyDescent="0.3"/>
    <row r="330" s="1" customFormat="1" ht="14.25" customHeight="1" x14ac:dyDescent="0.3"/>
    <row r="331" s="1" customFormat="1" ht="14.25" customHeight="1" x14ac:dyDescent="0.3"/>
    <row r="332" s="1" customFormat="1" ht="14.25" customHeight="1" x14ac:dyDescent="0.3"/>
    <row r="333" s="1" customFormat="1" ht="14.25" customHeight="1" x14ac:dyDescent="0.3"/>
    <row r="334" s="1" customFormat="1" ht="14.25" customHeight="1" x14ac:dyDescent="0.3"/>
    <row r="335" s="1" customFormat="1" ht="14.25" customHeight="1" x14ac:dyDescent="0.3"/>
    <row r="336" s="1" customFormat="1" ht="14.25" customHeight="1" x14ac:dyDescent="0.3"/>
    <row r="337" s="1" customFormat="1" ht="14.25" customHeight="1" x14ac:dyDescent="0.3"/>
    <row r="338" s="1" customFormat="1" ht="14.25" customHeight="1" x14ac:dyDescent="0.3"/>
    <row r="339" s="1" customFormat="1" ht="14.25" customHeight="1" x14ac:dyDescent="0.3"/>
    <row r="340" s="1" customFormat="1" ht="14.25" customHeight="1" x14ac:dyDescent="0.3"/>
    <row r="341" s="1" customFormat="1" ht="14.25" customHeight="1" x14ac:dyDescent="0.3"/>
    <row r="342" s="1" customFormat="1" ht="14.25" customHeight="1" x14ac:dyDescent="0.3"/>
    <row r="343" s="1" customFormat="1" ht="14.25" customHeight="1" x14ac:dyDescent="0.3"/>
    <row r="344" s="1" customFormat="1" ht="14.25" customHeight="1" x14ac:dyDescent="0.3"/>
    <row r="345" s="1" customFormat="1" ht="14.25" customHeight="1" x14ac:dyDescent="0.3"/>
    <row r="346" s="1" customFormat="1" ht="14.25" customHeight="1" x14ac:dyDescent="0.3"/>
    <row r="347" s="1" customFormat="1" ht="14.25" customHeight="1" x14ac:dyDescent="0.3"/>
    <row r="348" s="1" customFormat="1" ht="14.25" customHeight="1" x14ac:dyDescent="0.3"/>
    <row r="349" s="1" customFormat="1" ht="14.25" customHeight="1" x14ac:dyDescent="0.3"/>
    <row r="350" s="1" customFormat="1" ht="14.25" customHeight="1" x14ac:dyDescent="0.3"/>
    <row r="351" s="1" customFormat="1" ht="14.25" customHeight="1" x14ac:dyDescent="0.3"/>
    <row r="352" s="1" customFormat="1" ht="14.25" customHeight="1" x14ac:dyDescent="0.3"/>
    <row r="353" s="1" customFormat="1" ht="14.25" customHeight="1" x14ac:dyDescent="0.3"/>
    <row r="354" s="1" customFormat="1" ht="14.25" customHeight="1" x14ac:dyDescent="0.3"/>
    <row r="355" s="1" customFormat="1" ht="14.25" customHeight="1" x14ac:dyDescent="0.3"/>
    <row r="356" s="1" customFormat="1" ht="14.25" customHeight="1" x14ac:dyDescent="0.3"/>
    <row r="357" s="1" customFormat="1" ht="14.25" customHeight="1" x14ac:dyDescent="0.3"/>
    <row r="358" s="1" customFormat="1" ht="14.25" customHeight="1" x14ac:dyDescent="0.3"/>
    <row r="359" s="1" customFormat="1" ht="14.25" customHeight="1" x14ac:dyDescent="0.3"/>
    <row r="360" s="1" customFormat="1" ht="14.25" customHeight="1" x14ac:dyDescent="0.3"/>
    <row r="361" s="1" customFormat="1" ht="14.25" customHeight="1" x14ac:dyDescent="0.3"/>
    <row r="362" s="1" customFormat="1" ht="14.25" customHeight="1" x14ac:dyDescent="0.3"/>
    <row r="363" s="1" customFormat="1" ht="14.25" customHeight="1" x14ac:dyDescent="0.3"/>
    <row r="364" s="1" customFormat="1" ht="14.25" customHeight="1" x14ac:dyDescent="0.3"/>
    <row r="365" s="1" customFormat="1" ht="14.25" customHeight="1" x14ac:dyDescent="0.3"/>
    <row r="366" s="1" customFormat="1" ht="14.25" customHeight="1" x14ac:dyDescent="0.3"/>
    <row r="367" s="1" customFormat="1" ht="14.25" customHeight="1" x14ac:dyDescent="0.3"/>
    <row r="368" s="1" customFormat="1" ht="14.25" customHeight="1" x14ac:dyDescent="0.3"/>
    <row r="369" s="1" customFormat="1" ht="14.25" customHeight="1" x14ac:dyDescent="0.3"/>
    <row r="370" s="1" customFormat="1" ht="14.25" customHeight="1" x14ac:dyDescent="0.3"/>
    <row r="371" s="1" customFormat="1" ht="14.25" customHeight="1" x14ac:dyDescent="0.3"/>
    <row r="372" s="1" customFormat="1" ht="14.25" customHeight="1" x14ac:dyDescent="0.3"/>
    <row r="373" s="1" customFormat="1" ht="14.25" customHeight="1" x14ac:dyDescent="0.3"/>
    <row r="374" s="1" customFormat="1" ht="14.25" customHeight="1" x14ac:dyDescent="0.3"/>
    <row r="375" s="1" customFormat="1" ht="14.25" customHeight="1" x14ac:dyDescent="0.3"/>
    <row r="376" s="1" customFormat="1" ht="14.25" customHeight="1" x14ac:dyDescent="0.3"/>
    <row r="377" s="1" customFormat="1" ht="14.25" customHeight="1" x14ac:dyDescent="0.3"/>
    <row r="378" s="1" customFormat="1" ht="14.25" customHeight="1" x14ac:dyDescent="0.3"/>
    <row r="379" s="1" customFormat="1" ht="14.25" customHeight="1" x14ac:dyDescent="0.3"/>
    <row r="380" s="1" customFormat="1" ht="14.25" customHeight="1" x14ac:dyDescent="0.3"/>
    <row r="381" s="1" customFormat="1" ht="14.25" customHeight="1" x14ac:dyDescent="0.3"/>
    <row r="382" s="1" customFormat="1" ht="14.25" customHeight="1" x14ac:dyDescent="0.3"/>
    <row r="383" s="1" customFormat="1" ht="14.25" customHeight="1" x14ac:dyDescent="0.3"/>
    <row r="384" s="1" customFormat="1" ht="14.25" customHeight="1" x14ac:dyDescent="0.3"/>
    <row r="385" s="1" customFormat="1" ht="14.25" customHeight="1" x14ac:dyDescent="0.3"/>
    <row r="386" s="1" customFormat="1" ht="14.25" customHeight="1" x14ac:dyDescent="0.3"/>
    <row r="387" s="1" customFormat="1" ht="14.25" customHeight="1" x14ac:dyDescent="0.3"/>
    <row r="388" s="1" customFormat="1" ht="14.25" customHeight="1" x14ac:dyDescent="0.3"/>
    <row r="389" s="1" customFormat="1" ht="14.25" customHeight="1" x14ac:dyDescent="0.3"/>
    <row r="390" s="1" customFormat="1" ht="14.25" customHeight="1" x14ac:dyDescent="0.3"/>
    <row r="391" s="1" customFormat="1" ht="14.25" customHeight="1" x14ac:dyDescent="0.3"/>
    <row r="392" s="1" customFormat="1" ht="14.25" customHeight="1" x14ac:dyDescent="0.3"/>
    <row r="393" s="1" customFormat="1" ht="14.25" customHeight="1" x14ac:dyDescent="0.3"/>
    <row r="394" s="1" customFormat="1" ht="14.25" customHeight="1" x14ac:dyDescent="0.3"/>
    <row r="395" s="1" customFormat="1" ht="14.25" customHeight="1" x14ac:dyDescent="0.3"/>
    <row r="396" s="1" customFormat="1" ht="14.25" customHeight="1" x14ac:dyDescent="0.3"/>
    <row r="397" s="1" customFormat="1" ht="14.25" customHeight="1" x14ac:dyDescent="0.3"/>
    <row r="398" s="1" customFormat="1" ht="14.25" customHeight="1" x14ac:dyDescent="0.3"/>
    <row r="399" s="1" customFormat="1" ht="14.25" customHeight="1" x14ac:dyDescent="0.3"/>
    <row r="400" s="1" customFormat="1" ht="14.25" customHeight="1" x14ac:dyDescent="0.3"/>
    <row r="401" s="1" customFormat="1" ht="14.25" customHeight="1" x14ac:dyDescent="0.3"/>
    <row r="402" s="1" customFormat="1" ht="14.25" customHeight="1" x14ac:dyDescent="0.3"/>
    <row r="403" s="1" customFormat="1" ht="14.25" customHeight="1" x14ac:dyDescent="0.3"/>
    <row r="404" s="1" customFormat="1" ht="14.25" customHeight="1" x14ac:dyDescent="0.3"/>
    <row r="405" s="1" customFormat="1" ht="14.25" customHeight="1" x14ac:dyDescent="0.3"/>
    <row r="406" s="1" customFormat="1" ht="14.25" customHeight="1" x14ac:dyDescent="0.3"/>
    <row r="407" s="1" customFormat="1" ht="14.25" customHeight="1" x14ac:dyDescent="0.3"/>
    <row r="408" s="1" customFormat="1" ht="14.25" customHeight="1" x14ac:dyDescent="0.3"/>
    <row r="409" s="1" customFormat="1" ht="14.25" customHeight="1" x14ac:dyDescent="0.3"/>
    <row r="410" s="1" customFormat="1" ht="14.25" customHeight="1" x14ac:dyDescent="0.3"/>
    <row r="411" s="1" customFormat="1" ht="14.25" customHeight="1" x14ac:dyDescent="0.3"/>
    <row r="412" s="1" customFormat="1" ht="14.25" customHeight="1" x14ac:dyDescent="0.3"/>
    <row r="413" s="1" customFormat="1" ht="14.25" customHeight="1" x14ac:dyDescent="0.3"/>
    <row r="414" s="1" customFormat="1" ht="14.25" customHeight="1" x14ac:dyDescent="0.3"/>
    <row r="415" s="1" customFormat="1" ht="14.25" customHeight="1" x14ac:dyDescent="0.3"/>
    <row r="416" s="1" customFormat="1" ht="14.25" customHeight="1" x14ac:dyDescent="0.3"/>
    <row r="417" s="1" customFormat="1" ht="14.25" customHeight="1" x14ac:dyDescent="0.3"/>
    <row r="418" s="1" customFormat="1" ht="14.25" customHeight="1" x14ac:dyDescent="0.3"/>
    <row r="419" s="1" customFormat="1" ht="14.25" customHeight="1" x14ac:dyDescent="0.3"/>
    <row r="420" s="1" customFormat="1" ht="14.25" customHeight="1" x14ac:dyDescent="0.3"/>
    <row r="421" s="1" customFormat="1" ht="14.25" customHeight="1" x14ac:dyDescent="0.3"/>
    <row r="422" s="1" customFormat="1" ht="14.25" customHeight="1" x14ac:dyDescent="0.3"/>
    <row r="423" s="1" customFormat="1" ht="14.25" customHeight="1" x14ac:dyDescent="0.3"/>
    <row r="424" s="1" customFormat="1" ht="14.25" customHeight="1" x14ac:dyDescent="0.3"/>
    <row r="425" s="1" customFormat="1" ht="14.25" customHeight="1" x14ac:dyDescent="0.3"/>
    <row r="426" s="1" customFormat="1" ht="14.25" customHeight="1" x14ac:dyDescent="0.3"/>
    <row r="427" s="1" customFormat="1" ht="14.25" customHeight="1" x14ac:dyDescent="0.3"/>
    <row r="428" s="1" customFormat="1" ht="14.25" customHeight="1" x14ac:dyDescent="0.3"/>
    <row r="429" s="1" customFormat="1" ht="14.25" customHeight="1" x14ac:dyDescent="0.3"/>
    <row r="430" s="1" customFormat="1" ht="14.25" customHeight="1" x14ac:dyDescent="0.3"/>
    <row r="431" s="1" customFormat="1" ht="14.25" customHeight="1" x14ac:dyDescent="0.3"/>
    <row r="432" s="1" customFormat="1" ht="14.25" customHeight="1" x14ac:dyDescent="0.3"/>
    <row r="433" s="1" customFormat="1" ht="14.25" customHeight="1" x14ac:dyDescent="0.3"/>
    <row r="434" s="1" customFormat="1" ht="14.25" customHeight="1" x14ac:dyDescent="0.3"/>
    <row r="435" s="1" customFormat="1" ht="14.25" customHeight="1" x14ac:dyDescent="0.3"/>
    <row r="436" s="1" customFormat="1" ht="14.25" customHeight="1" x14ac:dyDescent="0.3"/>
    <row r="437" s="1" customFormat="1" ht="14.25" customHeight="1" x14ac:dyDescent="0.3"/>
    <row r="438" s="1" customFormat="1" ht="14.25" customHeight="1" x14ac:dyDescent="0.3"/>
    <row r="439" s="1" customFormat="1" ht="14.25" customHeight="1" x14ac:dyDescent="0.3"/>
    <row r="440" s="1" customFormat="1" ht="14.25" customHeight="1" x14ac:dyDescent="0.3"/>
    <row r="441" s="1" customFormat="1" ht="14.25" customHeight="1" x14ac:dyDescent="0.3"/>
    <row r="442" s="1" customFormat="1" ht="14.25" customHeight="1" x14ac:dyDescent="0.3"/>
    <row r="443" s="1" customFormat="1" ht="14.25" customHeight="1" x14ac:dyDescent="0.3"/>
    <row r="444" s="1" customFormat="1" ht="14.25" customHeight="1" x14ac:dyDescent="0.3"/>
    <row r="445" s="1" customFormat="1" ht="14.25" customHeight="1" x14ac:dyDescent="0.3"/>
    <row r="446" s="1" customFormat="1" ht="14.25" customHeight="1" x14ac:dyDescent="0.3"/>
    <row r="447" s="1" customFormat="1" ht="14.25" customHeight="1" x14ac:dyDescent="0.3"/>
    <row r="448" s="1" customFormat="1" ht="14.25" customHeight="1" x14ac:dyDescent="0.3"/>
    <row r="449" s="1" customFormat="1" ht="14.25" customHeight="1" x14ac:dyDescent="0.3"/>
    <row r="450" s="1" customFormat="1" ht="14.25" customHeight="1" x14ac:dyDescent="0.3"/>
    <row r="451" s="1" customFormat="1" ht="14.25" customHeight="1" x14ac:dyDescent="0.3"/>
    <row r="452" s="1" customFormat="1" ht="14.25" customHeight="1" x14ac:dyDescent="0.3"/>
    <row r="453" s="1" customFormat="1" ht="14.25" customHeight="1" x14ac:dyDescent="0.3"/>
    <row r="454" s="1" customFormat="1" ht="14.25" customHeight="1" x14ac:dyDescent="0.3"/>
    <row r="455" s="1" customFormat="1" ht="14.25" customHeight="1" x14ac:dyDescent="0.3"/>
    <row r="456" s="1" customFormat="1" ht="14.25" customHeight="1" x14ac:dyDescent="0.3"/>
    <row r="457" s="1" customFormat="1" ht="14.25" customHeight="1" x14ac:dyDescent="0.3"/>
    <row r="458" s="1" customFormat="1" ht="14.25" customHeight="1" x14ac:dyDescent="0.3"/>
    <row r="459" s="1" customFormat="1" ht="14.25" customHeight="1" x14ac:dyDescent="0.3"/>
    <row r="460" s="1" customFormat="1" ht="14.25" customHeight="1" x14ac:dyDescent="0.3"/>
    <row r="461" s="1" customFormat="1" ht="14.25" customHeight="1" x14ac:dyDescent="0.3"/>
    <row r="462" s="1" customFormat="1" ht="14.25" customHeight="1" x14ac:dyDescent="0.3"/>
    <row r="463" s="1" customFormat="1" ht="14.25" customHeight="1" x14ac:dyDescent="0.3"/>
    <row r="464" s="1" customFormat="1" ht="14.25" customHeight="1" x14ac:dyDescent="0.3"/>
    <row r="465" s="1" customFormat="1" ht="14.25" customHeight="1" x14ac:dyDescent="0.3"/>
    <row r="466" s="1" customFormat="1" ht="14.25" customHeight="1" x14ac:dyDescent="0.3"/>
    <row r="467" s="1" customFormat="1" ht="14.25" customHeight="1" x14ac:dyDescent="0.3"/>
    <row r="468" s="1" customFormat="1" ht="14.25" customHeight="1" x14ac:dyDescent="0.3"/>
    <row r="469" s="1" customFormat="1" ht="14.25" customHeight="1" x14ac:dyDescent="0.3"/>
    <row r="470" s="1" customFormat="1" ht="14.25" customHeight="1" x14ac:dyDescent="0.3"/>
    <row r="471" s="1" customFormat="1" ht="14.25" customHeight="1" x14ac:dyDescent="0.3"/>
    <row r="472" s="1" customFormat="1" ht="14.25" customHeight="1" x14ac:dyDescent="0.3"/>
    <row r="473" s="1" customFormat="1" ht="14.25" customHeight="1" x14ac:dyDescent="0.3"/>
    <row r="474" s="1" customFormat="1" ht="14.25" customHeight="1" x14ac:dyDescent="0.3"/>
    <row r="475" s="1" customFormat="1" ht="14.25" customHeight="1" x14ac:dyDescent="0.3"/>
    <row r="476" s="1" customFormat="1" ht="14.25" customHeight="1" x14ac:dyDescent="0.3"/>
    <row r="477" s="1" customFormat="1" ht="14.25" customHeight="1" x14ac:dyDescent="0.3"/>
    <row r="478" s="1" customFormat="1" ht="14.25" customHeight="1" x14ac:dyDescent="0.3"/>
    <row r="479" s="1" customFormat="1" ht="14.25" customHeight="1" x14ac:dyDescent="0.3"/>
    <row r="480" s="1" customFormat="1" ht="14.25" customHeight="1" x14ac:dyDescent="0.3"/>
    <row r="481" s="1" customFormat="1" ht="14.25" customHeight="1" x14ac:dyDescent="0.3"/>
    <row r="482" s="1" customFormat="1" ht="14.25" customHeight="1" x14ac:dyDescent="0.3"/>
    <row r="483" s="1" customFormat="1" ht="14.25" customHeight="1" x14ac:dyDescent="0.3"/>
    <row r="484" s="1" customFormat="1" ht="14.25" customHeight="1" x14ac:dyDescent="0.3"/>
    <row r="485" s="1" customFormat="1" ht="14.25" customHeight="1" x14ac:dyDescent="0.3"/>
    <row r="486" s="1" customFormat="1" ht="14.25" customHeight="1" x14ac:dyDescent="0.3"/>
    <row r="487" s="1" customFormat="1" ht="14.25" customHeight="1" x14ac:dyDescent="0.3"/>
    <row r="488" s="1" customFormat="1" ht="14.25" customHeight="1" x14ac:dyDescent="0.3"/>
    <row r="489" s="1" customFormat="1" ht="14.25" customHeight="1" x14ac:dyDescent="0.3"/>
    <row r="490" s="1" customFormat="1" ht="14.25" customHeight="1" x14ac:dyDescent="0.3"/>
    <row r="491" s="1" customFormat="1" ht="14.25" customHeight="1" x14ac:dyDescent="0.3"/>
    <row r="492" s="1" customFormat="1" ht="14.25" customHeight="1" x14ac:dyDescent="0.3"/>
    <row r="493" s="1" customFormat="1" ht="14.25" customHeight="1" x14ac:dyDescent="0.3"/>
    <row r="494" s="1" customFormat="1" ht="14.25" customHeight="1" x14ac:dyDescent="0.3"/>
    <row r="495" s="1" customFormat="1" ht="14.25" customHeight="1" x14ac:dyDescent="0.3"/>
    <row r="496" s="1" customFormat="1" ht="14.25" customHeight="1" x14ac:dyDescent="0.3"/>
    <row r="497" s="1" customFormat="1" ht="14.25" customHeight="1" x14ac:dyDescent="0.3"/>
    <row r="498" s="1" customFormat="1" ht="14.25" customHeight="1" x14ac:dyDescent="0.3"/>
    <row r="499" s="1" customFormat="1" ht="14.25" customHeight="1" x14ac:dyDescent="0.3"/>
    <row r="500" s="1" customFormat="1" ht="14.25" customHeight="1" x14ac:dyDescent="0.3"/>
    <row r="501" s="1" customFormat="1" ht="14.25" customHeight="1" x14ac:dyDescent="0.3"/>
    <row r="502" s="1" customFormat="1" ht="14.25" customHeight="1" x14ac:dyDescent="0.3"/>
    <row r="503" s="1" customFormat="1" ht="14.25" customHeight="1" x14ac:dyDescent="0.3"/>
    <row r="504" s="1" customFormat="1" ht="14.25" customHeight="1" x14ac:dyDescent="0.3"/>
    <row r="505" s="1" customFormat="1" ht="14.25" customHeight="1" x14ac:dyDescent="0.3"/>
    <row r="506" s="1" customFormat="1" ht="14.25" customHeight="1" x14ac:dyDescent="0.3"/>
    <row r="507" s="1" customFormat="1" ht="14.25" customHeight="1" x14ac:dyDescent="0.3"/>
    <row r="508" s="1" customFormat="1" ht="14.25" customHeight="1" x14ac:dyDescent="0.3"/>
    <row r="509" s="1" customFormat="1" ht="14.25" customHeight="1" x14ac:dyDescent="0.3"/>
    <row r="510" s="1" customFormat="1" ht="14.25" customHeight="1" x14ac:dyDescent="0.3"/>
    <row r="511" s="1" customFormat="1" ht="14.25" customHeight="1" x14ac:dyDescent="0.3"/>
    <row r="512" s="1" customFormat="1" ht="14.25" customHeight="1" x14ac:dyDescent="0.3"/>
    <row r="513" s="1" customFormat="1" ht="14.25" customHeight="1" x14ac:dyDescent="0.3"/>
    <row r="514" s="1" customFormat="1" ht="14.25" customHeight="1" x14ac:dyDescent="0.3"/>
    <row r="515" s="1" customFormat="1" ht="14.25" customHeight="1" x14ac:dyDescent="0.3"/>
    <row r="516" s="1" customFormat="1" ht="14.25" customHeight="1" x14ac:dyDescent="0.3"/>
    <row r="517" s="1" customFormat="1" ht="14.25" customHeight="1" x14ac:dyDescent="0.3"/>
    <row r="518" s="1" customFormat="1" ht="14.25" customHeight="1" x14ac:dyDescent="0.3"/>
    <row r="519" s="1" customFormat="1" ht="14.25" customHeight="1" x14ac:dyDescent="0.3"/>
    <row r="520" s="1" customFormat="1" ht="14.25" customHeight="1" x14ac:dyDescent="0.3"/>
    <row r="521" s="1" customFormat="1" ht="14.25" customHeight="1" x14ac:dyDescent="0.3"/>
    <row r="522" s="1" customFormat="1" ht="14.25" customHeight="1" x14ac:dyDescent="0.3"/>
    <row r="523" s="1" customFormat="1" ht="14.25" customHeight="1" x14ac:dyDescent="0.3"/>
    <row r="524" s="1" customFormat="1" ht="14.25" customHeight="1" x14ac:dyDescent="0.3"/>
    <row r="525" s="1" customFormat="1" ht="14.25" customHeight="1" x14ac:dyDescent="0.3"/>
    <row r="526" s="1" customFormat="1" ht="14.25" customHeight="1" x14ac:dyDescent="0.3"/>
    <row r="527" s="1" customFormat="1" ht="14.25" customHeight="1" x14ac:dyDescent="0.3"/>
    <row r="528" s="1" customFormat="1" ht="14.25" customHeight="1" x14ac:dyDescent="0.3"/>
    <row r="529" s="1" customFormat="1" ht="14.25" customHeight="1" x14ac:dyDescent="0.3"/>
    <row r="530" s="1" customFormat="1" ht="14.25" customHeight="1" x14ac:dyDescent="0.3"/>
    <row r="531" s="1" customFormat="1" ht="14.25" customHeight="1" x14ac:dyDescent="0.3"/>
    <row r="532" s="1" customFormat="1" ht="14.25" customHeight="1" x14ac:dyDescent="0.3"/>
    <row r="533" s="1" customFormat="1" ht="14.25" customHeight="1" x14ac:dyDescent="0.3"/>
    <row r="534" s="1" customFormat="1" ht="14.25" customHeight="1" x14ac:dyDescent="0.3"/>
    <row r="535" s="1" customFormat="1" ht="14.25" customHeight="1" x14ac:dyDescent="0.3"/>
    <row r="536" s="1" customFormat="1" ht="14.25" customHeight="1" x14ac:dyDescent="0.3"/>
    <row r="537" s="1" customFormat="1" ht="14.25" customHeight="1" x14ac:dyDescent="0.3"/>
    <row r="538" s="1" customFormat="1" ht="14.25" customHeight="1" x14ac:dyDescent="0.3"/>
    <row r="539" s="1" customFormat="1" ht="14.25" customHeight="1" x14ac:dyDescent="0.3"/>
    <row r="540" s="1" customFormat="1" ht="14.25" customHeight="1" x14ac:dyDescent="0.3"/>
    <row r="541" s="1" customFormat="1" ht="14.25" customHeight="1" x14ac:dyDescent="0.3"/>
    <row r="542" s="1" customFormat="1" ht="14.25" customHeight="1" x14ac:dyDescent="0.3"/>
    <row r="543" s="1" customFormat="1" ht="14.25" customHeight="1" x14ac:dyDescent="0.3"/>
    <row r="544" s="1" customFormat="1" ht="14.25" customHeight="1" x14ac:dyDescent="0.3"/>
    <row r="545" s="1" customFormat="1" ht="14.25" customHeight="1" x14ac:dyDescent="0.3"/>
    <row r="546" s="1" customFormat="1" ht="14.25" customHeight="1" x14ac:dyDescent="0.3"/>
    <row r="547" s="1" customFormat="1" ht="14.25" customHeight="1" x14ac:dyDescent="0.3"/>
    <row r="548" s="1" customFormat="1" ht="14.25" customHeight="1" x14ac:dyDescent="0.3"/>
    <row r="549" s="1" customFormat="1" ht="14.25" customHeight="1" x14ac:dyDescent="0.3"/>
    <row r="550" s="1" customFormat="1" ht="14.25" customHeight="1" x14ac:dyDescent="0.3"/>
    <row r="551" s="1" customFormat="1" ht="14.25" customHeight="1" x14ac:dyDescent="0.3"/>
    <row r="552" s="1" customFormat="1" ht="14.25" customHeight="1" x14ac:dyDescent="0.3"/>
    <row r="553" s="1" customFormat="1" ht="14.25" customHeight="1" x14ac:dyDescent="0.3"/>
    <row r="554" s="1" customFormat="1" ht="14.25" customHeight="1" x14ac:dyDescent="0.3"/>
    <row r="555" s="1" customFormat="1" ht="14.25" customHeight="1" x14ac:dyDescent="0.3"/>
    <row r="556" s="1" customFormat="1" ht="14.25" customHeight="1" x14ac:dyDescent="0.3"/>
    <row r="557" s="1" customFormat="1" ht="14.25" customHeight="1" x14ac:dyDescent="0.3"/>
    <row r="558" s="1" customFormat="1" ht="14.25" customHeight="1" x14ac:dyDescent="0.3"/>
    <row r="559" s="1" customFormat="1" ht="14.25" customHeight="1" x14ac:dyDescent="0.3"/>
    <row r="560" s="1" customFormat="1" ht="14.25" customHeight="1" x14ac:dyDescent="0.3"/>
    <row r="561" s="1" customFormat="1" ht="14.25" customHeight="1" x14ac:dyDescent="0.3"/>
    <row r="562" s="1" customFormat="1" ht="14.25" customHeight="1" x14ac:dyDescent="0.3"/>
    <row r="563" s="1" customFormat="1" ht="14.25" customHeight="1" x14ac:dyDescent="0.3"/>
    <row r="564" s="1" customFormat="1" ht="14.25" customHeight="1" x14ac:dyDescent="0.3"/>
    <row r="565" s="1" customFormat="1" ht="14.25" customHeight="1" x14ac:dyDescent="0.3"/>
    <row r="566" s="1" customFormat="1" ht="14.25" customHeight="1" x14ac:dyDescent="0.3"/>
    <row r="567" s="1" customFormat="1" ht="14.25" customHeight="1" x14ac:dyDescent="0.3"/>
    <row r="568" s="1" customFormat="1" ht="14.25" customHeight="1" x14ac:dyDescent="0.3"/>
    <row r="569" s="1" customFormat="1" ht="14.25" customHeight="1" x14ac:dyDescent="0.3"/>
    <row r="570" s="1" customFormat="1" ht="14.25" customHeight="1" x14ac:dyDescent="0.3"/>
    <row r="571" s="1" customFormat="1" ht="14.25" customHeight="1" x14ac:dyDescent="0.3"/>
    <row r="572" s="1" customFormat="1" ht="14.25" customHeight="1" x14ac:dyDescent="0.3"/>
    <row r="573" s="1" customFormat="1" ht="14.25" customHeight="1" x14ac:dyDescent="0.3"/>
    <row r="574" s="1" customFormat="1" ht="14.25" customHeight="1" x14ac:dyDescent="0.3"/>
    <row r="575" s="1" customFormat="1" ht="14.25" customHeight="1" x14ac:dyDescent="0.3"/>
    <row r="576" s="1" customFormat="1" ht="14.25" customHeight="1" x14ac:dyDescent="0.3"/>
    <row r="577" s="1" customFormat="1" ht="14.25" customHeight="1" x14ac:dyDescent="0.3"/>
    <row r="578" s="1" customFormat="1" ht="14.25" customHeight="1" x14ac:dyDescent="0.3"/>
    <row r="579" s="1" customFormat="1" ht="14.25" customHeight="1" x14ac:dyDescent="0.3"/>
    <row r="580" s="1" customFormat="1" ht="14.25" customHeight="1" x14ac:dyDescent="0.3"/>
    <row r="581" s="1" customFormat="1" ht="14.25" customHeight="1" x14ac:dyDescent="0.3"/>
    <row r="582" s="1" customFormat="1" ht="14.25" customHeight="1" x14ac:dyDescent="0.3"/>
    <row r="583" s="1" customFormat="1" ht="14.25" customHeight="1" x14ac:dyDescent="0.3"/>
    <row r="584" s="1" customFormat="1" ht="14.25" customHeight="1" x14ac:dyDescent="0.3"/>
    <row r="585" s="1" customFormat="1" ht="14.25" customHeight="1" x14ac:dyDescent="0.3"/>
    <row r="586" s="1" customFormat="1" ht="14.25" customHeight="1" x14ac:dyDescent="0.3"/>
    <row r="587" s="1" customFormat="1" ht="14.25" customHeight="1" x14ac:dyDescent="0.3"/>
    <row r="588" s="1" customFormat="1" ht="14.25" customHeight="1" x14ac:dyDescent="0.3"/>
    <row r="589" s="1" customFormat="1" ht="14.25" customHeight="1" x14ac:dyDescent="0.3"/>
    <row r="590" s="1" customFormat="1" ht="14.25" customHeight="1" x14ac:dyDescent="0.3"/>
    <row r="591" s="1" customFormat="1" ht="14.25" customHeight="1" x14ac:dyDescent="0.3"/>
    <row r="592" s="1" customFormat="1" ht="14.25" customHeight="1" x14ac:dyDescent="0.3"/>
    <row r="593" s="1" customFormat="1" ht="14.25" customHeight="1" x14ac:dyDescent="0.3"/>
    <row r="594" s="1" customFormat="1" ht="14.25" customHeight="1" x14ac:dyDescent="0.3"/>
    <row r="595" s="1" customFormat="1" ht="14.25" customHeight="1" x14ac:dyDescent="0.3"/>
    <row r="596" s="1" customFormat="1" ht="14.25" customHeight="1" x14ac:dyDescent="0.3"/>
    <row r="597" s="1" customFormat="1" ht="14.25" customHeight="1" x14ac:dyDescent="0.3"/>
    <row r="598" s="1" customFormat="1" ht="14.25" customHeight="1" x14ac:dyDescent="0.3"/>
    <row r="599" s="1" customFormat="1" ht="14.25" customHeight="1" x14ac:dyDescent="0.3"/>
    <row r="600" s="1" customFormat="1" ht="14.25" customHeight="1" x14ac:dyDescent="0.3"/>
    <row r="601" s="1" customFormat="1" ht="14.25" customHeight="1" x14ac:dyDescent="0.3"/>
    <row r="602" s="1" customFormat="1" ht="14.25" customHeight="1" x14ac:dyDescent="0.3"/>
    <row r="603" s="1" customFormat="1" ht="14.25" customHeight="1" x14ac:dyDescent="0.3"/>
    <row r="604" s="1" customFormat="1" ht="14.25" customHeight="1" x14ac:dyDescent="0.3"/>
    <row r="605" s="1" customFormat="1" ht="14.25" customHeight="1" x14ac:dyDescent="0.3"/>
    <row r="606" s="1" customFormat="1" ht="14.25" customHeight="1" x14ac:dyDescent="0.3"/>
    <row r="607" s="1" customFormat="1" ht="14.25" customHeight="1" x14ac:dyDescent="0.3"/>
    <row r="608" s="1" customFormat="1" ht="14.25" customHeight="1" x14ac:dyDescent="0.3"/>
    <row r="609" s="1" customFormat="1" ht="14.25" customHeight="1" x14ac:dyDescent="0.3"/>
    <row r="610" s="1" customFormat="1" ht="14.25" customHeight="1" x14ac:dyDescent="0.3"/>
    <row r="611" s="1" customFormat="1" ht="14.25" customHeight="1" x14ac:dyDescent="0.3"/>
    <row r="612" s="1" customFormat="1" ht="14.25" customHeight="1" x14ac:dyDescent="0.3"/>
    <row r="613" s="1" customFormat="1" ht="14.25" customHeight="1" x14ac:dyDescent="0.3"/>
    <row r="614" s="1" customFormat="1" ht="14.25" customHeight="1" x14ac:dyDescent="0.3"/>
    <row r="615" s="1" customFormat="1" ht="14.25" customHeight="1" x14ac:dyDescent="0.3"/>
    <row r="616" s="1" customFormat="1" ht="14.25" customHeight="1" x14ac:dyDescent="0.3"/>
    <row r="617" s="1" customFormat="1" ht="14.25" customHeight="1" x14ac:dyDescent="0.3"/>
    <row r="618" s="1" customFormat="1" ht="14.25" customHeight="1" x14ac:dyDescent="0.3"/>
    <row r="619" s="1" customFormat="1" ht="14.25" customHeight="1" x14ac:dyDescent="0.3"/>
    <row r="620" s="1" customFormat="1" ht="14.25" customHeight="1" x14ac:dyDescent="0.3"/>
    <row r="621" s="1" customFormat="1" ht="14.25" customHeight="1" x14ac:dyDescent="0.3"/>
    <row r="622" s="1" customFormat="1" ht="14.25" customHeight="1" x14ac:dyDescent="0.3"/>
    <row r="623" s="1" customFormat="1" ht="14.25" customHeight="1" x14ac:dyDescent="0.3"/>
    <row r="624" s="1" customFormat="1" ht="14.25" customHeight="1" x14ac:dyDescent="0.3"/>
    <row r="625" s="1" customFormat="1" ht="14.25" customHeight="1" x14ac:dyDescent="0.3"/>
    <row r="626" s="1" customFormat="1" ht="14.25" customHeight="1" x14ac:dyDescent="0.3"/>
    <row r="627" s="1" customFormat="1" ht="14.25" customHeight="1" x14ac:dyDescent="0.3"/>
    <row r="628" s="1" customFormat="1" ht="14.25" customHeight="1" x14ac:dyDescent="0.3"/>
    <row r="629" s="1" customFormat="1" ht="14.25" customHeight="1" x14ac:dyDescent="0.3"/>
    <row r="630" s="1" customFormat="1" ht="14.25" customHeight="1" x14ac:dyDescent="0.3"/>
    <row r="631" s="1" customFormat="1" ht="14.25" customHeight="1" x14ac:dyDescent="0.3"/>
    <row r="632" s="1" customFormat="1" ht="14.25" customHeight="1" x14ac:dyDescent="0.3"/>
    <row r="633" s="1" customFormat="1" ht="14.25" customHeight="1" x14ac:dyDescent="0.3"/>
    <row r="634" s="1" customFormat="1" ht="14.25" customHeight="1" x14ac:dyDescent="0.3"/>
    <row r="635" s="1" customFormat="1" ht="14.25" customHeight="1" x14ac:dyDescent="0.3"/>
    <row r="636" s="1" customFormat="1" ht="14.25" customHeight="1" x14ac:dyDescent="0.3"/>
    <row r="637" s="1" customFormat="1" ht="14.25" customHeight="1" x14ac:dyDescent="0.3"/>
    <row r="638" s="1" customFormat="1" ht="14.25" customHeight="1" x14ac:dyDescent="0.3"/>
    <row r="639" s="1" customFormat="1" ht="14.25" customHeight="1" x14ac:dyDescent="0.3"/>
    <row r="640" s="1" customFormat="1" ht="14.25" customHeight="1" x14ac:dyDescent="0.3"/>
    <row r="641" s="1" customFormat="1" ht="14.25" customHeight="1" x14ac:dyDescent="0.3"/>
    <row r="642" s="1" customFormat="1" ht="14.25" customHeight="1" x14ac:dyDescent="0.3"/>
    <row r="643" s="1" customFormat="1" ht="14.25" customHeight="1" x14ac:dyDescent="0.3"/>
    <row r="644" s="1" customFormat="1" ht="14.25" customHeight="1" x14ac:dyDescent="0.3"/>
    <row r="645" s="1" customFormat="1" ht="14.25" customHeight="1" x14ac:dyDescent="0.3"/>
    <row r="646" s="1" customFormat="1" ht="14.25" customHeight="1" x14ac:dyDescent="0.3"/>
    <row r="647" s="1" customFormat="1" ht="14.25" customHeight="1" x14ac:dyDescent="0.3"/>
    <row r="648" s="1" customFormat="1" ht="14.25" customHeight="1" x14ac:dyDescent="0.3"/>
    <row r="649" s="1" customFormat="1" ht="14.25" customHeight="1" x14ac:dyDescent="0.3"/>
    <row r="650" s="1" customFormat="1" ht="14.25" customHeight="1" x14ac:dyDescent="0.3"/>
    <row r="651" s="1" customFormat="1" ht="14.25" customHeight="1" x14ac:dyDescent="0.3"/>
    <row r="652" s="1" customFormat="1" ht="14.25" customHeight="1" x14ac:dyDescent="0.3"/>
    <row r="653" s="1" customFormat="1" ht="14.25" customHeight="1" x14ac:dyDescent="0.3"/>
    <row r="654" s="1" customFormat="1" ht="14.25" customHeight="1" x14ac:dyDescent="0.3"/>
    <row r="655" s="1" customFormat="1" ht="14.25" customHeight="1" x14ac:dyDescent="0.3"/>
    <row r="656" s="1" customFormat="1" ht="14.25" customHeight="1" x14ac:dyDescent="0.3"/>
    <row r="657" s="1" customFormat="1" ht="14.25" customHeight="1" x14ac:dyDescent="0.3"/>
    <row r="658" s="1" customFormat="1" ht="14.25" customHeight="1" x14ac:dyDescent="0.3"/>
    <row r="659" s="1" customFormat="1" ht="14.25" customHeight="1" x14ac:dyDescent="0.3"/>
    <row r="660" s="1" customFormat="1" ht="14.25" customHeight="1" x14ac:dyDescent="0.3"/>
    <row r="661" s="1" customFormat="1" ht="14.25" customHeight="1" x14ac:dyDescent="0.3"/>
    <row r="662" s="1" customFormat="1" ht="14.25" customHeight="1" x14ac:dyDescent="0.3"/>
    <row r="663" s="1" customFormat="1" ht="14.25" customHeight="1" x14ac:dyDescent="0.3"/>
    <row r="664" s="1" customFormat="1" ht="14.25" customHeight="1" x14ac:dyDescent="0.3"/>
    <row r="665" s="1" customFormat="1" ht="14.25" customHeight="1" x14ac:dyDescent="0.3"/>
    <row r="666" s="1" customFormat="1" ht="14.25" customHeight="1" x14ac:dyDescent="0.3"/>
    <row r="667" s="1" customFormat="1" ht="14.25" customHeight="1" x14ac:dyDescent="0.3"/>
    <row r="668" s="1" customFormat="1" ht="14.25" customHeight="1" x14ac:dyDescent="0.3"/>
    <row r="669" s="1" customFormat="1" ht="14.25" customHeight="1" x14ac:dyDescent="0.3"/>
    <row r="670" s="1" customFormat="1" ht="14.25" customHeight="1" x14ac:dyDescent="0.3"/>
    <row r="671" s="1" customFormat="1" ht="14.25" customHeight="1" x14ac:dyDescent="0.3"/>
    <row r="672" s="1" customFormat="1" ht="14.25" customHeight="1" x14ac:dyDescent="0.3"/>
    <row r="673" s="1" customFormat="1" ht="14.25" customHeight="1" x14ac:dyDescent="0.3"/>
    <row r="674" s="1" customFormat="1" ht="14.25" customHeight="1" x14ac:dyDescent="0.3"/>
    <row r="675" s="1" customFormat="1" ht="14.25" customHeight="1" x14ac:dyDescent="0.3"/>
    <row r="676" s="1" customFormat="1" ht="14.25" customHeight="1" x14ac:dyDescent="0.3"/>
    <row r="677" s="1" customFormat="1" ht="14.25" customHeight="1" x14ac:dyDescent="0.3"/>
    <row r="678" s="1" customFormat="1" ht="14.25" customHeight="1" x14ac:dyDescent="0.3"/>
    <row r="679" s="1" customFormat="1" ht="14.25" customHeight="1" x14ac:dyDescent="0.3"/>
    <row r="680" s="1" customFormat="1" ht="14.25" customHeight="1" x14ac:dyDescent="0.3"/>
    <row r="681" s="1" customFormat="1" ht="14.25" customHeight="1" x14ac:dyDescent="0.3"/>
    <row r="682" s="1" customFormat="1" ht="14.25" customHeight="1" x14ac:dyDescent="0.3"/>
    <row r="683" s="1" customFormat="1" ht="14.25" customHeight="1" x14ac:dyDescent="0.3"/>
    <row r="684" s="1" customFormat="1" ht="14.25" customHeight="1" x14ac:dyDescent="0.3"/>
    <row r="685" s="1" customFormat="1" ht="14.25" customHeight="1" x14ac:dyDescent="0.3"/>
    <row r="686" s="1" customFormat="1" ht="14.25" customHeight="1" x14ac:dyDescent="0.3"/>
    <row r="687" s="1" customFormat="1" ht="14.25" customHeight="1" x14ac:dyDescent="0.3"/>
    <row r="688" s="1" customFormat="1" ht="14.25" customHeight="1" x14ac:dyDescent="0.3"/>
    <row r="689" s="1" customFormat="1" ht="14.25" customHeight="1" x14ac:dyDescent="0.3"/>
    <row r="690" s="1" customFormat="1" ht="14.25" customHeight="1" x14ac:dyDescent="0.3"/>
    <row r="691" s="1" customFormat="1" ht="14.25" customHeight="1" x14ac:dyDescent="0.3"/>
    <row r="692" s="1" customFormat="1" ht="14.25" customHeight="1" x14ac:dyDescent="0.3"/>
    <row r="693" s="1" customFormat="1" ht="14.25" customHeight="1" x14ac:dyDescent="0.3"/>
    <row r="694" s="1" customFormat="1" ht="14.25" customHeight="1" x14ac:dyDescent="0.3"/>
    <row r="695" s="1" customFormat="1" ht="14.25" customHeight="1" x14ac:dyDescent="0.3"/>
    <row r="696" s="1" customFormat="1" ht="14.25" customHeight="1" x14ac:dyDescent="0.3"/>
    <row r="697" s="1" customFormat="1" ht="14.25" customHeight="1" x14ac:dyDescent="0.3"/>
    <row r="698" s="1" customFormat="1" ht="14.25" customHeight="1" x14ac:dyDescent="0.3"/>
    <row r="699" s="1" customFormat="1" ht="14.25" customHeight="1" x14ac:dyDescent="0.3"/>
    <row r="700" s="1" customFormat="1" ht="14.25" customHeight="1" x14ac:dyDescent="0.3"/>
    <row r="701" s="1" customFormat="1" ht="14.25" customHeight="1" x14ac:dyDescent="0.3"/>
    <row r="702" s="1" customFormat="1" ht="14.25" customHeight="1" x14ac:dyDescent="0.3"/>
    <row r="703" s="1" customFormat="1" ht="14.25" customHeight="1" x14ac:dyDescent="0.3"/>
    <row r="704" s="1" customFormat="1" ht="14.25" customHeight="1" x14ac:dyDescent="0.3"/>
    <row r="705" s="1" customFormat="1" ht="14.25" customHeight="1" x14ac:dyDescent="0.3"/>
    <row r="706" s="1" customFormat="1" ht="14.25" customHeight="1" x14ac:dyDescent="0.3"/>
    <row r="707" s="1" customFormat="1" ht="14.25" customHeight="1" x14ac:dyDescent="0.3"/>
    <row r="708" s="1" customFormat="1" ht="14.25" customHeight="1" x14ac:dyDescent="0.3"/>
    <row r="709" s="1" customFormat="1" ht="14.25" customHeight="1" x14ac:dyDescent="0.3"/>
    <row r="710" s="1" customFormat="1" ht="14.25" customHeight="1" x14ac:dyDescent="0.3"/>
    <row r="711" s="1" customFormat="1" ht="14.25" customHeight="1" x14ac:dyDescent="0.3"/>
    <row r="712" s="1" customFormat="1" ht="14.25" customHeight="1" x14ac:dyDescent="0.3"/>
    <row r="713" s="1" customFormat="1" ht="14.25" customHeight="1" x14ac:dyDescent="0.3"/>
    <row r="714" s="1" customFormat="1" ht="14.25" customHeight="1" x14ac:dyDescent="0.3"/>
    <row r="715" s="1" customFormat="1" ht="14.25" customHeight="1" x14ac:dyDescent="0.3"/>
    <row r="716" s="1" customFormat="1" ht="14.25" customHeight="1" x14ac:dyDescent="0.3"/>
    <row r="717" s="1" customFormat="1" ht="14.25" customHeight="1" x14ac:dyDescent="0.3"/>
    <row r="718" s="1" customFormat="1" ht="14.25" customHeight="1" x14ac:dyDescent="0.3"/>
    <row r="719" s="1" customFormat="1" ht="14.25" customHeight="1" x14ac:dyDescent="0.3"/>
    <row r="720" s="1" customFormat="1" ht="14.25" customHeight="1" x14ac:dyDescent="0.3"/>
    <row r="721" s="1" customFormat="1" ht="14.25" customHeight="1" x14ac:dyDescent="0.3"/>
    <row r="722" s="1" customFormat="1" ht="14.25" customHeight="1" x14ac:dyDescent="0.3"/>
    <row r="723" s="1" customFormat="1" ht="14.25" customHeight="1" x14ac:dyDescent="0.3"/>
    <row r="724" s="1" customFormat="1" ht="14.25" customHeight="1" x14ac:dyDescent="0.3"/>
    <row r="725" s="1" customFormat="1" ht="14.25" customHeight="1" x14ac:dyDescent="0.3"/>
    <row r="726" s="1" customFormat="1" ht="14.25" customHeight="1" x14ac:dyDescent="0.3"/>
    <row r="727" s="1" customFormat="1" ht="14.25" customHeight="1" x14ac:dyDescent="0.3"/>
    <row r="728" s="1" customFormat="1" ht="14.25" customHeight="1" x14ac:dyDescent="0.3"/>
    <row r="729" s="1" customFormat="1" ht="14.25" customHeight="1" x14ac:dyDescent="0.3"/>
    <row r="730" s="1" customFormat="1" ht="14.25" customHeight="1" x14ac:dyDescent="0.3"/>
    <row r="731" s="1" customFormat="1" ht="14.25" customHeight="1" x14ac:dyDescent="0.3"/>
    <row r="732" s="1" customFormat="1" ht="14.25" customHeight="1" x14ac:dyDescent="0.3"/>
    <row r="733" s="1" customFormat="1" ht="14.25" customHeight="1" x14ac:dyDescent="0.3"/>
    <row r="734" s="1" customFormat="1" ht="14.25" customHeight="1" x14ac:dyDescent="0.3"/>
    <row r="735" s="1" customFormat="1" ht="14.25" customHeight="1" x14ac:dyDescent="0.3"/>
    <row r="736" s="1" customFormat="1" ht="14.25" customHeight="1" x14ac:dyDescent="0.3"/>
    <row r="737" s="1" customFormat="1" ht="14.25" customHeight="1" x14ac:dyDescent="0.3"/>
    <row r="738" s="1" customFormat="1" ht="14.25" customHeight="1" x14ac:dyDescent="0.3"/>
    <row r="739" s="1" customFormat="1" ht="14.25" customHeight="1" x14ac:dyDescent="0.3"/>
    <row r="740" s="1" customFormat="1" ht="14.25" customHeight="1" x14ac:dyDescent="0.3"/>
    <row r="741" s="1" customFormat="1" ht="14.25" customHeight="1" x14ac:dyDescent="0.3"/>
    <row r="742" s="1" customFormat="1" ht="14.25" customHeight="1" x14ac:dyDescent="0.3"/>
    <row r="743" s="1" customFormat="1" ht="14.25" customHeight="1" x14ac:dyDescent="0.3"/>
    <row r="744" s="1" customFormat="1" ht="14.25" customHeight="1" x14ac:dyDescent="0.3"/>
    <row r="745" s="1" customFormat="1" ht="14.25" customHeight="1" x14ac:dyDescent="0.3"/>
    <row r="746" s="1" customFormat="1" ht="14.25" customHeight="1" x14ac:dyDescent="0.3"/>
    <row r="747" s="1" customFormat="1" ht="14.25" customHeight="1" x14ac:dyDescent="0.3"/>
    <row r="748" s="1" customFormat="1" ht="14.25" customHeight="1" x14ac:dyDescent="0.3"/>
    <row r="749" s="1" customFormat="1" ht="14.25" customHeight="1" x14ac:dyDescent="0.3"/>
    <row r="750" s="1" customFormat="1" ht="14.25" customHeight="1" x14ac:dyDescent="0.3"/>
    <row r="751" s="1" customFormat="1" ht="14.25" customHeight="1" x14ac:dyDescent="0.3"/>
    <row r="752" s="1" customFormat="1" ht="14.25" customHeight="1" x14ac:dyDescent="0.3"/>
    <row r="753" s="1" customFormat="1" ht="14.25" customHeight="1" x14ac:dyDescent="0.3"/>
    <row r="754" s="1" customFormat="1" ht="14.25" customHeight="1" x14ac:dyDescent="0.3"/>
    <row r="755" s="1" customFormat="1" ht="14.25" customHeight="1" x14ac:dyDescent="0.3"/>
    <row r="756" s="1" customFormat="1" ht="14.25" customHeight="1" x14ac:dyDescent="0.3"/>
    <row r="757" s="1" customFormat="1" ht="14.25" customHeight="1" x14ac:dyDescent="0.3"/>
    <row r="758" s="1" customFormat="1" ht="14.25" customHeight="1" x14ac:dyDescent="0.3"/>
    <row r="759" s="1" customFormat="1" ht="14.25" customHeight="1" x14ac:dyDescent="0.3"/>
    <row r="760" s="1" customFormat="1" ht="14.25" customHeight="1" x14ac:dyDescent="0.3"/>
    <row r="761" s="1" customFormat="1" ht="14.25" customHeight="1" x14ac:dyDescent="0.3"/>
    <row r="762" s="1" customFormat="1" ht="14.25" customHeight="1" x14ac:dyDescent="0.3"/>
    <row r="763" s="1" customFormat="1" ht="14.25" customHeight="1" x14ac:dyDescent="0.3"/>
    <row r="764" s="1" customFormat="1" ht="14.25" customHeight="1" x14ac:dyDescent="0.3"/>
    <row r="765" s="1" customFormat="1" ht="14.25" customHeight="1" x14ac:dyDescent="0.3"/>
    <row r="766" s="1" customFormat="1" ht="14.25" customHeight="1" x14ac:dyDescent="0.3"/>
    <row r="767" s="1" customFormat="1" ht="14.25" customHeight="1" x14ac:dyDescent="0.3"/>
    <row r="768" s="1" customFormat="1" ht="14.25" customHeight="1" x14ac:dyDescent="0.3"/>
    <row r="769" s="1" customFormat="1" ht="14.25" customHeight="1" x14ac:dyDescent="0.3"/>
    <row r="770" s="1" customFormat="1" ht="14.25" customHeight="1" x14ac:dyDescent="0.3"/>
    <row r="771" s="1" customFormat="1" ht="14.25" customHeight="1" x14ac:dyDescent="0.3"/>
    <row r="772" s="1" customFormat="1" ht="14.25" customHeight="1" x14ac:dyDescent="0.3"/>
    <row r="773" s="1" customFormat="1" ht="14.25" customHeight="1" x14ac:dyDescent="0.3"/>
    <row r="774" s="1" customFormat="1" ht="14.25" customHeight="1" x14ac:dyDescent="0.3"/>
    <row r="775" s="1" customFormat="1" ht="14.25" customHeight="1" x14ac:dyDescent="0.3"/>
    <row r="776" s="1" customFormat="1" ht="14.25" customHeight="1" x14ac:dyDescent="0.3"/>
    <row r="777" s="1" customFormat="1" ht="14.25" customHeight="1" x14ac:dyDescent="0.3"/>
    <row r="778" s="1" customFormat="1" ht="14.25" customHeight="1" x14ac:dyDescent="0.3"/>
    <row r="779" s="1" customFormat="1" ht="14.25" customHeight="1" x14ac:dyDescent="0.3"/>
    <row r="780" s="1" customFormat="1" ht="14.25" customHeight="1" x14ac:dyDescent="0.3"/>
    <row r="781" s="1" customFormat="1" ht="14.25" customHeight="1" x14ac:dyDescent="0.3"/>
    <row r="782" s="1" customFormat="1" ht="14.25" customHeight="1" x14ac:dyDescent="0.3"/>
    <row r="783" s="1" customFormat="1" ht="14.25" customHeight="1" x14ac:dyDescent="0.3"/>
    <row r="784" s="1" customFormat="1" ht="14.25" customHeight="1" x14ac:dyDescent="0.3"/>
    <row r="785" s="1" customFormat="1" ht="14.25" customHeight="1" x14ac:dyDescent="0.3"/>
    <row r="786" s="1" customFormat="1" ht="14.25" customHeight="1" x14ac:dyDescent="0.3"/>
    <row r="787" s="1" customFormat="1" ht="14.25" customHeight="1" x14ac:dyDescent="0.3"/>
    <row r="788" s="1" customFormat="1" ht="14.25" customHeight="1" x14ac:dyDescent="0.3"/>
    <row r="789" s="1" customFormat="1" ht="14.25" customHeight="1" x14ac:dyDescent="0.3"/>
    <row r="790" s="1" customFormat="1" ht="14.25" customHeight="1" x14ac:dyDescent="0.3"/>
    <row r="791" s="1" customFormat="1" ht="14.25" customHeight="1" x14ac:dyDescent="0.3"/>
    <row r="792" s="1" customFormat="1" ht="14.25" customHeight="1" x14ac:dyDescent="0.3"/>
    <row r="793" s="1" customFormat="1" ht="14.25" customHeight="1" x14ac:dyDescent="0.3"/>
    <row r="794" s="1" customFormat="1" ht="14.25" customHeight="1" x14ac:dyDescent="0.3"/>
    <row r="795" s="1" customFormat="1" ht="14.25" customHeight="1" x14ac:dyDescent="0.3"/>
    <row r="796" s="1" customFormat="1" ht="14.25" customHeight="1" x14ac:dyDescent="0.3"/>
    <row r="797" s="1" customFormat="1" ht="14.25" customHeight="1" x14ac:dyDescent="0.3"/>
    <row r="798" s="1" customFormat="1" ht="14.25" customHeight="1" x14ac:dyDescent="0.3"/>
    <row r="799" s="1" customFormat="1" ht="14.25" customHeight="1" x14ac:dyDescent="0.3"/>
    <row r="800" s="1" customFormat="1" ht="14.25" customHeight="1" x14ac:dyDescent="0.3"/>
    <row r="801" s="1" customFormat="1" ht="14.25" customHeight="1" x14ac:dyDescent="0.3"/>
    <row r="802" s="1" customFormat="1" ht="14.25" customHeight="1" x14ac:dyDescent="0.3"/>
    <row r="803" s="1" customFormat="1" ht="14.25" customHeight="1" x14ac:dyDescent="0.3"/>
    <row r="804" s="1" customFormat="1" ht="14.25" customHeight="1" x14ac:dyDescent="0.3"/>
    <row r="805" s="1" customFormat="1" ht="14.25" customHeight="1" x14ac:dyDescent="0.3"/>
    <row r="806" s="1" customFormat="1" ht="14.25" customHeight="1" x14ac:dyDescent="0.3"/>
    <row r="807" s="1" customFormat="1" ht="14.25" customHeight="1" x14ac:dyDescent="0.3"/>
    <row r="808" s="1" customFormat="1" ht="14.25" customHeight="1" x14ac:dyDescent="0.3"/>
    <row r="809" s="1" customFormat="1" ht="14.25" customHeight="1" x14ac:dyDescent="0.3"/>
    <row r="810" s="1" customFormat="1" ht="14.25" customHeight="1" x14ac:dyDescent="0.3"/>
    <row r="811" s="1" customFormat="1" ht="14.25" customHeight="1" x14ac:dyDescent="0.3"/>
    <row r="812" s="1" customFormat="1" ht="14.25" customHeight="1" x14ac:dyDescent="0.3"/>
    <row r="813" s="1" customFormat="1" ht="14.25" customHeight="1" x14ac:dyDescent="0.3"/>
    <row r="814" s="1" customFormat="1" ht="14.25" customHeight="1" x14ac:dyDescent="0.3"/>
    <row r="815" s="1" customFormat="1" ht="14.25" customHeight="1" x14ac:dyDescent="0.3"/>
    <row r="816" s="1" customFormat="1" ht="14.25" customHeight="1" x14ac:dyDescent="0.3"/>
    <row r="817" s="1" customFormat="1" ht="14.25" customHeight="1" x14ac:dyDescent="0.3"/>
    <row r="818" s="1" customFormat="1" ht="14.25" customHeight="1" x14ac:dyDescent="0.3"/>
    <row r="819" s="1" customFormat="1" ht="14.25" customHeight="1" x14ac:dyDescent="0.3"/>
    <row r="820" s="1" customFormat="1" ht="14.25" customHeight="1" x14ac:dyDescent="0.3"/>
    <row r="821" s="1" customFormat="1" ht="14.25" customHeight="1" x14ac:dyDescent="0.3"/>
    <row r="822" s="1" customFormat="1" ht="14.25" customHeight="1" x14ac:dyDescent="0.3"/>
    <row r="823" s="1" customFormat="1" ht="14.25" customHeight="1" x14ac:dyDescent="0.3"/>
    <row r="824" s="1" customFormat="1" ht="14.25" customHeight="1" x14ac:dyDescent="0.3"/>
    <row r="825" s="1" customFormat="1" ht="14.25" customHeight="1" x14ac:dyDescent="0.3"/>
    <row r="826" s="1" customFormat="1" ht="14.25" customHeight="1" x14ac:dyDescent="0.3"/>
    <row r="827" s="1" customFormat="1" ht="14.25" customHeight="1" x14ac:dyDescent="0.3"/>
    <row r="828" s="1" customFormat="1" ht="14.25" customHeight="1" x14ac:dyDescent="0.3"/>
    <row r="829" s="1" customFormat="1" ht="14.25" customHeight="1" x14ac:dyDescent="0.3"/>
    <row r="830" s="1" customFormat="1" ht="14.25" customHeight="1" x14ac:dyDescent="0.3"/>
    <row r="831" s="1" customFormat="1" ht="14.25" customHeight="1" x14ac:dyDescent="0.3"/>
    <row r="832" s="1" customFormat="1" ht="14.25" customHeight="1" x14ac:dyDescent="0.3"/>
    <row r="833" s="1" customFormat="1" ht="14.25" customHeight="1" x14ac:dyDescent="0.3"/>
    <row r="834" s="1" customFormat="1" ht="14.25" customHeight="1" x14ac:dyDescent="0.3"/>
    <row r="835" s="1" customFormat="1" ht="14.25" customHeight="1" x14ac:dyDescent="0.3"/>
    <row r="836" s="1" customFormat="1" ht="14.25" customHeight="1" x14ac:dyDescent="0.3"/>
    <row r="837" s="1" customFormat="1" ht="14.25" customHeight="1" x14ac:dyDescent="0.3"/>
    <row r="838" s="1" customFormat="1" ht="14.25" customHeight="1" x14ac:dyDescent="0.3"/>
    <row r="839" s="1" customFormat="1" ht="14.25" customHeight="1" x14ac:dyDescent="0.3"/>
    <row r="840" s="1" customFormat="1" ht="14.25" customHeight="1" x14ac:dyDescent="0.3"/>
    <row r="841" s="1" customFormat="1" ht="14.25" customHeight="1" x14ac:dyDescent="0.3"/>
    <row r="842" s="1" customFormat="1" ht="14.25" customHeight="1" x14ac:dyDescent="0.3"/>
    <row r="843" s="1" customFormat="1" ht="14.25" customHeight="1" x14ac:dyDescent="0.3"/>
    <row r="844" s="1" customFormat="1" ht="14.25" customHeight="1" x14ac:dyDescent="0.3"/>
    <row r="845" s="1" customFormat="1" ht="14.25" customHeight="1" x14ac:dyDescent="0.3"/>
    <row r="846" s="1" customFormat="1" ht="14.25" customHeight="1" x14ac:dyDescent="0.3"/>
    <row r="847" s="1" customFormat="1" ht="14.25" customHeight="1" x14ac:dyDescent="0.3"/>
    <row r="848" s="1" customFormat="1" ht="14.25" customHeight="1" x14ac:dyDescent="0.3"/>
    <row r="849" s="1" customFormat="1" ht="14.25" customHeight="1" x14ac:dyDescent="0.3"/>
    <row r="850" s="1" customFormat="1" ht="14.25" customHeight="1" x14ac:dyDescent="0.3"/>
    <row r="851" s="1" customFormat="1" ht="14.25" customHeight="1" x14ac:dyDescent="0.3"/>
    <row r="852" s="1" customFormat="1" ht="14.25" customHeight="1" x14ac:dyDescent="0.3"/>
    <row r="853" s="1" customFormat="1" ht="14.25" customHeight="1" x14ac:dyDescent="0.3"/>
    <row r="854" s="1" customFormat="1" ht="14.25" customHeight="1" x14ac:dyDescent="0.3"/>
    <row r="855" s="1" customFormat="1" ht="14.25" customHeight="1" x14ac:dyDescent="0.3"/>
    <row r="856" s="1" customFormat="1" ht="14.25" customHeight="1" x14ac:dyDescent="0.3"/>
    <row r="857" s="1" customFormat="1" ht="14.25" customHeight="1" x14ac:dyDescent="0.3"/>
    <row r="858" s="1" customFormat="1" ht="14.25" customHeight="1" x14ac:dyDescent="0.3"/>
    <row r="859" s="1" customFormat="1" ht="14.25" customHeight="1" x14ac:dyDescent="0.3"/>
    <row r="860" s="1" customFormat="1" ht="14.25" customHeight="1" x14ac:dyDescent="0.3"/>
    <row r="861" s="1" customFormat="1" ht="14.25" customHeight="1" x14ac:dyDescent="0.3"/>
    <row r="862" s="1" customFormat="1" ht="14.25" customHeight="1" x14ac:dyDescent="0.3"/>
    <row r="863" s="1" customFormat="1" ht="14.25" customHeight="1" x14ac:dyDescent="0.3"/>
    <row r="864" s="1" customFormat="1" ht="14.25" customHeight="1" x14ac:dyDescent="0.3"/>
    <row r="865" s="1" customFormat="1" ht="14.25" customHeight="1" x14ac:dyDescent="0.3"/>
    <row r="866" s="1" customFormat="1" ht="14.25" customHeight="1" x14ac:dyDescent="0.3"/>
    <row r="867" s="1" customFormat="1" ht="14.25" customHeight="1" x14ac:dyDescent="0.3"/>
    <row r="868" s="1" customFormat="1" ht="14.25" customHeight="1" x14ac:dyDescent="0.3"/>
    <row r="869" s="1" customFormat="1" ht="14.25" customHeight="1" x14ac:dyDescent="0.3"/>
    <row r="870" s="1" customFormat="1" ht="14.25" customHeight="1" x14ac:dyDescent="0.3"/>
    <row r="871" s="1" customFormat="1" ht="14.25" customHeight="1" x14ac:dyDescent="0.3"/>
    <row r="872" s="1" customFormat="1" ht="14.25" customHeight="1" x14ac:dyDescent="0.3"/>
    <row r="873" s="1" customFormat="1" ht="14.25" customHeight="1" x14ac:dyDescent="0.3"/>
    <row r="874" s="1" customFormat="1" ht="14.25" customHeight="1" x14ac:dyDescent="0.3"/>
    <row r="875" s="1" customFormat="1" ht="14.25" customHeight="1" x14ac:dyDescent="0.3"/>
    <row r="876" s="1" customFormat="1" ht="14.25" customHeight="1" x14ac:dyDescent="0.3"/>
    <row r="877" s="1" customFormat="1" ht="14.25" customHeight="1" x14ac:dyDescent="0.3"/>
    <row r="878" s="1" customFormat="1" ht="14.25" customHeight="1" x14ac:dyDescent="0.3"/>
    <row r="879" s="1" customFormat="1" ht="14.25" customHeight="1" x14ac:dyDescent="0.3"/>
    <row r="880" s="1" customFormat="1" ht="14.25" customHeight="1" x14ac:dyDescent="0.3"/>
    <row r="881" s="1" customFormat="1" ht="14.25" customHeight="1" x14ac:dyDescent="0.3"/>
    <row r="882" s="1" customFormat="1" ht="14.25" customHeight="1" x14ac:dyDescent="0.3"/>
    <row r="883" s="1" customFormat="1" ht="14.25" customHeight="1" x14ac:dyDescent="0.3"/>
    <row r="884" s="1" customFormat="1" ht="14.25" customHeight="1" x14ac:dyDescent="0.3"/>
    <row r="885" s="1" customFormat="1" ht="14.25" customHeight="1" x14ac:dyDescent="0.3"/>
    <row r="886" s="1" customFormat="1" ht="14.25" customHeight="1" x14ac:dyDescent="0.3"/>
    <row r="887" s="1" customFormat="1" ht="14.25" customHeight="1" x14ac:dyDescent="0.3"/>
    <row r="888" s="1" customFormat="1" ht="14.25" customHeight="1" x14ac:dyDescent="0.3"/>
    <row r="889" s="1" customFormat="1" ht="14.25" customHeight="1" x14ac:dyDescent="0.3"/>
    <row r="890" s="1" customFormat="1" ht="14.25" customHeight="1" x14ac:dyDescent="0.3"/>
    <row r="891" s="1" customFormat="1" ht="14.25" customHeight="1" x14ac:dyDescent="0.3"/>
    <row r="892" s="1" customFormat="1" ht="14.25" customHeight="1" x14ac:dyDescent="0.3"/>
    <row r="893" s="1" customFormat="1" ht="14.25" customHeight="1" x14ac:dyDescent="0.3"/>
    <row r="894" s="1" customFormat="1" ht="14.25" customHeight="1" x14ac:dyDescent="0.3"/>
    <row r="895" s="1" customFormat="1" ht="14.25" customHeight="1" x14ac:dyDescent="0.3"/>
    <row r="896" s="1" customFormat="1" ht="14.25" customHeight="1" x14ac:dyDescent="0.3"/>
    <row r="897" s="1" customFormat="1" ht="14.25" customHeight="1" x14ac:dyDescent="0.3"/>
    <row r="898" s="1" customFormat="1" ht="14.25" customHeight="1" x14ac:dyDescent="0.3"/>
    <row r="899" s="1" customFormat="1" ht="14.25" customHeight="1" x14ac:dyDescent="0.3"/>
    <row r="900" s="1" customFormat="1" ht="14.25" customHeight="1" x14ac:dyDescent="0.3"/>
    <row r="901" s="1" customFormat="1" ht="14.25" customHeight="1" x14ac:dyDescent="0.3"/>
    <row r="902" s="1" customFormat="1" ht="14.25" customHeight="1" x14ac:dyDescent="0.3"/>
    <row r="903" s="1" customFormat="1" ht="14.25" customHeight="1" x14ac:dyDescent="0.3"/>
    <row r="904" s="1" customFormat="1" ht="14.25" customHeight="1" x14ac:dyDescent="0.3"/>
    <row r="905" s="1" customFormat="1" ht="14.25" customHeight="1" x14ac:dyDescent="0.3"/>
    <row r="906" s="1" customFormat="1" ht="14.25" customHeight="1" x14ac:dyDescent="0.3"/>
    <row r="907" s="1" customFormat="1" ht="14.25" customHeight="1" x14ac:dyDescent="0.3"/>
    <row r="908" s="1" customFormat="1" ht="14.25" customHeight="1" x14ac:dyDescent="0.3"/>
    <row r="909" s="1" customFormat="1" ht="14.25" customHeight="1" x14ac:dyDescent="0.3"/>
    <row r="910" s="1" customFormat="1" ht="14.25" customHeight="1" x14ac:dyDescent="0.3"/>
    <row r="911" s="1" customFormat="1" ht="14.25" customHeight="1" x14ac:dyDescent="0.3"/>
    <row r="912" s="1" customFormat="1" ht="14.25" customHeight="1" x14ac:dyDescent="0.3"/>
    <row r="913" s="1" customFormat="1" ht="14.25" customHeight="1" x14ac:dyDescent="0.3"/>
    <row r="914" s="1" customFormat="1" ht="14.25" customHeight="1" x14ac:dyDescent="0.3"/>
    <row r="915" s="1" customFormat="1" ht="14.25" customHeight="1" x14ac:dyDescent="0.3"/>
    <row r="916" s="1" customFormat="1" ht="14.25" customHeight="1" x14ac:dyDescent="0.3"/>
    <row r="917" s="1" customFormat="1" ht="14.25" customHeight="1" x14ac:dyDescent="0.3"/>
    <row r="918" s="1" customFormat="1" ht="14.25" customHeight="1" x14ac:dyDescent="0.3"/>
    <row r="919" s="1" customFormat="1" ht="14.25" customHeight="1" x14ac:dyDescent="0.3"/>
    <row r="920" s="1" customFormat="1" ht="14.25" customHeight="1" x14ac:dyDescent="0.3"/>
    <row r="921" s="1" customFormat="1" ht="14.25" customHeight="1" x14ac:dyDescent="0.3"/>
    <row r="922" s="1" customFormat="1" ht="14.25" customHeight="1" x14ac:dyDescent="0.3"/>
    <row r="923" s="1" customFormat="1" ht="14.25" customHeight="1" x14ac:dyDescent="0.3"/>
    <row r="924" s="1" customFormat="1" ht="14.25" customHeight="1" x14ac:dyDescent="0.3"/>
    <row r="925" s="1" customFormat="1" ht="14.25" customHeight="1" x14ac:dyDescent="0.3"/>
    <row r="926" s="1" customFormat="1" ht="14.25" customHeight="1" x14ac:dyDescent="0.3"/>
    <row r="927" s="1" customFormat="1" ht="14.25" customHeight="1" x14ac:dyDescent="0.3"/>
    <row r="928" s="1" customFormat="1" ht="14.25" customHeight="1" x14ac:dyDescent="0.3"/>
    <row r="929" s="1" customFormat="1" ht="14.25" customHeight="1" x14ac:dyDescent="0.3"/>
    <row r="930" s="1" customFormat="1" ht="14.25" customHeight="1" x14ac:dyDescent="0.3"/>
    <row r="931" s="1" customFormat="1" ht="14.25" customHeight="1" x14ac:dyDescent="0.3"/>
    <row r="932" s="1" customFormat="1" ht="14.25" customHeight="1" x14ac:dyDescent="0.3"/>
    <row r="933" s="1" customFormat="1" ht="14.25" customHeight="1" x14ac:dyDescent="0.3"/>
    <row r="934" s="1" customFormat="1" ht="14.25" customHeight="1" x14ac:dyDescent="0.3"/>
    <row r="935" s="1" customFormat="1" ht="14.25" customHeight="1" x14ac:dyDescent="0.3"/>
    <row r="936" s="1" customFormat="1" ht="14.25" customHeight="1" x14ac:dyDescent="0.3"/>
    <row r="937" s="1" customFormat="1" ht="14.25" customHeight="1" x14ac:dyDescent="0.3"/>
    <row r="938" s="1" customFormat="1" ht="14.25" customHeight="1" x14ac:dyDescent="0.3"/>
    <row r="939" s="1" customFormat="1" ht="14.25" customHeight="1" x14ac:dyDescent="0.3"/>
    <row r="940" s="1" customFormat="1" ht="14.25" customHeight="1" x14ac:dyDescent="0.3"/>
    <row r="941" s="1" customFormat="1" ht="14.25" customHeight="1" x14ac:dyDescent="0.3"/>
    <row r="942" s="1" customFormat="1" ht="14.25" customHeight="1" x14ac:dyDescent="0.3"/>
    <row r="943" s="1" customFormat="1" ht="14.25" customHeight="1" x14ac:dyDescent="0.3"/>
    <row r="944" s="1" customFormat="1" ht="14.25" customHeight="1" x14ac:dyDescent="0.3"/>
    <row r="945" s="1" customFormat="1" ht="14.25" customHeight="1" x14ac:dyDescent="0.3"/>
    <row r="946" s="1" customFormat="1" ht="14.25" customHeight="1" x14ac:dyDescent="0.3"/>
    <row r="947" s="1" customFormat="1" ht="14.25" customHeight="1" x14ac:dyDescent="0.3"/>
    <row r="948" s="1" customFormat="1" ht="14.25" customHeight="1" x14ac:dyDescent="0.3"/>
    <row r="949" s="1" customFormat="1" ht="14.25" customHeight="1" x14ac:dyDescent="0.3"/>
    <row r="950" s="1" customFormat="1" ht="14.25" customHeight="1" x14ac:dyDescent="0.3"/>
    <row r="951" s="1" customFormat="1" ht="14.25" customHeight="1" x14ac:dyDescent="0.3"/>
    <row r="952" s="1" customFormat="1" ht="14.25" customHeight="1" x14ac:dyDescent="0.3"/>
    <row r="953" s="1" customFormat="1" ht="14.25" customHeight="1" x14ac:dyDescent="0.3"/>
    <row r="954" s="1" customFormat="1" ht="14.25" customHeight="1" x14ac:dyDescent="0.3"/>
    <row r="955" s="1" customFormat="1" ht="14.25" customHeight="1" x14ac:dyDescent="0.3"/>
    <row r="956" s="1" customFormat="1" ht="14.25" customHeight="1" x14ac:dyDescent="0.3"/>
    <row r="957" s="1" customFormat="1" ht="14.25" customHeight="1" x14ac:dyDescent="0.3"/>
    <row r="958" s="1" customFormat="1" ht="14.25" customHeight="1" x14ac:dyDescent="0.3"/>
    <row r="959" s="1" customFormat="1" ht="14.25" customHeight="1" x14ac:dyDescent="0.3"/>
    <row r="960" s="1" customFormat="1" ht="14.25" customHeight="1" x14ac:dyDescent="0.3"/>
    <row r="961" s="1" customFormat="1" ht="14.25" customHeight="1" x14ac:dyDescent="0.3"/>
    <row r="962" s="1" customFormat="1" ht="14.25" customHeight="1" x14ac:dyDescent="0.3"/>
    <row r="963" s="1" customFormat="1" ht="14.25" customHeight="1" x14ac:dyDescent="0.3"/>
    <row r="964" s="1" customFormat="1" ht="14.25" customHeight="1" x14ac:dyDescent="0.3"/>
    <row r="965" s="1" customFormat="1" ht="14.25" customHeight="1" x14ac:dyDescent="0.3"/>
    <row r="966" s="1" customFormat="1" ht="14.25" customHeight="1" x14ac:dyDescent="0.3"/>
    <row r="967" s="1" customFormat="1" ht="14.25" customHeight="1" x14ac:dyDescent="0.3"/>
    <row r="968" s="1" customFormat="1" ht="14.25" customHeight="1" x14ac:dyDescent="0.3"/>
    <row r="969" s="1" customFormat="1" ht="14.25" customHeight="1" x14ac:dyDescent="0.3"/>
    <row r="970" s="1" customFormat="1" ht="14.25" customHeight="1" x14ac:dyDescent="0.3"/>
    <row r="971" s="1" customFormat="1" ht="14.25" customHeight="1" x14ac:dyDescent="0.3"/>
    <row r="972" s="1" customFormat="1" ht="14.25" customHeight="1" x14ac:dyDescent="0.3"/>
    <row r="973" s="1" customFormat="1" ht="14.25" customHeight="1" x14ac:dyDescent="0.3"/>
    <row r="974" s="1" customFormat="1" ht="14.25" customHeight="1" x14ac:dyDescent="0.3"/>
    <row r="975" s="1" customFormat="1" ht="14.25" customHeight="1" x14ac:dyDescent="0.3"/>
    <row r="976" s="1" customFormat="1" ht="14.25" customHeight="1" x14ac:dyDescent="0.3"/>
    <row r="977" s="1" customFormat="1" ht="14.25" customHeight="1" x14ac:dyDescent="0.3"/>
    <row r="978" s="1" customFormat="1" ht="14.25" customHeight="1" x14ac:dyDescent="0.3"/>
    <row r="979" s="1" customFormat="1" ht="14.25" customHeight="1" x14ac:dyDescent="0.3"/>
    <row r="980" s="1" customFormat="1" ht="14.25" customHeight="1" x14ac:dyDescent="0.3"/>
    <row r="981" s="1" customFormat="1" ht="14.25" customHeight="1" x14ac:dyDescent="0.3"/>
    <row r="982" s="1" customFormat="1" ht="14.25" customHeight="1" x14ac:dyDescent="0.3"/>
    <row r="983" s="1" customFormat="1" ht="14.25" customHeight="1" x14ac:dyDescent="0.3"/>
    <row r="984" s="1" customFormat="1" ht="14.25" customHeight="1" x14ac:dyDescent="0.3"/>
    <row r="985" s="1" customFormat="1" ht="14.25" customHeight="1" x14ac:dyDescent="0.3"/>
    <row r="986" s="1" customFormat="1" ht="14.25" customHeight="1" x14ac:dyDescent="0.3"/>
    <row r="987" s="1" customFormat="1" ht="14.25" customHeight="1" x14ac:dyDescent="0.3"/>
    <row r="988" s="1" customFormat="1" ht="14.25" customHeight="1" x14ac:dyDescent="0.3"/>
    <row r="989" s="1" customFormat="1" ht="14.25" customHeight="1" x14ac:dyDescent="0.3"/>
    <row r="990" s="1" customFormat="1" ht="14.25" customHeight="1" x14ac:dyDescent="0.3"/>
    <row r="991" s="1" customFormat="1" ht="14.25" customHeight="1" x14ac:dyDescent="0.3"/>
    <row r="992" s="1" customFormat="1" ht="14.25" customHeight="1" x14ac:dyDescent="0.3"/>
    <row r="993" s="1" customFormat="1" ht="14.25" customHeight="1" x14ac:dyDescent="0.3"/>
    <row r="994" s="1" customFormat="1" ht="14.25" customHeight="1" x14ac:dyDescent="0.3"/>
    <row r="995" s="1" customFormat="1" ht="14.25" customHeight="1" x14ac:dyDescent="0.3"/>
    <row r="996" s="1" customFormat="1" ht="14.25" customHeight="1" x14ac:dyDescent="0.3"/>
    <row r="997" s="1" customFormat="1" ht="14.25" customHeight="1" x14ac:dyDescent="0.3"/>
    <row r="998" s="1" customFormat="1" ht="14.25" customHeight="1" x14ac:dyDescent="0.3"/>
    <row r="999" s="1" customFormat="1" ht="14.25" customHeight="1" x14ac:dyDescent="0.3"/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34B1C-C3CA-4B98-9F7E-8349F24F7CDC}">
  <dimension ref="A1:M999"/>
  <sheetViews>
    <sheetView tabSelected="1" topLeftCell="A120" workbookViewId="0">
      <selection activeCell="G135" sqref="G135"/>
    </sheetView>
  </sheetViews>
  <sheetFormatPr baseColWidth="10" defaultColWidth="12.6328125" defaultRowHeight="15" customHeight="1" x14ac:dyDescent="0.3"/>
  <cols>
    <col min="1" max="1" width="15.7265625" style="1" customWidth="1"/>
    <col min="2" max="7" width="10.6328125" style="1" customWidth="1"/>
    <col min="8" max="8" width="11.36328125" style="1" customWidth="1"/>
    <col min="9" max="25" width="10.6328125" style="1" customWidth="1"/>
    <col min="26" max="16384" width="12.6328125" style="1"/>
  </cols>
  <sheetData>
    <row r="1" spans="1:13" ht="12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2.75" customHeight="1" x14ac:dyDescent="0.3">
      <c r="A2" s="1" t="s">
        <v>12</v>
      </c>
      <c r="B2" s="1" t="s">
        <v>13</v>
      </c>
      <c r="E2" s="1">
        <v>1</v>
      </c>
      <c r="H2" s="2" t="s">
        <v>14</v>
      </c>
      <c r="I2" s="3">
        <f t="shared" ref="I2:L2" si="0">SUM(C22+C37+C55+C65+C66+C96+C105+C113+C128+C146+C150)</f>
        <v>11</v>
      </c>
      <c r="J2" s="3">
        <f t="shared" si="0"/>
        <v>0</v>
      </c>
      <c r="K2" s="3">
        <f t="shared" si="0"/>
        <v>0</v>
      </c>
      <c r="L2" s="3">
        <f t="shared" si="0"/>
        <v>0</v>
      </c>
      <c r="M2" s="3">
        <f t="shared" ref="M2:M13" si="1">SUM(I2:L2)</f>
        <v>11</v>
      </c>
    </row>
    <row r="3" spans="1:13" ht="12.75" customHeight="1" x14ac:dyDescent="0.3">
      <c r="A3" s="1" t="s">
        <v>15</v>
      </c>
      <c r="B3" s="1" t="s">
        <v>16</v>
      </c>
      <c r="C3" s="1">
        <v>1</v>
      </c>
      <c r="H3" s="2" t="s">
        <v>17</v>
      </c>
      <c r="I3" s="3">
        <f t="shared" ref="I3:L3" si="2">SUM(C6+C32+C50+C52+C58+C69+C76+C94+C115+C122+C123+C152)</f>
        <v>12</v>
      </c>
      <c r="J3" s="3">
        <f t="shared" si="2"/>
        <v>0</v>
      </c>
      <c r="K3" s="3">
        <f t="shared" si="2"/>
        <v>0</v>
      </c>
      <c r="L3" s="3">
        <f t="shared" si="2"/>
        <v>0</v>
      </c>
      <c r="M3" s="3">
        <f t="shared" si="1"/>
        <v>12</v>
      </c>
    </row>
    <row r="4" spans="1:13" ht="12.75" customHeight="1" x14ac:dyDescent="0.3">
      <c r="A4" s="1" t="s">
        <v>18</v>
      </c>
      <c r="B4" s="1" t="s">
        <v>13</v>
      </c>
      <c r="D4" s="1">
        <v>1</v>
      </c>
      <c r="H4" s="2" t="s">
        <v>19</v>
      </c>
      <c r="I4" s="3">
        <f t="shared" ref="I4:L4" si="3">SUM(C26+C14+C27+C62+C68+C124+C138+C142+C153+C155)</f>
        <v>10</v>
      </c>
      <c r="J4" s="3">
        <f t="shared" si="3"/>
        <v>0</v>
      </c>
      <c r="K4" s="3">
        <f t="shared" si="3"/>
        <v>0</v>
      </c>
      <c r="L4" s="3">
        <f t="shared" si="3"/>
        <v>0</v>
      </c>
      <c r="M4" s="3">
        <f t="shared" si="1"/>
        <v>10</v>
      </c>
    </row>
    <row r="5" spans="1:13" ht="12.75" customHeight="1" x14ac:dyDescent="0.3">
      <c r="A5" s="1" t="s">
        <v>20</v>
      </c>
      <c r="B5" s="1" t="s">
        <v>21</v>
      </c>
      <c r="C5" s="1">
        <v>1</v>
      </c>
      <c r="H5" s="2" t="s">
        <v>22</v>
      </c>
      <c r="I5" s="3">
        <f t="shared" ref="I5:L5" si="4">SUM(C5+C36+C56+C63+C73+C85+C87+C95+C135)</f>
        <v>8</v>
      </c>
      <c r="J5" s="3">
        <f t="shared" si="4"/>
        <v>0</v>
      </c>
      <c r="K5" s="3">
        <f t="shared" si="4"/>
        <v>0</v>
      </c>
      <c r="L5" s="3">
        <f t="shared" si="4"/>
        <v>1</v>
      </c>
      <c r="M5" s="3">
        <f t="shared" si="1"/>
        <v>9</v>
      </c>
    </row>
    <row r="6" spans="1:13" ht="12.75" customHeight="1" x14ac:dyDescent="0.3">
      <c r="A6" s="1" t="s">
        <v>23</v>
      </c>
      <c r="B6" s="1" t="s">
        <v>24</v>
      </c>
      <c r="C6" s="1">
        <v>1</v>
      </c>
      <c r="H6" s="2" t="s">
        <v>25</v>
      </c>
      <c r="I6" s="3">
        <f t="shared" ref="I6:L6" si="5">SUM(C12+C15+C18+C28+C41+C59+C78+C64+C82+C83+C86+C106+C119+C143+C148+C154)</f>
        <v>13</v>
      </c>
      <c r="J6" s="3">
        <f t="shared" si="5"/>
        <v>3</v>
      </c>
      <c r="K6" s="3">
        <f t="shared" si="5"/>
        <v>0</v>
      </c>
      <c r="L6" s="3">
        <f t="shared" si="5"/>
        <v>0</v>
      </c>
      <c r="M6" s="3">
        <f t="shared" si="1"/>
        <v>16</v>
      </c>
    </row>
    <row r="7" spans="1:13" ht="12.75" customHeight="1" x14ac:dyDescent="0.3">
      <c r="A7" s="1" t="s">
        <v>26</v>
      </c>
      <c r="B7" s="1" t="s">
        <v>27</v>
      </c>
      <c r="C7" s="1">
        <v>1</v>
      </c>
      <c r="H7" s="2" t="s">
        <v>28</v>
      </c>
      <c r="I7" s="3">
        <f t="shared" ref="I7:L7" si="6">SUM(C3+C20+C46+C49+C54+C89+C90+C102+C112+C114+C129+C141)</f>
        <v>20</v>
      </c>
      <c r="J7" s="3">
        <f t="shared" si="6"/>
        <v>2</v>
      </c>
      <c r="K7" s="3">
        <f t="shared" si="6"/>
        <v>0</v>
      </c>
      <c r="L7" s="3">
        <f t="shared" si="6"/>
        <v>0</v>
      </c>
      <c r="M7" s="3">
        <f t="shared" si="1"/>
        <v>22</v>
      </c>
    </row>
    <row r="8" spans="1:13" ht="12.75" customHeight="1" x14ac:dyDescent="0.3">
      <c r="A8" s="1" t="s">
        <v>29</v>
      </c>
      <c r="B8" s="1" t="s">
        <v>30</v>
      </c>
      <c r="D8" s="1">
        <v>1</v>
      </c>
      <c r="H8" s="2" t="s">
        <v>27</v>
      </c>
      <c r="I8" s="3">
        <f t="shared" ref="I8:L8" si="7">SUM(C7+C30+C29+C44+C51+C60+C72+C79+C101+C99+C107+C111+C117+C140+C144)</f>
        <v>5</v>
      </c>
      <c r="J8" s="3">
        <f t="shared" si="7"/>
        <v>9</v>
      </c>
      <c r="K8" s="3">
        <f t="shared" si="7"/>
        <v>1</v>
      </c>
      <c r="L8" s="3">
        <f t="shared" si="7"/>
        <v>0</v>
      </c>
      <c r="M8" s="3">
        <f t="shared" si="1"/>
        <v>15</v>
      </c>
    </row>
    <row r="9" spans="1:13" ht="12.75" customHeight="1" x14ac:dyDescent="0.3">
      <c r="A9" s="1" t="s">
        <v>31</v>
      </c>
      <c r="B9" s="1" t="s">
        <v>13</v>
      </c>
      <c r="D9" s="1">
        <v>1</v>
      </c>
      <c r="H9" s="2" t="s">
        <v>13</v>
      </c>
      <c r="I9" s="3">
        <f t="shared" ref="I9:J9" si="8">SUM(C4+C9+C17+C19+C2+C48+C92+C120+C126+C127+C130+C133+C151)</f>
        <v>1</v>
      </c>
      <c r="J9" s="3">
        <f t="shared" si="8"/>
        <v>20</v>
      </c>
      <c r="K9" s="3">
        <f>SUM(D4+D9+D17+D19+D2+D48+D92+D120+D126+D127+D130+D133+D151)</f>
        <v>20</v>
      </c>
      <c r="L9" s="3">
        <f>SUM(F4+F9+F17+F19+F2+F48+F92+F120+F126+F127+F130+F133+F151)</f>
        <v>0</v>
      </c>
      <c r="M9" s="3">
        <f t="shared" si="1"/>
        <v>41</v>
      </c>
    </row>
    <row r="10" spans="1:13" ht="12.75" customHeight="1" x14ac:dyDescent="0.3">
      <c r="A10" s="1" t="s">
        <v>32</v>
      </c>
      <c r="B10" s="1" t="s">
        <v>33</v>
      </c>
      <c r="C10" s="1">
        <v>1</v>
      </c>
      <c r="H10" s="2" t="s">
        <v>30</v>
      </c>
      <c r="I10" s="3">
        <f t="shared" ref="I10:L10" si="9">SUM(C8+C13+C16+C25+C31+C35+C43+C45+C70+C71+C75+C81+C88+C93+C98+C100+C104+C118+C136+C137+C156)</f>
        <v>0</v>
      </c>
      <c r="J10" s="3">
        <f t="shared" si="9"/>
        <v>20</v>
      </c>
      <c r="K10" s="3">
        <f t="shared" si="9"/>
        <v>1</v>
      </c>
      <c r="L10" s="3">
        <f t="shared" si="9"/>
        <v>0</v>
      </c>
      <c r="M10" s="3">
        <f t="shared" si="1"/>
        <v>21</v>
      </c>
    </row>
    <row r="11" spans="1:13" ht="12.75" customHeight="1" x14ac:dyDescent="0.3">
      <c r="A11" s="1" t="s">
        <v>34</v>
      </c>
      <c r="B11" s="1" t="s">
        <v>33</v>
      </c>
      <c r="C11" s="1">
        <v>1</v>
      </c>
      <c r="H11" s="2" t="s">
        <v>35</v>
      </c>
      <c r="I11" s="3">
        <f t="shared" ref="I11:L11" si="10">SUM(C38+C42+C47+C53+C74+C77+C80+C91+C97+C103+C108+C116+C131+C145+C147)</f>
        <v>0</v>
      </c>
      <c r="J11" s="3">
        <f t="shared" si="10"/>
        <v>14</v>
      </c>
      <c r="K11" s="3">
        <f t="shared" si="10"/>
        <v>1</v>
      </c>
      <c r="L11" s="3">
        <f t="shared" si="10"/>
        <v>0</v>
      </c>
      <c r="M11" s="3">
        <f t="shared" si="1"/>
        <v>15</v>
      </c>
    </row>
    <row r="12" spans="1:13" ht="12.75" customHeight="1" x14ac:dyDescent="0.3">
      <c r="A12" s="1" t="s">
        <v>36</v>
      </c>
      <c r="B12" s="1" t="s">
        <v>37</v>
      </c>
      <c r="C12" s="1">
        <v>1</v>
      </c>
      <c r="H12" s="2" t="s">
        <v>38</v>
      </c>
      <c r="I12" s="3">
        <f t="shared" ref="I12:L12" si="11">SUM(C21+C24+C34+C40+C67+C84+C132)</f>
        <v>0</v>
      </c>
      <c r="J12" s="3">
        <f t="shared" si="11"/>
        <v>6</v>
      </c>
      <c r="K12" s="3">
        <f t="shared" si="11"/>
        <v>1</v>
      </c>
      <c r="L12" s="3">
        <f t="shared" si="11"/>
        <v>0</v>
      </c>
      <c r="M12" s="3">
        <f t="shared" si="1"/>
        <v>7</v>
      </c>
    </row>
    <row r="13" spans="1:13" ht="12.75" customHeight="1" x14ac:dyDescent="0.3">
      <c r="A13" s="1" t="s">
        <v>39</v>
      </c>
      <c r="B13" s="1" t="s">
        <v>30</v>
      </c>
      <c r="D13" s="1">
        <v>1</v>
      </c>
      <c r="H13" s="2" t="s">
        <v>33</v>
      </c>
      <c r="I13" s="3">
        <f t="shared" ref="I13:L13" si="12">SUM(C10+C11+C57+C125+C149)</f>
        <v>4</v>
      </c>
      <c r="J13" s="3">
        <f t="shared" si="12"/>
        <v>1</v>
      </c>
      <c r="K13" s="3">
        <f t="shared" si="12"/>
        <v>0</v>
      </c>
      <c r="L13" s="3">
        <f t="shared" si="12"/>
        <v>0</v>
      </c>
      <c r="M13" s="3">
        <f t="shared" si="1"/>
        <v>5</v>
      </c>
    </row>
    <row r="14" spans="1:13" ht="12.75" customHeight="1" x14ac:dyDescent="0.3">
      <c r="A14" s="1" t="s">
        <v>40</v>
      </c>
      <c r="B14" s="1" t="s">
        <v>19</v>
      </c>
      <c r="C14" s="1">
        <v>1</v>
      </c>
      <c r="I14" s="4"/>
      <c r="J14" s="4"/>
      <c r="K14" s="4"/>
      <c r="L14" s="4"/>
    </row>
    <row r="15" spans="1:13" ht="12.75" customHeight="1" x14ac:dyDescent="0.3">
      <c r="A15" s="1" t="s">
        <v>41</v>
      </c>
      <c r="B15" s="1" t="s">
        <v>42</v>
      </c>
      <c r="C15" s="1">
        <v>1</v>
      </c>
      <c r="I15" s="4"/>
      <c r="J15" s="4"/>
      <c r="K15" s="4"/>
      <c r="L15" s="4"/>
    </row>
    <row r="16" spans="1:13" ht="12.75" customHeight="1" x14ac:dyDescent="0.3">
      <c r="A16" s="1" t="s">
        <v>43</v>
      </c>
      <c r="B16" s="1" t="s">
        <v>30</v>
      </c>
      <c r="D16" s="1">
        <v>1</v>
      </c>
      <c r="I16" s="4"/>
      <c r="J16" s="4"/>
      <c r="K16" s="4"/>
      <c r="L16" s="4"/>
    </row>
    <row r="17" spans="1:12" ht="12.75" customHeight="1" x14ac:dyDescent="0.3">
      <c r="A17" s="1" t="s">
        <v>44</v>
      </c>
      <c r="B17" s="1" t="s">
        <v>13</v>
      </c>
      <c r="D17" s="1">
        <v>1</v>
      </c>
      <c r="I17" s="4"/>
      <c r="J17" s="4"/>
      <c r="K17" s="4"/>
      <c r="L17" s="4"/>
    </row>
    <row r="18" spans="1:12" ht="12.75" customHeight="1" x14ac:dyDescent="0.3">
      <c r="A18" s="1" t="s">
        <v>45</v>
      </c>
      <c r="B18" s="1" t="s">
        <v>37</v>
      </c>
      <c r="C18" s="1">
        <v>1</v>
      </c>
      <c r="I18" s="4"/>
      <c r="J18" s="4"/>
      <c r="K18" s="4"/>
      <c r="L18" s="4"/>
    </row>
    <row r="19" spans="1:12" ht="12.75" customHeight="1" x14ac:dyDescent="0.3">
      <c r="A19" s="1" t="s">
        <v>46</v>
      </c>
      <c r="B19" s="1" t="s">
        <v>13</v>
      </c>
      <c r="D19" s="1">
        <v>1</v>
      </c>
    </row>
    <row r="20" spans="1:12" ht="12.75" customHeight="1" x14ac:dyDescent="0.3">
      <c r="A20" s="1" t="s">
        <v>47</v>
      </c>
      <c r="B20" s="1" t="s">
        <v>16</v>
      </c>
      <c r="C20" s="1">
        <v>1</v>
      </c>
    </row>
    <row r="21" spans="1:12" ht="12.75" customHeight="1" x14ac:dyDescent="0.3">
      <c r="A21" s="1" t="s">
        <v>48</v>
      </c>
      <c r="B21" s="1" t="s">
        <v>38</v>
      </c>
      <c r="D21" s="1">
        <v>1</v>
      </c>
    </row>
    <row r="22" spans="1:12" ht="12.75" customHeight="1" x14ac:dyDescent="0.3">
      <c r="A22" s="1" t="s">
        <v>49</v>
      </c>
      <c r="B22" s="1" t="s">
        <v>14</v>
      </c>
      <c r="C22" s="1">
        <v>1</v>
      </c>
    </row>
    <row r="23" spans="1:12" ht="12.75" customHeight="1" x14ac:dyDescent="0.3">
      <c r="A23" s="1" t="s">
        <v>50</v>
      </c>
      <c r="B23" s="1" t="s">
        <v>13</v>
      </c>
      <c r="F23" s="1">
        <v>1</v>
      </c>
    </row>
    <row r="24" spans="1:12" ht="12.75" customHeight="1" x14ac:dyDescent="0.3">
      <c r="A24" s="1" t="s">
        <v>51</v>
      </c>
      <c r="B24" s="1" t="s">
        <v>38</v>
      </c>
      <c r="E24" s="1">
        <v>1</v>
      </c>
    </row>
    <row r="25" spans="1:12" ht="12.75" customHeight="1" x14ac:dyDescent="0.3">
      <c r="A25" s="1" t="s">
        <v>52</v>
      </c>
      <c r="B25" s="1" t="s">
        <v>30</v>
      </c>
      <c r="D25" s="1">
        <v>1</v>
      </c>
    </row>
    <row r="26" spans="1:12" ht="12.75" customHeight="1" x14ac:dyDescent="0.3">
      <c r="A26" s="1" t="s">
        <v>53</v>
      </c>
      <c r="B26" s="1" t="s">
        <v>19</v>
      </c>
      <c r="C26" s="1">
        <v>1</v>
      </c>
    </row>
    <row r="27" spans="1:12" ht="12.75" customHeight="1" x14ac:dyDescent="0.3">
      <c r="A27" s="1" t="s">
        <v>54</v>
      </c>
      <c r="B27" s="1" t="s">
        <v>19</v>
      </c>
      <c r="C27" s="1">
        <v>1</v>
      </c>
    </row>
    <row r="28" spans="1:12" ht="12.75" customHeight="1" x14ac:dyDescent="0.3">
      <c r="A28" s="1" t="s">
        <v>55</v>
      </c>
      <c r="B28" s="1" t="s">
        <v>37</v>
      </c>
      <c r="D28" s="1">
        <v>1</v>
      </c>
    </row>
    <row r="29" spans="1:12" ht="12.75" customHeight="1" x14ac:dyDescent="0.3">
      <c r="A29" s="1" t="s">
        <v>56</v>
      </c>
      <c r="B29" s="1" t="s">
        <v>27</v>
      </c>
      <c r="D29" s="1">
        <v>1</v>
      </c>
    </row>
    <row r="30" spans="1:12" ht="12.75" customHeight="1" x14ac:dyDescent="0.3">
      <c r="A30" s="1" t="s">
        <v>57</v>
      </c>
      <c r="B30" s="1" t="s">
        <v>27</v>
      </c>
      <c r="C30" s="1">
        <v>1</v>
      </c>
    </row>
    <row r="31" spans="1:12" ht="12.75" customHeight="1" x14ac:dyDescent="0.3">
      <c r="A31" s="1" t="s">
        <v>58</v>
      </c>
      <c r="B31" s="1" t="s">
        <v>30</v>
      </c>
      <c r="D31" s="1">
        <v>1</v>
      </c>
    </row>
    <row r="32" spans="1:12" ht="12.75" customHeight="1" x14ac:dyDescent="0.3">
      <c r="A32" s="1" t="s">
        <v>59</v>
      </c>
      <c r="B32" s="1" t="s">
        <v>24</v>
      </c>
      <c r="C32" s="1">
        <v>1</v>
      </c>
    </row>
    <row r="33" spans="1:12" ht="12.75" customHeight="1" x14ac:dyDescent="0.3">
      <c r="A33" s="1" t="s">
        <v>60</v>
      </c>
      <c r="B33" s="1" t="s">
        <v>27</v>
      </c>
      <c r="D33" s="1">
        <v>1</v>
      </c>
    </row>
    <row r="34" spans="1:12" ht="12.75" customHeight="1" x14ac:dyDescent="0.3">
      <c r="A34" s="1" t="s">
        <v>61</v>
      </c>
      <c r="B34" s="1" t="s">
        <v>38</v>
      </c>
      <c r="D34" s="1">
        <v>1</v>
      </c>
    </row>
    <row r="35" spans="1:12" ht="12.75" customHeight="1" x14ac:dyDescent="0.3">
      <c r="A35" s="1" t="s">
        <v>62</v>
      </c>
      <c r="B35" s="1" t="s">
        <v>30</v>
      </c>
      <c r="D35" s="1">
        <v>1</v>
      </c>
    </row>
    <row r="36" spans="1:12" ht="12.75" customHeight="1" x14ac:dyDescent="0.3">
      <c r="A36" s="1" t="s">
        <v>63</v>
      </c>
      <c r="B36" s="1" t="s">
        <v>21</v>
      </c>
      <c r="C36" s="1">
        <v>1</v>
      </c>
    </row>
    <row r="37" spans="1:12" ht="12.75" customHeight="1" x14ac:dyDescent="0.3">
      <c r="A37" s="1" t="s">
        <v>64</v>
      </c>
      <c r="B37" s="1" t="s">
        <v>14</v>
      </c>
      <c r="C37" s="1">
        <v>1</v>
      </c>
    </row>
    <row r="38" spans="1:12" ht="12.75" customHeight="1" x14ac:dyDescent="0.3">
      <c r="A38" s="1" t="s">
        <v>65</v>
      </c>
      <c r="B38" s="1" t="s">
        <v>66</v>
      </c>
      <c r="D38" s="1">
        <v>1</v>
      </c>
    </row>
    <row r="39" spans="1:12" ht="12.75" customHeight="1" x14ac:dyDescent="0.3">
      <c r="A39" s="1" t="s">
        <v>67</v>
      </c>
      <c r="B39" s="1" t="s">
        <v>16</v>
      </c>
      <c r="C39" s="1">
        <v>1</v>
      </c>
    </row>
    <row r="40" spans="1:12" ht="12.75" customHeight="1" x14ac:dyDescent="0.3">
      <c r="A40" s="1" t="s">
        <v>68</v>
      </c>
      <c r="B40" s="1" t="s">
        <v>38</v>
      </c>
      <c r="D40" s="1">
        <v>1</v>
      </c>
    </row>
    <row r="41" spans="1:12" ht="12.75" customHeight="1" x14ac:dyDescent="0.3">
      <c r="A41" s="1" t="s">
        <v>69</v>
      </c>
      <c r="B41" s="1" t="s">
        <v>37</v>
      </c>
      <c r="C41" s="1">
        <v>1</v>
      </c>
    </row>
    <row r="42" spans="1:12" ht="12.75" customHeight="1" x14ac:dyDescent="0.3">
      <c r="A42" s="1" t="s">
        <v>70</v>
      </c>
      <c r="B42" s="1" t="s">
        <v>66</v>
      </c>
      <c r="D42" s="1">
        <v>1</v>
      </c>
    </row>
    <row r="43" spans="1:12" ht="12.75" customHeight="1" x14ac:dyDescent="0.3">
      <c r="A43" s="1" t="s">
        <v>71</v>
      </c>
      <c r="B43" s="1" t="s">
        <v>30</v>
      </c>
      <c r="D43" s="1">
        <v>1</v>
      </c>
    </row>
    <row r="44" spans="1:12" ht="12.75" customHeight="1" x14ac:dyDescent="0.3">
      <c r="A44" s="1" t="s">
        <v>72</v>
      </c>
      <c r="B44" s="1" t="s">
        <v>27</v>
      </c>
      <c r="D44" s="1">
        <v>1</v>
      </c>
    </row>
    <row r="45" spans="1:12" ht="12.75" customHeight="1" x14ac:dyDescent="0.3">
      <c r="A45" s="1" t="s">
        <v>73</v>
      </c>
      <c r="B45" s="1" t="s">
        <v>30</v>
      </c>
      <c r="D45" s="1">
        <v>1</v>
      </c>
      <c r="H45" s="1" t="s">
        <v>6</v>
      </c>
      <c r="I45" s="1" t="s">
        <v>7</v>
      </c>
      <c r="J45" s="1" t="s">
        <v>8</v>
      </c>
      <c r="K45" s="1" t="s">
        <v>9</v>
      </c>
      <c r="L45" s="1" t="s">
        <v>10</v>
      </c>
    </row>
    <row r="46" spans="1:12" ht="12.75" customHeight="1" x14ac:dyDescent="0.3">
      <c r="A46" s="1" t="s">
        <v>74</v>
      </c>
      <c r="B46" s="1" t="s">
        <v>16</v>
      </c>
      <c r="D46" s="1">
        <v>1</v>
      </c>
      <c r="H46" s="2" t="s">
        <v>14</v>
      </c>
      <c r="I46" s="4">
        <f t="shared" ref="I46:I57" si="13">I2/M2</f>
        <v>1</v>
      </c>
      <c r="J46" s="4">
        <f t="shared" ref="J46:J57" si="14">J2/M2</f>
        <v>0</v>
      </c>
      <c r="K46" s="4">
        <f t="shared" ref="K46:K57" si="15">K2/M2</f>
        <v>0</v>
      </c>
      <c r="L46" s="4">
        <f t="shared" ref="L46:L57" si="16">L2/M2</f>
        <v>0</v>
      </c>
    </row>
    <row r="47" spans="1:12" ht="12.75" customHeight="1" x14ac:dyDescent="0.3">
      <c r="A47" s="1" t="s">
        <v>75</v>
      </c>
      <c r="B47" s="1" t="s">
        <v>66</v>
      </c>
      <c r="D47" s="1">
        <v>1</v>
      </c>
      <c r="H47" s="2" t="s">
        <v>17</v>
      </c>
      <c r="I47" s="4">
        <f t="shared" si="13"/>
        <v>1</v>
      </c>
      <c r="J47" s="4">
        <f t="shared" si="14"/>
        <v>0</v>
      </c>
      <c r="K47" s="4">
        <f t="shared" si="15"/>
        <v>0</v>
      </c>
      <c r="L47" s="4">
        <f t="shared" si="16"/>
        <v>0</v>
      </c>
    </row>
    <row r="48" spans="1:12" ht="12.75" customHeight="1" x14ac:dyDescent="0.3">
      <c r="A48" s="1" t="s">
        <v>76</v>
      </c>
      <c r="B48" s="1" t="s">
        <v>13</v>
      </c>
      <c r="D48" s="1">
        <v>1</v>
      </c>
      <c r="H48" s="2" t="s">
        <v>19</v>
      </c>
      <c r="I48" s="4">
        <f t="shared" si="13"/>
        <v>1</v>
      </c>
      <c r="J48" s="4">
        <f t="shared" si="14"/>
        <v>0</v>
      </c>
      <c r="K48" s="4">
        <f t="shared" si="15"/>
        <v>0</v>
      </c>
      <c r="L48" s="4">
        <f t="shared" si="16"/>
        <v>0</v>
      </c>
    </row>
    <row r="49" spans="1:12" ht="12.75" customHeight="1" x14ac:dyDescent="0.3">
      <c r="A49" s="1" t="s">
        <v>77</v>
      </c>
      <c r="B49" s="1" t="s">
        <v>16</v>
      </c>
      <c r="C49" s="1">
        <v>1</v>
      </c>
      <c r="H49" s="2" t="s">
        <v>22</v>
      </c>
      <c r="I49" s="4">
        <f t="shared" si="13"/>
        <v>0.88888888888888884</v>
      </c>
      <c r="J49" s="4">
        <f t="shared" si="14"/>
        <v>0</v>
      </c>
      <c r="K49" s="4">
        <f t="shared" si="15"/>
        <v>0</v>
      </c>
      <c r="L49" s="4">
        <f t="shared" si="16"/>
        <v>0.1111111111111111</v>
      </c>
    </row>
    <row r="50" spans="1:12" ht="12.75" customHeight="1" x14ac:dyDescent="0.3">
      <c r="A50" s="1" t="s">
        <v>78</v>
      </c>
      <c r="B50" s="1" t="s">
        <v>24</v>
      </c>
      <c r="C50" s="1">
        <v>1</v>
      </c>
      <c r="H50" s="2" t="s">
        <v>25</v>
      </c>
      <c r="I50" s="4">
        <f t="shared" si="13"/>
        <v>0.8125</v>
      </c>
      <c r="J50" s="4">
        <f t="shared" si="14"/>
        <v>0.1875</v>
      </c>
      <c r="K50" s="4">
        <f t="shared" si="15"/>
        <v>0</v>
      </c>
      <c r="L50" s="4">
        <f t="shared" si="16"/>
        <v>0</v>
      </c>
    </row>
    <row r="51" spans="1:12" ht="12.75" customHeight="1" x14ac:dyDescent="0.3">
      <c r="A51" s="1" t="s">
        <v>79</v>
      </c>
      <c r="B51" s="1" t="s">
        <v>27</v>
      </c>
      <c r="D51" s="1">
        <v>1</v>
      </c>
      <c r="H51" s="2" t="s">
        <v>28</v>
      </c>
      <c r="I51" s="4">
        <f t="shared" si="13"/>
        <v>0.90909090909090906</v>
      </c>
      <c r="J51" s="4">
        <f t="shared" si="14"/>
        <v>9.0909090909090912E-2</v>
      </c>
      <c r="K51" s="4">
        <f t="shared" si="15"/>
        <v>0</v>
      </c>
      <c r="L51" s="4">
        <f t="shared" si="16"/>
        <v>0</v>
      </c>
    </row>
    <row r="52" spans="1:12" ht="12.75" customHeight="1" x14ac:dyDescent="0.3">
      <c r="A52" s="1" t="s">
        <v>80</v>
      </c>
      <c r="B52" s="1" t="s">
        <v>24</v>
      </c>
      <c r="C52" s="1">
        <v>1</v>
      </c>
      <c r="H52" s="2" t="s">
        <v>27</v>
      </c>
      <c r="I52" s="4">
        <f t="shared" si="13"/>
        <v>0.33333333333333331</v>
      </c>
      <c r="J52" s="4">
        <f t="shared" si="14"/>
        <v>0.6</v>
      </c>
      <c r="K52" s="4">
        <f t="shared" si="15"/>
        <v>6.6666666666666666E-2</v>
      </c>
      <c r="L52" s="4">
        <f t="shared" si="16"/>
        <v>0</v>
      </c>
    </row>
    <row r="53" spans="1:12" ht="12.75" customHeight="1" x14ac:dyDescent="0.3">
      <c r="A53" s="1" t="s">
        <v>81</v>
      </c>
      <c r="B53" s="1" t="s">
        <v>66</v>
      </c>
      <c r="D53" s="1">
        <v>1</v>
      </c>
      <c r="H53" s="2" t="s">
        <v>13</v>
      </c>
      <c r="I53" s="4">
        <f t="shared" si="13"/>
        <v>2.4390243902439025E-2</v>
      </c>
      <c r="J53" s="4">
        <f t="shared" si="14"/>
        <v>0.48780487804878048</v>
      </c>
      <c r="K53" s="4">
        <f t="shared" si="15"/>
        <v>0.48780487804878048</v>
      </c>
      <c r="L53" s="4">
        <f t="shared" si="16"/>
        <v>0</v>
      </c>
    </row>
    <row r="54" spans="1:12" ht="12.75" customHeight="1" x14ac:dyDescent="0.3">
      <c r="A54" s="1" t="s">
        <v>82</v>
      </c>
      <c r="B54" s="1" t="s">
        <v>16</v>
      </c>
      <c r="C54" s="1">
        <v>1</v>
      </c>
      <c r="H54" s="2" t="s">
        <v>30</v>
      </c>
      <c r="I54" s="4">
        <f t="shared" si="13"/>
        <v>0</v>
      </c>
      <c r="J54" s="4">
        <f t="shared" si="14"/>
        <v>0.95238095238095233</v>
      </c>
      <c r="K54" s="4">
        <f t="shared" si="15"/>
        <v>4.7619047619047616E-2</v>
      </c>
      <c r="L54" s="4">
        <f t="shared" si="16"/>
        <v>0</v>
      </c>
    </row>
    <row r="55" spans="1:12" ht="12.75" customHeight="1" x14ac:dyDescent="0.3">
      <c r="A55" s="1" t="s">
        <v>83</v>
      </c>
      <c r="B55" s="1" t="s">
        <v>14</v>
      </c>
      <c r="C55" s="1">
        <v>1</v>
      </c>
      <c r="H55" s="2" t="s">
        <v>35</v>
      </c>
      <c r="I55" s="4">
        <f t="shared" si="13"/>
        <v>0</v>
      </c>
      <c r="J55" s="4">
        <f t="shared" si="14"/>
        <v>0.93333333333333335</v>
      </c>
      <c r="K55" s="4">
        <f t="shared" si="15"/>
        <v>6.6666666666666666E-2</v>
      </c>
      <c r="L55" s="4">
        <f t="shared" si="16"/>
        <v>0</v>
      </c>
    </row>
    <row r="56" spans="1:12" ht="12.75" customHeight="1" x14ac:dyDescent="0.3">
      <c r="A56" s="1" t="s">
        <v>84</v>
      </c>
      <c r="B56" s="1" t="s">
        <v>21</v>
      </c>
      <c r="C56" s="1">
        <v>1</v>
      </c>
      <c r="H56" s="2" t="s">
        <v>38</v>
      </c>
      <c r="I56" s="4">
        <f t="shared" si="13"/>
        <v>0</v>
      </c>
      <c r="J56" s="4">
        <f t="shared" si="14"/>
        <v>0.8571428571428571</v>
      </c>
      <c r="K56" s="4">
        <f t="shared" si="15"/>
        <v>0.14285714285714285</v>
      </c>
      <c r="L56" s="4">
        <f t="shared" si="16"/>
        <v>0</v>
      </c>
    </row>
    <row r="57" spans="1:12" ht="12.75" customHeight="1" x14ac:dyDescent="0.3">
      <c r="A57" s="1" t="s">
        <v>85</v>
      </c>
      <c r="B57" s="1" t="s">
        <v>33</v>
      </c>
      <c r="D57" s="1">
        <v>1</v>
      </c>
      <c r="H57" s="2" t="s">
        <v>33</v>
      </c>
      <c r="I57" s="4">
        <f t="shared" si="13"/>
        <v>0.8</v>
      </c>
      <c r="J57" s="4">
        <f t="shared" si="14"/>
        <v>0.2</v>
      </c>
      <c r="K57" s="4">
        <f t="shared" si="15"/>
        <v>0</v>
      </c>
      <c r="L57" s="4">
        <f t="shared" si="16"/>
        <v>0</v>
      </c>
    </row>
    <row r="58" spans="1:12" ht="12.75" customHeight="1" x14ac:dyDescent="0.3">
      <c r="A58" s="1" t="s">
        <v>86</v>
      </c>
      <c r="B58" s="1" t="s">
        <v>24</v>
      </c>
      <c r="C58" s="1">
        <v>1</v>
      </c>
    </row>
    <row r="59" spans="1:12" ht="12.75" customHeight="1" x14ac:dyDescent="0.3">
      <c r="A59" s="1" t="s">
        <v>87</v>
      </c>
      <c r="B59" s="1" t="s">
        <v>37</v>
      </c>
      <c r="C59" s="1">
        <v>1</v>
      </c>
    </row>
    <row r="60" spans="1:12" ht="12.75" customHeight="1" x14ac:dyDescent="0.3">
      <c r="A60" s="1" t="s">
        <v>88</v>
      </c>
      <c r="B60" s="1" t="s">
        <v>27</v>
      </c>
      <c r="C60" s="1">
        <v>1</v>
      </c>
    </row>
    <row r="61" spans="1:12" ht="12.75" customHeight="1" x14ac:dyDescent="0.3">
      <c r="A61" s="1" t="s">
        <v>89</v>
      </c>
      <c r="B61" s="1" t="s">
        <v>13</v>
      </c>
      <c r="E61" s="1">
        <v>1</v>
      </c>
    </row>
    <row r="62" spans="1:12" ht="12.75" customHeight="1" x14ac:dyDescent="0.3">
      <c r="A62" s="1" t="s">
        <v>90</v>
      </c>
      <c r="B62" s="1" t="s">
        <v>19</v>
      </c>
      <c r="C62" s="1">
        <v>1</v>
      </c>
    </row>
    <row r="63" spans="1:12" ht="12.75" customHeight="1" x14ac:dyDescent="0.3">
      <c r="A63" s="1" t="s">
        <v>91</v>
      </c>
      <c r="B63" s="1" t="s">
        <v>21</v>
      </c>
      <c r="F63" s="1">
        <v>1</v>
      </c>
    </row>
    <row r="64" spans="1:12" ht="12.75" customHeight="1" x14ac:dyDescent="0.3">
      <c r="A64" s="1" t="s">
        <v>92</v>
      </c>
      <c r="B64" s="1" t="s">
        <v>42</v>
      </c>
      <c r="C64" s="1">
        <v>1</v>
      </c>
    </row>
    <row r="65" spans="1:4" ht="12.75" customHeight="1" x14ac:dyDescent="0.3">
      <c r="A65" s="1" t="s">
        <v>93</v>
      </c>
      <c r="B65" s="1" t="s">
        <v>14</v>
      </c>
      <c r="C65" s="1">
        <v>1</v>
      </c>
    </row>
    <row r="66" spans="1:4" ht="12.75" customHeight="1" x14ac:dyDescent="0.3">
      <c r="A66" s="1" t="s">
        <v>94</v>
      </c>
      <c r="B66" s="1" t="s">
        <v>14</v>
      </c>
      <c r="C66" s="1">
        <v>1</v>
      </c>
    </row>
    <row r="67" spans="1:4" ht="12.75" customHeight="1" x14ac:dyDescent="0.3">
      <c r="A67" s="1" t="s">
        <v>95</v>
      </c>
      <c r="B67" s="1" t="s">
        <v>38</v>
      </c>
      <c r="D67" s="1">
        <v>1</v>
      </c>
    </row>
    <row r="68" spans="1:4" ht="12.75" customHeight="1" x14ac:dyDescent="0.3">
      <c r="A68" s="1" t="s">
        <v>96</v>
      </c>
      <c r="B68" s="1" t="s">
        <v>19</v>
      </c>
      <c r="C68" s="1">
        <v>1</v>
      </c>
    </row>
    <row r="69" spans="1:4" ht="12.75" customHeight="1" x14ac:dyDescent="0.3">
      <c r="A69" s="1" t="s">
        <v>97</v>
      </c>
      <c r="B69" s="1" t="s">
        <v>24</v>
      </c>
      <c r="C69" s="1">
        <v>1</v>
      </c>
    </row>
    <row r="70" spans="1:4" ht="12.75" customHeight="1" x14ac:dyDescent="0.3">
      <c r="A70" s="1" t="s">
        <v>98</v>
      </c>
      <c r="B70" s="1" t="s">
        <v>30</v>
      </c>
      <c r="D70" s="1">
        <v>1</v>
      </c>
    </row>
    <row r="71" spans="1:4" ht="12.75" customHeight="1" x14ac:dyDescent="0.3">
      <c r="A71" s="1" t="s">
        <v>99</v>
      </c>
      <c r="B71" s="1" t="s">
        <v>30</v>
      </c>
      <c r="D71" s="1">
        <v>1</v>
      </c>
    </row>
    <row r="72" spans="1:4" ht="12.75" customHeight="1" x14ac:dyDescent="0.3">
      <c r="A72" s="1" t="s">
        <v>100</v>
      </c>
      <c r="B72" s="1" t="s">
        <v>27</v>
      </c>
      <c r="D72" s="1">
        <v>1</v>
      </c>
    </row>
    <row r="73" spans="1:4" ht="12.75" customHeight="1" x14ac:dyDescent="0.3">
      <c r="A73" s="1" t="s">
        <v>101</v>
      </c>
      <c r="B73" s="1" t="s">
        <v>21</v>
      </c>
      <c r="C73" s="1">
        <v>1</v>
      </c>
    </row>
    <row r="74" spans="1:4" ht="12.75" customHeight="1" x14ac:dyDescent="0.3">
      <c r="A74" s="1" t="s">
        <v>102</v>
      </c>
      <c r="B74" s="1" t="s">
        <v>66</v>
      </c>
      <c r="D74" s="1">
        <v>1</v>
      </c>
    </row>
    <row r="75" spans="1:4" ht="12.75" customHeight="1" x14ac:dyDescent="0.3">
      <c r="A75" s="1" t="s">
        <v>103</v>
      </c>
      <c r="B75" s="1" t="s">
        <v>30</v>
      </c>
      <c r="D75" s="1">
        <v>1</v>
      </c>
    </row>
    <row r="76" spans="1:4" ht="12.75" customHeight="1" x14ac:dyDescent="0.3">
      <c r="A76" s="1" t="s">
        <v>104</v>
      </c>
      <c r="B76" s="1" t="s">
        <v>24</v>
      </c>
      <c r="C76" s="1">
        <v>1</v>
      </c>
    </row>
    <row r="77" spans="1:4" ht="12.75" customHeight="1" x14ac:dyDescent="0.3">
      <c r="A77" s="1" t="s">
        <v>105</v>
      </c>
      <c r="B77" s="1" t="s">
        <v>66</v>
      </c>
      <c r="D77" s="1">
        <v>1</v>
      </c>
    </row>
    <row r="78" spans="1:4" ht="12.75" customHeight="1" x14ac:dyDescent="0.3">
      <c r="A78" s="1" t="s">
        <v>106</v>
      </c>
      <c r="B78" s="1" t="s">
        <v>42</v>
      </c>
      <c r="C78" s="1">
        <v>1</v>
      </c>
    </row>
    <row r="79" spans="1:4" ht="12.75" customHeight="1" x14ac:dyDescent="0.3">
      <c r="A79" s="1" t="s">
        <v>107</v>
      </c>
      <c r="B79" s="1" t="s">
        <v>27</v>
      </c>
      <c r="D79" s="1">
        <v>1</v>
      </c>
    </row>
    <row r="80" spans="1:4" ht="12.75" customHeight="1" x14ac:dyDescent="0.3">
      <c r="A80" s="1" t="s">
        <v>108</v>
      </c>
      <c r="B80" s="1" t="s">
        <v>66</v>
      </c>
      <c r="D80" s="1">
        <v>1</v>
      </c>
    </row>
    <row r="81" spans="1:5" ht="12.75" customHeight="1" x14ac:dyDescent="0.3">
      <c r="A81" s="1" t="s">
        <v>109</v>
      </c>
      <c r="B81" s="1" t="s">
        <v>30</v>
      </c>
      <c r="D81" s="1">
        <v>1</v>
      </c>
    </row>
    <row r="82" spans="1:5" ht="12.75" customHeight="1" x14ac:dyDescent="0.3">
      <c r="A82" s="1" t="s">
        <v>110</v>
      </c>
      <c r="B82" s="1" t="s">
        <v>37</v>
      </c>
      <c r="C82" s="1">
        <v>1</v>
      </c>
    </row>
    <row r="83" spans="1:5" ht="12.75" customHeight="1" x14ac:dyDescent="0.3">
      <c r="A83" s="1" t="s">
        <v>111</v>
      </c>
      <c r="B83" s="1" t="s">
        <v>37</v>
      </c>
      <c r="C83" s="1">
        <v>1</v>
      </c>
    </row>
    <row r="84" spans="1:5" ht="12.75" customHeight="1" x14ac:dyDescent="0.3">
      <c r="A84" s="1" t="s">
        <v>112</v>
      </c>
      <c r="B84" s="1" t="s">
        <v>38</v>
      </c>
      <c r="D84" s="1">
        <v>1</v>
      </c>
    </row>
    <row r="85" spans="1:5" ht="12.75" customHeight="1" x14ac:dyDescent="0.3">
      <c r="A85" s="1" t="s">
        <v>113</v>
      </c>
      <c r="B85" s="1" t="s">
        <v>21</v>
      </c>
      <c r="C85" s="1">
        <v>1</v>
      </c>
    </row>
    <row r="86" spans="1:5" ht="12.75" customHeight="1" x14ac:dyDescent="0.3">
      <c r="A86" s="1" t="s">
        <v>114</v>
      </c>
      <c r="B86" s="1" t="s">
        <v>42</v>
      </c>
      <c r="D86" s="1">
        <v>1</v>
      </c>
    </row>
    <row r="87" spans="1:5" ht="12.75" customHeight="1" x14ac:dyDescent="0.3">
      <c r="A87" s="1" t="s">
        <v>115</v>
      </c>
      <c r="B87" s="1" t="s">
        <v>21</v>
      </c>
      <c r="C87" s="1">
        <v>1</v>
      </c>
    </row>
    <row r="88" spans="1:5" ht="12.75" customHeight="1" x14ac:dyDescent="0.3">
      <c r="A88" s="1" t="s">
        <v>116</v>
      </c>
      <c r="B88" s="1" t="s">
        <v>30</v>
      </c>
      <c r="D88" s="1">
        <v>1</v>
      </c>
    </row>
    <row r="89" spans="1:5" ht="12.75" customHeight="1" x14ac:dyDescent="0.3">
      <c r="A89" s="1" t="s">
        <v>117</v>
      </c>
      <c r="B89" s="1" t="s">
        <v>16</v>
      </c>
      <c r="C89" s="1">
        <v>1</v>
      </c>
    </row>
    <row r="90" spans="1:5" ht="12.75" customHeight="1" x14ac:dyDescent="0.3">
      <c r="A90" s="1" t="s">
        <v>118</v>
      </c>
      <c r="B90" s="1" t="s">
        <v>16</v>
      </c>
      <c r="C90" s="1">
        <v>1</v>
      </c>
    </row>
    <row r="91" spans="1:5" ht="12.75" customHeight="1" x14ac:dyDescent="0.3">
      <c r="A91" s="1" t="s">
        <v>119</v>
      </c>
      <c r="B91" s="1" t="s">
        <v>66</v>
      </c>
      <c r="D91" s="1">
        <v>1</v>
      </c>
    </row>
    <row r="92" spans="1:5" ht="12.75" customHeight="1" x14ac:dyDescent="0.3">
      <c r="A92" s="1" t="s">
        <v>120</v>
      </c>
      <c r="B92" s="1" t="s">
        <v>13</v>
      </c>
      <c r="E92" s="1">
        <v>1</v>
      </c>
    </row>
    <row r="93" spans="1:5" ht="12.75" customHeight="1" x14ac:dyDescent="0.3">
      <c r="A93" s="1" t="s">
        <v>121</v>
      </c>
      <c r="B93" s="1" t="s">
        <v>30</v>
      </c>
      <c r="D93" s="1">
        <v>1</v>
      </c>
    </row>
    <row r="94" spans="1:5" ht="12.75" customHeight="1" x14ac:dyDescent="0.3">
      <c r="A94" s="1" t="s">
        <v>122</v>
      </c>
      <c r="B94" s="1" t="s">
        <v>24</v>
      </c>
      <c r="C94" s="1">
        <v>1</v>
      </c>
    </row>
    <row r="95" spans="1:5" ht="12.75" customHeight="1" x14ac:dyDescent="0.3">
      <c r="A95" s="1" t="s">
        <v>123</v>
      </c>
      <c r="B95" s="1" t="s">
        <v>21</v>
      </c>
      <c r="C95" s="1">
        <v>1</v>
      </c>
    </row>
    <row r="96" spans="1:5" ht="12.75" customHeight="1" x14ac:dyDescent="0.3">
      <c r="A96" s="1" t="s">
        <v>124</v>
      </c>
      <c r="B96" s="1" t="s">
        <v>14</v>
      </c>
      <c r="C96" s="1">
        <v>1</v>
      </c>
    </row>
    <row r="97" spans="1:5" ht="12.75" customHeight="1" x14ac:dyDescent="0.3">
      <c r="A97" s="1" t="s">
        <v>125</v>
      </c>
      <c r="B97" s="1" t="s">
        <v>66</v>
      </c>
      <c r="D97" s="1">
        <v>1</v>
      </c>
    </row>
    <row r="98" spans="1:5" ht="12.75" customHeight="1" x14ac:dyDescent="0.3">
      <c r="A98" s="1" t="s">
        <v>126</v>
      </c>
      <c r="B98" s="1" t="s">
        <v>30</v>
      </c>
      <c r="D98" s="1">
        <v>1</v>
      </c>
    </row>
    <row r="99" spans="1:5" ht="12.75" customHeight="1" x14ac:dyDescent="0.3">
      <c r="A99" s="1" t="s">
        <v>127</v>
      </c>
      <c r="B99" s="1" t="s">
        <v>27</v>
      </c>
      <c r="D99" s="1">
        <v>1</v>
      </c>
    </row>
    <row r="100" spans="1:5" ht="12.75" customHeight="1" x14ac:dyDescent="0.3">
      <c r="A100" s="1" t="s">
        <v>128</v>
      </c>
      <c r="B100" s="1" t="s">
        <v>30</v>
      </c>
      <c r="D100" s="1">
        <v>1</v>
      </c>
    </row>
    <row r="101" spans="1:5" ht="12.75" customHeight="1" x14ac:dyDescent="0.3">
      <c r="A101" s="1" t="s">
        <v>129</v>
      </c>
      <c r="B101" s="1" t="s">
        <v>27</v>
      </c>
      <c r="D101" s="1">
        <v>1</v>
      </c>
    </row>
    <row r="102" spans="1:5" ht="12.75" customHeight="1" x14ac:dyDescent="0.3">
      <c r="A102" s="1" t="s">
        <v>130</v>
      </c>
      <c r="B102" s="1" t="s">
        <v>16</v>
      </c>
      <c r="C102" s="1">
        <v>1</v>
      </c>
    </row>
    <row r="103" spans="1:5" ht="12.75" customHeight="1" x14ac:dyDescent="0.3">
      <c r="A103" s="1" t="s">
        <v>131</v>
      </c>
      <c r="B103" s="1" t="s">
        <v>66</v>
      </c>
      <c r="D103" s="1">
        <v>1</v>
      </c>
    </row>
    <row r="104" spans="1:5" ht="12.75" customHeight="1" x14ac:dyDescent="0.3">
      <c r="A104" s="1" t="s">
        <v>132</v>
      </c>
      <c r="B104" s="1" t="s">
        <v>30</v>
      </c>
      <c r="D104" s="1">
        <v>1</v>
      </c>
    </row>
    <row r="105" spans="1:5" ht="12.75" customHeight="1" x14ac:dyDescent="0.3">
      <c r="A105" s="1" t="s">
        <v>133</v>
      </c>
      <c r="B105" s="1" t="s">
        <v>14</v>
      </c>
      <c r="C105" s="1">
        <v>1</v>
      </c>
    </row>
    <row r="106" spans="1:5" ht="12.75" customHeight="1" x14ac:dyDescent="0.3">
      <c r="A106" s="1" t="s">
        <v>134</v>
      </c>
      <c r="B106" s="1" t="s">
        <v>42</v>
      </c>
      <c r="C106" s="1">
        <v>1</v>
      </c>
    </row>
    <row r="107" spans="1:5" ht="12.75" customHeight="1" x14ac:dyDescent="0.3">
      <c r="A107" s="1" t="s">
        <v>135</v>
      </c>
      <c r="B107" s="1" t="s">
        <v>27</v>
      </c>
      <c r="D107" s="1">
        <v>1</v>
      </c>
    </row>
    <row r="108" spans="1:5" ht="12.75" customHeight="1" x14ac:dyDescent="0.3">
      <c r="A108" s="1" t="s">
        <v>136</v>
      </c>
      <c r="B108" s="1" t="s">
        <v>66</v>
      </c>
      <c r="D108" s="1">
        <v>1</v>
      </c>
    </row>
    <row r="109" spans="1:5" ht="12.75" customHeight="1" x14ac:dyDescent="0.3">
      <c r="A109" s="1" t="s">
        <v>137</v>
      </c>
      <c r="B109" s="1" t="s">
        <v>13</v>
      </c>
      <c r="D109" s="1">
        <v>1</v>
      </c>
    </row>
    <row r="110" spans="1:5" ht="12.75" customHeight="1" x14ac:dyDescent="0.3">
      <c r="A110" s="1" t="s">
        <v>138</v>
      </c>
      <c r="B110" s="1" t="s">
        <v>42</v>
      </c>
      <c r="D110" s="1">
        <v>1</v>
      </c>
    </row>
    <row r="111" spans="1:5" ht="12.75" customHeight="1" x14ac:dyDescent="0.3">
      <c r="A111" s="1" t="s">
        <v>139</v>
      </c>
      <c r="B111" s="1" t="s">
        <v>27</v>
      </c>
      <c r="E111" s="1">
        <v>1</v>
      </c>
    </row>
    <row r="112" spans="1:5" ht="12.75" customHeight="1" x14ac:dyDescent="0.3">
      <c r="A112" s="1" t="s">
        <v>140</v>
      </c>
      <c r="B112" s="1" t="s">
        <v>16</v>
      </c>
      <c r="C112" s="1">
        <v>1</v>
      </c>
    </row>
    <row r="113" spans="1:6" ht="12.75" customHeight="1" x14ac:dyDescent="0.3">
      <c r="A113" s="1" t="s">
        <v>141</v>
      </c>
      <c r="B113" s="1" t="s">
        <v>14</v>
      </c>
      <c r="C113" s="1">
        <v>1</v>
      </c>
    </row>
    <row r="114" spans="1:6" ht="12.75" customHeight="1" x14ac:dyDescent="0.3">
      <c r="A114" s="1" t="s">
        <v>142</v>
      </c>
      <c r="B114" s="1" t="s">
        <v>16</v>
      </c>
      <c r="D114" s="1">
        <v>1</v>
      </c>
    </row>
    <row r="115" spans="1:6" ht="12.75" customHeight="1" x14ac:dyDescent="0.3">
      <c r="A115" s="1" t="s">
        <v>143</v>
      </c>
      <c r="B115" s="1" t="s">
        <v>24</v>
      </c>
      <c r="C115" s="1">
        <v>1</v>
      </c>
    </row>
    <row r="116" spans="1:6" ht="12.75" customHeight="1" x14ac:dyDescent="0.3">
      <c r="A116" s="1" t="s">
        <v>144</v>
      </c>
      <c r="B116" s="1" t="s">
        <v>66</v>
      </c>
      <c r="D116" s="1">
        <v>1</v>
      </c>
    </row>
    <row r="117" spans="1:6" ht="12.75" customHeight="1" x14ac:dyDescent="0.3">
      <c r="A117" s="1" t="s">
        <v>145</v>
      </c>
      <c r="B117" s="1" t="s">
        <v>27</v>
      </c>
      <c r="C117" s="1">
        <v>1</v>
      </c>
    </row>
    <row r="118" spans="1:6" ht="12.75" customHeight="1" x14ac:dyDescent="0.3">
      <c r="A118" s="1" t="s">
        <v>146</v>
      </c>
      <c r="B118" s="1" t="s">
        <v>30</v>
      </c>
      <c r="E118" s="1">
        <v>1</v>
      </c>
    </row>
    <row r="119" spans="1:6" ht="12.75" customHeight="1" x14ac:dyDescent="0.3">
      <c r="A119" s="1" t="s">
        <v>147</v>
      </c>
      <c r="B119" s="1" t="s">
        <v>42</v>
      </c>
      <c r="C119" s="1">
        <v>1</v>
      </c>
    </row>
    <row r="120" spans="1:6" ht="12.75" customHeight="1" x14ac:dyDescent="0.3">
      <c r="A120" s="1" t="s">
        <v>148</v>
      </c>
      <c r="B120" s="1" t="s">
        <v>13</v>
      </c>
      <c r="D120" s="1">
        <v>1</v>
      </c>
    </row>
    <row r="121" spans="1:6" ht="12.75" customHeight="1" x14ac:dyDescent="0.3">
      <c r="A121" s="1" t="s">
        <v>149</v>
      </c>
      <c r="B121" s="1" t="s">
        <v>150</v>
      </c>
      <c r="F121" s="1">
        <v>1</v>
      </c>
    </row>
    <row r="122" spans="1:6" ht="12.75" customHeight="1" x14ac:dyDescent="0.3">
      <c r="A122" s="1" t="s">
        <v>151</v>
      </c>
      <c r="B122" s="1" t="s">
        <v>24</v>
      </c>
      <c r="C122" s="1">
        <v>1</v>
      </c>
    </row>
    <row r="123" spans="1:6" ht="12.75" customHeight="1" x14ac:dyDescent="0.3">
      <c r="A123" s="1" t="s">
        <v>152</v>
      </c>
      <c r="B123" s="1" t="s">
        <v>24</v>
      </c>
      <c r="C123" s="1">
        <v>1</v>
      </c>
    </row>
    <row r="124" spans="1:6" ht="12.75" customHeight="1" x14ac:dyDescent="0.3">
      <c r="A124" s="1" t="s">
        <v>153</v>
      </c>
      <c r="B124" s="1" t="s">
        <v>19</v>
      </c>
      <c r="C124" s="1">
        <v>1</v>
      </c>
    </row>
    <row r="125" spans="1:6" ht="12.75" customHeight="1" x14ac:dyDescent="0.3">
      <c r="A125" s="1" t="s">
        <v>154</v>
      </c>
      <c r="B125" s="1" t="s">
        <v>33</v>
      </c>
      <c r="C125" s="1">
        <v>1</v>
      </c>
    </row>
    <row r="126" spans="1:6" ht="12.75" customHeight="1" x14ac:dyDescent="0.3">
      <c r="A126" s="1" t="s">
        <v>155</v>
      </c>
      <c r="B126" s="1" t="s">
        <v>13</v>
      </c>
      <c r="D126" s="1">
        <v>1</v>
      </c>
    </row>
    <row r="127" spans="1:6" ht="12.75" customHeight="1" x14ac:dyDescent="0.3">
      <c r="A127" s="1" t="s">
        <v>156</v>
      </c>
      <c r="B127" s="1" t="s">
        <v>13</v>
      </c>
      <c r="D127" s="1">
        <v>1</v>
      </c>
    </row>
    <row r="128" spans="1:6" ht="12.75" customHeight="1" x14ac:dyDescent="0.3">
      <c r="A128" s="1" t="s">
        <v>157</v>
      </c>
      <c r="B128" s="1" t="s">
        <v>14</v>
      </c>
      <c r="C128" s="1">
        <v>1</v>
      </c>
    </row>
    <row r="129" spans="1:5" ht="12.75" customHeight="1" x14ac:dyDescent="0.3">
      <c r="A129" s="1" t="s">
        <v>158</v>
      </c>
      <c r="B129" s="1" t="s">
        <v>16</v>
      </c>
      <c r="C129" s="1">
        <v>11</v>
      </c>
    </row>
    <row r="130" spans="1:5" ht="12.75" customHeight="1" x14ac:dyDescent="0.3">
      <c r="A130" s="1" t="s">
        <v>159</v>
      </c>
      <c r="B130" s="1" t="s">
        <v>13</v>
      </c>
      <c r="C130" s="1">
        <v>1</v>
      </c>
    </row>
    <row r="131" spans="1:5" ht="12.75" customHeight="1" x14ac:dyDescent="0.3">
      <c r="A131" s="1" t="s">
        <v>160</v>
      </c>
      <c r="B131" s="1" t="s">
        <v>66</v>
      </c>
      <c r="E131" s="1">
        <v>1</v>
      </c>
    </row>
    <row r="132" spans="1:5" ht="12.75" customHeight="1" x14ac:dyDescent="0.3">
      <c r="A132" s="1" t="s">
        <v>161</v>
      </c>
      <c r="B132" s="1" t="s">
        <v>38</v>
      </c>
      <c r="D132" s="1">
        <v>1</v>
      </c>
    </row>
    <row r="133" spans="1:5" ht="12.75" customHeight="1" x14ac:dyDescent="0.3">
      <c r="A133" s="1" t="s">
        <v>162</v>
      </c>
      <c r="B133" s="1" t="s">
        <v>13</v>
      </c>
      <c r="D133" s="1">
        <v>11</v>
      </c>
    </row>
    <row r="134" spans="1:5" ht="12.75" customHeight="1" x14ac:dyDescent="0.3">
      <c r="A134" s="1" t="s">
        <v>163</v>
      </c>
      <c r="B134" s="1" t="s">
        <v>66</v>
      </c>
      <c r="D134" s="1">
        <v>1</v>
      </c>
    </row>
    <row r="135" spans="1:5" ht="12.75" customHeight="1" x14ac:dyDescent="0.3">
      <c r="A135" s="1" t="s">
        <v>164</v>
      </c>
      <c r="B135" s="1" t="s">
        <v>21</v>
      </c>
      <c r="C135" s="1">
        <v>1</v>
      </c>
    </row>
    <row r="136" spans="1:5" ht="12.75" customHeight="1" x14ac:dyDescent="0.3">
      <c r="A136" s="1" t="s">
        <v>165</v>
      </c>
      <c r="B136" s="1" t="s">
        <v>30</v>
      </c>
      <c r="D136" s="1">
        <v>1</v>
      </c>
    </row>
    <row r="137" spans="1:5" ht="12.75" customHeight="1" x14ac:dyDescent="0.3">
      <c r="A137" s="1" t="s">
        <v>166</v>
      </c>
      <c r="B137" s="1" t="s">
        <v>30</v>
      </c>
      <c r="D137" s="1">
        <v>1</v>
      </c>
    </row>
    <row r="138" spans="1:5" ht="12.75" customHeight="1" x14ac:dyDescent="0.3">
      <c r="A138" s="1" t="s">
        <v>167</v>
      </c>
      <c r="B138" s="1" t="s">
        <v>19</v>
      </c>
      <c r="C138" s="1">
        <v>1</v>
      </c>
    </row>
    <row r="139" spans="1:5" ht="12.75" customHeight="1" x14ac:dyDescent="0.3">
      <c r="A139" s="1" t="s">
        <v>168</v>
      </c>
      <c r="B139" s="1" t="s">
        <v>13</v>
      </c>
      <c r="D139" s="1">
        <v>1</v>
      </c>
    </row>
    <row r="140" spans="1:5" ht="12.75" customHeight="1" x14ac:dyDescent="0.3">
      <c r="A140" s="1" t="s">
        <v>169</v>
      </c>
      <c r="B140" s="1" t="s">
        <v>27</v>
      </c>
      <c r="D140" s="1">
        <v>1</v>
      </c>
    </row>
    <row r="141" spans="1:5" ht="12.75" customHeight="1" x14ac:dyDescent="0.3">
      <c r="A141" s="1" t="s">
        <v>170</v>
      </c>
      <c r="B141" s="1" t="s">
        <v>16</v>
      </c>
      <c r="C141" s="1">
        <v>1</v>
      </c>
    </row>
    <row r="142" spans="1:5" ht="12.75" customHeight="1" x14ac:dyDescent="0.3">
      <c r="A142" s="1" t="s">
        <v>171</v>
      </c>
      <c r="B142" s="1" t="s">
        <v>19</v>
      </c>
      <c r="C142" s="1">
        <v>1</v>
      </c>
    </row>
    <row r="143" spans="1:5" ht="12.75" customHeight="1" x14ac:dyDescent="0.3">
      <c r="A143" s="1" t="s">
        <v>172</v>
      </c>
      <c r="B143" s="1" t="s">
        <v>37</v>
      </c>
      <c r="C143" s="1">
        <v>1</v>
      </c>
    </row>
    <row r="144" spans="1:5" ht="12.75" customHeight="1" x14ac:dyDescent="0.3">
      <c r="A144" s="1" t="s">
        <v>173</v>
      </c>
      <c r="B144" s="1" t="s">
        <v>27</v>
      </c>
      <c r="C144" s="1">
        <v>1</v>
      </c>
    </row>
    <row r="145" spans="1:4" ht="12.75" customHeight="1" x14ac:dyDescent="0.3">
      <c r="A145" s="1" t="s">
        <v>174</v>
      </c>
      <c r="B145" s="1" t="s">
        <v>66</v>
      </c>
      <c r="D145" s="1">
        <v>1</v>
      </c>
    </row>
    <row r="146" spans="1:4" ht="12.75" customHeight="1" x14ac:dyDescent="0.3">
      <c r="A146" s="1" t="s">
        <v>175</v>
      </c>
      <c r="B146" s="1" t="s">
        <v>14</v>
      </c>
      <c r="C146" s="1">
        <v>1</v>
      </c>
    </row>
    <row r="147" spans="1:4" ht="12.75" customHeight="1" x14ac:dyDescent="0.3">
      <c r="A147" s="1" t="s">
        <v>176</v>
      </c>
      <c r="B147" s="1" t="s">
        <v>66</v>
      </c>
      <c r="D147" s="1">
        <v>1</v>
      </c>
    </row>
    <row r="148" spans="1:4" ht="12.75" customHeight="1" x14ac:dyDescent="0.3">
      <c r="A148" s="1" t="s">
        <v>177</v>
      </c>
      <c r="B148" s="1" t="s">
        <v>42</v>
      </c>
      <c r="C148" s="1">
        <v>1</v>
      </c>
    </row>
    <row r="149" spans="1:4" ht="12.75" customHeight="1" x14ac:dyDescent="0.3">
      <c r="A149" s="1" t="s">
        <v>178</v>
      </c>
      <c r="B149" s="1" t="s">
        <v>33</v>
      </c>
      <c r="C149" s="1">
        <v>1</v>
      </c>
    </row>
    <row r="150" spans="1:4" ht="12.75" customHeight="1" x14ac:dyDescent="0.3">
      <c r="A150" s="1" t="s">
        <v>179</v>
      </c>
      <c r="B150" s="1" t="s">
        <v>14</v>
      </c>
      <c r="C150" s="1">
        <v>1</v>
      </c>
    </row>
    <row r="151" spans="1:4" ht="12.75" customHeight="1" x14ac:dyDescent="0.3">
      <c r="A151" s="1" t="s">
        <v>180</v>
      </c>
      <c r="B151" s="1" t="s">
        <v>13</v>
      </c>
      <c r="D151" s="1">
        <v>1</v>
      </c>
    </row>
    <row r="152" spans="1:4" ht="12.75" customHeight="1" x14ac:dyDescent="0.3">
      <c r="A152" s="1" t="s">
        <v>181</v>
      </c>
      <c r="B152" s="1" t="s">
        <v>24</v>
      </c>
      <c r="C152" s="1">
        <v>1</v>
      </c>
    </row>
    <row r="153" spans="1:4" ht="12.75" customHeight="1" x14ac:dyDescent="0.3">
      <c r="A153" s="1" t="s">
        <v>182</v>
      </c>
      <c r="B153" s="1" t="s">
        <v>19</v>
      </c>
      <c r="C153" s="1">
        <v>1</v>
      </c>
    </row>
    <row r="154" spans="1:4" ht="12.75" customHeight="1" x14ac:dyDescent="0.3">
      <c r="A154" s="1" t="s">
        <v>183</v>
      </c>
      <c r="B154" s="1" t="s">
        <v>42</v>
      </c>
      <c r="D154" s="1">
        <v>1</v>
      </c>
    </row>
    <row r="155" spans="1:4" ht="12.75" customHeight="1" x14ac:dyDescent="0.3">
      <c r="A155" s="1" t="s">
        <v>184</v>
      </c>
      <c r="B155" s="1" t="s">
        <v>19</v>
      </c>
      <c r="C155" s="1">
        <v>1</v>
      </c>
    </row>
    <row r="156" spans="1:4" ht="12.75" customHeight="1" x14ac:dyDescent="0.3">
      <c r="A156" s="1" t="s">
        <v>185</v>
      </c>
      <c r="B156" s="1" t="s">
        <v>30</v>
      </c>
      <c r="D156" s="1">
        <v>1</v>
      </c>
    </row>
    <row r="157" spans="1:4" ht="12.75" customHeight="1" x14ac:dyDescent="0.3"/>
    <row r="158" spans="1:4" ht="12.75" customHeight="1" x14ac:dyDescent="0.3"/>
    <row r="159" spans="1:4" ht="12.75" customHeight="1" x14ac:dyDescent="0.3"/>
    <row r="160" spans="1:4" ht="12.75" customHeight="1" x14ac:dyDescent="0.3"/>
    <row r="161" s="1" customFormat="1" ht="12.75" customHeight="1" x14ac:dyDescent="0.3"/>
    <row r="162" s="1" customFormat="1" ht="12.75" customHeight="1" x14ac:dyDescent="0.3"/>
    <row r="163" s="1" customFormat="1" ht="12.75" customHeight="1" x14ac:dyDescent="0.3"/>
    <row r="164" s="1" customFormat="1" ht="12.75" customHeight="1" x14ac:dyDescent="0.3"/>
    <row r="165" s="1" customFormat="1" ht="12.75" customHeight="1" x14ac:dyDescent="0.3"/>
    <row r="166" s="1" customFormat="1" ht="12.75" customHeight="1" x14ac:dyDescent="0.3"/>
    <row r="167" s="1" customFormat="1" ht="12.75" customHeight="1" x14ac:dyDescent="0.3"/>
    <row r="168" s="1" customFormat="1" ht="12.75" customHeight="1" x14ac:dyDescent="0.3"/>
    <row r="169" s="1" customFormat="1" ht="12.75" customHeight="1" x14ac:dyDescent="0.3"/>
    <row r="170" s="1" customFormat="1" ht="12.75" customHeight="1" x14ac:dyDescent="0.3"/>
    <row r="171" s="1" customFormat="1" ht="12.75" customHeight="1" x14ac:dyDescent="0.3"/>
    <row r="172" s="1" customFormat="1" ht="12.75" customHeight="1" x14ac:dyDescent="0.3"/>
    <row r="173" s="1" customFormat="1" ht="12.75" customHeight="1" x14ac:dyDescent="0.3"/>
    <row r="174" s="1" customFormat="1" ht="12.75" customHeight="1" x14ac:dyDescent="0.3"/>
    <row r="175" s="1" customFormat="1" ht="12.75" customHeight="1" x14ac:dyDescent="0.3"/>
    <row r="176" s="1" customFormat="1" ht="12.75" customHeight="1" x14ac:dyDescent="0.3"/>
    <row r="177" s="1" customFormat="1" ht="12.75" customHeight="1" x14ac:dyDescent="0.3"/>
    <row r="178" s="1" customFormat="1" ht="12.75" customHeight="1" x14ac:dyDescent="0.3"/>
    <row r="179" s="1" customFormat="1" ht="12.75" customHeight="1" x14ac:dyDescent="0.3"/>
    <row r="180" s="1" customFormat="1" ht="12.75" customHeight="1" x14ac:dyDescent="0.3"/>
    <row r="181" s="1" customFormat="1" ht="12.75" customHeight="1" x14ac:dyDescent="0.3"/>
    <row r="182" s="1" customFormat="1" ht="12.75" customHeight="1" x14ac:dyDescent="0.3"/>
    <row r="183" s="1" customFormat="1" ht="12.75" customHeight="1" x14ac:dyDescent="0.3"/>
    <row r="184" s="1" customFormat="1" ht="12.75" customHeight="1" x14ac:dyDescent="0.3"/>
    <row r="185" s="1" customFormat="1" ht="12.75" customHeight="1" x14ac:dyDescent="0.3"/>
    <row r="186" s="1" customFormat="1" ht="12.75" customHeight="1" x14ac:dyDescent="0.3"/>
    <row r="187" s="1" customFormat="1" ht="12.75" customHeight="1" x14ac:dyDescent="0.3"/>
    <row r="188" s="1" customFormat="1" ht="12.75" customHeight="1" x14ac:dyDescent="0.3"/>
    <row r="189" s="1" customFormat="1" ht="12.75" customHeight="1" x14ac:dyDescent="0.3"/>
    <row r="190" s="1" customFormat="1" ht="12.75" customHeight="1" x14ac:dyDescent="0.3"/>
    <row r="191" s="1" customFormat="1" ht="12.75" customHeight="1" x14ac:dyDescent="0.3"/>
    <row r="192" s="1" customFormat="1" ht="12.75" customHeight="1" x14ac:dyDescent="0.3"/>
    <row r="193" s="1" customFormat="1" ht="12.75" customHeight="1" x14ac:dyDescent="0.3"/>
    <row r="194" s="1" customFormat="1" ht="12.75" customHeight="1" x14ac:dyDescent="0.3"/>
    <row r="195" s="1" customFormat="1" ht="12.75" customHeight="1" x14ac:dyDescent="0.3"/>
    <row r="196" s="1" customFormat="1" ht="12.75" customHeight="1" x14ac:dyDescent="0.3"/>
    <row r="197" s="1" customFormat="1" ht="12.75" customHeight="1" x14ac:dyDescent="0.3"/>
    <row r="198" s="1" customFormat="1" ht="12.75" customHeight="1" x14ac:dyDescent="0.3"/>
    <row r="199" s="1" customFormat="1" ht="12.75" customHeight="1" x14ac:dyDescent="0.3"/>
    <row r="200" s="1" customFormat="1" ht="12.75" customHeight="1" x14ac:dyDescent="0.3"/>
    <row r="201" s="1" customFormat="1" ht="12.75" customHeight="1" x14ac:dyDescent="0.3"/>
    <row r="202" s="1" customFormat="1" ht="12.75" customHeight="1" x14ac:dyDescent="0.3"/>
    <row r="203" s="1" customFormat="1" ht="12.75" customHeight="1" x14ac:dyDescent="0.3"/>
    <row r="204" s="1" customFormat="1" ht="12.75" customHeight="1" x14ac:dyDescent="0.3"/>
    <row r="205" s="1" customFormat="1" ht="12.75" customHeight="1" x14ac:dyDescent="0.3"/>
    <row r="206" s="1" customFormat="1" ht="12.75" customHeight="1" x14ac:dyDescent="0.3"/>
    <row r="207" s="1" customFormat="1" ht="12.75" customHeight="1" x14ac:dyDescent="0.3"/>
    <row r="208" s="1" customFormat="1" ht="12.75" customHeight="1" x14ac:dyDescent="0.3"/>
    <row r="209" s="1" customFormat="1" ht="12.75" customHeight="1" x14ac:dyDescent="0.3"/>
    <row r="210" s="1" customFormat="1" ht="12.75" customHeight="1" x14ac:dyDescent="0.3"/>
    <row r="211" s="1" customFormat="1" ht="12.75" customHeight="1" x14ac:dyDescent="0.3"/>
    <row r="212" s="1" customFormat="1" ht="12.75" customHeight="1" x14ac:dyDescent="0.3"/>
    <row r="213" s="1" customFormat="1" ht="12.75" customHeight="1" x14ac:dyDescent="0.3"/>
    <row r="214" s="1" customFormat="1" ht="12.75" customHeight="1" x14ac:dyDescent="0.3"/>
    <row r="215" s="1" customFormat="1" ht="12.75" customHeight="1" x14ac:dyDescent="0.3"/>
    <row r="216" s="1" customFormat="1" ht="12.75" customHeight="1" x14ac:dyDescent="0.3"/>
    <row r="217" s="1" customFormat="1" ht="12.75" customHeight="1" x14ac:dyDescent="0.3"/>
    <row r="218" s="1" customFormat="1" ht="12.75" customHeight="1" x14ac:dyDescent="0.3"/>
    <row r="219" s="1" customFormat="1" ht="12.75" customHeight="1" x14ac:dyDescent="0.3"/>
    <row r="220" s="1" customFormat="1" ht="12.75" customHeight="1" x14ac:dyDescent="0.3"/>
    <row r="221" s="1" customFormat="1" ht="12.75" customHeight="1" x14ac:dyDescent="0.3"/>
    <row r="222" s="1" customFormat="1" ht="12.75" customHeight="1" x14ac:dyDescent="0.3"/>
    <row r="223" s="1" customFormat="1" ht="12.75" customHeight="1" x14ac:dyDescent="0.3"/>
    <row r="224" s="1" customFormat="1" ht="12.75" customHeight="1" x14ac:dyDescent="0.3"/>
    <row r="225" s="1" customFormat="1" ht="12.75" customHeight="1" x14ac:dyDescent="0.3"/>
    <row r="226" s="1" customFormat="1" ht="12.75" customHeight="1" x14ac:dyDescent="0.3"/>
    <row r="227" s="1" customFormat="1" ht="12.75" customHeight="1" x14ac:dyDescent="0.3"/>
    <row r="228" s="1" customFormat="1" ht="12.75" customHeight="1" x14ac:dyDescent="0.3"/>
    <row r="229" s="1" customFormat="1" ht="12.75" customHeight="1" x14ac:dyDescent="0.3"/>
    <row r="230" s="1" customFormat="1" ht="12.75" customHeight="1" x14ac:dyDescent="0.3"/>
    <row r="231" s="1" customFormat="1" ht="12.75" customHeight="1" x14ac:dyDescent="0.3"/>
    <row r="232" s="1" customFormat="1" ht="12.75" customHeight="1" x14ac:dyDescent="0.3"/>
    <row r="233" s="1" customFormat="1" ht="12.75" customHeight="1" x14ac:dyDescent="0.3"/>
    <row r="234" s="1" customFormat="1" ht="12.75" customHeight="1" x14ac:dyDescent="0.3"/>
    <row r="235" s="1" customFormat="1" ht="12.75" customHeight="1" x14ac:dyDescent="0.3"/>
    <row r="236" s="1" customFormat="1" ht="12.75" customHeight="1" x14ac:dyDescent="0.3"/>
    <row r="237" s="1" customFormat="1" ht="12.75" customHeight="1" x14ac:dyDescent="0.3"/>
    <row r="238" s="1" customFormat="1" ht="12.75" customHeight="1" x14ac:dyDescent="0.3"/>
    <row r="239" s="1" customFormat="1" ht="12.75" customHeight="1" x14ac:dyDescent="0.3"/>
    <row r="240" s="1" customFormat="1" ht="12.75" customHeight="1" x14ac:dyDescent="0.3"/>
    <row r="241" s="1" customFormat="1" ht="12.75" customHeight="1" x14ac:dyDescent="0.3"/>
    <row r="242" s="1" customFormat="1" ht="12.75" customHeight="1" x14ac:dyDescent="0.3"/>
    <row r="243" s="1" customFormat="1" ht="12.75" customHeight="1" x14ac:dyDescent="0.3"/>
    <row r="244" s="1" customFormat="1" ht="12.75" customHeight="1" x14ac:dyDescent="0.3"/>
    <row r="245" s="1" customFormat="1" ht="12.75" customHeight="1" x14ac:dyDescent="0.3"/>
    <row r="246" s="1" customFormat="1" ht="12.75" customHeight="1" x14ac:dyDescent="0.3"/>
    <row r="247" s="1" customFormat="1" ht="12.75" customHeight="1" x14ac:dyDescent="0.3"/>
    <row r="248" s="1" customFormat="1" ht="12.75" customHeight="1" x14ac:dyDescent="0.3"/>
    <row r="249" s="1" customFormat="1" ht="12.75" customHeight="1" x14ac:dyDescent="0.3"/>
    <row r="250" s="1" customFormat="1" ht="12.75" customHeight="1" x14ac:dyDescent="0.3"/>
    <row r="251" s="1" customFormat="1" ht="12.75" customHeight="1" x14ac:dyDescent="0.3"/>
    <row r="252" s="1" customFormat="1" ht="12.75" customHeight="1" x14ac:dyDescent="0.3"/>
    <row r="253" s="1" customFormat="1" ht="12.75" customHeight="1" x14ac:dyDescent="0.3"/>
    <row r="254" s="1" customFormat="1" ht="12.75" customHeight="1" x14ac:dyDescent="0.3"/>
    <row r="255" s="1" customFormat="1" ht="12.75" customHeight="1" x14ac:dyDescent="0.3"/>
    <row r="256" s="1" customFormat="1" ht="12.75" customHeight="1" x14ac:dyDescent="0.3"/>
    <row r="257" s="1" customFormat="1" ht="12.75" customHeight="1" x14ac:dyDescent="0.3"/>
    <row r="258" s="1" customFormat="1" ht="12.75" customHeight="1" x14ac:dyDescent="0.3"/>
    <row r="259" s="1" customFormat="1" ht="12.75" customHeight="1" x14ac:dyDescent="0.3"/>
    <row r="260" s="1" customFormat="1" ht="12.75" customHeight="1" x14ac:dyDescent="0.3"/>
    <row r="261" s="1" customFormat="1" ht="12.75" customHeight="1" x14ac:dyDescent="0.3"/>
    <row r="262" s="1" customFormat="1" ht="12.75" customHeight="1" x14ac:dyDescent="0.3"/>
    <row r="263" s="1" customFormat="1" ht="12.75" customHeight="1" x14ac:dyDescent="0.3"/>
    <row r="264" s="1" customFormat="1" ht="12.75" customHeight="1" x14ac:dyDescent="0.3"/>
    <row r="265" s="1" customFormat="1" ht="12.75" customHeight="1" x14ac:dyDescent="0.3"/>
    <row r="266" s="1" customFormat="1" ht="12.75" customHeight="1" x14ac:dyDescent="0.3"/>
    <row r="267" s="1" customFormat="1" ht="12.75" customHeight="1" x14ac:dyDescent="0.3"/>
    <row r="268" s="1" customFormat="1" ht="12.75" customHeight="1" x14ac:dyDescent="0.3"/>
    <row r="269" s="1" customFormat="1" ht="12.75" customHeight="1" x14ac:dyDescent="0.3"/>
    <row r="270" s="1" customFormat="1" ht="12.75" customHeight="1" x14ac:dyDescent="0.3"/>
    <row r="271" s="1" customFormat="1" ht="12.75" customHeight="1" x14ac:dyDescent="0.3"/>
    <row r="272" s="1" customFormat="1" ht="12.75" customHeight="1" x14ac:dyDescent="0.3"/>
    <row r="273" s="1" customFormat="1" ht="12.75" customHeight="1" x14ac:dyDescent="0.3"/>
    <row r="274" s="1" customFormat="1" ht="12.75" customHeight="1" x14ac:dyDescent="0.3"/>
    <row r="275" s="1" customFormat="1" ht="12.75" customHeight="1" x14ac:dyDescent="0.3"/>
    <row r="276" s="1" customFormat="1" ht="12.75" customHeight="1" x14ac:dyDescent="0.3"/>
    <row r="277" s="1" customFormat="1" ht="12.75" customHeight="1" x14ac:dyDescent="0.3"/>
    <row r="278" s="1" customFormat="1" ht="12.75" customHeight="1" x14ac:dyDescent="0.3"/>
    <row r="279" s="1" customFormat="1" ht="12.75" customHeight="1" x14ac:dyDescent="0.3"/>
    <row r="280" s="1" customFormat="1" ht="12.75" customHeight="1" x14ac:dyDescent="0.3"/>
    <row r="281" s="1" customFormat="1" ht="12.75" customHeight="1" x14ac:dyDescent="0.3"/>
    <row r="282" s="1" customFormat="1" ht="12.75" customHeight="1" x14ac:dyDescent="0.3"/>
    <row r="283" s="1" customFormat="1" ht="12.75" customHeight="1" x14ac:dyDescent="0.3"/>
    <row r="284" s="1" customFormat="1" ht="12.75" customHeight="1" x14ac:dyDescent="0.3"/>
    <row r="285" s="1" customFormat="1" ht="12.75" customHeight="1" x14ac:dyDescent="0.3"/>
    <row r="286" s="1" customFormat="1" ht="12.75" customHeight="1" x14ac:dyDescent="0.3"/>
    <row r="287" s="1" customFormat="1" ht="12.75" customHeight="1" x14ac:dyDescent="0.3"/>
    <row r="288" s="1" customFormat="1" ht="12.75" customHeight="1" x14ac:dyDescent="0.3"/>
    <row r="289" s="1" customFormat="1" ht="12.75" customHeight="1" x14ac:dyDescent="0.3"/>
    <row r="290" s="1" customFormat="1" ht="12.75" customHeight="1" x14ac:dyDescent="0.3"/>
    <row r="291" s="1" customFormat="1" ht="12.75" customHeight="1" x14ac:dyDescent="0.3"/>
    <row r="292" s="1" customFormat="1" ht="12.75" customHeight="1" x14ac:dyDescent="0.3"/>
    <row r="293" s="1" customFormat="1" ht="12.75" customHeight="1" x14ac:dyDescent="0.3"/>
    <row r="294" s="1" customFormat="1" ht="12.75" customHeight="1" x14ac:dyDescent="0.3"/>
    <row r="295" s="1" customFormat="1" ht="12.75" customHeight="1" x14ac:dyDescent="0.3"/>
    <row r="296" s="1" customFormat="1" ht="12.75" customHeight="1" x14ac:dyDescent="0.3"/>
    <row r="297" s="1" customFormat="1" ht="12.75" customHeight="1" x14ac:dyDescent="0.3"/>
    <row r="298" s="1" customFormat="1" ht="12.75" customHeight="1" x14ac:dyDescent="0.3"/>
    <row r="299" s="1" customFormat="1" ht="12.75" customHeight="1" x14ac:dyDescent="0.3"/>
    <row r="300" s="1" customFormat="1" ht="12.75" customHeight="1" x14ac:dyDescent="0.3"/>
    <row r="301" s="1" customFormat="1" ht="12.75" customHeight="1" x14ac:dyDescent="0.3"/>
    <row r="302" s="1" customFormat="1" ht="12.75" customHeight="1" x14ac:dyDescent="0.3"/>
    <row r="303" s="1" customFormat="1" ht="12.75" customHeight="1" x14ac:dyDescent="0.3"/>
    <row r="304" s="1" customFormat="1" ht="12.75" customHeight="1" x14ac:dyDescent="0.3"/>
    <row r="305" s="1" customFormat="1" ht="12.75" customHeight="1" x14ac:dyDescent="0.3"/>
    <row r="306" s="1" customFormat="1" ht="12.75" customHeight="1" x14ac:dyDescent="0.3"/>
    <row r="307" s="1" customFormat="1" ht="12.75" customHeight="1" x14ac:dyDescent="0.3"/>
    <row r="308" s="1" customFormat="1" ht="12.75" customHeight="1" x14ac:dyDescent="0.3"/>
    <row r="309" s="1" customFormat="1" ht="12.75" customHeight="1" x14ac:dyDescent="0.3"/>
    <row r="310" s="1" customFormat="1" ht="12.75" customHeight="1" x14ac:dyDescent="0.3"/>
    <row r="311" s="1" customFormat="1" ht="12.75" customHeight="1" x14ac:dyDescent="0.3"/>
    <row r="312" s="1" customFormat="1" ht="12.75" customHeight="1" x14ac:dyDescent="0.3"/>
    <row r="313" s="1" customFormat="1" ht="12.75" customHeight="1" x14ac:dyDescent="0.3"/>
    <row r="314" s="1" customFormat="1" ht="12.75" customHeight="1" x14ac:dyDescent="0.3"/>
    <row r="315" s="1" customFormat="1" ht="12.75" customHeight="1" x14ac:dyDescent="0.3"/>
    <row r="316" s="1" customFormat="1" ht="12.75" customHeight="1" x14ac:dyDescent="0.3"/>
    <row r="317" s="1" customFormat="1" ht="12.75" customHeight="1" x14ac:dyDescent="0.3"/>
    <row r="318" s="1" customFormat="1" ht="12.75" customHeight="1" x14ac:dyDescent="0.3"/>
    <row r="319" s="1" customFormat="1" ht="12.75" customHeight="1" x14ac:dyDescent="0.3"/>
    <row r="320" s="1" customFormat="1" ht="12.75" customHeight="1" x14ac:dyDescent="0.3"/>
    <row r="321" s="1" customFormat="1" ht="12.75" customHeight="1" x14ac:dyDescent="0.3"/>
    <row r="322" s="1" customFormat="1" ht="12.75" customHeight="1" x14ac:dyDescent="0.3"/>
    <row r="323" s="1" customFormat="1" ht="12.75" customHeight="1" x14ac:dyDescent="0.3"/>
    <row r="324" s="1" customFormat="1" ht="12.75" customHeight="1" x14ac:dyDescent="0.3"/>
    <row r="325" s="1" customFormat="1" ht="12.75" customHeight="1" x14ac:dyDescent="0.3"/>
    <row r="326" s="1" customFormat="1" ht="12.75" customHeight="1" x14ac:dyDescent="0.3"/>
    <row r="327" s="1" customFormat="1" ht="12.75" customHeight="1" x14ac:dyDescent="0.3"/>
    <row r="328" s="1" customFormat="1" ht="12.75" customHeight="1" x14ac:dyDescent="0.3"/>
    <row r="329" s="1" customFormat="1" ht="12.75" customHeight="1" x14ac:dyDescent="0.3"/>
    <row r="330" s="1" customFormat="1" ht="12.75" customHeight="1" x14ac:dyDescent="0.3"/>
    <row r="331" s="1" customFormat="1" ht="12.75" customHeight="1" x14ac:dyDescent="0.3"/>
    <row r="332" s="1" customFormat="1" ht="12.75" customHeight="1" x14ac:dyDescent="0.3"/>
    <row r="333" s="1" customFormat="1" ht="12.75" customHeight="1" x14ac:dyDescent="0.3"/>
    <row r="334" s="1" customFormat="1" ht="12.75" customHeight="1" x14ac:dyDescent="0.3"/>
    <row r="335" s="1" customFormat="1" ht="12.75" customHeight="1" x14ac:dyDescent="0.3"/>
    <row r="336" s="1" customFormat="1" ht="12.75" customHeight="1" x14ac:dyDescent="0.3"/>
    <row r="337" s="1" customFormat="1" ht="12.75" customHeight="1" x14ac:dyDescent="0.3"/>
    <row r="338" s="1" customFormat="1" ht="12.75" customHeight="1" x14ac:dyDescent="0.3"/>
    <row r="339" s="1" customFormat="1" ht="12.75" customHeight="1" x14ac:dyDescent="0.3"/>
    <row r="340" s="1" customFormat="1" ht="12.75" customHeight="1" x14ac:dyDescent="0.3"/>
    <row r="341" s="1" customFormat="1" ht="12.75" customHeight="1" x14ac:dyDescent="0.3"/>
    <row r="342" s="1" customFormat="1" ht="12.75" customHeight="1" x14ac:dyDescent="0.3"/>
    <row r="343" s="1" customFormat="1" ht="12.75" customHeight="1" x14ac:dyDescent="0.3"/>
    <row r="344" s="1" customFormat="1" ht="12.75" customHeight="1" x14ac:dyDescent="0.3"/>
    <row r="345" s="1" customFormat="1" ht="12.75" customHeight="1" x14ac:dyDescent="0.3"/>
    <row r="346" s="1" customFormat="1" ht="12.75" customHeight="1" x14ac:dyDescent="0.3"/>
    <row r="347" s="1" customFormat="1" ht="12.75" customHeight="1" x14ac:dyDescent="0.3"/>
    <row r="348" s="1" customFormat="1" ht="12.75" customHeight="1" x14ac:dyDescent="0.3"/>
    <row r="349" s="1" customFormat="1" ht="12.75" customHeight="1" x14ac:dyDescent="0.3"/>
    <row r="350" s="1" customFormat="1" ht="12.75" customHeight="1" x14ac:dyDescent="0.3"/>
    <row r="351" s="1" customFormat="1" ht="12.75" customHeight="1" x14ac:dyDescent="0.3"/>
    <row r="352" s="1" customFormat="1" ht="12.75" customHeight="1" x14ac:dyDescent="0.3"/>
    <row r="353" s="1" customFormat="1" ht="12.75" customHeight="1" x14ac:dyDescent="0.3"/>
    <row r="354" s="1" customFormat="1" ht="12.75" customHeight="1" x14ac:dyDescent="0.3"/>
    <row r="355" s="1" customFormat="1" ht="12.75" customHeight="1" x14ac:dyDescent="0.3"/>
    <row r="356" s="1" customFormat="1" ht="12.75" customHeight="1" x14ac:dyDescent="0.3"/>
    <row r="357" s="1" customFormat="1" ht="12.75" customHeight="1" x14ac:dyDescent="0.3"/>
    <row r="358" s="1" customFormat="1" ht="12.75" customHeight="1" x14ac:dyDescent="0.3"/>
    <row r="359" s="1" customFormat="1" ht="12.75" customHeight="1" x14ac:dyDescent="0.3"/>
    <row r="360" s="1" customFormat="1" ht="12.75" customHeight="1" x14ac:dyDescent="0.3"/>
    <row r="361" s="1" customFormat="1" ht="12.75" customHeight="1" x14ac:dyDescent="0.3"/>
    <row r="362" s="1" customFormat="1" ht="12.75" customHeight="1" x14ac:dyDescent="0.3"/>
    <row r="363" s="1" customFormat="1" ht="12.75" customHeight="1" x14ac:dyDescent="0.3"/>
    <row r="364" s="1" customFormat="1" ht="12.75" customHeight="1" x14ac:dyDescent="0.3"/>
    <row r="365" s="1" customFormat="1" ht="12.75" customHeight="1" x14ac:dyDescent="0.3"/>
    <row r="366" s="1" customFormat="1" ht="12.75" customHeight="1" x14ac:dyDescent="0.3"/>
    <row r="367" s="1" customFormat="1" ht="12.75" customHeight="1" x14ac:dyDescent="0.3"/>
    <row r="368" s="1" customFormat="1" ht="12.75" customHeight="1" x14ac:dyDescent="0.3"/>
    <row r="369" s="1" customFormat="1" ht="12.75" customHeight="1" x14ac:dyDescent="0.3"/>
    <row r="370" s="1" customFormat="1" ht="12.75" customHeight="1" x14ac:dyDescent="0.3"/>
    <row r="371" s="1" customFormat="1" ht="12.75" customHeight="1" x14ac:dyDescent="0.3"/>
    <row r="372" s="1" customFormat="1" ht="12.75" customHeight="1" x14ac:dyDescent="0.3"/>
    <row r="373" s="1" customFormat="1" ht="12.75" customHeight="1" x14ac:dyDescent="0.3"/>
    <row r="374" s="1" customFormat="1" ht="12.75" customHeight="1" x14ac:dyDescent="0.3"/>
    <row r="375" s="1" customFormat="1" ht="12.75" customHeight="1" x14ac:dyDescent="0.3"/>
    <row r="376" s="1" customFormat="1" ht="12.75" customHeight="1" x14ac:dyDescent="0.3"/>
    <row r="377" s="1" customFormat="1" ht="12.75" customHeight="1" x14ac:dyDescent="0.3"/>
    <row r="378" s="1" customFormat="1" ht="12.75" customHeight="1" x14ac:dyDescent="0.3"/>
    <row r="379" s="1" customFormat="1" ht="12.75" customHeight="1" x14ac:dyDescent="0.3"/>
    <row r="380" s="1" customFormat="1" ht="12.75" customHeight="1" x14ac:dyDescent="0.3"/>
    <row r="381" s="1" customFormat="1" ht="12.75" customHeight="1" x14ac:dyDescent="0.3"/>
    <row r="382" s="1" customFormat="1" ht="12.75" customHeight="1" x14ac:dyDescent="0.3"/>
    <row r="383" s="1" customFormat="1" ht="12.75" customHeight="1" x14ac:dyDescent="0.3"/>
    <row r="384" s="1" customFormat="1" ht="12.75" customHeight="1" x14ac:dyDescent="0.3"/>
    <row r="385" s="1" customFormat="1" ht="12.75" customHeight="1" x14ac:dyDescent="0.3"/>
    <row r="386" s="1" customFormat="1" ht="12.75" customHeight="1" x14ac:dyDescent="0.3"/>
    <row r="387" s="1" customFormat="1" ht="12.75" customHeight="1" x14ac:dyDescent="0.3"/>
    <row r="388" s="1" customFormat="1" ht="12.75" customHeight="1" x14ac:dyDescent="0.3"/>
    <row r="389" s="1" customFormat="1" ht="12.75" customHeight="1" x14ac:dyDescent="0.3"/>
    <row r="390" s="1" customFormat="1" ht="12.75" customHeight="1" x14ac:dyDescent="0.3"/>
    <row r="391" s="1" customFormat="1" ht="12.75" customHeight="1" x14ac:dyDescent="0.3"/>
    <row r="392" s="1" customFormat="1" ht="12.75" customHeight="1" x14ac:dyDescent="0.3"/>
    <row r="393" s="1" customFormat="1" ht="12.75" customHeight="1" x14ac:dyDescent="0.3"/>
    <row r="394" s="1" customFormat="1" ht="12.75" customHeight="1" x14ac:dyDescent="0.3"/>
    <row r="395" s="1" customFormat="1" ht="12.75" customHeight="1" x14ac:dyDescent="0.3"/>
    <row r="396" s="1" customFormat="1" ht="12.75" customHeight="1" x14ac:dyDescent="0.3"/>
    <row r="397" s="1" customFormat="1" ht="12.75" customHeight="1" x14ac:dyDescent="0.3"/>
    <row r="398" s="1" customFormat="1" ht="12.75" customHeight="1" x14ac:dyDescent="0.3"/>
    <row r="399" s="1" customFormat="1" ht="12.75" customHeight="1" x14ac:dyDescent="0.3"/>
    <row r="400" s="1" customFormat="1" ht="12.75" customHeight="1" x14ac:dyDescent="0.3"/>
    <row r="401" s="1" customFormat="1" ht="12.75" customHeight="1" x14ac:dyDescent="0.3"/>
    <row r="402" s="1" customFormat="1" ht="12.75" customHeight="1" x14ac:dyDescent="0.3"/>
    <row r="403" s="1" customFormat="1" ht="12.75" customHeight="1" x14ac:dyDescent="0.3"/>
    <row r="404" s="1" customFormat="1" ht="12.75" customHeight="1" x14ac:dyDescent="0.3"/>
    <row r="405" s="1" customFormat="1" ht="12.75" customHeight="1" x14ac:dyDescent="0.3"/>
    <row r="406" s="1" customFormat="1" ht="12.75" customHeight="1" x14ac:dyDescent="0.3"/>
    <row r="407" s="1" customFormat="1" ht="12.75" customHeight="1" x14ac:dyDescent="0.3"/>
    <row r="408" s="1" customFormat="1" ht="12.75" customHeight="1" x14ac:dyDescent="0.3"/>
    <row r="409" s="1" customFormat="1" ht="12.75" customHeight="1" x14ac:dyDescent="0.3"/>
    <row r="410" s="1" customFormat="1" ht="12.75" customHeight="1" x14ac:dyDescent="0.3"/>
    <row r="411" s="1" customFormat="1" ht="12.75" customHeight="1" x14ac:dyDescent="0.3"/>
    <row r="412" s="1" customFormat="1" ht="12.75" customHeight="1" x14ac:dyDescent="0.3"/>
    <row r="413" s="1" customFormat="1" ht="12.75" customHeight="1" x14ac:dyDescent="0.3"/>
    <row r="414" s="1" customFormat="1" ht="12.75" customHeight="1" x14ac:dyDescent="0.3"/>
    <row r="415" s="1" customFormat="1" ht="12.75" customHeight="1" x14ac:dyDescent="0.3"/>
    <row r="416" s="1" customFormat="1" ht="12.75" customHeight="1" x14ac:dyDescent="0.3"/>
    <row r="417" s="1" customFormat="1" ht="12.75" customHeight="1" x14ac:dyDescent="0.3"/>
    <row r="418" s="1" customFormat="1" ht="12.75" customHeight="1" x14ac:dyDescent="0.3"/>
    <row r="419" s="1" customFormat="1" ht="12.75" customHeight="1" x14ac:dyDescent="0.3"/>
    <row r="420" s="1" customFormat="1" ht="12.75" customHeight="1" x14ac:dyDescent="0.3"/>
    <row r="421" s="1" customFormat="1" ht="12.75" customHeight="1" x14ac:dyDescent="0.3"/>
    <row r="422" s="1" customFormat="1" ht="12.75" customHeight="1" x14ac:dyDescent="0.3"/>
    <row r="423" s="1" customFormat="1" ht="12.75" customHeight="1" x14ac:dyDescent="0.3"/>
    <row r="424" s="1" customFormat="1" ht="12.75" customHeight="1" x14ac:dyDescent="0.3"/>
    <row r="425" s="1" customFormat="1" ht="12.75" customHeight="1" x14ac:dyDescent="0.3"/>
    <row r="426" s="1" customFormat="1" ht="12.75" customHeight="1" x14ac:dyDescent="0.3"/>
    <row r="427" s="1" customFormat="1" ht="12.75" customHeight="1" x14ac:dyDescent="0.3"/>
    <row r="428" s="1" customFormat="1" ht="12.75" customHeight="1" x14ac:dyDescent="0.3"/>
    <row r="429" s="1" customFormat="1" ht="12.75" customHeight="1" x14ac:dyDescent="0.3"/>
    <row r="430" s="1" customFormat="1" ht="12.75" customHeight="1" x14ac:dyDescent="0.3"/>
    <row r="431" s="1" customFormat="1" ht="12.75" customHeight="1" x14ac:dyDescent="0.3"/>
    <row r="432" s="1" customFormat="1" ht="12.75" customHeight="1" x14ac:dyDescent="0.3"/>
    <row r="433" s="1" customFormat="1" ht="12.75" customHeight="1" x14ac:dyDescent="0.3"/>
    <row r="434" s="1" customFormat="1" ht="12.75" customHeight="1" x14ac:dyDescent="0.3"/>
    <row r="435" s="1" customFormat="1" ht="12.75" customHeight="1" x14ac:dyDescent="0.3"/>
    <row r="436" s="1" customFormat="1" ht="12.75" customHeight="1" x14ac:dyDescent="0.3"/>
    <row r="437" s="1" customFormat="1" ht="12.75" customHeight="1" x14ac:dyDescent="0.3"/>
    <row r="438" s="1" customFormat="1" ht="12.75" customHeight="1" x14ac:dyDescent="0.3"/>
    <row r="439" s="1" customFormat="1" ht="12.75" customHeight="1" x14ac:dyDescent="0.3"/>
    <row r="440" s="1" customFormat="1" ht="12.75" customHeight="1" x14ac:dyDescent="0.3"/>
    <row r="441" s="1" customFormat="1" ht="12.75" customHeight="1" x14ac:dyDescent="0.3"/>
    <row r="442" s="1" customFormat="1" ht="12.75" customHeight="1" x14ac:dyDescent="0.3"/>
    <row r="443" s="1" customFormat="1" ht="12.75" customHeight="1" x14ac:dyDescent="0.3"/>
    <row r="444" s="1" customFormat="1" ht="12.75" customHeight="1" x14ac:dyDescent="0.3"/>
    <row r="445" s="1" customFormat="1" ht="12.75" customHeight="1" x14ac:dyDescent="0.3"/>
    <row r="446" s="1" customFormat="1" ht="12.75" customHeight="1" x14ac:dyDescent="0.3"/>
    <row r="447" s="1" customFormat="1" ht="12.75" customHeight="1" x14ac:dyDescent="0.3"/>
    <row r="448" s="1" customFormat="1" ht="12.75" customHeight="1" x14ac:dyDescent="0.3"/>
    <row r="449" s="1" customFormat="1" ht="12.75" customHeight="1" x14ac:dyDescent="0.3"/>
    <row r="450" s="1" customFormat="1" ht="12.75" customHeight="1" x14ac:dyDescent="0.3"/>
    <row r="451" s="1" customFormat="1" ht="12.75" customHeight="1" x14ac:dyDescent="0.3"/>
    <row r="452" s="1" customFormat="1" ht="12.75" customHeight="1" x14ac:dyDescent="0.3"/>
    <row r="453" s="1" customFormat="1" ht="12.75" customHeight="1" x14ac:dyDescent="0.3"/>
    <row r="454" s="1" customFormat="1" ht="12.75" customHeight="1" x14ac:dyDescent="0.3"/>
    <row r="455" s="1" customFormat="1" ht="12.75" customHeight="1" x14ac:dyDescent="0.3"/>
    <row r="456" s="1" customFormat="1" ht="12.75" customHeight="1" x14ac:dyDescent="0.3"/>
    <row r="457" s="1" customFormat="1" ht="12.75" customHeight="1" x14ac:dyDescent="0.3"/>
    <row r="458" s="1" customFormat="1" ht="12.75" customHeight="1" x14ac:dyDescent="0.3"/>
    <row r="459" s="1" customFormat="1" ht="12.75" customHeight="1" x14ac:dyDescent="0.3"/>
    <row r="460" s="1" customFormat="1" ht="12.75" customHeight="1" x14ac:dyDescent="0.3"/>
    <row r="461" s="1" customFormat="1" ht="12.75" customHeight="1" x14ac:dyDescent="0.3"/>
    <row r="462" s="1" customFormat="1" ht="12.75" customHeight="1" x14ac:dyDescent="0.3"/>
    <row r="463" s="1" customFormat="1" ht="12.75" customHeight="1" x14ac:dyDescent="0.3"/>
    <row r="464" s="1" customFormat="1" ht="12.75" customHeight="1" x14ac:dyDescent="0.3"/>
    <row r="465" s="1" customFormat="1" ht="12.75" customHeight="1" x14ac:dyDescent="0.3"/>
    <row r="466" s="1" customFormat="1" ht="12.75" customHeight="1" x14ac:dyDescent="0.3"/>
    <row r="467" s="1" customFormat="1" ht="12.75" customHeight="1" x14ac:dyDescent="0.3"/>
    <row r="468" s="1" customFormat="1" ht="12.75" customHeight="1" x14ac:dyDescent="0.3"/>
    <row r="469" s="1" customFormat="1" ht="12.75" customHeight="1" x14ac:dyDescent="0.3"/>
    <row r="470" s="1" customFormat="1" ht="12.75" customHeight="1" x14ac:dyDescent="0.3"/>
    <row r="471" s="1" customFormat="1" ht="12.75" customHeight="1" x14ac:dyDescent="0.3"/>
    <row r="472" s="1" customFormat="1" ht="12.75" customHeight="1" x14ac:dyDescent="0.3"/>
    <row r="473" s="1" customFormat="1" ht="12.75" customHeight="1" x14ac:dyDescent="0.3"/>
    <row r="474" s="1" customFormat="1" ht="12.75" customHeight="1" x14ac:dyDescent="0.3"/>
    <row r="475" s="1" customFormat="1" ht="12.75" customHeight="1" x14ac:dyDescent="0.3"/>
    <row r="476" s="1" customFormat="1" ht="12.75" customHeight="1" x14ac:dyDescent="0.3"/>
    <row r="477" s="1" customFormat="1" ht="12.75" customHeight="1" x14ac:dyDescent="0.3"/>
    <row r="478" s="1" customFormat="1" ht="12.75" customHeight="1" x14ac:dyDescent="0.3"/>
    <row r="479" s="1" customFormat="1" ht="12.75" customHeight="1" x14ac:dyDescent="0.3"/>
    <row r="480" s="1" customFormat="1" ht="12.75" customHeight="1" x14ac:dyDescent="0.3"/>
    <row r="481" s="1" customFormat="1" ht="12.75" customHeight="1" x14ac:dyDescent="0.3"/>
    <row r="482" s="1" customFormat="1" ht="12.75" customHeight="1" x14ac:dyDescent="0.3"/>
    <row r="483" s="1" customFormat="1" ht="12.75" customHeight="1" x14ac:dyDescent="0.3"/>
    <row r="484" s="1" customFormat="1" ht="12.75" customHeight="1" x14ac:dyDescent="0.3"/>
    <row r="485" s="1" customFormat="1" ht="12.75" customHeight="1" x14ac:dyDescent="0.3"/>
    <row r="486" s="1" customFormat="1" ht="12.75" customHeight="1" x14ac:dyDescent="0.3"/>
    <row r="487" s="1" customFormat="1" ht="12.75" customHeight="1" x14ac:dyDescent="0.3"/>
    <row r="488" s="1" customFormat="1" ht="12.75" customHeight="1" x14ac:dyDescent="0.3"/>
    <row r="489" s="1" customFormat="1" ht="12.75" customHeight="1" x14ac:dyDescent="0.3"/>
    <row r="490" s="1" customFormat="1" ht="12.75" customHeight="1" x14ac:dyDescent="0.3"/>
    <row r="491" s="1" customFormat="1" ht="12.75" customHeight="1" x14ac:dyDescent="0.3"/>
    <row r="492" s="1" customFormat="1" ht="12.75" customHeight="1" x14ac:dyDescent="0.3"/>
    <row r="493" s="1" customFormat="1" ht="12.75" customHeight="1" x14ac:dyDescent="0.3"/>
    <row r="494" s="1" customFormat="1" ht="12.75" customHeight="1" x14ac:dyDescent="0.3"/>
    <row r="495" s="1" customFormat="1" ht="12.75" customHeight="1" x14ac:dyDescent="0.3"/>
    <row r="496" s="1" customFormat="1" ht="12.75" customHeight="1" x14ac:dyDescent="0.3"/>
    <row r="497" s="1" customFormat="1" ht="12.75" customHeight="1" x14ac:dyDescent="0.3"/>
    <row r="498" s="1" customFormat="1" ht="12.75" customHeight="1" x14ac:dyDescent="0.3"/>
    <row r="499" s="1" customFormat="1" ht="12.75" customHeight="1" x14ac:dyDescent="0.3"/>
    <row r="500" s="1" customFormat="1" ht="12.75" customHeight="1" x14ac:dyDescent="0.3"/>
    <row r="501" s="1" customFormat="1" ht="12.75" customHeight="1" x14ac:dyDescent="0.3"/>
    <row r="502" s="1" customFormat="1" ht="12.75" customHeight="1" x14ac:dyDescent="0.3"/>
    <row r="503" s="1" customFormat="1" ht="12.75" customHeight="1" x14ac:dyDescent="0.3"/>
    <row r="504" s="1" customFormat="1" ht="12.75" customHeight="1" x14ac:dyDescent="0.3"/>
    <row r="505" s="1" customFormat="1" ht="12.75" customHeight="1" x14ac:dyDescent="0.3"/>
    <row r="506" s="1" customFormat="1" ht="12.75" customHeight="1" x14ac:dyDescent="0.3"/>
    <row r="507" s="1" customFormat="1" ht="12.75" customHeight="1" x14ac:dyDescent="0.3"/>
    <row r="508" s="1" customFormat="1" ht="12.75" customHeight="1" x14ac:dyDescent="0.3"/>
    <row r="509" s="1" customFormat="1" ht="12.75" customHeight="1" x14ac:dyDescent="0.3"/>
    <row r="510" s="1" customFormat="1" ht="12.75" customHeight="1" x14ac:dyDescent="0.3"/>
    <row r="511" s="1" customFormat="1" ht="12.75" customHeight="1" x14ac:dyDescent="0.3"/>
    <row r="512" s="1" customFormat="1" ht="12.75" customHeight="1" x14ac:dyDescent="0.3"/>
    <row r="513" s="1" customFormat="1" ht="12.75" customHeight="1" x14ac:dyDescent="0.3"/>
    <row r="514" s="1" customFormat="1" ht="12.75" customHeight="1" x14ac:dyDescent="0.3"/>
    <row r="515" s="1" customFormat="1" ht="12.75" customHeight="1" x14ac:dyDescent="0.3"/>
    <row r="516" s="1" customFormat="1" ht="12.75" customHeight="1" x14ac:dyDescent="0.3"/>
    <row r="517" s="1" customFormat="1" ht="12.75" customHeight="1" x14ac:dyDescent="0.3"/>
    <row r="518" s="1" customFormat="1" ht="12.75" customHeight="1" x14ac:dyDescent="0.3"/>
    <row r="519" s="1" customFormat="1" ht="12.75" customHeight="1" x14ac:dyDescent="0.3"/>
    <row r="520" s="1" customFormat="1" ht="12.75" customHeight="1" x14ac:dyDescent="0.3"/>
    <row r="521" s="1" customFormat="1" ht="12.75" customHeight="1" x14ac:dyDescent="0.3"/>
    <row r="522" s="1" customFormat="1" ht="12.75" customHeight="1" x14ac:dyDescent="0.3"/>
    <row r="523" s="1" customFormat="1" ht="12.75" customHeight="1" x14ac:dyDescent="0.3"/>
    <row r="524" s="1" customFormat="1" ht="12.75" customHeight="1" x14ac:dyDescent="0.3"/>
    <row r="525" s="1" customFormat="1" ht="12.75" customHeight="1" x14ac:dyDescent="0.3"/>
    <row r="526" s="1" customFormat="1" ht="12.75" customHeight="1" x14ac:dyDescent="0.3"/>
    <row r="527" s="1" customFormat="1" ht="12.75" customHeight="1" x14ac:dyDescent="0.3"/>
    <row r="528" s="1" customFormat="1" ht="12.75" customHeight="1" x14ac:dyDescent="0.3"/>
    <row r="529" s="1" customFormat="1" ht="12.75" customHeight="1" x14ac:dyDescent="0.3"/>
    <row r="530" s="1" customFormat="1" ht="12.75" customHeight="1" x14ac:dyDescent="0.3"/>
    <row r="531" s="1" customFormat="1" ht="12.75" customHeight="1" x14ac:dyDescent="0.3"/>
    <row r="532" s="1" customFormat="1" ht="12.75" customHeight="1" x14ac:dyDescent="0.3"/>
    <row r="533" s="1" customFormat="1" ht="12.75" customHeight="1" x14ac:dyDescent="0.3"/>
    <row r="534" s="1" customFormat="1" ht="12.75" customHeight="1" x14ac:dyDescent="0.3"/>
    <row r="535" s="1" customFormat="1" ht="12.75" customHeight="1" x14ac:dyDescent="0.3"/>
    <row r="536" s="1" customFormat="1" ht="12.75" customHeight="1" x14ac:dyDescent="0.3"/>
    <row r="537" s="1" customFormat="1" ht="12.75" customHeight="1" x14ac:dyDescent="0.3"/>
    <row r="538" s="1" customFormat="1" ht="12.75" customHeight="1" x14ac:dyDescent="0.3"/>
    <row r="539" s="1" customFormat="1" ht="12.75" customHeight="1" x14ac:dyDescent="0.3"/>
    <row r="540" s="1" customFormat="1" ht="12.75" customHeight="1" x14ac:dyDescent="0.3"/>
    <row r="541" s="1" customFormat="1" ht="12.75" customHeight="1" x14ac:dyDescent="0.3"/>
    <row r="542" s="1" customFormat="1" ht="12.75" customHeight="1" x14ac:dyDescent="0.3"/>
    <row r="543" s="1" customFormat="1" ht="12.75" customHeight="1" x14ac:dyDescent="0.3"/>
    <row r="544" s="1" customFormat="1" ht="12.75" customHeight="1" x14ac:dyDescent="0.3"/>
    <row r="545" s="1" customFormat="1" ht="12.75" customHeight="1" x14ac:dyDescent="0.3"/>
    <row r="546" s="1" customFormat="1" ht="12.75" customHeight="1" x14ac:dyDescent="0.3"/>
    <row r="547" s="1" customFormat="1" ht="12.75" customHeight="1" x14ac:dyDescent="0.3"/>
    <row r="548" s="1" customFormat="1" ht="12.75" customHeight="1" x14ac:dyDescent="0.3"/>
    <row r="549" s="1" customFormat="1" ht="12.75" customHeight="1" x14ac:dyDescent="0.3"/>
    <row r="550" s="1" customFormat="1" ht="12.75" customHeight="1" x14ac:dyDescent="0.3"/>
    <row r="551" s="1" customFormat="1" ht="12.75" customHeight="1" x14ac:dyDescent="0.3"/>
    <row r="552" s="1" customFormat="1" ht="12.75" customHeight="1" x14ac:dyDescent="0.3"/>
    <row r="553" s="1" customFormat="1" ht="12.75" customHeight="1" x14ac:dyDescent="0.3"/>
    <row r="554" s="1" customFormat="1" ht="12.75" customHeight="1" x14ac:dyDescent="0.3"/>
    <row r="555" s="1" customFormat="1" ht="12.75" customHeight="1" x14ac:dyDescent="0.3"/>
    <row r="556" s="1" customFormat="1" ht="12.75" customHeight="1" x14ac:dyDescent="0.3"/>
    <row r="557" s="1" customFormat="1" ht="12.75" customHeight="1" x14ac:dyDescent="0.3"/>
    <row r="558" s="1" customFormat="1" ht="12.75" customHeight="1" x14ac:dyDescent="0.3"/>
    <row r="559" s="1" customFormat="1" ht="12.75" customHeight="1" x14ac:dyDescent="0.3"/>
    <row r="560" s="1" customFormat="1" ht="12.75" customHeight="1" x14ac:dyDescent="0.3"/>
    <row r="561" s="1" customFormat="1" ht="12.75" customHeight="1" x14ac:dyDescent="0.3"/>
    <row r="562" s="1" customFormat="1" ht="12.75" customHeight="1" x14ac:dyDescent="0.3"/>
    <row r="563" s="1" customFormat="1" ht="12.75" customHeight="1" x14ac:dyDescent="0.3"/>
    <row r="564" s="1" customFormat="1" ht="12.75" customHeight="1" x14ac:dyDescent="0.3"/>
    <row r="565" s="1" customFormat="1" ht="12.75" customHeight="1" x14ac:dyDescent="0.3"/>
    <row r="566" s="1" customFormat="1" ht="12.75" customHeight="1" x14ac:dyDescent="0.3"/>
    <row r="567" s="1" customFormat="1" ht="12.75" customHeight="1" x14ac:dyDescent="0.3"/>
    <row r="568" s="1" customFormat="1" ht="12.75" customHeight="1" x14ac:dyDescent="0.3"/>
    <row r="569" s="1" customFormat="1" ht="12.75" customHeight="1" x14ac:dyDescent="0.3"/>
    <row r="570" s="1" customFormat="1" ht="12.75" customHeight="1" x14ac:dyDescent="0.3"/>
    <row r="571" s="1" customFormat="1" ht="12.75" customHeight="1" x14ac:dyDescent="0.3"/>
    <row r="572" s="1" customFormat="1" ht="12.75" customHeight="1" x14ac:dyDescent="0.3"/>
    <row r="573" s="1" customFormat="1" ht="12.75" customHeight="1" x14ac:dyDescent="0.3"/>
    <row r="574" s="1" customFormat="1" ht="12.75" customHeight="1" x14ac:dyDescent="0.3"/>
    <row r="575" s="1" customFormat="1" ht="12.75" customHeight="1" x14ac:dyDescent="0.3"/>
    <row r="576" s="1" customFormat="1" ht="12.75" customHeight="1" x14ac:dyDescent="0.3"/>
    <row r="577" s="1" customFormat="1" ht="12.75" customHeight="1" x14ac:dyDescent="0.3"/>
    <row r="578" s="1" customFormat="1" ht="12.75" customHeight="1" x14ac:dyDescent="0.3"/>
    <row r="579" s="1" customFormat="1" ht="12.75" customHeight="1" x14ac:dyDescent="0.3"/>
    <row r="580" s="1" customFormat="1" ht="12.75" customHeight="1" x14ac:dyDescent="0.3"/>
    <row r="581" s="1" customFormat="1" ht="12.75" customHeight="1" x14ac:dyDescent="0.3"/>
    <row r="582" s="1" customFormat="1" ht="12.75" customHeight="1" x14ac:dyDescent="0.3"/>
    <row r="583" s="1" customFormat="1" ht="12.75" customHeight="1" x14ac:dyDescent="0.3"/>
    <row r="584" s="1" customFormat="1" ht="12.75" customHeight="1" x14ac:dyDescent="0.3"/>
    <row r="585" s="1" customFormat="1" ht="12.75" customHeight="1" x14ac:dyDescent="0.3"/>
    <row r="586" s="1" customFormat="1" ht="12.75" customHeight="1" x14ac:dyDescent="0.3"/>
    <row r="587" s="1" customFormat="1" ht="12.75" customHeight="1" x14ac:dyDescent="0.3"/>
    <row r="588" s="1" customFormat="1" ht="12.75" customHeight="1" x14ac:dyDescent="0.3"/>
    <row r="589" s="1" customFormat="1" ht="12.75" customHeight="1" x14ac:dyDescent="0.3"/>
    <row r="590" s="1" customFormat="1" ht="12.75" customHeight="1" x14ac:dyDescent="0.3"/>
    <row r="591" s="1" customFormat="1" ht="12.75" customHeight="1" x14ac:dyDescent="0.3"/>
    <row r="592" s="1" customFormat="1" ht="12.75" customHeight="1" x14ac:dyDescent="0.3"/>
    <row r="593" s="1" customFormat="1" ht="12.75" customHeight="1" x14ac:dyDescent="0.3"/>
    <row r="594" s="1" customFormat="1" ht="12.75" customHeight="1" x14ac:dyDescent="0.3"/>
    <row r="595" s="1" customFormat="1" ht="12.75" customHeight="1" x14ac:dyDescent="0.3"/>
    <row r="596" s="1" customFormat="1" ht="12.75" customHeight="1" x14ac:dyDescent="0.3"/>
    <row r="597" s="1" customFormat="1" ht="12.75" customHeight="1" x14ac:dyDescent="0.3"/>
    <row r="598" s="1" customFormat="1" ht="12.75" customHeight="1" x14ac:dyDescent="0.3"/>
    <row r="599" s="1" customFormat="1" ht="12.75" customHeight="1" x14ac:dyDescent="0.3"/>
    <row r="600" s="1" customFormat="1" ht="12.75" customHeight="1" x14ac:dyDescent="0.3"/>
    <row r="601" s="1" customFormat="1" ht="12.75" customHeight="1" x14ac:dyDescent="0.3"/>
    <row r="602" s="1" customFormat="1" ht="12.75" customHeight="1" x14ac:dyDescent="0.3"/>
    <row r="603" s="1" customFormat="1" ht="12.75" customHeight="1" x14ac:dyDescent="0.3"/>
    <row r="604" s="1" customFormat="1" ht="12.75" customHeight="1" x14ac:dyDescent="0.3"/>
    <row r="605" s="1" customFormat="1" ht="12.75" customHeight="1" x14ac:dyDescent="0.3"/>
    <row r="606" s="1" customFormat="1" ht="12.75" customHeight="1" x14ac:dyDescent="0.3"/>
    <row r="607" s="1" customFormat="1" ht="12.75" customHeight="1" x14ac:dyDescent="0.3"/>
    <row r="608" s="1" customFormat="1" ht="12.75" customHeight="1" x14ac:dyDescent="0.3"/>
    <row r="609" s="1" customFormat="1" ht="12.75" customHeight="1" x14ac:dyDescent="0.3"/>
    <row r="610" s="1" customFormat="1" ht="12.75" customHeight="1" x14ac:dyDescent="0.3"/>
    <row r="611" s="1" customFormat="1" ht="12.75" customHeight="1" x14ac:dyDescent="0.3"/>
    <row r="612" s="1" customFormat="1" ht="12.75" customHeight="1" x14ac:dyDescent="0.3"/>
    <row r="613" s="1" customFormat="1" ht="12.75" customHeight="1" x14ac:dyDescent="0.3"/>
    <row r="614" s="1" customFormat="1" ht="12.75" customHeight="1" x14ac:dyDescent="0.3"/>
    <row r="615" s="1" customFormat="1" ht="12.75" customHeight="1" x14ac:dyDescent="0.3"/>
    <row r="616" s="1" customFormat="1" ht="12.75" customHeight="1" x14ac:dyDescent="0.3"/>
    <row r="617" s="1" customFormat="1" ht="12.75" customHeight="1" x14ac:dyDescent="0.3"/>
    <row r="618" s="1" customFormat="1" ht="12.75" customHeight="1" x14ac:dyDescent="0.3"/>
    <row r="619" s="1" customFormat="1" ht="12.75" customHeight="1" x14ac:dyDescent="0.3"/>
    <row r="620" s="1" customFormat="1" ht="12.75" customHeight="1" x14ac:dyDescent="0.3"/>
    <row r="621" s="1" customFormat="1" ht="12.75" customHeight="1" x14ac:dyDescent="0.3"/>
    <row r="622" s="1" customFormat="1" ht="12.75" customHeight="1" x14ac:dyDescent="0.3"/>
    <row r="623" s="1" customFormat="1" ht="12.75" customHeight="1" x14ac:dyDescent="0.3"/>
    <row r="624" s="1" customFormat="1" ht="12.75" customHeight="1" x14ac:dyDescent="0.3"/>
    <row r="625" s="1" customFormat="1" ht="12.75" customHeight="1" x14ac:dyDescent="0.3"/>
    <row r="626" s="1" customFormat="1" ht="12.75" customHeight="1" x14ac:dyDescent="0.3"/>
    <row r="627" s="1" customFormat="1" ht="12.75" customHeight="1" x14ac:dyDescent="0.3"/>
    <row r="628" s="1" customFormat="1" ht="12.75" customHeight="1" x14ac:dyDescent="0.3"/>
    <row r="629" s="1" customFormat="1" ht="12.75" customHeight="1" x14ac:dyDescent="0.3"/>
    <row r="630" s="1" customFormat="1" ht="12.75" customHeight="1" x14ac:dyDescent="0.3"/>
    <row r="631" s="1" customFormat="1" ht="12.75" customHeight="1" x14ac:dyDescent="0.3"/>
    <row r="632" s="1" customFormat="1" ht="12.75" customHeight="1" x14ac:dyDescent="0.3"/>
    <row r="633" s="1" customFormat="1" ht="12.75" customHeight="1" x14ac:dyDescent="0.3"/>
    <row r="634" s="1" customFormat="1" ht="12.75" customHeight="1" x14ac:dyDescent="0.3"/>
    <row r="635" s="1" customFormat="1" ht="12.75" customHeight="1" x14ac:dyDescent="0.3"/>
    <row r="636" s="1" customFormat="1" ht="12.75" customHeight="1" x14ac:dyDescent="0.3"/>
    <row r="637" s="1" customFormat="1" ht="12.75" customHeight="1" x14ac:dyDescent="0.3"/>
    <row r="638" s="1" customFormat="1" ht="12.75" customHeight="1" x14ac:dyDescent="0.3"/>
    <row r="639" s="1" customFormat="1" ht="12.75" customHeight="1" x14ac:dyDescent="0.3"/>
    <row r="640" s="1" customFormat="1" ht="12.75" customHeight="1" x14ac:dyDescent="0.3"/>
    <row r="641" s="1" customFormat="1" ht="12.75" customHeight="1" x14ac:dyDescent="0.3"/>
    <row r="642" s="1" customFormat="1" ht="12.75" customHeight="1" x14ac:dyDescent="0.3"/>
    <row r="643" s="1" customFormat="1" ht="12.75" customHeight="1" x14ac:dyDescent="0.3"/>
    <row r="644" s="1" customFormat="1" ht="12.75" customHeight="1" x14ac:dyDescent="0.3"/>
    <row r="645" s="1" customFormat="1" ht="12.75" customHeight="1" x14ac:dyDescent="0.3"/>
    <row r="646" s="1" customFormat="1" ht="12.75" customHeight="1" x14ac:dyDescent="0.3"/>
    <row r="647" s="1" customFormat="1" ht="12.75" customHeight="1" x14ac:dyDescent="0.3"/>
    <row r="648" s="1" customFormat="1" ht="12.75" customHeight="1" x14ac:dyDescent="0.3"/>
    <row r="649" s="1" customFormat="1" ht="12.75" customHeight="1" x14ac:dyDescent="0.3"/>
    <row r="650" s="1" customFormat="1" ht="12.75" customHeight="1" x14ac:dyDescent="0.3"/>
    <row r="651" s="1" customFormat="1" ht="12.75" customHeight="1" x14ac:dyDescent="0.3"/>
    <row r="652" s="1" customFormat="1" ht="12.75" customHeight="1" x14ac:dyDescent="0.3"/>
    <row r="653" s="1" customFormat="1" ht="12.75" customHeight="1" x14ac:dyDescent="0.3"/>
    <row r="654" s="1" customFormat="1" ht="12.75" customHeight="1" x14ac:dyDescent="0.3"/>
    <row r="655" s="1" customFormat="1" ht="12.75" customHeight="1" x14ac:dyDescent="0.3"/>
    <row r="656" s="1" customFormat="1" ht="12.75" customHeight="1" x14ac:dyDescent="0.3"/>
    <row r="657" s="1" customFormat="1" ht="12.75" customHeight="1" x14ac:dyDescent="0.3"/>
    <row r="658" s="1" customFormat="1" ht="12.75" customHeight="1" x14ac:dyDescent="0.3"/>
    <row r="659" s="1" customFormat="1" ht="12.75" customHeight="1" x14ac:dyDescent="0.3"/>
    <row r="660" s="1" customFormat="1" ht="12.75" customHeight="1" x14ac:dyDescent="0.3"/>
    <row r="661" s="1" customFormat="1" ht="12.75" customHeight="1" x14ac:dyDescent="0.3"/>
    <row r="662" s="1" customFormat="1" ht="12.75" customHeight="1" x14ac:dyDescent="0.3"/>
    <row r="663" s="1" customFormat="1" ht="12.75" customHeight="1" x14ac:dyDescent="0.3"/>
    <row r="664" s="1" customFormat="1" ht="12.75" customHeight="1" x14ac:dyDescent="0.3"/>
    <row r="665" s="1" customFormat="1" ht="12.75" customHeight="1" x14ac:dyDescent="0.3"/>
    <row r="666" s="1" customFormat="1" ht="12.75" customHeight="1" x14ac:dyDescent="0.3"/>
    <row r="667" s="1" customFormat="1" ht="12.75" customHeight="1" x14ac:dyDescent="0.3"/>
    <row r="668" s="1" customFormat="1" ht="12.75" customHeight="1" x14ac:dyDescent="0.3"/>
    <row r="669" s="1" customFormat="1" ht="12.75" customHeight="1" x14ac:dyDescent="0.3"/>
    <row r="670" s="1" customFormat="1" ht="12.75" customHeight="1" x14ac:dyDescent="0.3"/>
    <row r="671" s="1" customFormat="1" ht="12.75" customHeight="1" x14ac:dyDescent="0.3"/>
    <row r="672" s="1" customFormat="1" ht="12.75" customHeight="1" x14ac:dyDescent="0.3"/>
    <row r="673" s="1" customFormat="1" ht="12.75" customHeight="1" x14ac:dyDescent="0.3"/>
    <row r="674" s="1" customFormat="1" ht="12.75" customHeight="1" x14ac:dyDescent="0.3"/>
    <row r="675" s="1" customFormat="1" ht="12.75" customHeight="1" x14ac:dyDescent="0.3"/>
    <row r="676" s="1" customFormat="1" ht="12.75" customHeight="1" x14ac:dyDescent="0.3"/>
    <row r="677" s="1" customFormat="1" ht="12.75" customHeight="1" x14ac:dyDescent="0.3"/>
    <row r="678" s="1" customFormat="1" ht="12.75" customHeight="1" x14ac:dyDescent="0.3"/>
    <row r="679" s="1" customFormat="1" ht="12.75" customHeight="1" x14ac:dyDescent="0.3"/>
    <row r="680" s="1" customFormat="1" ht="12.75" customHeight="1" x14ac:dyDescent="0.3"/>
    <row r="681" s="1" customFormat="1" ht="12.75" customHeight="1" x14ac:dyDescent="0.3"/>
    <row r="682" s="1" customFormat="1" ht="12.75" customHeight="1" x14ac:dyDescent="0.3"/>
    <row r="683" s="1" customFormat="1" ht="12.75" customHeight="1" x14ac:dyDescent="0.3"/>
    <row r="684" s="1" customFormat="1" ht="12.75" customHeight="1" x14ac:dyDescent="0.3"/>
    <row r="685" s="1" customFormat="1" ht="12.75" customHeight="1" x14ac:dyDescent="0.3"/>
    <row r="686" s="1" customFormat="1" ht="12.75" customHeight="1" x14ac:dyDescent="0.3"/>
    <row r="687" s="1" customFormat="1" ht="12.75" customHeight="1" x14ac:dyDescent="0.3"/>
    <row r="688" s="1" customFormat="1" ht="12.75" customHeight="1" x14ac:dyDescent="0.3"/>
    <row r="689" s="1" customFormat="1" ht="12.75" customHeight="1" x14ac:dyDescent="0.3"/>
    <row r="690" s="1" customFormat="1" ht="12.75" customHeight="1" x14ac:dyDescent="0.3"/>
    <row r="691" s="1" customFormat="1" ht="12.75" customHeight="1" x14ac:dyDescent="0.3"/>
    <row r="692" s="1" customFormat="1" ht="12.75" customHeight="1" x14ac:dyDescent="0.3"/>
    <row r="693" s="1" customFormat="1" ht="12.75" customHeight="1" x14ac:dyDescent="0.3"/>
    <row r="694" s="1" customFormat="1" ht="12.75" customHeight="1" x14ac:dyDescent="0.3"/>
    <row r="695" s="1" customFormat="1" ht="12.75" customHeight="1" x14ac:dyDescent="0.3"/>
    <row r="696" s="1" customFormat="1" ht="12.75" customHeight="1" x14ac:dyDescent="0.3"/>
    <row r="697" s="1" customFormat="1" ht="12.75" customHeight="1" x14ac:dyDescent="0.3"/>
    <row r="698" s="1" customFormat="1" ht="12.75" customHeight="1" x14ac:dyDescent="0.3"/>
    <row r="699" s="1" customFormat="1" ht="12.75" customHeight="1" x14ac:dyDescent="0.3"/>
    <row r="700" s="1" customFormat="1" ht="12.75" customHeight="1" x14ac:dyDescent="0.3"/>
    <row r="701" s="1" customFormat="1" ht="12.75" customHeight="1" x14ac:dyDescent="0.3"/>
    <row r="702" s="1" customFormat="1" ht="12.75" customHeight="1" x14ac:dyDescent="0.3"/>
    <row r="703" s="1" customFormat="1" ht="12.75" customHeight="1" x14ac:dyDescent="0.3"/>
    <row r="704" s="1" customFormat="1" ht="12.75" customHeight="1" x14ac:dyDescent="0.3"/>
    <row r="705" s="1" customFormat="1" ht="12.75" customHeight="1" x14ac:dyDescent="0.3"/>
    <row r="706" s="1" customFormat="1" ht="12.75" customHeight="1" x14ac:dyDescent="0.3"/>
    <row r="707" s="1" customFormat="1" ht="12.75" customHeight="1" x14ac:dyDescent="0.3"/>
    <row r="708" s="1" customFormat="1" ht="12.75" customHeight="1" x14ac:dyDescent="0.3"/>
    <row r="709" s="1" customFormat="1" ht="12.75" customHeight="1" x14ac:dyDescent="0.3"/>
    <row r="710" s="1" customFormat="1" ht="12.75" customHeight="1" x14ac:dyDescent="0.3"/>
    <row r="711" s="1" customFormat="1" ht="12.75" customHeight="1" x14ac:dyDescent="0.3"/>
    <row r="712" s="1" customFormat="1" ht="12.75" customHeight="1" x14ac:dyDescent="0.3"/>
    <row r="713" s="1" customFormat="1" ht="12.75" customHeight="1" x14ac:dyDescent="0.3"/>
    <row r="714" s="1" customFormat="1" ht="12.75" customHeight="1" x14ac:dyDescent="0.3"/>
    <row r="715" s="1" customFormat="1" ht="12.75" customHeight="1" x14ac:dyDescent="0.3"/>
    <row r="716" s="1" customFormat="1" ht="12.75" customHeight="1" x14ac:dyDescent="0.3"/>
    <row r="717" s="1" customFormat="1" ht="12.75" customHeight="1" x14ac:dyDescent="0.3"/>
    <row r="718" s="1" customFormat="1" ht="12.75" customHeight="1" x14ac:dyDescent="0.3"/>
    <row r="719" s="1" customFormat="1" ht="12.75" customHeight="1" x14ac:dyDescent="0.3"/>
    <row r="720" s="1" customFormat="1" ht="12.75" customHeight="1" x14ac:dyDescent="0.3"/>
    <row r="721" s="1" customFormat="1" ht="12.75" customHeight="1" x14ac:dyDescent="0.3"/>
    <row r="722" s="1" customFormat="1" ht="12.75" customHeight="1" x14ac:dyDescent="0.3"/>
    <row r="723" s="1" customFormat="1" ht="12.75" customHeight="1" x14ac:dyDescent="0.3"/>
    <row r="724" s="1" customFormat="1" ht="12.75" customHeight="1" x14ac:dyDescent="0.3"/>
    <row r="725" s="1" customFormat="1" ht="12.75" customHeight="1" x14ac:dyDescent="0.3"/>
    <row r="726" s="1" customFormat="1" ht="12.75" customHeight="1" x14ac:dyDescent="0.3"/>
    <row r="727" s="1" customFormat="1" ht="12.75" customHeight="1" x14ac:dyDescent="0.3"/>
    <row r="728" s="1" customFormat="1" ht="12.75" customHeight="1" x14ac:dyDescent="0.3"/>
    <row r="729" s="1" customFormat="1" ht="12.75" customHeight="1" x14ac:dyDescent="0.3"/>
    <row r="730" s="1" customFormat="1" ht="12.75" customHeight="1" x14ac:dyDescent="0.3"/>
    <row r="731" s="1" customFormat="1" ht="12.75" customHeight="1" x14ac:dyDescent="0.3"/>
    <row r="732" s="1" customFormat="1" ht="12.75" customHeight="1" x14ac:dyDescent="0.3"/>
    <row r="733" s="1" customFormat="1" ht="12.75" customHeight="1" x14ac:dyDescent="0.3"/>
    <row r="734" s="1" customFormat="1" ht="12.75" customHeight="1" x14ac:dyDescent="0.3"/>
    <row r="735" s="1" customFormat="1" ht="12.75" customHeight="1" x14ac:dyDescent="0.3"/>
    <row r="736" s="1" customFormat="1" ht="12.75" customHeight="1" x14ac:dyDescent="0.3"/>
    <row r="737" s="1" customFormat="1" ht="12.75" customHeight="1" x14ac:dyDescent="0.3"/>
    <row r="738" s="1" customFormat="1" ht="12.75" customHeight="1" x14ac:dyDescent="0.3"/>
    <row r="739" s="1" customFormat="1" ht="12.75" customHeight="1" x14ac:dyDescent="0.3"/>
    <row r="740" s="1" customFormat="1" ht="12.75" customHeight="1" x14ac:dyDescent="0.3"/>
    <row r="741" s="1" customFormat="1" ht="12.75" customHeight="1" x14ac:dyDescent="0.3"/>
    <row r="742" s="1" customFormat="1" ht="12.75" customHeight="1" x14ac:dyDescent="0.3"/>
    <row r="743" s="1" customFormat="1" ht="12.75" customHeight="1" x14ac:dyDescent="0.3"/>
    <row r="744" s="1" customFormat="1" ht="12.75" customHeight="1" x14ac:dyDescent="0.3"/>
    <row r="745" s="1" customFormat="1" ht="12.75" customHeight="1" x14ac:dyDescent="0.3"/>
    <row r="746" s="1" customFormat="1" ht="12.75" customHeight="1" x14ac:dyDescent="0.3"/>
    <row r="747" s="1" customFormat="1" ht="12.75" customHeight="1" x14ac:dyDescent="0.3"/>
    <row r="748" s="1" customFormat="1" ht="12.75" customHeight="1" x14ac:dyDescent="0.3"/>
    <row r="749" s="1" customFormat="1" ht="12.75" customHeight="1" x14ac:dyDescent="0.3"/>
    <row r="750" s="1" customFormat="1" ht="12.75" customHeight="1" x14ac:dyDescent="0.3"/>
    <row r="751" s="1" customFormat="1" ht="12.75" customHeight="1" x14ac:dyDescent="0.3"/>
    <row r="752" s="1" customFormat="1" ht="12.75" customHeight="1" x14ac:dyDescent="0.3"/>
    <row r="753" s="1" customFormat="1" ht="12.75" customHeight="1" x14ac:dyDescent="0.3"/>
    <row r="754" s="1" customFormat="1" ht="12.75" customHeight="1" x14ac:dyDescent="0.3"/>
    <row r="755" s="1" customFormat="1" ht="12.75" customHeight="1" x14ac:dyDescent="0.3"/>
    <row r="756" s="1" customFormat="1" ht="12.75" customHeight="1" x14ac:dyDescent="0.3"/>
    <row r="757" s="1" customFormat="1" ht="12.75" customHeight="1" x14ac:dyDescent="0.3"/>
    <row r="758" s="1" customFormat="1" ht="12.75" customHeight="1" x14ac:dyDescent="0.3"/>
    <row r="759" s="1" customFormat="1" ht="12.75" customHeight="1" x14ac:dyDescent="0.3"/>
    <row r="760" s="1" customFormat="1" ht="12.75" customHeight="1" x14ac:dyDescent="0.3"/>
    <row r="761" s="1" customFormat="1" ht="12.75" customHeight="1" x14ac:dyDescent="0.3"/>
    <row r="762" s="1" customFormat="1" ht="12.75" customHeight="1" x14ac:dyDescent="0.3"/>
    <row r="763" s="1" customFormat="1" ht="12.75" customHeight="1" x14ac:dyDescent="0.3"/>
    <row r="764" s="1" customFormat="1" ht="12.75" customHeight="1" x14ac:dyDescent="0.3"/>
    <row r="765" s="1" customFormat="1" ht="12.75" customHeight="1" x14ac:dyDescent="0.3"/>
    <row r="766" s="1" customFormat="1" ht="12.75" customHeight="1" x14ac:dyDescent="0.3"/>
    <row r="767" s="1" customFormat="1" ht="12.75" customHeight="1" x14ac:dyDescent="0.3"/>
    <row r="768" s="1" customFormat="1" ht="12.75" customHeight="1" x14ac:dyDescent="0.3"/>
    <row r="769" s="1" customFormat="1" ht="12.75" customHeight="1" x14ac:dyDescent="0.3"/>
    <row r="770" s="1" customFormat="1" ht="12.75" customHeight="1" x14ac:dyDescent="0.3"/>
    <row r="771" s="1" customFormat="1" ht="12.75" customHeight="1" x14ac:dyDescent="0.3"/>
    <row r="772" s="1" customFormat="1" ht="12.75" customHeight="1" x14ac:dyDescent="0.3"/>
    <row r="773" s="1" customFormat="1" ht="12.75" customHeight="1" x14ac:dyDescent="0.3"/>
    <row r="774" s="1" customFormat="1" ht="12.75" customHeight="1" x14ac:dyDescent="0.3"/>
    <row r="775" s="1" customFormat="1" ht="12.75" customHeight="1" x14ac:dyDescent="0.3"/>
    <row r="776" s="1" customFormat="1" ht="12.75" customHeight="1" x14ac:dyDescent="0.3"/>
    <row r="777" s="1" customFormat="1" ht="12.75" customHeight="1" x14ac:dyDescent="0.3"/>
    <row r="778" s="1" customFormat="1" ht="12.75" customHeight="1" x14ac:dyDescent="0.3"/>
    <row r="779" s="1" customFormat="1" ht="12.75" customHeight="1" x14ac:dyDescent="0.3"/>
    <row r="780" s="1" customFormat="1" ht="12.75" customHeight="1" x14ac:dyDescent="0.3"/>
    <row r="781" s="1" customFormat="1" ht="12.75" customHeight="1" x14ac:dyDescent="0.3"/>
    <row r="782" s="1" customFormat="1" ht="12.75" customHeight="1" x14ac:dyDescent="0.3"/>
    <row r="783" s="1" customFormat="1" ht="12.75" customHeight="1" x14ac:dyDescent="0.3"/>
    <row r="784" s="1" customFormat="1" ht="12.75" customHeight="1" x14ac:dyDescent="0.3"/>
    <row r="785" s="1" customFormat="1" ht="12.75" customHeight="1" x14ac:dyDescent="0.3"/>
    <row r="786" s="1" customFormat="1" ht="12.75" customHeight="1" x14ac:dyDescent="0.3"/>
    <row r="787" s="1" customFormat="1" ht="12.75" customHeight="1" x14ac:dyDescent="0.3"/>
    <row r="788" s="1" customFormat="1" ht="12.75" customHeight="1" x14ac:dyDescent="0.3"/>
    <row r="789" s="1" customFormat="1" ht="12.75" customHeight="1" x14ac:dyDescent="0.3"/>
    <row r="790" s="1" customFormat="1" ht="12.75" customHeight="1" x14ac:dyDescent="0.3"/>
    <row r="791" s="1" customFormat="1" ht="12.75" customHeight="1" x14ac:dyDescent="0.3"/>
    <row r="792" s="1" customFormat="1" ht="12.75" customHeight="1" x14ac:dyDescent="0.3"/>
    <row r="793" s="1" customFormat="1" ht="12.75" customHeight="1" x14ac:dyDescent="0.3"/>
    <row r="794" s="1" customFormat="1" ht="12.75" customHeight="1" x14ac:dyDescent="0.3"/>
    <row r="795" s="1" customFormat="1" ht="12.75" customHeight="1" x14ac:dyDescent="0.3"/>
    <row r="796" s="1" customFormat="1" ht="12.75" customHeight="1" x14ac:dyDescent="0.3"/>
    <row r="797" s="1" customFormat="1" ht="12.75" customHeight="1" x14ac:dyDescent="0.3"/>
    <row r="798" s="1" customFormat="1" ht="12.75" customHeight="1" x14ac:dyDescent="0.3"/>
    <row r="799" s="1" customFormat="1" ht="12.75" customHeight="1" x14ac:dyDescent="0.3"/>
    <row r="800" s="1" customFormat="1" ht="12.75" customHeight="1" x14ac:dyDescent="0.3"/>
    <row r="801" s="1" customFormat="1" ht="12.75" customHeight="1" x14ac:dyDescent="0.3"/>
    <row r="802" s="1" customFormat="1" ht="12.75" customHeight="1" x14ac:dyDescent="0.3"/>
    <row r="803" s="1" customFormat="1" ht="12.75" customHeight="1" x14ac:dyDescent="0.3"/>
    <row r="804" s="1" customFormat="1" ht="12.75" customHeight="1" x14ac:dyDescent="0.3"/>
    <row r="805" s="1" customFormat="1" ht="12.75" customHeight="1" x14ac:dyDescent="0.3"/>
    <row r="806" s="1" customFormat="1" ht="12.75" customHeight="1" x14ac:dyDescent="0.3"/>
    <row r="807" s="1" customFormat="1" ht="12.75" customHeight="1" x14ac:dyDescent="0.3"/>
    <row r="808" s="1" customFormat="1" ht="12.75" customHeight="1" x14ac:dyDescent="0.3"/>
    <row r="809" s="1" customFormat="1" ht="12.75" customHeight="1" x14ac:dyDescent="0.3"/>
    <row r="810" s="1" customFormat="1" ht="12.75" customHeight="1" x14ac:dyDescent="0.3"/>
    <row r="811" s="1" customFormat="1" ht="12.75" customHeight="1" x14ac:dyDescent="0.3"/>
    <row r="812" s="1" customFormat="1" ht="12.75" customHeight="1" x14ac:dyDescent="0.3"/>
    <row r="813" s="1" customFormat="1" ht="12.75" customHeight="1" x14ac:dyDescent="0.3"/>
    <row r="814" s="1" customFormat="1" ht="12.75" customHeight="1" x14ac:dyDescent="0.3"/>
    <row r="815" s="1" customFormat="1" ht="12.75" customHeight="1" x14ac:dyDescent="0.3"/>
    <row r="816" s="1" customFormat="1" ht="12.75" customHeight="1" x14ac:dyDescent="0.3"/>
    <row r="817" s="1" customFormat="1" ht="12.75" customHeight="1" x14ac:dyDescent="0.3"/>
    <row r="818" s="1" customFormat="1" ht="12.75" customHeight="1" x14ac:dyDescent="0.3"/>
    <row r="819" s="1" customFormat="1" ht="12.75" customHeight="1" x14ac:dyDescent="0.3"/>
    <row r="820" s="1" customFormat="1" ht="12.75" customHeight="1" x14ac:dyDescent="0.3"/>
    <row r="821" s="1" customFormat="1" ht="12.75" customHeight="1" x14ac:dyDescent="0.3"/>
    <row r="822" s="1" customFormat="1" ht="12.75" customHeight="1" x14ac:dyDescent="0.3"/>
    <row r="823" s="1" customFormat="1" ht="12.75" customHeight="1" x14ac:dyDescent="0.3"/>
    <row r="824" s="1" customFormat="1" ht="12.75" customHeight="1" x14ac:dyDescent="0.3"/>
    <row r="825" s="1" customFormat="1" ht="12.75" customHeight="1" x14ac:dyDescent="0.3"/>
    <row r="826" s="1" customFormat="1" ht="12.75" customHeight="1" x14ac:dyDescent="0.3"/>
    <row r="827" s="1" customFormat="1" ht="12.75" customHeight="1" x14ac:dyDescent="0.3"/>
    <row r="828" s="1" customFormat="1" ht="12.75" customHeight="1" x14ac:dyDescent="0.3"/>
    <row r="829" s="1" customFormat="1" ht="12.75" customHeight="1" x14ac:dyDescent="0.3"/>
    <row r="830" s="1" customFormat="1" ht="12.75" customHeight="1" x14ac:dyDescent="0.3"/>
    <row r="831" s="1" customFormat="1" ht="12.75" customHeight="1" x14ac:dyDescent="0.3"/>
    <row r="832" s="1" customFormat="1" ht="12.75" customHeight="1" x14ac:dyDescent="0.3"/>
    <row r="833" s="1" customFormat="1" ht="12.75" customHeight="1" x14ac:dyDescent="0.3"/>
    <row r="834" s="1" customFormat="1" ht="12.75" customHeight="1" x14ac:dyDescent="0.3"/>
    <row r="835" s="1" customFormat="1" ht="12.75" customHeight="1" x14ac:dyDescent="0.3"/>
    <row r="836" s="1" customFormat="1" ht="12.75" customHeight="1" x14ac:dyDescent="0.3"/>
    <row r="837" s="1" customFormat="1" ht="12.75" customHeight="1" x14ac:dyDescent="0.3"/>
    <row r="838" s="1" customFormat="1" ht="12.75" customHeight="1" x14ac:dyDescent="0.3"/>
    <row r="839" s="1" customFormat="1" ht="12.75" customHeight="1" x14ac:dyDescent="0.3"/>
    <row r="840" s="1" customFormat="1" ht="12.75" customHeight="1" x14ac:dyDescent="0.3"/>
    <row r="841" s="1" customFormat="1" ht="12.75" customHeight="1" x14ac:dyDescent="0.3"/>
    <row r="842" s="1" customFormat="1" ht="12.75" customHeight="1" x14ac:dyDescent="0.3"/>
    <row r="843" s="1" customFormat="1" ht="12.75" customHeight="1" x14ac:dyDescent="0.3"/>
    <row r="844" s="1" customFormat="1" ht="12.75" customHeight="1" x14ac:dyDescent="0.3"/>
    <row r="845" s="1" customFormat="1" ht="12.75" customHeight="1" x14ac:dyDescent="0.3"/>
    <row r="846" s="1" customFormat="1" ht="12.75" customHeight="1" x14ac:dyDescent="0.3"/>
    <row r="847" s="1" customFormat="1" ht="12.75" customHeight="1" x14ac:dyDescent="0.3"/>
    <row r="848" s="1" customFormat="1" ht="12.75" customHeight="1" x14ac:dyDescent="0.3"/>
    <row r="849" s="1" customFormat="1" ht="12.75" customHeight="1" x14ac:dyDescent="0.3"/>
    <row r="850" s="1" customFormat="1" ht="12.75" customHeight="1" x14ac:dyDescent="0.3"/>
    <row r="851" s="1" customFormat="1" ht="12.75" customHeight="1" x14ac:dyDescent="0.3"/>
    <row r="852" s="1" customFormat="1" ht="12.75" customHeight="1" x14ac:dyDescent="0.3"/>
    <row r="853" s="1" customFormat="1" ht="12.75" customHeight="1" x14ac:dyDescent="0.3"/>
    <row r="854" s="1" customFormat="1" ht="12.75" customHeight="1" x14ac:dyDescent="0.3"/>
    <row r="855" s="1" customFormat="1" ht="12.75" customHeight="1" x14ac:dyDescent="0.3"/>
    <row r="856" s="1" customFormat="1" ht="12.75" customHeight="1" x14ac:dyDescent="0.3"/>
    <row r="857" s="1" customFormat="1" ht="12.75" customHeight="1" x14ac:dyDescent="0.3"/>
    <row r="858" s="1" customFormat="1" ht="12.75" customHeight="1" x14ac:dyDescent="0.3"/>
    <row r="859" s="1" customFormat="1" ht="12.75" customHeight="1" x14ac:dyDescent="0.3"/>
    <row r="860" s="1" customFormat="1" ht="12.75" customHeight="1" x14ac:dyDescent="0.3"/>
    <row r="861" s="1" customFormat="1" ht="12.75" customHeight="1" x14ac:dyDescent="0.3"/>
    <row r="862" s="1" customFormat="1" ht="12.75" customHeight="1" x14ac:dyDescent="0.3"/>
    <row r="863" s="1" customFormat="1" ht="12.75" customHeight="1" x14ac:dyDescent="0.3"/>
    <row r="864" s="1" customFormat="1" ht="12.75" customHeight="1" x14ac:dyDescent="0.3"/>
    <row r="865" s="1" customFormat="1" ht="12.75" customHeight="1" x14ac:dyDescent="0.3"/>
    <row r="866" s="1" customFormat="1" ht="12.75" customHeight="1" x14ac:dyDescent="0.3"/>
    <row r="867" s="1" customFormat="1" ht="12.75" customHeight="1" x14ac:dyDescent="0.3"/>
    <row r="868" s="1" customFormat="1" ht="12.75" customHeight="1" x14ac:dyDescent="0.3"/>
    <row r="869" s="1" customFormat="1" ht="12.75" customHeight="1" x14ac:dyDescent="0.3"/>
    <row r="870" s="1" customFormat="1" ht="12.75" customHeight="1" x14ac:dyDescent="0.3"/>
    <row r="871" s="1" customFormat="1" ht="12.75" customHeight="1" x14ac:dyDescent="0.3"/>
    <row r="872" s="1" customFormat="1" ht="12.75" customHeight="1" x14ac:dyDescent="0.3"/>
    <row r="873" s="1" customFormat="1" ht="12.75" customHeight="1" x14ac:dyDescent="0.3"/>
    <row r="874" s="1" customFormat="1" ht="12.75" customHeight="1" x14ac:dyDescent="0.3"/>
    <row r="875" s="1" customFormat="1" ht="12.75" customHeight="1" x14ac:dyDescent="0.3"/>
    <row r="876" s="1" customFormat="1" ht="12.75" customHeight="1" x14ac:dyDescent="0.3"/>
    <row r="877" s="1" customFormat="1" ht="12.75" customHeight="1" x14ac:dyDescent="0.3"/>
    <row r="878" s="1" customFormat="1" ht="12.75" customHeight="1" x14ac:dyDescent="0.3"/>
    <row r="879" s="1" customFormat="1" ht="12.75" customHeight="1" x14ac:dyDescent="0.3"/>
    <row r="880" s="1" customFormat="1" ht="12.75" customHeight="1" x14ac:dyDescent="0.3"/>
    <row r="881" s="1" customFormat="1" ht="12.75" customHeight="1" x14ac:dyDescent="0.3"/>
    <row r="882" s="1" customFormat="1" ht="12.75" customHeight="1" x14ac:dyDescent="0.3"/>
    <row r="883" s="1" customFormat="1" ht="12.75" customHeight="1" x14ac:dyDescent="0.3"/>
    <row r="884" s="1" customFormat="1" ht="12.75" customHeight="1" x14ac:dyDescent="0.3"/>
    <row r="885" s="1" customFormat="1" ht="12.75" customHeight="1" x14ac:dyDescent="0.3"/>
    <row r="886" s="1" customFormat="1" ht="12.75" customHeight="1" x14ac:dyDescent="0.3"/>
    <row r="887" s="1" customFormat="1" ht="12.75" customHeight="1" x14ac:dyDescent="0.3"/>
    <row r="888" s="1" customFormat="1" ht="12.75" customHeight="1" x14ac:dyDescent="0.3"/>
    <row r="889" s="1" customFormat="1" ht="12.75" customHeight="1" x14ac:dyDescent="0.3"/>
    <row r="890" s="1" customFormat="1" ht="12.75" customHeight="1" x14ac:dyDescent="0.3"/>
    <row r="891" s="1" customFormat="1" ht="12.75" customHeight="1" x14ac:dyDescent="0.3"/>
    <row r="892" s="1" customFormat="1" ht="12.75" customHeight="1" x14ac:dyDescent="0.3"/>
    <row r="893" s="1" customFormat="1" ht="12.75" customHeight="1" x14ac:dyDescent="0.3"/>
    <row r="894" s="1" customFormat="1" ht="12.75" customHeight="1" x14ac:dyDescent="0.3"/>
    <row r="895" s="1" customFormat="1" ht="12.75" customHeight="1" x14ac:dyDescent="0.3"/>
    <row r="896" s="1" customFormat="1" ht="12.75" customHeight="1" x14ac:dyDescent="0.3"/>
    <row r="897" s="1" customFormat="1" ht="12.75" customHeight="1" x14ac:dyDescent="0.3"/>
    <row r="898" s="1" customFormat="1" ht="12.75" customHeight="1" x14ac:dyDescent="0.3"/>
    <row r="899" s="1" customFormat="1" ht="12.75" customHeight="1" x14ac:dyDescent="0.3"/>
    <row r="900" s="1" customFormat="1" ht="12.75" customHeight="1" x14ac:dyDescent="0.3"/>
    <row r="901" s="1" customFormat="1" ht="12.75" customHeight="1" x14ac:dyDescent="0.3"/>
    <row r="902" s="1" customFormat="1" ht="12.75" customHeight="1" x14ac:dyDescent="0.3"/>
    <row r="903" s="1" customFormat="1" ht="12.75" customHeight="1" x14ac:dyDescent="0.3"/>
    <row r="904" s="1" customFormat="1" ht="12.75" customHeight="1" x14ac:dyDescent="0.3"/>
    <row r="905" s="1" customFormat="1" ht="12.75" customHeight="1" x14ac:dyDescent="0.3"/>
    <row r="906" s="1" customFormat="1" ht="12.75" customHeight="1" x14ac:dyDescent="0.3"/>
    <row r="907" s="1" customFormat="1" ht="12.75" customHeight="1" x14ac:dyDescent="0.3"/>
    <row r="908" s="1" customFormat="1" ht="12.75" customHeight="1" x14ac:dyDescent="0.3"/>
    <row r="909" s="1" customFormat="1" ht="12.75" customHeight="1" x14ac:dyDescent="0.3"/>
    <row r="910" s="1" customFormat="1" ht="12.75" customHeight="1" x14ac:dyDescent="0.3"/>
    <row r="911" s="1" customFormat="1" ht="12.75" customHeight="1" x14ac:dyDescent="0.3"/>
    <row r="912" s="1" customFormat="1" ht="12.75" customHeight="1" x14ac:dyDescent="0.3"/>
    <row r="913" s="1" customFormat="1" ht="12.75" customHeight="1" x14ac:dyDescent="0.3"/>
    <row r="914" s="1" customFormat="1" ht="12.75" customHeight="1" x14ac:dyDescent="0.3"/>
    <row r="915" s="1" customFormat="1" ht="12.75" customHeight="1" x14ac:dyDescent="0.3"/>
    <row r="916" s="1" customFormat="1" ht="12.75" customHeight="1" x14ac:dyDescent="0.3"/>
    <row r="917" s="1" customFormat="1" ht="12.75" customHeight="1" x14ac:dyDescent="0.3"/>
    <row r="918" s="1" customFormat="1" ht="12.75" customHeight="1" x14ac:dyDescent="0.3"/>
    <row r="919" s="1" customFormat="1" ht="12.75" customHeight="1" x14ac:dyDescent="0.3"/>
    <row r="920" s="1" customFormat="1" ht="12.75" customHeight="1" x14ac:dyDescent="0.3"/>
    <row r="921" s="1" customFormat="1" ht="12.75" customHeight="1" x14ac:dyDescent="0.3"/>
    <row r="922" s="1" customFormat="1" ht="12.75" customHeight="1" x14ac:dyDescent="0.3"/>
    <row r="923" s="1" customFormat="1" ht="12.75" customHeight="1" x14ac:dyDescent="0.3"/>
    <row r="924" s="1" customFormat="1" ht="12.75" customHeight="1" x14ac:dyDescent="0.3"/>
    <row r="925" s="1" customFormat="1" ht="12.75" customHeight="1" x14ac:dyDescent="0.3"/>
    <row r="926" s="1" customFormat="1" ht="12.75" customHeight="1" x14ac:dyDescent="0.3"/>
    <row r="927" s="1" customFormat="1" ht="12.75" customHeight="1" x14ac:dyDescent="0.3"/>
    <row r="928" s="1" customFormat="1" ht="12.75" customHeight="1" x14ac:dyDescent="0.3"/>
    <row r="929" s="1" customFormat="1" ht="12.75" customHeight="1" x14ac:dyDescent="0.3"/>
    <row r="930" s="1" customFormat="1" ht="12.75" customHeight="1" x14ac:dyDescent="0.3"/>
    <row r="931" s="1" customFormat="1" ht="12.75" customHeight="1" x14ac:dyDescent="0.3"/>
    <row r="932" s="1" customFormat="1" ht="12.75" customHeight="1" x14ac:dyDescent="0.3"/>
    <row r="933" s="1" customFormat="1" ht="12.75" customHeight="1" x14ac:dyDescent="0.3"/>
    <row r="934" s="1" customFormat="1" ht="12.75" customHeight="1" x14ac:dyDescent="0.3"/>
    <row r="935" s="1" customFormat="1" ht="12.75" customHeight="1" x14ac:dyDescent="0.3"/>
    <row r="936" s="1" customFormat="1" ht="12.75" customHeight="1" x14ac:dyDescent="0.3"/>
    <row r="937" s="1" customFormat="1" ht="12.75" customHeight="1" x14ac:dyDescent="0.3"/>
    <row r="938" s="1" customFormat="1" ht="12.75" customHeight="1" x14ac:dyDescent="0.3"/>
    <row r="939" s="1" customFormat="1" ht="12.75" customHeight="1" x14ac:dyDescent="0.3"/>
    <row r="940" s="1" customFormat="1" ht="12.75" customHeight="1" x14ac:dyDescent="0.3"/>
    <row r="941" s="1" customFormat="1" ht="12.75" customHeight="1" x14ac:dyDescent="0.3"/>
    <row r="942" s="1" customFormat="1" ht="12.75" customHeight="1" x14ac:dyDescent="0.3"/>
    <row r="943" s="1" customFormat="1" ht="12.75" customHeight="1" x14ac:dyDescent="0.3"/>
    <row r="944" s="1" customFormat="1" ht="12.75" customHeight="1" x14ac:dyDescent="0.3"/>
    <row r="945" s="1" customFormat="1" ht="12.75" customHeight="1" x14ac:dyDescent="0.3"/>
    <row r="946" s="1" customFormat="1" ht="12.75" customHeight="1" x14ac:dyDescent="0.3"/>
    <row r="947" s="1" customFormat="1" ht="12.75" customHeight="1" x14ac:dyDescent="0.3"/>
    <row r="948" s="1" customFormat="1" ht="12.75" customHeight="1" x14ac:dyDescent="0.3"/>
    <row r="949" s="1" customFormat="1" ht="12.75" customHeight="1" x14ac:dyDescent="0.3"/>
    <row r="950" s="1" customFormat="1" ht="12.75" customHeight="1" x14ac:dyDescent="0.3"/>
    <row r="951" s="1" customFormat="1" ht="12.75" customHeight="1" x14ac:dyDescent="0.3"/>
    <row r="952" s="1" customFormat="1" ht="12.75" customHeight="1" x14ac:dyDescent="0.3"/>
    <row r="953" s="1" customFormat="1" ht="12.75" customHeight="1" x14ac:dyDescent="0.3"/>
    <row r="954" s="1" customFormat="1" ht="12.75" customHeight="1" x14ac:dyDescent="0.3"/>
    <row r="955" s="1" customFormat="1" ht="12.75" customHeight="1" x14ac:dyDescent="0.3"/>
    <row r="956" s="1" customFormat="1" ht="12.75" customHeight="1" x14ac:dyDescent="0.3"/>
    <row r="957" s="1" customFormat="1" ht="12.75" customHeight="1" x14ac:dyDescent="0.3"/>
    <row r="958" s="1" customFormat="1" ht="12.75" customHeight="1" x14ac:dyDescent="0.3"/>
    <row r="959" s="1" customFormat="1" ht="12.75" customHeight="1" x14ac:dyDescent="0.3"/>
    <row r="960" s="1" customFormat="1" ht="12.75" customHeight="1" x14ac:dyDescent="0.3"/>
    <row r="961" s="1" customFormat="1" ht="12.75" customHeight="1" x14ac:dyDescent="0.3"/>
    <row r="962" s="1" customFormat="1" ht="12.75" customHeight="1" x14ac:dyDescent="0.3"/>
    <row r="963" s="1" customFormat="1" ht="12.75" customHeight="1" x14ac:dyDescent="0.3"/>
    <row r="964" s="1" customFormat="1" ht="12.75" customHeight="1" x14ac:dyDescent="0.3"/>
    <row r="965" s="1" customFormat="1" ht="12.75" customHeight="1" x14ac:dyDescent="0.3"/>
    <row r="966" s="1" customFormat="1" ht="12.75" customHeight="1" x14ac:dyDescent="0.3"/>
    <row r="967" s="1" customFormat="1" ht="12.75" customHeight="1" x14ac:dyDescent="0.3"/>
    <row r="968" s="1" customFormat="1" ht="12.75" customHeight="1" x14ac:dyDescent="0.3"/>
    <row r="969" s="1" customFormat="1" ht="12.75" customHeight="1" x14ac:dyDescent="0.3"/>
    <row r="970" s="1" customFormat="1" ht="12.75" customHeight="1" x14ac:dyDescent="0.3"/>
    <row r="971" s="1" customFormat="1" ht="12.75" customHeight="1" x14ac:dyDescent="0.3"/>
    <row r="972" s="1" customFormat="1" ht="12.75" customHeight="1" x14ac:dyDescent="0.3"/>
    <row r="973" s="1" customFormat="1" ht="12.75" customHeight="1" x14ac:dyDescent="0.3"/>
    <row r="974" s="1" customFormat="1" ht="12.75" customHeight="1" x14ac:dyDescent="0.3"/>
    <row r="975" s="1" customFormat="1" ht="12.75" customHeight="1" x14ac:dyDescent="0.3"/>
    <row r="976" s="1" customFormat="1" ht="12.75" customHeight="1" x14ac:dyDescent="0.3"/>
    <row r="977" s="1" customFormat="1" ht="12.75" customHeight="1" x14ac:dyDescent="0.3"/>
    <row r="978" s="1" customFormat="1" ht="12.75" customHeight="1" x14ac:dyDescent="0.3"/>
    <row r="979" s="1" customFormat="1" ht="12.75" customHeight="1" x14ac:dyDescent="0.3"/>
    <row r="980" s="1" customFormat="1" ht="12.75" customHeight="1" x14ac:dyDescent="0.3"/>
    <row r="981" s="1" customFormat="1" ht="12.75" customHeight="1" x14ac:dyDescent="0.3"/>
    <row r="982" s="1" customFormat="1" ht="12.75" customHeight="1" x14ac:dyDescent="0.3"/>
    <row r="983" s="1" customFormat="1" ht="12.75" customHeight="1" x14ac:dyDescent="0.3"/>
    <row r="984" s="1" customFormat="1" ht="12.75" customHeight="1" x14ac:dyDescent="0.3"/>
    <row r="985" s="1" customFormat="1" ht="12.75" customHeight="1" x14ac:dyDescent="0.3"/>
    <row r="986" s="1" customFormat="1" ht="12.75" customHeight="1" x14ac:dyDescent="0.3"/>
    <row r="987" s="1" customFormat="1" ht="12.75" customHeight="1" x14ac:dyDescent="0.3"/>
    <row r="988" s="1" customFormat="1" ht="12.75" customHeight="1" x14ac:dyDescent="0.3"/>
    <row r="989" s="1" customFormat="1" ht="12.75" customHeight="1" x14ac:dyDescent="0.3"/>
    <row r="990" s="1" customFormat="1" ht="12.75" customHeight="1" x14ac:dyDescent="0.3"/>
    <row r="991" s="1" customFormat="1" ht="12.75" customHeight="1" x14ac:dyDescent="0.3"/>
    <row r="992" s="1" customFormat="1" ht="12.75" customHeight="1" x14ac:dyDescent="0.3"/>
    <row r="993" s="1" customFormat="1" ht="12.75" customHeight="1" x14ac:dyDescent="0.3"/>
    <row r="994" s="1" customFormat="1" ht="12.75" customHeight="1" x14ac:dyDescent="0.3"/>
    <row r="995" s="1" customFormat="1" ht="12.75" customHeight="1" x14ac:dyDescent="0.3"/>
    <row r="996" s="1" customFormat="1" ht="12.75" customHeight="1" x14ac:dyDescent="0.3"/>
    <row r="997" s="1" customFormat="1" ht="12.75" customHeight="1" x14ac:dyDescent="0.3"/>
    <row r="998" s="1" customFormat="1" ht="12.75" customHeight="1" x14ac:dyDescent="0.3"/>
    <row r="999" s="1" customFormat="1" ht="12.75" customHeight="1" x14ac:dyDescent="0.3"/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7532A-8E1E-45BF-B8DC-688F26FCF4BE}">
  <dimension ref="A1:M999"/>
  <sheetViews>
    <sheetView workbookViewId="0">
      <selection activeCell="G17" sqref="G17"/>
    </sheetView>
  </sheetViews>
  <sheetFormatPr baseColWidth="10" defaultColWidth="12.6328125" defaultRowHeight="15" customHeight="1" x14ac:dyDescent="0.3"/>
  <cols>
    <col min="1" max="1" width="15.7265625" style="1" customWidth="1"/>
    <col min="2" max="7" width="10.6328125" style="1" customWidth="1"/>
    <col min="8" max="8" width="11.36328125" style="1" customWidth="1"/>
    <col min="9" max="25" width="10.6328125" style="1" customWidth="1"/>
    <col min="26" max="16384" width="12.6328125" style="1"/>
  </cols>
  <sheetData>
    <row r="1" spans="1:13" ht="13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3.5" customHeight="1" x14ac:dyDescent="0.3">
      <c r="A2" s="1" t="s">
        <v>12</v>
      </c>
      <c r="B2" s="1" t="s">
        <v>13</v>
      </c>
      <c r="C2" s="1">
        <v>1</v>
      </c>
      <c r="H2" s="2" t="s">
        <v>14</v>
      </c>
      <c r="I2" s="3">
        <f t="shared" ref="I2:L2" si="0">SUM(C22+C37+C55+C65+C66+C96+C105+C113+C128+C146+C150)</f>
        <v>11</v>
      </c>
      <c r="J2" s="3">
        <f t="shared" si="0"/>
        <v>0</v>
      </c>
      <c r="K2" s="3">
        <f t="shared" si="0"/>
        <v>0</v>
      </c>
      <c r="L2" s="3">
        <f t="shared" si="0"/>
        <v>0</v>
      </c>
      <c r="M2" s="3">
        <f t="shared" ref="M2:M13" si="1">SUM(I2:L2)</f>
        <v>11</v>
      </c>
    </row>
    <row r="3" spans="1:13" ht="13.5" customHeight="1" x14ac:dyDescent="0.3">
      <c r="A3" s="1" t="s">
        <v>15</v>
      </c>
      <c r="B3" s="1" t="s">
        <v>16</v>
      </c>
      <c r="C3" s="1">
        <v>1</v>
      </c>
      <c r="H3" s="2" t="s">
        <v>17</v>
      </c>
      <c r="I3" s="3">
        <f t="shared" ref="I3:L3" si="2">SUM(C6+C32+C50+C52+C58+C69+C76+C94+C115+C122+C123+C152)</f>
        <v>12</v>
      </c>
      <c r="J3" s="3">
        <f t="shared" si="2"/>
        <v>0</v>
      </c>
      <c r="K3" s="3">
        <f t="shared" si="2"/>
        <v>0</v>
      </c>
      <c r="L3" s="3">
        <f t="shared" si="2"/>
        <v>0</v>
      </c>
      <c r="M3" s="3">
        <f t="shared" si="1"/>
        <v>12</v>
      </c>
    </row>
    <row r="4" spans="1:13" ht="13.5" customHeight="1" x14ac:dyDescent="0.3">
      <c r="A4" s="1" t="s">
        <v>18</v>
      </c>
      <c r="B4" s="1" t="s">
        <v>13</v>
      </c>
      <c r="C4" s="1">
        <v>1</v>
      </c>
      <c r="H4" s="2" t="s">
        <v>19</v>
      </c>
      <c r="I4" s="3">
        <f t="shared" ref="I4:L4" si="3">SUM(C26+C14+C27+C62+C68+C124+C138+C142+C153+C155)</f>
        <v>8</v>
      </c>
      <c r="J4" s="3">
        <f t="shared" si="3"/>
        <v>0</v>
      </c>
      <c r="K4" s="3">
        <f t="shared" si="3"/>
        <v>0</v>
      </c>
      <c r="L4" s="3">
        <f t="shared" si="3"/>
        <v>2</v>
      </c>
      <c r="M4" s="3">
        <f t="shared" si="1"/>
        <v>10</v>
      </c>
    </row>
    <row r="5" spans="1:13" ht="13.5" customHeight="1" x14ac:dyDescent="0.3">
      <c r="A5" s="1" t="s">
        <v>20</v>
      </c>
      <c r="B5" s="1" t="s">
        <v>21</v>
      </c>
      <c r="C5" s="1">
        <v>1</v>
      </c>
      <c r="H5" s="2" t="s">
        <v>22</v>
      </c>
      <c r="I5" s="3">
        <f t="shared" ref="I5:L5" si="4">SUM(C5+C36+C56+C63+C73+C85+C87+C95+C135)</f>
        <v>8</v>
      </c>
      <c r="J5" s="3">
        <f t="shared" si="4"/>
        <v>0</v>
      </c>
      <c r="K5" s="3">
        <f t="shared" si="4"/>
        <v>0</v>
      </c>
      <c r="L5" s="3">
        <f t="shared" si="4"/>
        <v>1</v>
      </c>
      <c r="M5" s="3">
        <f t="shared" si="1"/>
        <v>9</v>
      </c>
    </row>
    <row r="6" spans="1:13" ht="13.5" customHeight="1" x14ac:dyDescent="0.3">
      <c r="A6" s="1" t="s">
        <v>23</v>
      </c>
      <c r="B6" s="1" t="s">
        <v>24</v>
      </c>
      <c r="C6" s="1">
        <v>1</v>
      </c>
      <c r="H6" s="2" t="s">
        <v>25</v>
      </c>
      <c r="I6" s="3">
        <f t="shared" ref="I6:L6" si="5">SUM(C12+C15+C18+C28+C41+C59+C78+C64+C82+C83+C86+C106+C119+C143+C148+C154)</f>
        <v>16</v>
      </c>
      <c r="J6" s="3">
        <f t="shared" si="5"/>
        <v>0</v>
      </c>
      <c r="K6" s="3">
        <f t="shared" si="5"/>
        <v>0</v>
      </c>
      <c r="L6" s="3">
        <f t="shared" si="5"/>
        <v>0</v>
      </c>
      <c r="M6" s="3">
        <f t="shared" si="1"/>
        <v>16</v>
      </c>
    </row>
    <row r="7" spans="1:13" ht="13.5" customHeight="1" x14ac:dyDescent="0.3">
      <c r="A7" s="1" t="s">
        <v>26</v>
      </c>
      <c r="B7" s="1" t="s">
        <v>27</v>
      </c>
      <c r="C7" s="1">
        <v>1</v>
      </c>
      <c r="H7" s="2" t="s">
        <v>28</v>
      </c>
      <c r="I7" s="3">
        <f t="shared" ref="I7:L7" si="6">SUM(C3+C20+C46+C49+C54+C89+C90+C102+C112+C114+C129+C141)</f>
        <v>7</v>
      </c>
      <c r="J7" s="3">
        <f t="shared" si="6"/>
        <v>2</v>
      </c>
      <c r="K7" s="3">
        <f t="shared" si="6"/>
        <v>3</v>
      </c>
      <c r="L7" s="3">
        <f t="shared" si="6"/>
        <v>0</v>
      </c>
      <c r="M7" s="3">
        <f t="shared" si="1"/>
        <v>12</v>
      </c>
    </row>
    <row r="8" spans="1:13" ht="13.5" customHeight="1" x14ac:dyDescent="0.3">
      <c r="A8" s="1" t="s">
        <v>29</v>
      </c>
      <c r="B8" s="1" t="s">
        <v>30</v>
      </c>
      <c r="D8" s="1">
        <v>1</v>
      </c>
      <c r="H8" s="2" t="s">
        <v>27</v>
      </c>
      <c r="I8" s="3">
        <f t="shared" ref="I8:L8" si="7">SUM(C7+C30+C29+C44+C51+C60+C72+C79+C101+C99+C107+C111+C117+C140+C144)</f>
        <v>10</v>
      </c>
      <c r="J8" s="3">
        <f t="shared" si="7"/>
        <v>2</v>
      </c>
      <c r="K8" s="3">
        <f t="shared" si="7"/>
        <v>3</v>
      </c>
      <c r="L8" s="3">
        <f t="shared" si="7"/>
        <v>0</v>
      </c>
      <c r="M8" s="3">
        <f t="shared" si="1"/>
        <v>15</v>
      </c>
    </row>
    <row r="9" spans="1:13" ht="13.5" customHeight="1" x14ac:dyDescent="0.3">
      <c r="A9" s="1" t="s">
        <v>31</v>
      </c>
      <c r="B9" s="1" t="s">
        <v>13</v>
      </c>
      <c r="C9" s="1">
        <v>1</v>
      </c>
      <c r="H9" s="2" t="s">
        <v>13</v>
      </c>
      <c r="I9" s="3">
        <f t="shared" ref="I9:J9" si="8">SUM(C4+C9+C17+C19+C2+C48+C92+C120+C126+C127+C130+C133+C151)</f>
        <v>13</v>
      </c>
      <c r="J9" s="3">
        <f t="shared" si="8"/>
        <v>0</v>
      </c>
      <c r="K9" s="3">
        <f>SUM(D4+D9+D17+D19+D2+D48+D92+D120+D126+D127+D130+D133+D151)</f>
        <v>0</v>
      </c>
      <c r="L9" s="3">
        <f>SUM(F4+F9+F17+F19+F2+F48+F92+F120+F126+F127+F130+F133+F151)</f>
        <v>0</v>
      </c>
      <c r="M9" s="3">
        <f t="shared" si="1"/>
        <v>13</v>
      </c>
    </row>
    <row r="10" spans="1:13" ht="13.5" customHeight="1" x14ac:dyDescent="0.3">
      <c r="A10" s="1" t="s">
        <v>32</v>
      </c>
      <c r="B10" s="1" t="s">
        <v>33</v>
      </c>
      <c r="C10" s="1">
        <v>1</v>
      </c>
      <c r="H10" s="2" t="s">
        <v>30</v>
      </c>
      <c r="I10" s="3">
        <f t="shared" ref="I10:L10" si="9">SUM(C8+C13+C16+C25+C31+C35+C43+C45+C70+C71+C75+C81+C88+C93+C98+C100+C104+C118+C136+C137+C156)</f>
        <v>0</v>
      </c>
      <c r="J10" s="3">
        <f t="shared" si="9"/>
        <v>21</v>
      </c>
      <c r="K10" s="3">
        <f t="shared" si="9"/>
        <v>0</v>
      </c>
      <c r="L10" s="3">
        <f t="shared" si="9"/>
        <v>0</v>
      </c>
      <c r="M10" s="3">
        <f t="shared" si="1"/>
        <v>21</v>
      </c>
    </row>
    <row r="11" spans="1:13" ht="13.5" customHeight="1" x14ac:dyDescent="0.3">
      <c r="A11" s="1" t="s">
        <v>34</v>
      </c>
      <c r="B11" s="1" t="s">
        <v>33</v>
      </c>
      <c r="C11" s="1">
        <v>1</v>
      </c>
      <c r="H11" s="2" t="s">
        <v>35</v>
      </c>
      <c r="I11" s="3">
        <f t="shared" ref="I11:L11" si="10">SUM(C38+C42+C47+C53+C74+C77+C80+C91+C97+C103+C108+C116+C131+C145+C147)</f>
        <v>0</v>
      </c>
      <c r="J11" s="3">
        <f t="shared" si="10"/>
        <v>9</v>
      </c>
      <c r="K11" s="3">
        <f t="shared" si="10"/>
        <v>6</v>
      </c>
      <c r="L11" s="3">
        <f t="shared" si="10"/>
        <v>0</v>
      </c>
      <c r="M11" s="3">
        <f t="shared" si="1"/>
        <v>15</v>
      </c>
    </row>
    <row r="12" spans="1:13" ht="13.5" customHeight="1" x14ac:dyDescent="0.3">
      <c r="A12" s="1" t="s">
        <v>36</v>
      </c>
      <c r="B12" s="1" t="s">
        <v>37</v>
      </c>
      <c r="C12" s="1">
        <v>1</v>
      </c>
      <c r="H12" s="2" t="s">
        <v>38</v>
      </c>
      <c r="I12" s="3">
        <f t="shared" ref="I12:L12" si="11">SUM(C21+C24+C34+C40+C67+C84+C132)</f>
        <v>2</v>
      </c>
      <c r="J12" s="3">
        <f t="shared" si="11"/>
        <v>1</v>
      </c>
      <c r="K12" s="3">
        <f t="shared" si="11"/>
        <v>4</v>
      </c>
      <c r="L12" s="3">
        <f t="shared" si="11"/>
        <v>0</v>
      </c>
      <c r="M12" s="3">
        <f t="shared" si="1"/>
        <v>7</v>
      </c>
    </row>
    <row r="13" spans="1:13" ht="13.5" customHeight="1" x14ac:dyDescent="0.3">
      <c r="A13" s="1" t="s">
        <v>39</v>
      </c>
      <c r="B13" s="1" t="s">
        <v>30</v>
      </c>
      <c r="D13" s="1">
        <v>1</v>
      </c>
      <c r="H13" s="2" t="s">
        <v>33</v>
      </c>
      <c r="I13" s="3">
        <f t="shared" ref="I13:L13" si="12">SUM(C10+C11+C57+C125+C149)</f>
        <v>5</v>
      </c>
      <c r="J13" s="3">
        <f t="shared" si="12"/>
        <v>0</v>
      </c>
      <c r="K13" s="3">
        <f t="shared" si="12"/>
        <v>0</v>
      </c>
      <c r="L13" s="3">
        <f t="shared" si="12"/>
        <v>0</v>
      </c>
      <c r="M13" s="3">
        <f t="shared" si="1"/>
        <v>5</v>
      </c>
    </row>
    <row r="14" spans="1:13" ht="13.5" customHeight="1" x14ac:dyDescent="0.3">
      <c r="A14" s="1" t="s">
        <v>40</v>
      </c>
      <c r="B14" s="1" t="s">
        <v>19</v>
      </c>
      <c r="C14" s="1">
        <v>1</v>
      </c>
      <c r="I14" s="4"/>
      <c r="J14" s="4"/>
      <c r="K14" s="4"/>
      <c r="L14" s="4"/>
    </row>
    <row r="15" spans="1:13" ht="13.5" customHeight="1" x14ac:dyDescent="0.3">
      <c r="A15" s="1" t="s">
        <v>41</v>
      </c>
      <c r="B15" s="1" t="s">
        <v>42</v>
      </c>
      <c r="C15" s="1">
        <v>1</v>
      </c>
      <c r="I15" s="4"/>
      <c r="J15" s="4"/>
      <c r="K15" s="4"/>
      <c r="L15" s="4"/>
    </row>
    <row r="16" spans="1:13" ht="13.5" customHeight="1" x14ac:dyDescent="0.3">
      <c r="A16" s="1" t="s">
        <v>43</v>
      </c>
      <c r="B16" s="1" t="s">
        <v>30</v>
      </c>
      <c r="D16" s="1">
        <v>1</v>
      </c>
      <c r="I16" s="4"/>
      <c r="J16" s="4"/>
      <c r="K16" s="4"/>
      <c r="L16" s="4"/>
    </row>
    <row r="17" spans="1:12" ht="13.5" customHeight="1" x14ac:dyDescent="0.3">
      <c r="A17" s="1" t="s">
        <v>44</v>
      </c>
      <c r="B17" s="1" t="s">
        <v>13</v>
      </c>
      <c r="C17" s="1">
        <v>1</v>
      </c>
      <c r="I17" s="4"/>
      <c r="J17" s="4"/>
      <c r="K17" s="4"/>
      <c r="L17" s="4"/>
    </row>
    <row r="18" spans="1:12" ht="13.5" customHeight="1" x14ac:dyDescent="0.3">
      <c r="A18" s="1" t="s">
        <v>45</v>
      </c>
      <c r="B18" s="1" t="s">
        <v>37</v>
      </c>
      <c r="C18" s="1">
        <v>1</v>
      </c>
      <c r="I18" s="4"/>
      <c r="J18" s="4"/>
      <c r="K18" s="4"/>
      <c r="L18" s="4"/>
    </row>
    <row r="19" spans="1:12" ht="13.5" customHeight="1" x14ac:dyDescent="0.3">
      <c r="A19" s="1" t="s">
        <v>46</v>
      </c>
      <c r="B19" s="1" t="s">
        <v>13</v>
      </c>
      <c r="C19" s="1">
        <v>1</v>
      </c>
    </row>
    <row r="20" spans="1:12" ht="13.5" customHeight="1" x14ac:dyDescent="0.3">
      <c r="A20" s="1" t="s">
        <v>47</v>
      </c>
      <c r="B20" s="1" t="s">
        <v>16</v>
      </c>
      <c r="D20" s="1">
        <v>1</v>
      </c>
    </row>
    <row r="21" spans="1:12" ht="13.5" customHeight="1" x14ac:dyDescent="0.3">
      <c r="A21" s="1" t="s">
        <v>48</v>
      </c>
      <c r="B21" s="1" t="s">
        <v>38</v>
      </c>
      <c r="C21" s="1">
        <v>1</v>
      </c>
    </row>
    <row r="22" spans="1:12" ht="13.5" customHeight="1" x14ac:dyDescent="0.3">
      <c r="A22" s="1" t="s">
        <v>49</v>
      </c>
      <c r="B22" s="1" t="s">
        <v>14</v>
      </c>
      <c r="C22" s="1">
        <v>1</v>
      </c>
    </row>
    <row r="23" spans="1:12" ht="13.5" customHeight="1" x14ac:dyDescent="0.3">
      <c r="A23" s="1" t="s">
        <v>50</v>
      </c>
      <c r="B23" s="1" t="s">
        <v>13</v>
      </c>
      <c r="C23" s="1">
        <v>1</v>
      </c>
    </row>
    <row r="24" spans="1:12" ht="13.5" customHeight="1" x14ac:dyDescent="0.3">
      <c r="A24" s="1" t="s">
        <v>51</v>
      </c>
      <c r="B24" s="1" t="s">
        <v>38</v>
      </c>
      <c r="E24" s="1">
        <v>1</v>
      </c>
    </row>
    <row r="25" spans="1:12" ht="13.5" customHeight="1" x14ac:dyDescent="0.3">
      <c r="A25" s="1" t="s">
        <v>52</v>
      </c>
      <c r="B25" s="1" t="s">
        <v>30</v>
      </c>
      <c r="D25" s="1">
        <v>1</v>
      </c>
    </row>
    <row r="26" spans="1:12" ht="13.5" customHeight="1" x14ac:dyDescent="0.3">
      <c r="A26" s="1" t="s">
        <v>53</v>
      </c>
      <c r="B26" s="1" t="s">
        <v>19</v>
      </c>
      <c r="C26" s="1">
        <v>1</v>
      </c>
    </row>
    <row r="27" spans="1:12" ht="13.5" customHeight="1" x14ac:dyDescent="0.3">
      <c r="A27" s="1" t="s">
        <v>54</v>
      </c>
      <c r="B27" s="1" t="s">
        <v>19</v>
      </c>
      <c r="C27" s="1">
        <v>1</v>
      </c>
    </row>
    <row r="28" spans="1:12" ht="13.5" customHeight="1" x14ac:dyDescent="0.3">
      <c r="A28" s="1" t="s">
        <v>55</v>
      </c>
      <c r="B28" s="1" t="s">
        <v>37</v>
      </c>
      <c r="C28" s="1">
        <v>1</v>
      </c>
    </row>
    <row r="29" spans="1:12" ht="13.5" customHeight="1" x14ac:dyDescent="0.3">
      <c r="A29" s="1" t="s">
        <v>56</v>
      </c>
      <c r="B29" s="1" t="s">
        <v>27</v>
      </c>
      <c r="C29" s="1">
        <v>1</v>
      </c>
    </row>
    <row r="30" spans="1:12" ht="13.5" customHeight="1" x14ac:dyDescent="0.3">
      <c r="A30" s="1" t="s">
        <v>57</v>
      </c>
      <c r="B30" s="1" t="s">
        <v>27</v>
      </c>
      <c r="C30" s="1">
        <v>1</v>
      </c>
    </row>
    <row r="31" spans="1:12" ht="13.5" customHeight="1" x14ac:dyDescent="0.3">
      <c r="A31" s="1" t="s">
        <v>58</v>
      </c>
      <c r="B31" s="1" t="s">
        <v>30</v>
      </c>
      <c r="D31" s="1">
        <v>1</v>
      </c>
    </row>
    <row r="32" spans="1:12" ht="13.5" customHeight="1" x14ac:dyDescent="0.3">
      <c r="A32" s="1" t="s">
        <v>59</v>
      </c>
      <c r="B32" s="1" t="s">
        <v>24</v>
      </c>
      <c r="C32" s="1">
        <v>1</v>
      </c>
    </row>
    <row r="33" spans="1:12" ht="13.5" customHeight="1" x14ac:dyDescent="0.3">
      <c r="A33" s="1" t="s">
        <v>60</v>
      </c>
      <c r="B33" s="1" t="s">
        <v>27</v>
      </c>
      <c r="C33" s="1">
        <v>1</v>
      </c>
    </row>
    <row r="34" spans="1:12" ht="13.5" customHeight="1" x14ac:dyDescent="0.3">
      <c r="A34" s="1" t="s">
        <v>61</v>
      </c>
      <c r="B34" s="1" t="s">
        <v>38</v>
      </c>
      <c r="C34" s="1">
        <v>1</v>
      </c>
    </row>
    <row r="35" spans="1:12" ht="13.5" customHeight="1" x14ac:dyDescent="0.3">
      <c r="A35" s="1" t="s">
        <v>62</v>
      </c>
      <c r="B35" s="1" t="s">
        <v>30</v>
      </c>
      <c r="D35" s="1">
        <v>1</v>
      </c>
    </row>
    <row r="36" spans="1:12" ht="13.5" customHeight="1" x14ac:dyDescent="0.3">
      <c r="A36" s="1" t="s">
        <v>63</v>
      </c>
      <c r="B36" s="1" t="s">
        <v>21</v>
      </c>
      <c r="C36" s="1">
        <v>1</v>
      </c>
    </row>
    <row r="37" spans="1:12" ht="13.5" customHeight="1" x14ac:dyDescent="0.3">
      <c r="A37" s="1" t="s">
        <v>64</v>
      </c>
      <c r="B37" s="1" t="s">
        <v>14</v>
      </c>
      <c r="C37" s="1">
        <v>1</v>
      </c>
    </row>
    <row r="38" spans="1:12" ht="13.5" customHeight="1" x14ac:dyDescent="0.3">
      <c r="A38" s="1" t="s">
        <v>65</v>
      </c>
      <c r="B38" s="1" t="s">
        <v>66</v>
      </c>
      <c r="E38" s="1">
        <v>1</v>
      </c>
    </row>
    <row r="39" spans="1:12" ht="13.5" customHeight="1" x14ac:dyDescent="0.3">
      <c r="A39" s="1" t="s">
        <v>67</v>
      </c>
      <c r="B39" s="1" t="s">
        <v>16</v>
      </c>
      <c r="C39" s="1">
        <v>1</v>
      </c>
    </row>
    <row r="40" spans="1:12" ht="13.5" customHeight="1" x14ac:dyDescent="0.3">
      <c r="A40" s="1" t="s">
        <v>68</v>
      </c>
      <c r="B40" s="1" t="s">
        <v>38</v>
      </c>
      <c r="E40" s="1">
        <v>1</v>
      </c>
    </row>
    <row r="41" spans="1:12" ht="13.5" customHeight="1" x14ac:dyDescent="0.3">
      <c r="A41" s="1" t="s">
        <v>69</v>
      </c>
      <c r="B41" s="1" t="s">
        <v>37</v>
      </c>
      <c r="C41" s="1">
        <v>1</v>
      </c>
    </row>
    <row r="42" spans="1:12" ht="13.5" customHeight="1" x14ac:dyDescent="0.3">
      <c r="A42" s="1" t="s">
        <v>70</v>
      </c>
      <c r="B42" s="1" t="s">
        <v>66</v>
      </c>
      <c r="E42" s="1">
        <v>1</v>
      </c>
    </row>
    <row r="43" spans="1:12" ht="13.5" customHeight="1" x14ac:dyDescent="0.3">
      <c r="A43" s="1" t="s">
        <v>71</v>
      </c>
      <c r="B43" s="1" t="s">
        <v>30</v>
      </c>
      <c r="D43" s="1">
        <v>1</v>
      </c>
    </row>
    <row r="44" spans="1:12" ht="13.5" customHeight="1" x14ac:dyDescent="0.3">
      <c r="A44" s="1" t="s">
        <v>72</v>
      </c>
      <c r="B44" s="1" t="s">
        <v>27</v>
      </c>
      <c r="D44" s="1">
        <v>1</v>
      </c>
    </row>
    <row r="45" spans="1:12" ht="13.5" customHeight="1" x14ac:dyDescent="0.3">
      <c r="A45" s="1" t="s">
        <v>73</v>
      </c>
      <c r="B45" s="1" t="s">
        <v>30</v>
      </c>
      <c r="D45" s="1">
        <v>1</v>
      </c>
      <c r="H45" s="1" t="s">
        <v>6</v>
      </c>
      <c r="I45" s="1" t="s">
        <v>7</v>
      </c>
      <c r="J45" s="1" t="s">
        <v>8</v>
      </c>
      <c r="K45" s="1" t="s">
        <v>9</v>
      </c>
      <c r="L45" s="1" t="s">
        <v>10</v>
      </c>
    </row>
    <row r="46" spans="1:12" ht="13.5" customHeight="1" x14ac:dyDescent="0.3">
      <c r="A46" s="1" t="s">
        <v>74</v>
      </c>
      <c r="B46" s="1" t="s">
        <v>16</v>
      </c>
      <c r="C46" s="1">
        <v>1</v>
      </c>
      <c r="H46" s="2" t="s">
        <v>14</v>
      </c>
      <c r="I46" s="4">
        <f t="shared" ref="I46:I57" si="13">I2/M2</f>
        <v>1</v>
      </c>
      <c r="J46" s="4">
        <f t="shared" ref="J46:J57" si="14">J2/M2</f>
        <v>0</v>
      </c>
      <c r="K46" s="4">
        <f t="shared" ref="K46:K57" si="15">K2/M2</f>
        <v>0</v>
      </c>
      <c r="L46" s="4">
        <f t="shared" ref="L46:L57" si="16">L2/M2</f>
        <v>0</v>
      </c>
    </row>
    <row r="47" spans="1:12" ht="13.5" customHeight="1" x14ac:dyDescent="0.3">
      <c r="A47" s="1" t="s">
        <v>75</v>
      </c>
      <c r="B47" s="1" t="s">
        <v>66</v>
      </c>
      <c r="D47" s="1">
        <v>1</v>
      </c>
      <c r="H47" s="2" t="s">
        <v>17</v>
      </c>
      <c r="I47" s="4">
        <f t="shared" si="13"/>
        <v>1</v>
      </c>
      <c r="J47" s="4">
        <f t="shared" si="14"/>
        <v>0</v>
      </c>
      <c r="K47" s="4">
        <f t="shared" si="15"/>
        <v>0</v>
      </c>
      <c r="L47" s="4">
        <f t="shared" si="16"/>
        <v>0</v>
      </c>
    </row>
    <row r="48" spans="1:12" ht="13.5" customHeight="1" x14ac:dyDescent="0.3">
      <c r="A48" s="1" t="s">
        <v>76</v>
      </c>
      <c r="B48" s="1" t="s">
        <v>13</v>
      </c>
      <c r="C48" s="1">
        <v>1</v>
      </c>
      <c r="H48" s="2" t="s">
        <v>19</v>
      </c>
      <c r="I48" s="4">
        <f t="shared" si="13"/>
        <v>0.8</v>
      </c>
      <c r="J48" s="4">
        <f t="shared" si="14"/>
        <v>0</v>
      </c>
      <c r="K48" s="4">
        <f t="shared" si="15"/>
        <v>0</v>
      </c>
      <c r="L48" s="4">
        <f t="shared" si="16"/>
        <v>0.2</v>
      </c>
    </row>
    <row r="49" spans="1:12" ht="13.5" customHeight="1" x14ac:dyDescent="0.3">
      <c r="A49" s="1" t="s">
        <v>77</v>
      </c>
      <c r="B49" s="1" t="s">
        <v>16</v>
      </c>
      <c r="C49" s="1">
        <v>1</v>
      </c>
      <c r="H49" s="2" t="s">
        <v>22</v>
      </c>
      <c r="I49" s="4">
        <f t="shared" si="13"/>
        <v>0.88888888888888884</v>
      </c>
      <c r="J49" s="4">
        <f t="shared" si="14"/>
        <v>0</v>
      </c>
      <c r="K49" s="4">
        <f t="shared" si="15"/>
        <v>0</v>
      </c>
      <c r="L49" s="4">
        <f t="shared" si="16"/>
        <v>0.1111111111111111</v>
      </c>
    </row>
    <row r="50" spans="1:12" ht="13.5" customHeight="1" x14ac:dyDescent="0.3">
      <c r="A50" s="1" t="s">
        <v>78</v>
      </c>
      <c r="B50" s="1" t="s">
        <v>24</v>
      </c>
      <c r="C50" s="1">
        <v>1</v>
      </c>
      <c r="H50" s="2" t="s">
        <v>25</v>
      </c>
      <c r="I50" s="4">
        <f t="shared" si="13"/>
        <v>1</v>
      </c>
      <c r="J50" s="4">
        <f t="shared" si="14"/>
        <v>0</v>
      </c>
      <c r="K50" s="4">
        <f t="shared" si="15"/>
        <v>0</v>
      </c>
      <c r="L50" s="4">
        <f t="shared" si="16"/>
        <v>0</v>
      </c>
    </row>
    <row r="51" spans="1:12" ht="13.5" customHeight="1" x14ac:dyDescent="0.3">
      <c r="A51" s="1" t="s">
        <v>79</v>
      </c>
      <c r="B51" s="1" t="s">
        <v>27</v>
      </c>
      <c r="C51" s="1">
        <v>1</v>
      </c>
      <c r="H51" s="2" t="s">
        <v>28</v>
      </c>
      <c r="I51" s="4">
        <f t="shared" si="13"/>
        <v>0.58333333333333337</v>
      </c>
      <c r="J51" s="4">
        <f t="shared" si="14"/>
        <v>0.16666666666666666</v>
      </c>
      <c r="K51" s="4">
        <f t="shared" si="15"/>
        <v>0.25</v>
      </c>
      <c r="L51" s="4">
        <f t="shared" si="16"/>
        <v>0</v>
      </c>
    </row>
    <row r="52" spans="1:12" ht="13.5" customHeight="1" x14ac:dyDescent="0.3">
      <c r="A52" s="1" t="s">
        <v>80</v>
      </c>
      <c r="B52" s="1" t="s">
        <v>24</v>
      </c>
      <c r="C52" s="1">
        <v>1</v>
      </c>
      <c r="H52" s="2" t="s">
        <v>27</v>
      </c>
      <c r="I52" s="4">
        <f t="shared" si="13"/>
        <v>0.66666666666666663</v>
      </c>
      <c r="J52" s="4">
        <f t="shared" si="14"/>
        <v>0.13333333333333333</v>
      </c>
      <c r="K52" s="4">
        <f t="shared" si="15"/>
        <v>0.2</v>
      </c>
      <c r="L52" s="4">
        <f t="shared" si="16"/>
        <v>0</v>
      </c>
    </row>
    <row r="53" spans="1:12" ht="13.5" customHeight="1" x14ac:dyDescent="0.3">
      <c r="A53" s="1" t="s">
        <v>81</v>
      </c>
      <c r="B53" s="1" t="s">
        <v>66</v>
      </c>
      <c r="D53" s="1">
        <v>1</v>
      </c>
      <c r="H53" s="2" t="s">
        <v>13</v>
      </c>
      <c r="I53" s="4">
        <f t="shared" si="13"/>
        <v>1</v>
      </c>
      <c r="J53" s="4">
        <f t="shared" si="14"/>
        <v>0</v>
      </c>
      <c r="K53" s="4">
        <f t="shared" si="15"/>
        <v>0</v>
      </c>
      <c r="L53" s="4">
        <f t="shared" si="16"/>
        <v>0</v>
      </c>
    </row>
    <row r="54" spans="1:12" ht="13.5" customHeight="1" x14ac:dyDescent="0.3">
      <c r="A54" s="1" t="s">
        <v>82</v>
      </c>
      <c r="B54" s="1" t="s">
        <v>16</v>
      </c>
      <c r="E54" s="1">
        <v>1</v>
      </c>
      <c r="H54" s="2" t="s">
        <v>30</v>
      </c>
      <c r="I54" s="4">
        <f t="shared" si="13"/>
        <v>0</v>
      </c>
      <c r="J54" s="4">
        <f t="shared" si="14"/>
        <v>1</v>
      </c>
      <c r="K54" s="4">
        <f t="shared" si="15"/>
        <v>0</v>
      </c>
      <c r="L54" s="4">
        <f t="shared" si="16"/>
        <v>0</v>
      </c>
    </row>
    <row r="55" spans="1:12" ht="13.5" customHeight="1" x14ac:dyDescent="0.3">
      <c r="A55" s="1" t="s">
        <v>83</v>
      </c>
      <c r="B55" s="1" t="s">
        <v>14</v>
      </c>
      <c r="C55" s="1">
        <v>1</v>
      </c>
      <c r="H55" s="2" t="s">
        <v>35</v>
      </c>
      <c r="I55" s="4">
        <f t="shared" si="13"/>
        <v>0</v>
      </c>
      <c r="J55" s="4">
        <f t="shared" si="14"/>
        <v>0.6</v>
      </c>
      <c r="K55" s="4">
        <f t="shared" si="15"/>
        <v>0.4</v>
      </c>
      <c r="L55" s="4">
        <f t="shared" si="16"/>
        <v>0</v>
      </c>
    </row>
    <row r="56" spans="1:12" ht="13.5" customHeight="1" x14ac:dyDescent="0.3">
      <c r="A56" s="1" t="s">
        <v>84</v>
      </c>
      <c r="B56" s="1" t="s">
        <v>21</v>
      </c>
      <c r="C56" s="1">
        <v>1</v>
      </c>
      <c r="H56" s="2" t="s">
        <v>38</v>
      </c>
      <c r="I56" s="4">
        <f t="shared" si="13"/>
        <v>0.2857142857142857</v>
      </c>
      <c r="J56" s="4">
        <f t="shared" si="14"/>
        <v>0.14285714285714285</v>
      </c>
      <c r="K56" s="4">
        <f t="shared" si="15"/>
        <v>0.5714285714285714</v>
      </c>
      <c r="L56" s="4">
        <f t="shared" si="16"/>
        <v>0</v>
      </c>
    </row>
    <row r="57" spans="1:12" ht="13.5" customHeight="1" x14ac:dyDescent="0.3">
      <c r="A57" s="1" t="s">
        <v>85</v>
      </c>
      <c r="B57" s="1" t="s">
        <v>33</v>
      </c>
      <c r="C57" s="1">
        <v>1</v>
      </c>
      <c r="H57" s="2" t="s">
        <v>33</v>
      </c>
      <c r="I57" s="4">
        <f t="shared" si="13"/>
        <v>1</v>
      </c>
      <c r="J57" s="4">
        <f t="shared" si="14"/>
        <v>0</v>
      </c>
      <c r="K57" s="4">
        <f t="shared" si="15"/>
        <v>0</v>
      </c>
      <c r="L57" s="4">
        <f t="shared" si="16"/>
        <v>0</v>
      </c>
    </row>
    <row r="58" spans="1:12" ht="13.5" customHeight="1" x14ac:dyDescent="0.3">
      <c r="A58" s="1" t="s">
        <v>86</v>
      </c>
      <c r="B58" s="1" t="s">
        <v>24</v>
      </c>
      <c r="C58" s="1">
        <v>1</v>
      </c>
    </row>
    <row r="59" spans="1:12" ht="13.5" customHeight="1" x14ac:dyDescent="0.3">
      <c r="A59" s="1" t="s">
        <v>87</v>
      </c>
      <c r="B59" s="1" t="s">
        <v>37</v>
      </c>
      <c r="C59" s="1">
        <v>1</v>
      </c>
    </row>
    <row r="60" spans="1:12" ht="13.5" customHeight="1" x14ac:dyDescent="0.3">
      <c r="A60" s="1" t="s">
        <v>88</v>
      </c>
      <c r="B60" s="1" t="s">
        <v>27</v>
      </c>
      <c r="C60" s="1">
        <v>1</v>
      </c>
    </row>
    <row r="61" spans="1:12" ht="13.5" customHeight="1" x14ac:dyDescent="0.3">
      <c r="A61" s="1" t="s">
        <v>89</v>
      </c>
      <c r="B61" s="1" t="s">
        <v>13</v>
      </c>
      <c r="C61" s="1">
        <v>1</v>
      </c>
    </row>
    <row r="62" spans="1:12" ht="13.5" customHeight="1" x14ac:dyDescent="0.3">
      <c r="A62" s="1" t="s">
        <v>90</v>
      </c>
      <c r="B62" s="1" t="s">
        <v>19</v>
      </c>
      <c r="C62" s="1">
        <v>1</v>
      </c>
    </row>
    <row r="63" spans="1:12" ht="13.5" customHeight="1" x14ac:dyDescent="0.3">
      <c r="A63" s="1" t="s">
        <v>91</v>
      </c>
      <c r="B63" s="1" t="s">
        <v>21</v>
      </c>
      <c r="F63" s="1">
        <v>1</v>
      </c>
    </row>
    <row r="64" spans="1:12" ht="13.5" customHeight="1" x14ac:dyDescent="0.3">
      <c r="A64" s="1" t="s">
        <v>92</v>
      </c>
      <c r="B64" s="1" t="s">
        <v>42</v>
      </c>
      <c r="C64" s="1">
        <v>1</v>
      </c>
    </row>
    <row r="65" spans="1:5" ht="13.5" customHeight="1" x14ac:dyDescent="0.3">
      <c r="A65" s="1" t="s">
        <v>93</v>
      </c>
      <c r="B65" s="1" t="s">
        <v>14</v>
      </c>
      <c r="C65" s="1">
        <v>1</v>
      </c>
    </row>
    <row r="66" spans="1:5" ht="13.5" customHeight="1" x14ac:dyDescent="0.3">
      <c r="A66" s="1" t="s">
        <v>94</v>
      </c>
      <c r="B66" s="1" t="s">
        <v>14</v>
      </c>
      <c r="C66" s="1">
        <v>1</v>
      </c>
    </row>
    <row r="67" spans="1:5" ht="13.5" customHeight="1" x14ac:dyDescent="0.3">
      <c r="A67" s="1" t="s">
        <v>95</v>
      </c>
      <c r="B67" s="1" t="s">
        <v>38</v>
      </c>
      <c r="E67" s="1">
        <v>1</v>
      </c>
    </row>
    <row r="68" spans="1:5" ht="13.5" customHeight="1" x14ac:dyDescent="0.3">
      <c r="A68" s="1" t="s">
        <v>96</v>
      </c>
      <c r="B68" s="1" t="s">
        <v>19</v>
      </c>
      <c r="C68" s="1">
        <v>1</v>
      </c>
    </row>
    <row r="69" spans="1:5" ht="13.5" customHeight="1" x14ac:dyDescent="0.3">
      <c r="A69" s="1" t="s">
        <v>97</v>
      </c>
      <c r="B69" s="1" t="s">
        <v>24</v>
      </c>
      <c r="C69" s="1">
        <v>1</v>
      </c>
    </row>
    <row r="70" spans="1:5" ht="13.5" customHeight="1" x14ac:dyDescent="0.3">
      <c r="A70" s="1" t="s">
        <v>98</v>
      </c>
      <c r="B70" s="1" t="s">
        <v>30</v>
      </c>
      <c r="D70" s="1">
        <v>1</v>
      </c>
    </row>
    <row r="71" spans="1:5" ht="13.5" customHeight="1" x14ac:dyDescent="0.3">
      <c r="A71" s="1" t="s">
        <v>99</v>
      </c>
      <c r="B71" s="1" t="s">
        <v>30</v>
      </c>
      <c r="D71" s="1">
        <v>1</v>
      </c>
    </row>
    <row r="72" spans="1:5" ht="13.5" customHeight="1" x14ac:dyDescent="0.3">
      <c r="A72" s="1" t="s">
        <v>100</v>
      </c>
      <c r="B72" s="1" t="s">
        <v>27</v>
      </c>
      <c r="D72" s="1">
        <v>1</v>
      </c>
    </row>
    <row r="73" spans="1:5" ht="13.5" customHeight="1" x14ac:dyDescent="0.3">
      <c r="A73" s="1" t="s">
        <v>101</v>
      </c>
      <c r="B73" s="1" t="s">
        <v>21</v>
      </c>
      <c r="C73" s="1">
        <v>1</v>
      </c>
    </row>
    <row r="74" spans="1:5" ht="13.5" customHeight="1" x14ac:dyDescent="0.3">
      <c r="A74" s="1" t="s">
        <v>102</v>
      </c>
      <c r="B74" s="1" t="s">
        <v>66</v>
      </c>
      <c r="D74" s="1">
        <v>1</v>
      </c>
    </row>
    <row r="75" spans="1:5" ht="13.5" customHeight="1" x14ac:dyDescent="0.3">
      <c r="A75" s="1" t="s">
        <v>103</v>
      </c>
      <c r="B75" s="1" t="s">
        <v>30</v>
      </c>
      <c r="D75" s="1">
        <v>1</v>
      </c>
    </row>
    <row r="76" spans="1:5" ht="13.5" customHeight="1" x14ac:dyDescent="0.3">
      <c r="A76" s="1" t="s">
        <v>104</v>
      </c>
      <c r="B76" s="1" t="s">
        <v>24</v>
      </c>
      <c r="C76" s="1">
        <v>1</v>
      </c>
    </row>
    <row r="77" spans="1:5" ht="13.5" customHeight="1" x14ac:dyDescent="0.3">
      <c r="A77" s="1" t="s">
        <v>105</v>
      </c>
      <c r="B77" s="1" t="s">
        <v>66</v>
      </c>
      <c r="E77" s="1">
        <v>1</v>
      </c>
    </row>
    <row r="78" spans="1:5" ht="13.5" customHeight="1" x14ac:dyDescent="0.3">
      <c r="A78" s="1" t="s">
        <v>106</v>
      </c>
      <c r="B78" s="1" t="s">
        <v>42</v>
      </c>
      <c r="C78" s="1">
        <v>1</v>
      </c>
    </row>
    <row r="79" spans="1:5" ht="13.5" customHeight="1" x14ac:dyDescent="0.3">
      <c r="A79" s="1" t="s">
        <v>107</v>
      </c>
      <c r="B79" s="1" t="s">
        <v>27</v>
      </c>
      <c r="C79" s="1">
        <v>1</v>
      </c>
    </row>
    <row r="80" spans="1:5" ht="13.5" customHeight="1" x14ac:dyDescent="0.3">
      <c r="A80" s="1" t="s">
        <v>108</v>
      </c>
      <c r="B80" s="1" t="s">
        <v>66</v>
      </c>
      <c r="D80" s="1">
        <v>1</v>
      </c>
    </row>
    <row r="81" spans="1:5" ht="13.5" customHeight="1" x14ac:dyDescent="0.3">
      <c r="A81" s="1" t="s">
        <v>109</v>
      </c>
      <c r="B81" s="1" t="s">
        <v>30</v>
      </c>
      <c r="D81" s="1">
        <v>1</v>
      </c>
    </row>
    <row r="82" spans="1:5" ht="13.5" customHeight="1" x14ac:dyDescent="0.3">
      <c r="A82" s="1" t="s">
        <v>110</v>
      </c>
      <c r="B82" s="1" t="s">
        <v>37</v>
      </c>
      <c r="C82" s="1">
        <v>1</v>
      </c>
    </row>
    <row r="83" spans="1:5" ht="13.5" customHeight="1" x14ac:dyDescent="0.3">
      <c r="A83" s="1" t="s">
        <v>111</v>
      </c>
      <c r="B83" s="1" t="s">
        <v>37</v>
      </c>
      <c r="C83" s="1">
        <v>1</v>
      </c>
    </row>
    <row r="84" spans="1:5" ht="13.5" customHeight="1" x14ac:dyDescent="0.3">
      <c r="A84" s="1" t="s">
        <v>112</v>
      </c>
      <c r="B84" s="1" t="s">
        <v>38</v>
      </c>
      <c r="E84" s="1">
        <v>1</v>
      </c>
    </row>
    <row r="85" spans="1:5" ht="13.5" customHeight="1" x14ac:dyDescent="0.3">
      <c r="A85" s="1" t="s">
        <v>113</v>
      </c>
      <c r="B85" s="1" t="s">
        <v>21</v>
      </c>
      <c r="C85" s="1">
        <v>1</v>
      </c>
    </row>
    <row r="86" spans="1:5" ht="13.5" customHeight="1" x14ac:dyDescent="0.3">
      <c r="A86" s="1" t="s">
        <v>114</v>
      </c>
      <c r="B86" s="1" t="s">
        <v>42</v>
      </c>
      <c r="C86" s="1">
        <v>1</v>
      </c>
    </row>
    <row r="87" spans="1:5" ht="13.5" customHeight="1" x14ac:dyDescent="0.3">
      <c r="A87" s="1" t="s">
        <v>115</v>
      </c>
      <c r="B87" s="1" t="s">
        <v>21</v>
      </c>
      <c r="C87" s="1">
        <v>1</v>
      </c>
    </row>
    <row r="88" spans="1:5" ht="13.5" customHeight="1" x14ac:dyDescent="0.3">
      <c r="A88" s="1" t="s">
        <v>116</v>
      </c>
      <c r="B88" s="1" t="s">
        <v>30</v>
      </c>
      <c r="D88" s="1">
        <v>1</v>
      </c>
    </row>
    <row r="89" spans="1:5" ht="13.5" customHeight="1" x14ac:dyDescent="0.3">
      <c r="A89" s="1" t="s">
        <v>117</v>
      </c>
      <c r="B89" s="1" t="s">
        <v>16</v>
      </c>
      <c r="C89" s="1">
        <v>1</v>
      </c>
    </row>
    <row r="90" spans="1:5" ht="13.5" customHeight="1" x14ac:dyDescent="0.3">
      <c r="A90" s="1" t="s">
        <v>118</v>
      </c>
      <c r="B90" s="1" t="s">
        <v>16</v>
      </c>
      <c r="E90" s="1">
        <v>1</v>
      </c>
    </row>
    <row r="91" spans="1:5" ht="13.5" customHeight="1" x14ac:dyDescent="0.3">
      <c r="A91" s="1" t="s">
        <v>119</v>
      </c>
      <c r="B91" s="1" t="s">
        <v>66</v>
      </c>
      <c r="D91" s="1">
        <v>1</v>
      </c>
    </row>
    <row r="92" spans="1:5" ht="13.5" customHeight="1" x14ac:dyDescent="0.3">
      <c r="A92" s="1" t="s">
        <v>120</v>
      </c>
      <c r="B92" s="1" t="s">
        <v>13</v>
      </c>
      <c r="C92" s="1">
        <v>1</v>
      </c>
    </row>
    <row r="93" spans="1:5" ht="13.5" customHeight="1" x14ac:dyDescent="0.3">
      <c r="A93" s="1" t="s">
        <v>121</v>
      </c>
      <c r="B93" s="1" t="s">
        <v>30</v>
      </c>
      <c r="D93" s="1">
        <v>1</v>
      </c>
    </row>
    <row r="94" spans="1:5" ht="13.5" customHeight="1" x14ac:dyDescent="0.3">
      <c r="A94" s="1" t="s">
        <v>122</v>
      </c>
      <c r="B94" s="1" t="s">
        <v>24</v>
      </c>
      <c r="C94" s="1">
        <v>1</v>
      </c>
    </row>
    <row r="95" spans="1:5" ht="13.5" customHeight="1" x14ac:dyDescent="0.3">
      <c r="A95" s="1" t="s">
        <v>123</v>
      </c>
      <c r="B95" s="1" t="s">
        <v>21</v>
      </c>
      <c r="C95" s="1">
        <v>1</v>
      </c>
    </row>
    <row r="96" spans="1:5" ht="13.5" customHeight="1" x14ac:dyDescent="0.3">
      <c r="A96" s="1" t="s">
        <v>124</v>
      </c>
      <c r="B96" s="1" t="s">
        <v>14</v>
      </c>
      <c r="C96" s="1">
        <v>1</v>
      </c>
    </row>
    <row r="97" spans="1:5" ht="13.5" customHeight="1" x14ac:dyDescent="0.3">
      <c r="A97" s="1" t="s">
        <v>125</v>
      </c>
      <c r="B97" s="1" t="s">
        <v>66</v>
      </c>
      <c r="D97" s="1">
        <v>1</v>
      </c>
    </row>
    <row r="98" spans="1:5" ht="13.5" customHeight="1" x14ac:dyDescent="0.3">
      <c r="A98" s="1" t="s">
        <v>126</v>
      </c>
      <c r="B98" s="1" t="s">
        <v>30</v>
      </c>
      <c r="D98" s="1">
        <v>1</v>
      </c>
    </row>
    <row r="99" spans="1:5" ht="13.5" customHeight="1" x14ac:dyDescent="0.3">
      <c r="A99" s="1" t="s">
        <v>127</v>
      </c>
      <c r="B99" s="1" t="s">
        <v>27</v>
      </c>
      <c r="E99" s="1">
        <v>1</v>
      </c>
    </row>
    <row r="100" spans="1:5" ht="13.5" customHeight="1" x14ac:dyDescent="0.3">
      <c r="A100" s="1" t="s">
        <v>128</v>
      </c>
      <c r="B100" s="1" t="s">
        <v>30</v>
      </c>
      <c r="D100" s="1">
        <v>1</v>
      </c>
    </row>
    <row r="101" spans="1:5" ht="13.5" customHeight="1" x14ac:dyDescent="0.3">
      <c r="A101" s="1" t="s">
        <v>129</v>
      </c>
      <c r="B101" s="1" t="s">
        <v>27</v>
      </c>
      <c r="E101" s="1">
        <v>1</v>
      </c>
    </row>
    <row r="102" spans="1:5" ht="13.5" customHeight="1" x14ac:dyDescent="0.3">
      <c r="A102" s="1" t="s">
        <v>130</v>
      </c>
      <c r="B102" s="1" t="s">
        <v>16</v>
      </c>
      <c r="C102" s="1">
        <v>1</v>
      </c>
    </row>
    <row r="103" spans="1:5" ht="13.5" customHeight="1" x14ac:dyDescent="0.3">
      <c r="A103" s="1" t="s">
        <v>131</v>
      </c>
      <c r="B103" s="1" t="s">
        <v>66</v>
      </c>
      <c r="E103" s="1">
        <v>1</v>
      </c>
    </row>
    <row r="104" spans="1:5" ht="13.5" customHeight="1" x14ac:dyDescent="0.3">
      <c r="A104" s="1" t="s">
        <v>132</v>
      </c>
      <c r="B104" s="1" t="s">
        <v>30</v>
      </c>
      <c r="D104" s="1">
        <v>1</v>
      </c>
    </row>
    <row r="105" spans="1:5" ht="13.5" customHeight="1" x14ac:dyDescent="0.3">
      <c r="A105" s="1" t="s">
        <v>133</v>
      </c>
      <c r="B105" s="1" t="s">
        <v>14</v>
      </c>
      <c r="C105" s="1">
        <v>1</v>
      </c>
    </row>
    <row r="106" spans="1:5" ht="13.5" customHeight="1" x14ac:dyDescent="0.3">
      <c r="A106" s="1" t="s">
        <v>134</v>
      </c>
      <c r="B106" s="1" t="s">
        <v>42</v>
      </c>
      <c r="C106" s="1">
        <v>1</v>
      </c>
    </row>
    <row r="107" spans="1:5" ht="13.5" customHeight="1" x14ac:dyDescent="0.3">
      <c r="A107" s="1" t="s">
        <v>135</v>
      </c>
      <c r="B107" s="1" t="s">
        <v>27</v>
      </c>
      <c r="C107" s="1">
        <v>1</v>
      </c>
    </row>
    <row r="108" spans="1:5" ht="13.5" customHeight="1" x14ac:dyDescent="0.3">
      <c r="A108" s="1" t="s">
        <v>136</v>
      </c>
      <c r="B108" s="1" t="s">
        <v>66</v>
      </c>
      <c r="D108" s="1">
        <v>1</v>
      </c>
    </row>
    <row r="109" spans="1:5" ht="13.5" customHeight="1" x14ac:dyDescent="0.3">
      <c r="A109" s="1" t="s">
        <v>137</v>
      </c>
      <c r="B109" s="1" t="s">
        <v>13</v>
      </c>
      <c r="C109" s="1">
        <v>1</v>
      </c>
    </row>
    <row r="110" spans="1:5" ht="13.5" customHeight="1" x14ac:dyDescent="0.3">
      <c r="A110" s="1" t="s">
        <v>138</v>
      </c>
      <c r="B110" s="1" t="s">
        <v>42</v>
      </c>
      <c r="C110" s="1">
        <v>1</v>
      </c>
    </row>
    <row r="111" spans="1:5" ht="13.5" customHeight="1" x14ac:dyDescent="0.3">
      <c r="A111" s="1" t="s">
        <v>139</v>
      </c>
      <c r="B111" s="1" t="s">
        <v>27</v>
      </c>
      <c r="C111" s="1">
        <v>1</v>
      </c>
    </row>
    <row r="112" spans="1:5" ht="13.5" customHeight="1" x14ac:dyDescent="0.3">
      <c r="A112" s="1" t="s">
        <v>140</v>
      </c>
      <c r="B112" s="1" t="s">
        <v>16</v>
      </c>
      <c r="E112" s="1">
        <v>1</v>
      </c>
    </row>
    <row r="113" spans="1:6" ht="13.5" customHeight="1" x14ac:dyDescent="0.3">
      <c r="A113" s="1" t="s">
        <v>141</v>
      </c>
      <c r="B113" s="1" t="s">
        <v>14</v>
      </c>
      <c r="C113" s="1">
        <v>1</v>
      </c>
    </row>
    <row r="114" spans="1:6" ht="13.5" customHeight="1" x14ac:dyDescent="0.3">
      <c r="A114" s="1" t="s">
        <v>142</v>
      </c>
      <c r="B114" s="1" t="s">
        <v>16</v>
      </c>
      <c r="D114" s="1">
        <v>1</v>
      </c>
    </row>
    <row r="115" spans="1:6" ht="13.5" customHeight="1" x14ac:dyDescent="0.3">
      <c r="A115" s="1" t="s">
        <v>143</v>
      </c>
      <c r="B115" s="1" t="s">
        <v>24</v>
      </c>
      <c r="C115" s="1">
        <v>1</v>
      </c>
    </row>
    <row r="116" spans="1:6" ht="13.5" customHeight="1" x14ac:dyDescent="0.3">
      <c r="A116" s="1" t="s">
        <v>144</v>
      </c>
      <c r="B116" s="1" t="s">
        <v>66</v>
      </c>
      <c r="D116" s="1">
        <v>1</v>
      </c>
    </row>
    <row r="117" spans="1:6" ht="13.5" customHeight="1" x14ac:dyDescent="0.3">
      <c r="A117" s="1" t="s">
        <v>145</v>
      </c>
      <c r="B117" s="1" t="s">
        <v>27</v>
      </c>
      <c r="C117" s="1">
        <v>1</v>
      </c>
    </row>
    <row r="118" spans="1:6" ht="13.5" customHeight="1" x14ac:dyDescent="0.3">
      <c r="A118" s="1" t="s">
        <v>146</v>
      </c>
      <c r="B118" s="1" t="s">
        <v>30</v>
      </c>
      <c r="D118" s="1">
        <v>1</v>
      </c>
    </row>
    <row r="119" spans="1:6" ht="13.5" customHeight="1" x14ac:dyDescent="0.3">
      <c r="A119" s="1" t="s">
        <v>147</v>
      </c>
      <c r="B119" s="1" t="s">
        <v>42</v>
      </c>
      <c r="C119" s="1">
        <v>1</v>
      </c>
    </row>
    <row r="120" spans="1:6" ht="13.5" customHeight="1" x14ac:dyDescent="0.3">
      <c r="A120" s="1" t="s">
        <v>148</v>
      </c>
      <c r="B120" s="1" t="s">
        <v>13</v>
      </c>
      <c r="C120" s="1">
        <v>1</v>
      </c>
    </row>
    <row r="121" spans="1:6" ht="13.5" customHeight="1" x14ac:dyDescent="0.3">
      <c r="A121" s="1" t="s">
        <v>149</v>
      </c>
      <c r="B121" s="1" t="s">
        <v>150</v>
      </c>
      <c r="F121" s="1">
        <v>1</v>
      </c>
    </row>
    <row r="122" spans="1:6" ht="13.5" customHeight="1" x14ac:dyDescent="0.3">
      <c r="A122" s="1" t="s">
        <v>151</v>
      </c>
      <c r="B122" s="1" t="s">
        <v>24</v>
      </c>
      <c r="C122" s="1">
        <v>1</v>
      </c>
    </row>
    <row r="123" spans="1:6" ht="13.5" customHeight="1" x14ac:dyDescent="0.3">
      <c r="A123" s="1" t="s">
        <v>152</v>
      </c>
      <c r="B123" s="1" t="s">
        <v>24</v>
      </c>
      <c r="C123" s="1">
        <v>1</v>
      </c>
    </row>
    <row r="124" spans="1:6" ht="13.5" customHeight="1" x14ac:dyDescent="0.3">
      <c r="A124" s="1" t="s">
        <v>153</v>
      </c>
      <c r="B124" s="1" t="s">
        <v>19</v>
      </c>
      <c r="C124" s="1">
        <v>1</v>
      </c>
    </row>
    <row r="125" spans="1:6" ht="13.5" customHeight="1" x14ac:dyDescent="0.3">
      <c r="A125" s="1" t="s">
        <v>154</v>
      </c>
      <c r="B125" s="1" t="s">
        <v>33</v>
      </c>
      <c r="C125" s="1">
        <v>1</v>
      </c>
    </row>
    <row r="126" spans="1:6" ht="13.5" customHeight="1" x14ac:dyDescent="0.3">
      <c r="A126" s="1" t="s">
        <v>155</v>
      </c>
      <c r="B126" s="1" t="s">
        <v>13</v>
      </c>
      <c r="C126" s="1">
        <v>1</v>
      </c>
    </row>
    <row r="127" spans="1:6" ht="13.5" customHeight="1" x14ac:dyDescent="0.3">
      <c r="A127" s="1" t="s">
        <v>156</v>
      </c>
      <c r="B127" s="1" t="s">
        <v>13</v>
      </c>
      <c r="C127" s="1">
        <v>1</v>
      </c>
    </row>
    <row r="128" spans="1:6" ht="13.5" customHeight="1" x14ac:dyDescent="0.3">
      <c r="A128" s="1" t="s">
        <v>157</v>
      </c>
      <c r="B128" s="1" t="s">
        <v>14</v>
      </c>
      <c r="C128" s="1">
        <v>1</v>
      </c>
    </row>
    <row r="129" spans="1:6" ht="13.5" customHeight="1" x14ac:dyDescent="0.3">
      <c r="A129" s="1" t="s">
        <v>158</v>
      </c>
      <c r="B129" s="1" t="s">
        <v>16</v>
      </c>
      <c r="C129" s="1">
        <v>1</v>
      </c>
    </row>
    <row r="130" spans="1:6" ht="13.5" customHeight="1" x14ac:dyDescent="0.3">
      <c r="A130" s="1" t="s">
        <v>159</v>
      </c>
      <c r="B130" s="1" t="s">
        <v>13</v>
      </c>
      <c r="C130" s="1">
        <v>1</v>
      </c>
    </row>
    <row r="131" spans="1:6" ht="13.5" customHeight="1" x14ac:dyDescent="0.3">
      <c r="A131" s="1" t="s">
        <v>160</v>
      </c>
      <c r="B131" s="1" t="s">
        <v>66</v>
      </c>
      <c r="E131" s="1">
        <v>1</v>
      </c>
    </row>
    <row r="132" spans="1:6" ht="13.5" customHeight="1" x14ac:dyDescent="0.3">
      <c r="A132" s="1" t="s">
        <v>161</v>
      </c>
      <c r="B132" s="1" t="s">
        <v>38</v>
      </c>
      <c r="D132" s="1">
        <v>1</v>
      </c>
    </row>
    <row r="133" spans="1:6" ht="13.5" customHeight="1" x14ac:dyDescent="0.3">
      <c r="A133" s="1" t="s">
        <v>162</v>
      </c>
      <c r="B133" s="1" t="s">
        <v>13</v>
      </c>
      <c r="C133" s="1">
        <v>1</v>
      </c>
    </row>
    <row r="134" spans="1:6" ht="13.5" customHeight="1" x14ac:dyDescent="0.3">
      <c r="A134" s="1" t="s">
        <v>163</v>
      </c>
      <c r="B134" s="1" t="s">
        <v>66</v>
      </c>
      <c r="D134" s="1">
        <v>1</v>
      </c>
    </row>
    <row r="135" spans="1:6" ht="13.5" customHeight="1" x14ac:dyDescent="0.3">
      <c r="A135" s="1" t="s">
        <v>164</v>
      </c>
      <c r="B135" s="1" t="s">
        <v>21</v>
      </c>
      <c r="C135" s="1">
        <v>1</v>
      </c>
    </row>
    <row r="136" spans="1:6" ht="13.5" customHeight="1" x14ac:dyDescent="0.3">
      <c r="A136" s="1" t="s">
        <v>165</v>
      </c>
      <c r="B136" s="1" t="s">
        <v>30</v>
      </c>
      <c r="D136" s="1">
        <v>1</v>
      </c>
    </row>
    <row r="137" spans="1:6" ht="13.5" customHeight="1" x14ac:dyDescent="0.3">
      <c r="A137" s="1" t="s">
        <v>166</v>
      </c>
      <c r="B137" s="1" t="s">
        <v>30</v>
      </c>
      <c r="D137" s="1">
        <v>1</v>
      </c>
    </row>
    <row r="138" spans="1:6" ht="13.5" customHeight="1" x14ac:dyDescent="0.3">
      <c r="A138" s="1" t="s">
        <v>167</v>
      </c>
      <c r="B138" s="1" t="s">
        <v>19</v>
      </c>
      <c r="C138" s="1">
        <v>1</v>
      </c>
    </row>
    <row r="139" spans="1:6" ht="13.5" customHeight="1" x14ac:dyDescent="0.3">
      <c r="A139" s="1" t="s">
        <v>168</v>
      </c>
      <c r="B139" s="1" t="s">
        <v>13</v>
      </c>
      <c r="C139" s="1">
        <v>1</v>
      </c>
    </row>
    <row r="140" spans="1:6" ht="13.5" customHeight="1" x14ac:dyDescent="0.3">
      <c r="A140" s="1" t="s">
        <v>169</v>
      </c>
      <c r="B140" s="1" t="s">
        <v>27</v>
      </c>
      <c r="E140" s="1">
        <v>1</v>
      </c>
    </row>
    <row r="141" spans="1:6" ht="13.5" customHeight="1" x14ac:dyDescent="0.3">
      <c r="A141" s="1" t="s">
        <v>170</v>
      </c>
      <c r="B141" s="1" t="s">
        <v>16</v>
      </c>
      <c r="C141" s="1">
        <v>1</v>
      </c>
    </row>
    <row r="142" spans="1:6" ht="13.5" customHeight="1" x14ac:dyDescent="0.3">
      <c r="A142" s="1" t="s">
        <v>171</v>
      </c>
      <c r="B142" s="1" t="s">
        <v>19</v>
      </c>
      <c r="F142" s="1">
        <v>1</v>
      </c>
    </row>
    <row r="143" spans="1:6" ht="13.5" customHeight="1" x14ac:dyDescent="0.3">
      <c r="A143" s="1" t="s">
        <v>172</v>
      </c>
      <c r="B143" s="1" t="s">
        <v>37</v>
      </c>
      <c r="C143" s="1">
        <v>1</v>
      </c>
    </row>
    <row r="144" spans="1:6" ht="13.5" customHeight="1" x14ac:dyDescent="0.3">
      <c r="A144" s="1" t="s">
        <v>173</v>
      </c>
      <c r="B144" s="1" t="s">
        <v>27</v>
      </c>
      <c r="C144" s="1">
        <v>1</v>
      </c>
    </row>
    <row r="145" spans="1:6" ht="13.5" customHeight="1" x14ac:dyDescent="0.3">
      <c r="A145" s="1" t="s">
        <v>174</v>
      </c>
      <c r="B145" s="1" t="s">
        <v>66</v>
      </c>
      <c r="D145" s="1">
        <v>1</v>
      </c>
    </row>
    <row r="146" spans="1:6" ht="13.5" customHeight="1" x14ac:dyDescent="0.3">
      <c r="A146" s="1" t="s">
        <v>175</v>
      </c>
      <c r="B146" s="1" t="s">
        <v>14</v>
      </c>
      <c r="C146" s="1">
        <v>1</v>
      </c>
    </row>
    <row r="147" spans="1:6" ht="13.5" customHeight="1" x14ac:dyDescent="0.3">
      <c r="A147" s="1" t="s">
        <v>176</v>
      </c>
      <c r="B147" s="1" t="s">
        <v>66</v>
      </c>
      <c r="E147" s="1">
        <v>1</v>
      </c>
    </row>
    <row r="148" spans="1:6" ht="13.5" customHeight="1" x14ac:dyDescent="0.3">
      <c r="A148" s="1" t="s">
        <v>177</v>
      </c>
      <c r="B148" s="1" t="s">
        <v>42</v>
      </c>
      <c r="C148" s="1">
        <v>1</v>
      </c>
    </row>
    <row r="149" spans="1:6" ht="13.5" customHeight="1" x14ac:dyDescent="0.3">
      <c r="A149" s="1" t="s">
        <v>178</v>
      </c>
      <c r="B149" s="1" t="s">
        <v>33</v>
      </c>
      <c r="C149" s="1">
        <v>1</v>
      </c>
    </row>
    <row r="150" spans="1:6" ht="13.5" customHeight="1" x14ac:dyDescent="0.3">
      <c r="A150" s="1" t="s">
        <v>179</v>
      </c>
      <c r="B150" s="1" t="s">
        <v>14</v>
      </c>
      <c r="C150" s="1">
        <v>1</v>
      </c>
    </row>
    <row r="151" spans="1:6" ht="13.5" customHeight="1" x14ac:dyDescent="0.3">
      <c r="A151" s="1" t="s">
        <v>180</v>
      </c>
      <c r="B151" s="1" t="s">
        <v>13</v>
      </c>
      <c r="C151" s="1">
        <v>1</v>
      </c>
    </row>
    <row r="152" spans="1:6" ht="13.5" customHeight="1" x14ac:dyDescent="0.3">
      <c r="A152" s="1" t="s">
        <v>181</v>
      </c>
      <c r="B152" s="1" t="s">
        <v>24</v>
      </c>
      <c r="C152" s="1">
        <v>1</v>
      </c>
    </row>
    <row r="153" spans="1:6" ht="13.5" customHeight="1" x14ac:dyDescent="0.3">
      <c r="A153" s="1" t="s">
        <v>182</v>
      </c>
      <c r="B153" s="1" t="s">
        <v>19</v>
      </c>
      <c r="C153" s="1">
        <v>1</v>
      </c>
    </row>
    <row r="154" spans="1:6" ht="13.5" customHeight="1" x14ac:dyDescent="0.3">
      <c r="A154" s="1" t="s">
        <v>183</v>
      </c>
      <c r="B154" s="1" t="s">
        <v>42</v>
      </c>
      <c r="C154" s="1">
        <v>1</v>
      </c>
    </row>
    <row r="155" spans="1:6" ht="13.5" customHeight="1" x14ac:dyDescent="0.3">
      <c r="A155" s="1" t="s">
        <v>184</v>
      </c>
      <c r="B155" s="1" t="s">
        <v>19</v>
      </c>
      <c r="F155" s="1">
        <v>1</v>
      </c>
    </row>
    <row r="156" spans="1:6" ht="13.5" customHeight="1" x14ac:dyDescent="0.3">
      <c r="A156" s="1" t="s">
        <v>185</v>
      </c>
      <c r="B156" s="1" t="s">
        <v>30</v>
      </c>
      <c r="D156" s="1">
        <v>1</v>
      </c>
    </row>
    <row r="157" spans="1:6" ht="13.5" customHeight="1" x14ac:dyDescent="0.3"/>
    <row r="158" spans="1:6" ht="13.5" customHeight="1" x14ac:dyDescent="0.3"/>
    <row r="159" spans="1:6" ht="13.5" customHeight="1" x14ac:dyDescent="0.3"/>
    <row r="160" spans="1:6" ht="13.5" customHeight="1" x14ac:dyDescent="0.3"/>
    <row r="161" s="1" customFormat="1" ht="13.5" customHeight="1" x14ac:dyDescent="0.3"/>
    <row r="162" s="1" customFormat="1" ht="13.5" customHeight="1" x14ac:dyDescent="0.3"/>
    <row r="163" s="1" customFormat="1" ht="13.5" customHeight="1" x14ac:dyDescent="0.3"/>
    <row r="164" s="1" customFormat="1" ht="13.5" customHeight="1" x14ac:dyDescent="0.3"/>
    <row r="165" s="1" customFormat="1" ht="13.5" customHeight="1" x14ac:dyDescent="0.3"/>
    <row r="166" s="1" customFormat="1" ht="13.5" customHeight="1" x14ac:dyDescent="0.3"/>
    <row r="167" s="1" customFormat="1" ht="13.5" customHeight="1" x14ac:dyDescent="0.3"/>
    <row r="168" s="1" customFormat="1" ht="13.5" customHeight="1" x14ac:dyDescent="0.3"/>
    <row r="169" s="1" customFormat="1" ht="13.5" customHeight="1" x14ac:dyDescent="0.3"/>
    <row r="170" s="1" customFormat="1" ht="13.5" customHeight="1" x14ac:dyDescent="0.3"/>
    <row r="171" s="1" customFormat="1" ht="13.5" customHeight="1" x14ac:dyDescent="0.3"/>
    <row r="172" s="1" customFormat="1" ht="13.5" customHeight="1" x14ac:dyDescent="0.3"/>
    <row r="173" s="1" customFormat="1" ht="13.5" customHeight="1" x14ac:dyDescent="0.3"/>
    <row r="174" s="1" customFormat="1" ht="13.5" customHeight="1" x14ac:dyDescent="0.3"/>
    <row r="175" s="1" customFormat="1" ht="13.5" customHeight="1" x14ac:dyDescent="0.3"/>
    <row r="176" s="1" customFormat="1" ht="13.5" customHeight="1" x14ac:dyDescent="0.3"/>
    <row r="177" s="1" customFormat="1" ht="13.5" customHeight="1" x14ac:dyDescent="0.3"/>
    <row r="178" s="1" customFormat="1" ht="13.5" customHeight="1" x14ac:dyDescent="0.3"/>
    <row r="179" s="1" customFormat="1" ht="13.5" customHeight="1" x14ac:dyDescent="0.3"/>
    <row r="180" s="1" customFormat="1" ht="13.5" customHeight="1" x14ac:dyDescent="0.3"/>
    <row r="181" s="1" customFormat="1" ht="13.5" customHeight="1" x14ac:dyDescent="0.3"/>
    <row r="182" s="1" customFormat="1" ht="13.5" customHeight="1" x14ac:dyDescent="0.3"/>
    <row r="183" s="1" customFormat="1" ht="13.5" customHeight="1" x14ac:dyDescent="0.3"/>
    <row r="184" s="1" customFormat="1" ht="13.5" customHeight="1" x14ac:dyDescent="0.3"/>
    <row r="185" s="1" customFormat="1" ht="13.5" customHeight="1" x14ac:dyDescent="0.3"/>
    <row r="186" s="1" customFormat="1" ht="13.5" customHeight="1" x14ac:dyDescent="0.3"/>
    <row r="187" s="1" customFormat="1" ht="13.5" customHeight="1" x14ac:dyDescent="0.3"/>
    <row r="188" s="1" customFormat="1" ht="13.5" customHeight="1" x14ac:dyDescent="0.3"/>
    <row r="189" s="1" customFormat="1" ht="13.5" customHeight="1" x14ac:dyDescent="0.3"/>
    <row r="190" s="1" customFormat="1" ht="13.5" customHeight="1" x14ac:dyDescent="0.3"/>
    <row r="191" s="1" customFormat="1" ht="13.5" customHeight="1" x14ac:dyDescent="0.3"/>
    <row r="192" s="1" customFormat="1" ht="13.5" customHeight="1" x14ac:dyDescent="0.3"/>
    <row r="193" s="1" customFormat="1" ht="13.5" customHeight="1" x14ac:dyDescent="0.3"/>
    <row r="194" s="1" customFormat="1" ht="13.5" customHeight="1" x14ac:dyDescent="0.3"/>
    <row r="195" s="1" customFormat="1" ht="13.5" customHeight="1" x14ac:dyDescent="0.3"/>
    <row r="196" s="1" customFormat="1" ht="13.5" customHeight="1" x14ac:dyDescent="0.3"/>
    <row r="197" s="1" customFormat="1" ht="13.5" customHeight="1" x14ac:dyDescent="0.3"/>
    <row r="198" s="1" customFormat="1" ht="13.5" customHeight="1" x14ac:dyDescent="0.3"/>
    <row r="199" s="1" customFormat="1" ht="13.5" customHeight="1" x14ac:dyDescent="0.3"/>
    <row r="200" s="1" customFormat="1" ht="13.5" customHeight="1" x14ac:dyDescent="0.3"/>
    <row r="201" s="1" customFormat="1" ht="13.5" customHeight="1" x14ac:dyDescent="0.3"/>
    <row r="202" s="1" customFormat="1" ht="13.5" customHeight="1" x14ac:dyDescent="0.3"/>
    <row r="203" s="1" customFormat="1" ht="13.5" customHeight="1" x14ac:dyDescent="0.3"/>
    <row r="204" s="1" customFormat="1" ht="13.5" customHeight="1" x14ac:dyDescent="0.3"/>
    <row r="205" s="1" customFormat="1" ht="13.5" customHeight="1" x14ac:dyDescent="0.3"/>
    <row r="206" s="1" customFormat="1" ht="13.5" customHeight="1" x14ac:dyDescent="0.3"/>
    <row r="207" s="1" customFormat="1" ht="13.5" customHeight="1" x14ac:dyDescent="0.3"/>
    <row r="208" s="1" customFormat="1" ht="13.5" customHeight="1" x14ac:dyDescent="0.3"/>
    <row r="209" s="1" customFormat="1" ht="13.5" customHeight="1" x14ac:dyDescent="0.3"/>
    <row r="210" s="1" customFormat="1" ht="13.5" customHeight="1" x14ac:dyDescent="0.3"/>
    <row r="211" s="1" customFormat="1" ht="13.5" customHeight="1" x14ac:dyDescent="0.3"/>
    <row r="212" s="1" customFormat="1" ht="13.5" customHeight="1" x14ac:dyDescent="0.3"/>
    <row r="213" s="1" customFormat="1" ht="13.5" customHeight="1" x14ac:dyDescent="0.3"/>
    <row r="214" s="1" customFormat="1" ht="13.5" customHeight="1" x14ac:dyDescent="0.3"/>
    <row r="215" s="1" customFormat="1" ht="13.5" customHeight="1" x14ac:dyDescent="0.3"/>
    <row r="216" s="1" customFormat="1" ht="13.5" customHeight="1" x14ac:dyDescent="0.3"/>
    <row r="217" s="1" customFormat="1" ht="13.5" customHeight="1" x14ac:dyDescent="0.3"/>
    <row r="218" s="1" customFormat="1" ht="13.5" customHeight="1" x14ac:dyDescent="0.3"/>
    <row r="219" s="1" customFormat="1" ht="13.5" customHeight="1" x14ac:dyDescent="0.3"/>
    <row r="220" s="1" customFormat="1" ht="13.5" customHeight="1" x14ac:dyDescent="0.3"/>
    <row r="221" s="1" customFormat="1" ht="13.5" customHeight="1" x14ac:dyDescent="0.3"/>
    <row r="222" s="1" customFormat="1" ht="13.5" customHeight="1" x14ac:dyDescent="0.3"/>
    <row r="223" s="1" customFormat="1" ht="13.5" customHeight="1" x14ac:dyDescent="0.3"/>
    <row r="224" s="1" customFormat="1" ht="13.5" customHeight="1" x14ac:dyDescent="0.3"/>
    <row r="225" s="1" customFormat="1" ht="13.5" customHeight="1" x14ac:dyDescent="0.3"/>
    <row r="226" s="1" customFormat="1" ht="13.5" customHeight="1" x14ac:dyDescent="0.3"/>
    <row r="227" s="1" customFormat="1" ht="13.5" customHeight="1" x14ac:dyDescent="0.3"/>
    <row r="228" s="1" customFormat="1" ht="13.5" customHeight="1" x14ac:dyDescent="0.3"/>
    <row r="229" s="1" customFormat="1" ht="13.5" customHeight="1" x14ac:dyDescent="0.3"/>
    <row r="230" s="1" customFormat="1" ht="13.5" customHeight="1" x14ac:dyDescent="0.3"/>
    <row r="231" s="1" customFormat="1" ht="13.5" customHeight="1" x14ac:dyDescent="0.3"/>
    <row r="232" s="1" customFormat="1" ht="13.5" customHeight="1" x14ac:dyDescent="0.3"/>
    <row r="233" s="1" customFormat="1" ht="13.5" customHeight="1" x14ac:dyDescent="0.3"/>
    <row r="234" s="1" customFormat="1" ht="13.5" customHeight="1" x14ac:dyDescent="0.3"/>
    <row r="235" s="1" customFormat="1" ht="13.5" customHeight="1" x14ac:dyDescent="0.3"/>
    <row r="236" s="1" customFormat="1" ht="13.5" customHeight="1" x14ac:dyDescent="0.3"/>
    <row r="237" s="1" customFormat="1" ht="13.5" customHeight="1" x14ac:dyDescent="0.3"/>
    <row r="238" s="1" customFormat="1" ht="13.5" customHeight="1" x14ac:dyDescent="0.3"/>
    <row r="239" s="1" customFormat="1" ht="13.5" customHeight="1" x14ac:dyDescent="0.3"/>
    <row r="240" s="1" customFormat="1" ht="13.5" customHeight="1" x14ac:dyDescent="0.3"/>
    <row r="241" s="1" customFormat="1" ht="13.5" customHeight="1" x14ac:dyDescent="0.3"/>
    <row r="242" s="1" customFormat="1" ht="13.5" customHeight="1" x14ac:dyDescent="0.3"/>
    <row r="243" s="1" customFormat="1" ht="13.5" customHeight="1" x14ac:dyDescent="0.3"/>
    <row r="244" s="1" customFormat="1" ht="13.5" customHeight="1" x14ac:dyDescent="0.3"/>
    <row r="245" s="1" customFormat="1" ht="13.5" customHeight="1" x14ac:dyDescent="0.3"/>
    <row r="246" s="1" customFormat="1" ht="13.5" customHeight="1" x14ac:dyDescent="0.3"/>
    <row r="247" s="1" customFormat="1" ht="13.5" customHeight="1" x14ac:dyDescent="0.3"/>
    <row r="248" s="1" customFormat="1" ht="13.5" customHeight="1" x14ac:dyDescent="0.3"/>
    <row r="249" s="1" customFormat="1" ht="13.5" customHeight="1" x14ac:dyDescent="0.3"/>
    <row r="250" s="1" customFormat="1" ht="13.5" customHeight="1" x14ac:dyDescent="0.3"/>
    <row r="251" s="1" customFormat="1" ht="13.5" customHeight="1" x14ac:dyDescent="0.3"/>
    <row r="252" s="1" customFormat="1" ht="13.5" customHeight="1" x14ac:dyDescent="0.3"/>
    <row r="253" s="1" customFormat="1" ht="13.5" customHeight="1" x14ac:dyDescent="0.3"/>
    <row r="254" s="1" customFormat="1" ht="13.5" customHeight="1" x14ac:dyDescent="0.3"/>
    <row r="255" s="1" customFormat="1" ht="13.5" customHeight="1" x14ac:dyDescent="0.3"/>
    <row r="256" s="1" customFormat="1" ht="13.5" customHeight="1" x14ac:dyDescent="0.3"/>
    <row r="257" s="1" customFormat="1" ht="13.5" customHeight="1" x14ac:dyDescent="0.3"/>
    <row r="258" s="1" customFormat="1" ht="13.5" customHeight="1" x14ac:dyDescent="0.3"/>
    <row r="259" s="1" customFormat="1" ht="13.5" customHeight="1" x14ac:dyDescent="0.3"/>
    <row r="260" s="1" customFormat="1" ht="13.5" customHeight="1" x14ac:dyDescent="0.3"/>
    <row r="261" s="1" customFormat="1" ht="13.5" customHeight="1" x14ac:dyDescent="0.3"/>
    <row r="262" s="1" customFormat="1" ht="13.5" customHeight="1" x14ac:dyDescent="0.3"/>
    <row r="263" s="1" customFormat="1" ht="13.5" customHeight="1" x14ac:dyDescent="0.3"/>
    <row r="264" s="1" customFormat="1" ht="13.5" customHeight="1" x14ac:dyDescent="0.3"/>
    <row r="265" s="1" customFormat="1" ht="13.5" customHeight="1" x14ac:dyDescent="0.3"/>
    <row r="266" s="1" customFormat="1" ht="13.5" customHeight="1" x14ac:dyDescent="0.3"/>
    <row r="267" s="1" customFormat="1" ht="13.5" customHeight="1" x14ac:dyDescent="0.3"/>
    <row r="268" s="1" customFormat="1" ht="13.5" customHeight="1" x14ac:dyDescent="0.3"/>
    <row r="269" s="1" customFormat="1" ht="13.5" customHeight="1" x14ac:dyDescent="0.3"/>
    <row r="270" s="1" customFormat="1" ht="13.5" customHeight="1" x14ac:dyDescent="0.3"/>
    <row r="271" s="1" customFormat="1" ht="13.5" customHeight="1" x14ac:dyDescent="0.3"/>
    <row r="272" s="1" customFormat="1" ht="13.5" customHeight="1" x14ac:dyDescent="0.3"/>
    <row r="273" s="1" customFormat="1" ht="13.5" customHeight="1" x14ac:dyDescent="0.3"/>
    <row r="274" s="1" customFormat="1" ht="13.5" customHeight="1" x14ac:dyDescent="0.3"/>
    <row r="275" s="1" customFormat="1" ht="13.5" customHeight="1" x14ac:dyDescent="0.3"/>
    <row r="276" s="1" customFormat="1" ht="13.5" customHeight="1" x14ac:dyDescent="0.3"/>
    <row r="277" s="1" customFormat="1" ht="13.5" customHeight="1" x14ac:dyDescent="0.3"/>
    <row r="278" s="1" customFormat="1" ht="13.5" customHeight="1" x14ac:dyDescent="0.3"/>
    <row r="279" s="1" customFormat="1" ht="13.5" customHeight="1" x14ac:dyDescent="0.3"/>
    <row r="280" s="1" customFormat="1" ht="13.5" customHeight="1" x14ac:dyDescent="0.3"/>
    <row r="281" s="1" customFormat="1" ht="13.5" customHeight="1" x14ac:dyDescent="0.3"/>
    <row r="282" s="1" customFormat="1" ht="13.5" customHeight="1" x14ac:dyDescent="0.3"/>
    <row r="283" s="1" customFormat="1" ht="13.5" customHeight="1" x14ac:dyDescent="0.3"/>
    <row r="284" s="1" customFormat="1" ht="13.5" customHeight="1" x14ac:dyDescent="0.3"/>
    <row r="285" s="1" customFormat="1" ht="13.5" customHeight="1" x14ac:dyDescent="0.3"/>
    <row r="286" s="1" customFormat="1" ht="13.5" customHeight="1" x14ac:dyDescent="0.3"/>
    <row r="287" s="1" customFormat="1" ht="13.5" customHeight="1" x14ac:dyDescent="0.3"/>
    <row r="288" s="1" customFormat="1" ht="13.5" customHeight="1" x14ac:dyDescent="0.3"/>
    <row r="289" s="1" customFormat="1" ht="13.5" customHeight="1" x14ac:dyDescent="0.3"/>
    <row r="290" s="1" customFormat="1" ht="13.5" customHeight="1" x14ac:dyDescent="0.3"/>
    <row r="291" s="1" customFormat="1" ht="13.5" customHeight="1" x14ac:dyDescent="0.3"/>
    <row r="292" s="1" customFormat="1" ht="13.5" customHeight="1" x14ac:dyDescent="0.3"/>
    <row r="293" s="1" customFormat="1" ht="13.5" customHeight="1" x14ac:dyDescent="0.3"/>
    <row r="294" s="1" customFormat="1" ht="13.5" customHeight="1" x14ac:dyDescent="0.3"/>
    <row r="295" s="1" customFormat="1" ht="13.5" customHeight="1" x14ac:dyDescent="0.3"/>
    <row r="296" s="1" customFormat="1" ht="13.5" customHeight="1" x14ac:dyDescent="0.3"/>
    <row r="297" s="1" customFormat="1" ht="13.5" customHeight="1" x14ac:dyDescent="0.3"/>
    <row r="298" s="1" customFormat="1" ht="13.5" customHeight="1" x14ac:dyDescent="0.3"/>
    <row r="299" s="1" customFormat="1" ht="13.5" customHeight="1" x14ac:dyDescent="0.3"/>
    <row r="300" s="1" customFormat="1" ht="13.5" customHeight="1" x14ac:dyDescent="0.3"/>
    <row r="301" s="1" customFormat="1" ht="13.5" customHeight="1" x14ac:dyDescent="0.3"/>
    <row r="302" s="1" customFormat="1" ht="13.5" customHeight="1" x14ac:dyDescent="0.3"/>
    <row r="303" s="1" customFormat="1" ht="13.5" customHeight="1" x14ac:dyDescent="0.3"/>
    <row r="304" s="1" customFormat="1" ht="13.5" customHeight="1" x14ac:dyDescent="0.3"/>
    <row r="305" s="1" customFormat="1" ht="13.5" customHeight="1" x14ac:dyDescent="0.3"/>
    <row r="306" s="1" customFormat="1" ht="13.5" customHeight="1" x14ac:dyDescent="0.3"/>
    <row r="307" s="1" customFormat="1" ht="13.5" customHeight="1" x14ac:dyDescent="0.3"/>
    <row r="308" s="1" customFormat="1" ht="13.5" customHeight="1" x14ac:dyDescent="0.3"/>
    <row r="309" s="1" customFormat="1" ht="13.5" customHeight="1" x14ac:dyDescent="0.3"/>
    <row r="310" s="1" customFormat="1" ht="13.5" customHeight="1" x14ac:dyDescent="0.3"/>
    <row r="311" s="1" customFormat="1" ht="13.5" customHeight="1" x14ac:dyDescent="0.3"/>
    <row r="312" s="1" customFormat="1" ht="13.5" customHeight="1" x14ac:dyDescent="0.3"/>
    <row r="313" s="1" customFormat="1" ht="13.5" customHeight="1" x14ac:dyDescent="0.3"/>
    <row r="314" s="1" customFormat="1" ht="13.5" customHeight="1" x14ac:dyDescent="0.3"/>
    <row r="315" s="1" customFormat="1" ht="13.5" customHeight="1" x14ac:dyDescent="0.3"/>
    <row r="316" s="1" customFormat="1" ht="13.5" customHeight="1" x14ac:dyDescent="0.3"/>
    <row r="317" s="1" customFormat="1" ht="13.5" customHeight="1" x14ac:dyDescent="0.3"/>
    <row r="318" s="1" customFormat="1" ht="13.5" customHeight="1" x14ac:dyDescent="0.3"/>
    <row r="319" s="1" customFormat="1" ht="13.5" customHeight="1" x14ac:dyDescent="0.3"/>
    <row r="320" s="1" customFormat="1" ht="13.5" customHeight="1" x14ac:dyDescent="0.3"/>
    <row r="321" s="1" customFormat="1" ht="13.5" customHeight="1" x14ac:dyDescent="0.3"/>
    <row r="322" s="1" customFormat="1" ht="13.5" customHeight="1" x14ac:dyDescent="0.3"/>
    <row r="323" s="1" customFormat="1" ht="13.5" customHeight="1" x14ac:dyDescent="0.3"/>
    <row r="324" s="1" customFormat="1" ht="13.5" customHeight="1" x14ac:dyDescent="0.3"/>
    <row r="325" s="1" customFormat="1" ht="13.5" customHeight="1" x14ac:dyDescent="0.3"/>
    <row r="326" s="1" customFormat="1" ht="13.5" customHeight="1" x14ac:dyDescent="0.3"/>
    <row r="327" s="1" customFormat="1" ht="13.5" customHeight="1" x14ac:dyDescent="0.3"/>
    <row r="328" s="1" customFormat="1" ht="13.5" customHeight="1" x14ac:dyDescent="0.3"/>
    <row r="329" s="1" customFormat="1" ht="13.5" customHeight="1" x14ac:dyDescent="0.3"/>
    <row r="330" s="1" customFormat="1" ht="13.5" customHeight="1" x14ac:dyDescent="0.3"/>
    <row r="331" s="1" customFormat="1" ht="13.5" customHeight="1" x14ac:dyDescent="0.3"/>
    <row r="332" s="1" customFormat="1" ht="13.5" customHeight="1" x14ac:dyDescent="0.3"/>
    <row r="333" s="1" customFormat="1" ht="13.5" customHeight="1" x14ac:dyDescent="0.3"/>
    <row r="334" s="1" customFormat="1" ht="13.5" customHeight="1" x14ac:dyDescent="0.3"/>
    <row r="335" s="1" customFormat="1" ht="13.5" customHeight="1" x14ac:dyDescent="0.3"/>
    <row r="336" s="1" customFormat="1" ht="13.5" customHeight="1" x14ac:dyDescent="0.3"/>
    <row r="337" s="1" customFormat="1" ht="13.5" customHeight="1" x14ac:dyDescent="0.3"/>
    <row r="338" s="1" customFormat="1" ht="13.5" customHeight="1" x14ac:dyDescent="0.3"/>
    <row r="339" s="1" customFormat="1" ht="13.5" customHeight="1" x14ac:dyDescent="0.3"/>
    <row r="340" s="1" customFormat="1" ht="13.5" customHeight="1" x14ac:dyDescent="0.3"/>
    <row r="341" s="1" customFormat="1" ht="13.5" customHeight="1" x14ac:dyDescent="0.3"/>
    <row r="342" s="1" customFormat="1" ht="13.5" customHeight="1" x14ac:dyDescent="0.3"/>
    <row r="343" s="1" customFormat="1" ht="13.5" customHeight="1" x14ac:dyDescent="0.3"/>
    <row r="344" s="1" customFormat="1" ht="13.5" customHeight="1" x14ac:dyDescent="0.3"/>
    <row r="345" s="1" customFormat="1" ht="13.5" customHeight="1" x14ac:dyDescent="0.3"/>
    <row r="346" s="1" customFormat="1" ht="13.5" customHeight="1" x14ac:dyDescent="0.3"/>
    <row r="347" s="1" customFormat="1" ht="13.5" customHeight="1" x14ac:dyDescent="0.3"/>
    <row r="348" s="1" customFormat="1" ht="13.5" customHeight="1" x14ac:dyDescent="0.3"/>
    <row r="349" s="1" customFormat="1" ht="13.5" customHeight="1" x14ac:dyDescent="0.3"/>
    <row r="350" s="1" customFormat="1" ht="13.5" customHeight="1" x14ac:dyDescent="0.3"/>
    <row r="351" s="1" customFormat="1" ht="13.5" customHeight="1" x14ac:dyDescent="0.3"/>
    <row r="352" s="1" customFormat="1" ht="13.5" customHeight="1" x14ac:dyDescent="0.3"/>
    <row r="353" s="1" customFormat="1" ht="13.5" customHeight="1" x14ac:dyDescent="0.3"/>
    <row r="354" s="1" customFormat="1" ht="13.5" customHeight="1" x14ac:dyDescent="0.3"/>
    <row r="355" s="1" customFormat="1" ht="13.5" customHeight="1" x14ac:dyDescent="0.3"/>
    <row r="356" s="1" customFormat="1" ht="13.5" customHeight="1" x14ac:dyDescent="0.3"/>
    <row r="357" s="1" customFormat="1" ht="13.5" customHeight="1" x14ac:dyDescent="0.3"/>
    <row r="358" s="1" customFormat="1" ht="13.5" customHeight="1" x14ac:dyDescent="0.3"/>
    <row r="359" s="1" customFormat="1" ht="13.5" customHeight="1" x14ac:dyDescent="0.3"/>
    <row r="360" s="1" customFormat="1" ht="13.5" customHeight="1" x14ac:dyDescent="0.3"/>
    <row r="361" s="1" customFormat="1" ht="13.5" customHeight="1" x14ac:dyDescent="0.3"/>
    <row r="362" s="1" customFormat="1" ht="13.5" customHeight="1" x14ac:dyDescent="0.3"/>
    <row r="363" s="1" customFormat="1" ht="13.5" customHeight="1" x14ac:dyDescent="0.3"/>
    <row r="364" s="1" customFormat="1" ht="13.5" customHeight="1" x14ac:dyDescent="0.3"/>
    <row r="365" s="1" customFormat="1" ht="13.5" customHeight="1" x14ac:dyDescent="0.3"/>
    <row r="366" s="1" customFormat="1" ht="13.5" customHeight="1" x14ac:dyDescent="0.3"/>
    <row r="367" s="1" customFormat="1" ht="13.5" customHeight="1" x14ac:dyDescent="0.3"/>
    <row r="368" s="1" customFormat="1" ht="13.5" customHeight="1" x14ac:dyDescent="0.3"/>
    <row r="369" s="1" customFormat="1" ht="13.5" customHeight="1" x14ac:dyDescent="0.3"/>
    <row r="370" s="1" customFormat="1" ht="13.5" customHeight="1" x14ac:dyDescent="0.3"/>
    <row r="371" s="1" customFormat="1" ht="13.5" customHeight="1" x14ac:dyDescent="0.3"/>
    <row r="372" s="1" customFormat="1" ht="13.5" customHeight="1" x14ac:dyDescent="0.3"/>
    <row r="373" s="1" customFormat="1" ht="13.5" customHeight="1" x14ac:dyDescent="0.3"/>
    <row r="374" s="1" customFormat="1" ht="13.5" customHeight="1" x14ac:dyDescent="0.3"/>
    <row r="375" s="1" customFormat="1" ht="13.5" customHeight="1" x14ac:dyDescent="0.3"/>
    <row r="376" s="1" customFormat="1" ht="13.5" customHeight="1" x14ac:dyDescent="0.3"/>
    <row r="377" s="1" customFormat="1" ht="13.5" customHeight="1" x14ac:dyDescent="0.3"/>
    <row r="378" s="1" customFormat="1" ht="13.5" customHeight="1" x14ac:dyDescent="0.3"/>
    <row r="379" s="1" customFormat="1" ht="13.5" customHeight="1" x14ac:dyDescent="0.3"/>
    <row r="380" s="1" customFormat="1" ht="13.5" customHeight="1" x14ac:dyDescent="0.3"/>
    <row r="381" s="1" customFormat="1" ht="13.5" customHeight="1" x14ac:dyDescent="0.3"/>
    <row r="382" s="1" customFormat="1" ht="13.5" customHeight="1" x14ac:dyDescent="0.3"/>
    <row r="383" s="1" customFormat="1" ht="13.5" customHeight="1" x14ac:dyDescent="0.3"/>
    <row r="384" s="1" customFormat="1" ht="13.5" customHeight="1" x14ac:dyDescent="0.3"/>
    <row r="385" s="1" customFormat="1" ht="13.5" customHeight="1" x14ac:dyDescent="0.3"/>
    <row r="386" s="1" customFormat="1" ht="13.5" customHeight="1" x14ac:dyDescent="0.3"/>
    <row r="387" s="1" customFormat="1" ht="13.5" customHeight="1" x14ac:dyDescent="0.3"/>
    <row r="388" s="1" customFormat="1" ht="13.5" customHeight="1" x14ac:dyDescent="0.3"/>
    <row r="389" s="1" customFormat="1" ht="13.5" customHeight="1" x14ac:dyDescent="0.3"/>
    <row r="390" s="1" customFormat="1" ht="13.5" customHeight="1" x14ac:dyDescent="0.3"/>
    <row r="391" s="1" customFormat="1" ht="13.5" customHeight="1" x14ac:dyDescent="0.3"/>
    <row r="392" s="1" customFormat="1" ht="13.5" customHeight="1" x14ac:dyDescent="0.3"/>
    <row r="393" s="1" customFormat="1" ht="13.5" customHeight="1" x14ac:dyDescent="0.3"/>
    <row r="394" s="1" customFormat="1" ht="13.5" customHeight="1" x14ac:dyDescent="0.3"/>
    <row r="395" s="1" customFormat="1" ht="13.5" customHeight="1" x14ac:dyDescent="0.3"/>
    <row r="396" s="1" customFormat="1" ht="13.5" customHeight="1" x14ac:dyDescent="0.3"/>
    <row r="397" s="1" customFormat="1" ht="13.5" customHeight="1" x14ac:dyDescent="0.3"/>
    <row r="398" s="1" customFormat="1" ht="13.5" customHeight="1" x14ac:dyDescent="0.3"/>
    <row r="399" s="1" customFormat="1" ht="13.5" customHeight="1" x14ac:dyDescent="0.3"/>
    <row r="400" s="1" customFormat="1" ht="13.5" customHeight="1" x14ac:dyDescent="0.3"/>
    <row r="401" s="1" customFormat="1" ht="13.5" customHeight="1" x14ac:dyDescent="0.3"/>
    <row r="402" s="1" customFormat="1" ht="13.5" customHeight="1" x14ac:dyDescent="0.3"/>
    <row r="403" s="1" customFormat="1" ht="13.5" customHeight="1" x14ac:dyDescent="0.3"/>
    <row r="404" s="1" customFormat="1" ht="13.5" customHeight="1" x14ac:dyDescent="0.3"/>
    <row r="405" s="1" customFormat="1" ht="13.5" customHeight="1" x14ac:dyDescent="0.3"/>
    <row r="406" s="1" customFormat="1" ht="13.5" customHeight="1" x14ac:dyDescent="0.3"/>
    <row r="407" s="1" customFormat="1" ht="13.5" customHeight="1" x14ac:dyDescent="0.3"/>
    <row r="408" s="1" customFormat="1" ht="13.5" customHeight="1" x14ac:dyDescent="0.3"/>
    <row r="409" s="1" customFormat="1" ht="13.5" customHeight="1" x14ac:dyDescent="0.3"/>
    <row r="410" s="1" customFormat="1" ht="13.5" customHeight="1" x14ac:dyDescent="0.3"/>
    <row r="411" s="1" customFormat="1" ht="13.5" customHeight="1" x14ac:dyDescent="0.3"/>
    <row r="412" s="1" customFormat="1" ht="13.5" customHeight="1" x14ac:dyDescent="0.3"/>
    <row r="413" s="1" customFormat="1" ht="13.5" customHeight="1" x14ac:dyDescent="0.3"/>
    <row r="414" s="1" customFormat="1" ht="13.5" customHeight="1" x14ac:dyDescent="0.3"/>
    <row r="415" s="1" customFormat="1" ht="13.5" customHeight="1" x14ac:dyDescent="0.3"/>
    <row r="416" s="1" customFormat="1" ht="13.5" customHeight="1" x14ac:dyDescent="0.3"/>
    <row r="417" s="1" customFormat="1" ht="13.5" customHeight="1" x14ac:dyDescent="0.3"/>
    <row r="418" s="1" customFormat="1" ht="13.5" customHeight="1" x14ac:dyDescent="0.3"/>
    <row r="419" s="1" customFormat="1" ht="13.5" customHeight="1" x14ac:dyDescent="0.3"/>
    <row r="420" s="1" customFormat="1" ht="13.5" customHeight="1" x14ac:dyDescent="0.3"/>
    <row r="421" s="1" customFormat="1" ht="13.5" customHeight="1" x14ac:dyDescent="0.3"/>
    <row r="422" s="1" customFormat="1" ht="13.5" customHeight="1" x14ac:dyDescent="0.3"/>
    <row r="423" s="1" customFormat="1" ht="13.5" customHeight="1" x14ac:dyDescent="0.3"/>
    <row r="424" s="1" customFormat="1" ht="13.5" customHeight="1" x14ac:dyDescent="0.3"/>
    <row r="425" s="1" customFormat="1" ht="13.5" customHeight="1" x14ac:dyDescent="0.3"/>
    <row r="426" s="1" customFormat="1" ht="13.5" customHeight="1" x14ac:dyDescent="0.3"/>
    <row r="427" s="1" customFormat="1" ht="13.5" customHeight="1" x14ac:dyDescent="0.3"/>
    <row r="428" s="1" customFormat="1" ht="13.5" customHeight="1" x14ac:dyDescent="0.3"/>
    <row r="429" s="1" customFormat="1" ht="13.5" customHeight="1" x14ac:dyDescent="0.3"/>
    <row r="430" s="1" customFormat="1" ht="13.5" customHeight="1" x14ac:dyDescent="0.3"/>
    <row r="431" s="1" customFormat="1" ht="13.5" customHeight="1" x14ac:dyDescent="0.3"/>
    <row r="432" s="1" customFormat="1" ht="13.5" customHeight="1" x14ac:dyDescent="0.3"/>
    <row r="433" s="1" customFormat="1" ht="13.5" customHeight="1" x14ac:dyDescent="0.3"/>
    <row r="434" s="1" customFormat="1" ht="13.5" customHeight="1" x14ac:dyDescent="0.3"/>
    <row r="435" s="1" customFormat="1" ht="13.5" customHeight="1" x14ac:dyDescent="0.3"/>
    <row r="436" s="1" customFormat="1" ht="13.5" customHeight="1" x14ac:dyDescent="0.3"/>
    <row r="437" s="1" customFormat="1" ht="13.5" customHeight="1" x14ac:dyDescent="0.3"/>
    <row r="438" s="1" customFormat="1" ht="13.5" customHeight="1" x14ac:dyDescent="0.3"/>
    <row r="439" s="1" customFormat="1" ht="13.5" customHeight="1" x14ac:dyDescent="0.3"/>
    <row r="440" s="1" customFormat="1" ht="13.5" customHeight="1" x14ac:dyDescent="0.3"/>
    <row r="441" s="1" customFormat="1" ht="13.5" customHeight="1" x14ac:dyDescent="0.3"/>
    <row r="442" s="1" customFormat="1" ht="13.5" customHeight="1" x14ac:dyDescent="0.3"/>
    <row r="443" s="1" customFormat="1" ht="13.5" customHeight="1" x14ac:dyDescent="0.3"/>
    <row r="444" s="1" customFormat="1" ht="13.5" customHeight="1" x14ac:dyDescent="0.3"/>
    <row r="445" s="1" customFormat="1" ht="13.5" customHeight="1" x14ac:dyDescent="0.3"/>
    <row r="446" s="1" customFormat="1" ht="13.5" customHeight="1" x14ac:dyDescent="0.3"/>
    <row r="447" s="1" customFormat="1" ht="13.5" customHeight="1" x14ac:dyDescent="0.3"/>
    <row r="448" s="1" customFormat="1" ht="13.5" customHeight="1" x14ac:dyDescent="0.3"/>
    <row r="449" s="1" customFormat="1" ht="13.5" customHeight="1" x14ac:dyDescent="0.3"/>
    <row r="450" s="1" customFormat="1" ht="13.5" customHeight="1" x14ac:dyDescent="0.3"/>
    <row r="451" s="1" customFormat="1" ht="13.5" customHeight="1" x14ac:dyDescent="0.3"/>
    <row r="452" s="1" customFormat="1" ht="13.5" customHeight="1" x14ac:dyDescent="0.3"/>
    <row r="453" s="1" customFormat="1" ht="13.5" customHeight="1" x14ac:dyDescent="0.3"/>
    <row r="454" s="1" customFormat="1" ht="13.5" customHeight="1" x14ac:dyDescent="0.3"/>
    <row r="455" s="1" customFormat="1" ht="13.5" customHeight="1" x14ac:dyDescent="0.3"/>
    <row r="456" s="1" customFormat="1" ht="13.5" customHeight="1" x14ac:dyDescent="0.3"/>
    <row r="457" s="1" customFormat="1" ht="13.5" customHeight="1" x14ac:dyDescent="0.3"/>
    <row r="458" s="1" customFormat="1" ht="13.5" customHeight="1" x14ac:dyDescent="0.3"/>
    <row r="459" s="1" customFormat="1" ht="13.5" customHeight="1" x14ac:dyDescent="0.3"/>
    <row r="460" s="1" customFormat="1" ht="13.5" customHeight="1" x14ac:dyDescent="0.3"/>
    <row r="461" s="1" customFormat="1" ht="13.5" customHeight="1" x14ac:dyDescent="0.3"/>
    <row r="462" s="1" customFormat="1" ht="13.5" customHeight="1" x14ac:dyDescent="0.3"/>
    <row r="463" s="1" customFormat="1" ht="13.5" customHeight="1" x14ac:dyDescent="0.3"/>
    <row r="464" s="1" customFormat="1" ht="13.5" customHeight="1" x14ac:dyDescent="0.3"/>
    <row r="465" s="1" customFormat="1" ht="13.5" customHeight="1" x14ac:dyDescent="0.3"/>
    <row r="466" s="1" customFormat="1" ht="13.5" customHeight="1" x14ac:dyDescent="0.3"/>
    <row r="467" s="1" customFormat="1" ht="13.5" customHeight="1" x14ac:dyDescent="0.3"/>
    <row r="468" s="1" customFormat="1" ht="13.5" customHeight="1" x14ac:dyDescent="0.3"/>
    <row r="469" s="1" customFormat="1" ht="13.5" customHeight="1" x14ac:dyDescent="0.3"/>
    <row r="470" s="1" customFormat="1" ht="13.5" customHeight="1" x14ac:dyDescent="0.3"/>
    <row r="471" s="1" customFormat="1" ht="13.5" customHeight="1" x14ac:dyDescent="0.3"/>
    <row r="472" s="1" customFormat="1" ht="13.5" customHeight="1" x14ac:dyDescent="0.3"/>
    <row r="473" s="1" customFormat="1" ht="13.5" customHeight="1" x14ac:dyDescent="0.3"/>
    <row r="474" s="1" customFormat="1" ht="13.5" customHeight="1" x14ac:dyDescent="0.3"/>
    <row r="475" s="1" customFormat="1" ht="13.5" customHeight="1" x14ac:dyDescent="0.3"/>
    <row r="476" s="1" customFormat="1" ht="13.5" customHeight="1" x14ac:dyDescent="0.3"/>
    <row r="477" s="1" customFormat="1" ht="13.5" customHeight="1" x14ac:dyDescent="0.3"/>
    <row r="478" s="1" customFormat="1" ht="13.5" customHeight="1" x14ac:dyDescent="0.3"/>
    <row r="479" s="1" customFormat="1" ht="13.5" customHeight="1" x14ac:dyDescent="0.3"/>
    <row r="480" s="1" customFormat="1" ht="13.5" customHeight="1" x14ac:dyDescent="0.3"/>
    <row r="481" s="1" customFormat="1" ht="13.5" customHeight="1" x14ac:dyDescent="0.3"/>
    <row r="482" s="1" customFormat="1" ht="13.5" customHeight="1" x14ac:dyDescent="0.3"/>
    <row r="483" s="1" customFormat="1" ht="13.5" customHeight="1" x14ac:dyDescent="0.3"/>
    <row r="484" s="1" customFormat="1" ht="13.5" customHeight="1" x14ac:dyDescent="0.3"/>
    <row r="485" s="1" customFormat="1" ht="13.5" customHeight="1" x14ac:dyDescent="0.3"/>
    <row r="486" s="1" customFormat="1" ht="13.5" customHeight="1" x14ac:dyDescent="0.3"/>
    <row r="487" s="1" customFormat="1" ht="13.5" customHeight="1" x14ac:dyDescent="0.3"/>
    <row r="488" s="1" customFormat="1" ht="13.5" customHeight="1" x14ac:dyDescent="0.3"/>
    <row r="489" s="1" customFormat="1" ht="13.5" customHeight="1" x14ac:dyDescent="0.3"/>
    <row r="490" s="1" customFormat="1" ht="13.5" customHeight="1" x14ac:dyDescent="0.3"/>
    <row r="491" s="1" customFormat="1" ht="13.5" customHeight="1" x14ac:dyDescent="0.3"/>
    <row r="492" s="1" customFormat="1" ht="13.5" customHeight="1" x14ac:dyDescent="0.3"/>
    <row r="493" s="1" customFormat="1" ht="13.5" customHeight="1" x14ac:dyDescent="0.3"/>
    <row r="494" s="1" customFormat="1" ht="13.5" customHeight="1" x14ac:dyDescent="0.3"/>
    <row r="495" s="1" customFormat="1" ht="13.5" customHeight="1" x14ac:dyDescent="0.3"/>
    <row r="496" s="1" customFormat="1" ht="13.5" customHeight="1" x14ac:dyDescent="0.3"/>
    <row r="497" s="1" customFormat="1" ht="13.5" customHeight="1" x14ac:dyDescent="0.3"/>
    <row r="498" s="1" customFormat="1" ht="13.5" customHeight="1" x14ac:dyDescent="0.3"/>
    <row r="499" s="1" customFormat="1" ht="13.5" customHeight="1" x14ac:dyDescent="0.3"/>
    <row r="500" s="1" customFormat="1" ht="13.5" customHeight="1" x14ac:dyDescent="0.3"/>
    <row r="501" s="1" customFormat="1" ht="13.5" customHeight="1" x14ac:dyDescent="0.3"/>
    <row r="502" s="1" customFormat="1" ht="13.5" customHeight="1" x14ac:dyDescent="0.3"/>
    <row r="503" s="1" customFormat="1" ht="13.5" customHeight="1" x14ac:dyDescent="0.3"/>
    <row r="504" s="1" customFormat="1" ht="13.5" customHeight="1" x14ac:dyDescent="0.3"/>
    <row r="505" s="1" customFormat="1" ht="13.5" customHeight="1" x14ac:dyDescent="0.3"/>
    <row r="506" s="1" customFormat="1" ht="13.5" customHeight="1" x14ac:dyDescent="0.3"/>
    <row r="507" s="1" customFormat="1" ht="13.5" customHeight="1" x14ac:dyDescent="0.3"/>
    <row r="508" s="1" customFormat="1" ht="13.5" customHeight="1" x14ac:dyDescent="0.3"/>
    <row r="509" s="1" customFormat="1" ht="13.5" customHeight="1" x14ac:dyDescent="0.3"/>
    <row r="510" s="1" customFormat="1" ht="13.5" customHeight="1" x14ac:dyDescent="0.3"/>
    <row r="511" s="1" customFormat="1" ht="13.5" customHeight="1" x14ac:dyDescent="0.3"/>
    <row r="512" s="1" customFormat="1" ht="13.5" customHeight="1" x14ac:dyDescent="0.3"/>
    <row r="513" s="1" customFormat="1" ht="13.5" customHeight="1" x14ac:dyDescent="0.3"/>
    <row r="514" s="1" customFormat="1" ht="13.5" customHeight="1" x14ac:dyDescent="0.3"/>
    <row r="515" s="1" customFormat="1" ht="13.5" customHeight="1" x14ac:dyDescent="0.3"/>
    <row r="516" s="1" customFormat="1" ht="13.5" customHeight="1" x14ac:dyDescent="0.3"/>
    <row r="517" s="1" customFormat="1" ht="13.5" customHeight="1" x14ac:dyDescent="0.3"/>
    <row r="518" s="1" customFormat="1" ht="13.5" customHeight="1" x14ac:dyDescent="0.3"/>
    <row r="519" s="1" customFormat="1" ht="13.5" customHeight="1" x14ac:dyDescent="0.3"/>
    <row r="520" s="1" customFormat="1" ht="13.5" customHeight="1" x14ac:dyDescent="0.3"/>
    <row r="521" s="1" customFormat="1" ht="13.5" customHeight="1" x14ac:dyDescent="0.3"/>
    <row r="522" s="1" customFormat="1" ht="13.5" customHeight="1" x14ac:dyDescent="0.3"/>
    <row r="523" s="1" customFormat="1" ht="13.5" customHeight="1" x14ac:dyDescent="0.3"/>
    <row r="524" s="1" customFormat="1" ht="13.5" customHeight="1" x14ac:dyDescent="0.3"/>
    <row r="525" s="1" customFormat="1" ht="13.5" customHeight="1" x14ac:dyDescent="0.3"/>
    <row r="526" s="1" customFormat="1" ht="13.5" customHeight="1" x14ac:dyDescent="0.3"/>
    <row r="527" s="1" customFormat="1" ht="13.5" customHeight="1" x14ac:dyDescent="0.3"/>
    <row r="528" s="1" customFormat="1" ht="13.5" customHeight="1" x14ac:dyDescent="0.3"/>
    <row r="529" s="1" customFormat="1" ht="13.5" customHeight="1" x14ac:dyDescent="0.3"/>
    <row r="530" s="1" customFormat="1" ht="13.5" customHeight="1" x14ac:dyDescent="0.3"/>
    <row r="531" s="1" customFormat="1" ht="13.5" customHeight="1" x14ac:dyDescent="0.3"/>
    <row r="532" s="1" customFormat="1" ht="13.5" customHeight="1" x14ac:dyDescent="0.3"/>
    <row r="533" s="1" customFormat="1" ht="13.5" customHeight="1" x14ac:dyDescent="0.3"/>
    <row r="534" s="1" customFormat="1" ht="13.5" customHeight="1" x14ac:dyDescent="0.3"/>
    <row r="535" s="1" customFormat="1" ht="13.5" customHeight="1" x14ac:dyDescent="0.3"/>
    <row r="536" s="1" customFormat="1" ht="13.5" customHeight="1" x14ac:dyDescent="0.3"/>
    <row r="537" s="1" customFormat="1" ht="13.5" customHeight="1" x14ac:dyDescent="0.3"/>
    <row r="538" s="1" customFormat="1" ht="13.5" customHeight="1" x14ac:dyDescent="0.3"/>
    <row r="539" s="1" customFormat="1" ht="13.5" customHeight="1" x14ac:dyDescent="0.3"/>
    <row r="540" s="1" customFormat="1" ht="13.5" customHeight="1" x14ac:dyDescent="0.3"/>
    <row r="541" s="1" customFormat="1" ht="13.5" customHeight="1" x14ac:dyDescent="0.3"/>
    <row r="542" s="1" customFormat="1" ht="13.5" customHeight="1" x14ac:dyDescent="0.3"/>
    <row r="543" s="1" customFormat="1" ht="13.5" customHeight="1" x14ac:dyDescent="0.3"/>
    <row r="544" s="1" customFormat="1" ht="13.5" customHeight="1" x14ac:dyDescent="0.3"/>
    <row r="545" s="1" customFormat="1" ht="13.5" customHeight="1" x14ac:dyDescent="0.3"/>
    <row r="546" s="1" customFormat="1" ht="13.5" customHeight="1" x14ac:dyDescent="0.3"/>
    <row r="547" s="1" customFormat="1" ht="13.5" customHeight="1" x14ac:dyDescent="0.3"/>
    <row r="548" s="1" customFormat="1" ht="13.5" customHeight="1" x14ac:dyDescent="0.3"/>
    <row r="549" s="1" customFormat="1" ht="13.5" customHeight="1" x14ac:dyDescent="0.3"/>
    <row r="550" s="1" customFormat="1" ht="13.5" customHeight="1" x14ac:dyDescent="0.3"/>
    <row r="551" s="1" customFormat="1" ht="13.5" customHeight="1" x14ac:dyDescent="0.3"/>
    <row r="552" s="1" customFormat="1" ht="13.5" customHeight="1" x14ac:dyDescent="0.3"/>
    <row r="553" s="1" customFormat="1" ht="13.5" customHeight="1" x14ac:dyDescent="0.3"/>
    <row r="554" s="1" customFormat="1" ht="13.5" customHeight="1" x14ac:dyDescent="0.3"/>
    <row r="555" s="1" customFormat="1" ht="13.5" customHeight="1" x14ac:dyDescent="0.3"/>
    <row r="556" s="1" customFormat="1" ht="13.5" customHeight="1" x14ac:dyDescent="0.3"/>
    <row r="557" s="1" customFormat="1" ht="13.5" customHeight="1" x14ac:dyDescent="0.3"/>
    <row r="558" s="1" customFormat="1" ht="13.5" customHeight="1" x14ac:dyDescent="0.3"/>
    <row r="559" s="1" customFormat="1" ht="13.5" customHeight="1" x14ac:dyDescent="0.3"/>
    <row r="560" s="1" customFormat="1" ht="13.5" customHeight="1" x14ac:dyDescent="0.3"/>
    <row r="561" s="1" customFormat="1" ht="13.5" customHeight="1" x14ac:dyDescent="0.3"/>
    <row r="562" s="1" customFormat="1" ht="13.5" customHeight="1" x14ac:dyDescent="0.3"/>
    <row r="563" s="1" customFormat="1" ht="13.5" customHeight="1" x14ac:dyDescent="0.3"/>
    <row r="564" s="1" customFormat="1" ht="13.5" customHeight="1" x14ac:dyDescent="0.3"/>
    <row r="565" s="1" customFormat="1" ht="13.5" customHeight="1" x14ac:dyDescent="0.3"/>
    <row r="566" s="1" customFormat="1" ht="13.5" customHeight="1" x14ac:dyDescent="0.3"/>
    <row r="567" s="1" customFormat="1" ht="13.5" customHeight="1" x14ac:dyDescent="0.3"/>
    <row r="568" s="1" customFormat="1" ht="13.5" customHeight="1" x14ac:dyDescent="0.3"/>
    <row r="569" s="1" customFormat="1" ht="13.5" customHeight="1" x14ac:dyDescent="0.3"/>
    <row r="570" s="1" customFormat="1" ht="13.5" customHeight="1" x14ac:dyDescent="0.3"/>
    <row r="571" s="1" customFormat="1" ht="13.5" customHeight="1" x14ac:dyDescent="0.3"/>
    <row r="572" s="1" customFormat="1" ht="13.5" customHeight="1" x14ac:dyDescent="0.3"/>
    <row r="573" s="1" customFormat="1" ht="13.5" customHeight="1" x14ac:dyDescent="0.3"/>
    <row r="574" s="1" customFormat="1" ht="13.5" customHeight="1" x14ac:dyDescent="0.3"/>
    <row r="575" s="1" customFormat="1" ht="13.5" customHeight="1" x14ac:dyDescent="0.3"/>
    <row r="576" s="1" customFormat="1" ht="13.5" customHeight="1" x14ac:dyDescent="0.3"/>
    <row r="577" s="1" customFormat="1" ht="13.5" customHeight="1" x14ac:dyDescent="0.3"/>
    <row r="578" s="1" customFormat="1" ht="13.5" customHeight="1" x14ac:dyDescent="0.3"/>
    <row r="579" s="1" customFormat="1" ht="13.5" customHeight="1" x14ac:dyDescent="0.3"/>
    <row r="580" s="1" customFormat="1" ht="13.5" customHeight="1" x14ac:dyDescent="0.3"/>
    <row r="581" s="1" customFormat="1" ht="13.5" customHeight="1" x14ac:dyDescent="0.3"/>
    <row r="582" s="1" customFormat="1" ht="13.5" customHeight="1" x14ac:dyDescent="0.3"/>
    <row r="583" s="1" customFormat="1" ht="13.5" customHeight="1" x14ac:dyDescent="0.3"/>
    <row r="584" s="1" customFormat="1" ht="13.5" customHeight="1" x14ac:dyDescent="0.3"/>
    <row r="585" s="1" customFormat="1" ht="13.5" customHeight="1" x14ac:dyDescent="0.3"/>
    <row r="586" s="1" customFormat="1" ht="13.5" customHeight="1" x14ac:dyDescent="0.3"/>
    <row r="587" s="1" customFormat="1" ht="13.5" customHeight="1" x14ac:dyDescent="0.3"/>
    <row r="588" s="1" customFormat="1" ht="13.5" customHeight="1" x14ac:dyDescent="0.3"/>
    <row r="589" s="1" customFormat="1" ht="13.5" customHeight="1" x14ac:dyDescent="0.3"/>
    <row r="590" s="1" customFormat="1" ht="13.5" customHeight="1" x14ac:dyDescent="0.3"/>
    <row r="591" s="1" customFormat="1" ht="13.5" customHeight="1" x14ac:dyDescent="0.3"/>
    <row r="592" s="1" customFormat="1" ht="13.5" customHeight="1" x14ac:dyDescent="0.3"/>
    <row r="593" s="1" customFormat="1" ht="13.5" customHeight="1" x14ac:dyDescent="0.3"/>
    <row r="594" s="1" customFormat="1" ht="13.5" customHeight="1" x14ac:dyDescent="0.3"/>
    <row r="595" s="1" customFormat="1" ht="13.5" customHeight="1" x14ac:dyDescent="0.3"/>
    <row r="596" s="1" customFormat="1" ht="13.5" customHeight="1" x14ac:dyDescent="0.3"/>
    <row r="597" s="1" customFormat="1" ht="13.5" customHeight="1" x14ac:dyDescent="0.3"/>
    <row r="598" s="1" customFormat="1" ht="13.5" customHeight="1" x14ac:dyDescent="0.3"/>
    <row r="599" s="1" customFormat="1" ht="13.5" customHeight="1" x14ac:dyDescent="0.3"/>
    <row r="600" s="1" customFormat="1" ht="13.5" customHeight="1" x14ac:dyDescent="0.3"/>
    <row r="601" s="1" customFormat="1" ht="13.5" customHeight="1" x14ac:dyDescent="0.3"/>
    <row r="602" s="1" customFormat="1" ht="13.5" customHeight="1" x14ac:dyDescent="0.3"/>
    <row r="603" s="1" customFormat="1" ht="13.5" customHeight="1" x14ac:dyDescent="0.3"/>
    <row r="604" s="1" customFormat="1" ht="13.5" customHeight="1" x14ac:dyDescent="0.3"/>
    <row r="605" s="1" customFormat="1" ht="13.5" customHeight="1" x14ac:dyDescent="0.3"/>
    <row r="606" s="1" customFormat="1" ht="13.5" customHeight="1" x14ac:dyDescent="0.3"/>
    <row r="607" s="1" customFormat="1" ht="13.5" customHeight="1" x14ac:dyDescent="0.3"/>
    <row r="608" s="1" customFormat="1" ht="13.5" customHeight="1" x14ac:dyDescent="0.3"/>
    <row r="609" s="1" customFormat="1" ht="13.5" customHeight="1" x14ac:dyDescent="0.3"/>
    <row r="610" s="1" customFormat="1" ht="13.5" customHeight="1" x14ac:dyDescent="0.3"/>
    <row r="611" s="1" customFormat="1" ht="13.5" customHeight="1" x14ac:dyDescent="0.3"/>
    <row r="612" s="1" customFormat="1" ht="13.5" customHeight="1" x14ac:dyDescent="0.3"/>
    <row r="613" s="1" customFormat="1" ht="13.5" customHeight="1" x14ac:dyDescent="0.3"/>
    <row r="614" s="1" customFormat="1" ht="13.5" customHeight="1" x14ac:dyDescent="0.3"/>
    <row r="615" s="1" customFormat="1" ht="13.5" customHeight="1" x14ac:dyDescent="0.3"/>
    <row r="616" s="1" customFormat="1" ht="13.5" customHeight="1" x14ac:dyDescent="0.3"/>
    <row r="617" s="1" customFormat="1" ht="13.5" customHeight="1" x14ac:dyDescent="0.3"/>
    <row r="618" s="1" customFormat="1" ht="13.5" customHeight="1" x14ac:dyDescent="0.3"/>
    <row r="619" s="1" customFormat="1" ht="13.5" customHeight="1" x14ac:dyDescent="0.3"/>
    <row r="620" s="1" customFormat="1" ht="13.5" customHeight="1" x14ac:dyDescent="0.3"/>
    <row r="621" s="1" customFormat="1" ht="13.5" customHeight="1" x14ac:dyDescent="0.3"/>
    <row r="622" s="1" customFormat="1" ht="13.5" customHeight="1" x14ac:dyDescent="0.3"/>
    <row r="623" s="1" customFormat="1" ht="13.5" customHeight="1" x14ac:dyDescent="0.3"/>
    <row r="624" s="1" customFormat="1" ht="13.5" customHeight="1" x14ac:dyDescent="0.3"/>
    <row r="625" s="1" customFormat="1" ht="13.5" customHeight="1" x14ac:dyDescent="0.3"/>
    <row r="626" s="1" customFormat="1" ht="13.5" customHeight="1" x14ac:dyDescent="0.3"/>
    <row r="627" s="1" customFormat="1" ht="13.5" customHeight="1" x14ac:dyDescent="0.3"/>
    <row r="628" s="1" customFormat="1" ht="13.5" customHeight="1" x14ac:dyDescent="0.3"/>
    <row r="629" s="1" customFormat="1" ht="13.5" customHeight="1" x14ac:dyDescent="0.3"/>
    <row r="630" s="1" customFormat="1" ht="13.5" customHeight="1" x14ac:dyDescent="0.3"/>
    <row r="631" s="1" customFormat="1" ht="13.5" customHeight="1" x14ac:dyDescent="0.3"/>
    <row r="632" s="1" customFormat="1" ht="13.5" customHeight="1" x14ac:dyDescent="0.3"/>
    <row r="633" s="1" customFormat="1" ht="13.5" customHeight="1" x14ac:dyDescent="0.3"/>
    <row r="634" s="1" customFormat="1" ht="13.5" customHeight="1" x14ac:dyDescent="0.3"/>
    <row r="635" s="1" customFormat="1" ht="13.5" customHeight="1" x14ac:dyDescent="0.3"/>
    <row r="636" s="1" customFormat="1" ht="13.5" customHeight="1" x14ac:dyDescent="0.3"/>
    <row r="637" s="1" customFormat="1" ht="13.5" customHeight="1" x14ac:dyDescent="0.3"/>
    <row r="638" s="1" customFormat="1" ht="13.5" customHeight="1" x14ac:dyDescent="0.3"/>
    <row r="639" s="1" customFormat="1" ht="13.5" customHeight="1" x14ac:dyDescent="0.3"/>
    <row r="640" s="1" customFormat="1" ht="13.5" customHeight="1" x14ac:dyDescent="0.3"/>
    <row r="641" s="1" customFormat="1" ht="13.5" customHeight="1" x14ac:dyDescent="0.3"/>
    <row r="642" s="1" customFormat="1" ht="13.5" customHeight="1" x14ac:dyDescent="0.3"/>
    <row r="643" s="1" customFormat="1" ht="13.5" customHeight="1" x14ac:dyDescent="0.3"/>
    <row r="644" s="1" customFormat="1" ht="13.5" customHeight="1" x14ac:dyDescent="0.3"/>
    <row r="645" s="1" customFormat="1" ht="13.5" customHeight="1" x14ac:dyDescent="0.3"/>
    <row r="646" s="1" customFormat="1" ht="13.5" customHeight="1" x14ac:dyDescent="0.3"/>
    <row r="647" s="1" customFormat="1" ht="13.5" customHeight="1" x14ac:dyDescent="0.3"/>
    <row r="648" s="1" customFormat="1" ht="13.5" customHeight="1" x14ac:dyDescent="0.3"/>
    <row r="649" s="1" customFormat="1" ht="13.5" customHeight="1" x14ac:dyDescent="0.3"/>
    <row r="650" s="1" customFormat="1" ht="13.5" customHeight="1" x14ac:dyDescent="0.3"/>
    <row r="651" s="1" customFormat="1" ht="13.5" customHeight="1" x14ac:dyDescent="0.3"/>
    <row r="652" s="1" customFormat="1" ht="13.5" customHeight="1" x14ac:dyDescent="0.3"/>
    <row r="653" s="1" customFormat="1" ht="13.5" customHeight="1" x14ac:dyDescent="0.3"/>
    <row r="654" s="1" customFormat="1" ht="13.5" customHeight="1" x14ac:dyDescent="0.3"/>
    <row r="655" s="1" customFormat="1" ht="13.5" customHeight="1" x14ac:dyDescent="0.3"/>
    <row r="656" s="1" customFormat="1" ht="13.5" customHeight="1" x14ac:dyDescent="0.3"/>
    <row r="657" s="1" customFormat="1" ht="13.5" customHeight="1" x14ac:dyDescent="0.3"/>
    <row r="658" s="1" customFormat="1" ht="13.5" customHeight="1" x14ac:dyDescent="0.3"/>
    <row r="659" s="1" customFormat="1" ht="13.5" customHeight="1" x14ac:dyDescent="0.3"/>
    <row r="660" s="1" customFormat="1" ht="13.5" customHeight="1" x14ac:dyDescent="0.3"/>
    <row r="661" s="1" customFormat="1" ht="13.5" customHeight="1" x14ac:dyDescent="0.3"/>
    <row r="662" s="1" customFormat="1" ht="13.5" customHeight="1" x14ac:dyDescent="0.3"/>
    <row r="663" s="1" customFormat="1" ht="13.5" customHeight="1" x14ac:dyDescent="0.3"/>
    <row r="664" s="1" customFormat="1" ht="13.5" customHeight="1" x14ac:dyDescent="0.3"/>
    <row r="665" s="1" customFormat="1" ht="13.5" customHeight="1" x14ac:dyDescent="0.3"/>
    <row r="666" s="1" customFormat="1" ht="13.5" customHeight="1" x14ac:dyDescent="0.3"/>
    <row r="667" s="1" customFormat="1" ht="13.5" customHeight="1" x14ac:dyDescent="0.3"/>
    <row r="668" s="1" customFormat="1" ht="13.5" customHeight="1" x14ac:dyDescent="0.3"/>
    <row r="669" s="1" customFormat="1" ht="13.5" customHeight="1" x14ac:dyDescent="0.3"/>
    <row r="670" s="1" customFormat="1" ht="13.5" customHeight="1" x14ac:dyDescent="0.3"/>
    <row r="671" s="1" customFormat="1" ht="13.5" customHeight="1" x14ac:dyDescent="0.3"/>
    <row r="672" s="1" customFormat="1" ht="13.5" customHeight="1" x14ac:dyDescent="0.3"/>
    <row r="673" s="1" customFormat="1" ht="13.5" customHeight="1" x14ac:dyDescent="0.3"/>
    <row r="674" s="1" customFormat="1" ht="13.5" customHeight="1" x14ac:dyDescent="0.3"/>
    <row r="675" s="1" customFormat="1" ht="13.5" customHeight="1" x14ac:dyDescent="0.3"/>
    <row r="676" s="1" customFormat="1" ht="13.5" customHeight="1" x14ac:dyDescent="0.3"/>
    <row r="677" s="1" customFormat="1" ht="13.5" customHeight="1" x14ac:dyDescent="0.3"/>
    <row r="678" s="1" customFormat="1" ht="13.5" customHeight="1" x14ac:dyDescent="0.3"/>
    <row r="679" s="1" customFormat="1" ht="13.5" customHeight="1" x14ac:dyDescent="0.3"/>
    <row r="680" s="1" customFormat="1" ht="13.5" customHeight="1" x14ac:dyDescent="0.3"/>
    <row r="681" s="1" customFormat="1" ht="13.5" customHeight="1" x14ac:dyDescent="0.3"/>
    <row r="682" s="1" customFormat="1" ht="13.5" customHeight="1" x14ac:dyDescent="0.3"/>
    <row r="683" s="1" customFormat="1" ht="13.5" customHeight="1" x14ac:dyDescent="0.3"/>
    <row r="684" s="1" customFormat="1" ht="13.5" customHeight="1" x14ac:dyDescent="0.3"/>
    <row r="685" s="1" customFormat="1" ht="13.5" customHeight="1" x14ac:dyDescent="0.3"/>
    <row r="686" s="1" customFormat="1" ht="13.5" customHeight="1" x14ac:dyDescent="0.3"/>
    <row r="687" s="1" customFormat="1" ht="13.5" customHeight="1" x14ac:dyDescent="0.3"/>
    <row r="688" s="1" customFormat="1" ht="13.5" customHeight="1" x14ac:dyDescent="0.3"/>
    <row r="689" s="1" customFormat="1" ht="13.5" customHeight="1" x14ac:dyDescent="0.3"/>
    <row r="690" s="1" customFormat="1" ht="13.5" customHeight="1" x14ac:dyDescent="0.3"/>
    <row r="691" s="1" customFormat="1" ht="13.5" customHeight="1" x14ac:dyDescent="0.3"/>
    <row r="692" s="1" customFormat="1" ht="13.5" customHeight="1" x14ac:dyDescent="0.3"/>
    <row r="693" s="1" customFormat="1" ht="13.5" customHeight="1" x14ac:dyDescent="0.3"/>
    <row r="694" s="1" customFormat="1" ht="13.5" customHeight="1" x14ac:dyDescent="0.3"/>
    <row r="695" s="1" customFormat="1" ht="13.5" customHeight="1" x14ac:dyDescent="0.3"/>
    <row r="696" s="1" customFormat="1" ht="13.5" customHeight="1" x14ac:dyDescent="0.3"/>
    <row r="697" s="1" customFormat="1" ht="13.5" customHeight="1" x14ac:dyDescent="0.3"/>
    <row r="698" s="1" customFormat="1" ht="13.5" customHeight="1" x14ac:dyDescent="0.3"/>
    <row r="699" s="1" customFormat="1" ht="13.5" customHeight="1" x14ac:dyDescent="0.3"/>
    <row r="700" s="1" customFormat="1" ht="13.5" customHeight="1" x14ac:dyDescent="0.3"/>
    <row r="701" s="1" customFormat="1" ht="13.5" customHeight="1" x14ac:dyDescent="0.3"/>
    <row r="702" s="1" customFormat="1" ht="13.5" customHeight="1" x14ac:dyDescent="0.3"/>
    <row r="703" s="1" customFormat="1" ht="13.5" customHeight="1" x14ac:dyDescent="0.3"/>
    <row r="704" s="1" customFormat="1" ht="13.5" customHeight="1" x14ac:dyDescent="0.3"/>
    <row r="705" s="1" customFormat="1" ht="13.5" customHeight="1" x14ac:dyDescent="0.3"/>
    <row r="706" s="1" customFormat="1" ht="13.5" customHeight="1" x14ac:dyDescent="0.3"/>
    <row r="707" s="1" customFormat="1" ht="13.5" customHeight="1" x14ac:dyDescent="0.3"/>
    <row r="708" s="1" customFormat="1" ht="13.5" customHeight="1" x14ac:dyDescent="0.3"/>
    <row r="709" s="1" customFormat="1" ht="13.5" customHeight="1" x14ac:dyDescent="0.3"/>
    <row r="710" s="1" customFormat="1" ht="13.5" customHeight="1" x14ac:dyDescent="0.3"/>
    <row r="711" s="1" customFormat="1" ht="13.5" customHeight="1" x14ac:dyDescent="0.3"/>
    <row r="712" s="1" customFormat="1" ht="13.5" customHeight="1" x14ac:dyDescent="0.3"/>
    <row r="713" s="1" customFormat="1" ht="13.5" customHeight="1" x14ac:dyDescent="0.3"/>
    <row r="714" s="1" customFormat="1" ht="13.5" customHeight="1" x14ac:dyDescent="0.3"/>
    <row r="715" s="1" customFormat="1" ht="13.5" customHeight="1" x14ac:dyDescent="0.3"/>
    <row r="716" s="1" customFormat="1" ht="13.5" customHeight="1" x14ac:dyDescent="0.3"/>
    <row r="717" s="1" customFormat="1" ht="13.5" customHeight="1" x14ac:dyDescent="0.3"/>
    <row r="718" s="1" customFormat="1" ht="13.5" customHeight="1" x14ac:dyDescent="0.3"/>
    <row r="719" s="1" customFormat="1" ht="13.5" customHeight="1" x14ac:dyDescent="0.3"/>
    <row r="720" s="1" customFormat="1" ht="13.5" customHeight="1" x14ac:dyDescent="0.3"/>
    <row r="721" s="1" customFormat="1" ht="13.5" customHeight="1" x14ac:dyDescent="0.3"/>
    <row r="722" s="1" customFormat="1" ht="13.5" customHeight="1" x14ac:dyDescent="0.3"/>
    <row r="723" s="1" customFormat="1" ht="13.5" customHeight="1" x14ac:dyDescent="0.3"/>
    <row r="724" s="1" customFormat="1" ht="13.5" customHeight="1" x14ac:dyDescent="0.3"/>
    <row r="725" s="1" customFormat="1" ht="13.5" customHeight="1" x14ac:dyDescent="0.3"/>
    <row r="726" s="1" customFormat="1" ht="13.5" customHeight="1" x14ac:dyDescent="0.3"/>
    <row r="727" s="1" customFormat="1" ht="13.5" customHeight="1" x14ac:dyDescent="0.3"/>
    <row r="728" s="1" customFormat="1" ht="13.5" customHeight="1" x14ac:dyDescent="0.3"/>
    <row r="729" s="1" customFormat="1" ht="13.5" customHeight="1" x14ac:dyDescent="0.3"/>
    <row r="730" s="1" customFormat="1" ht="13.5" customHeight="1" x14ac:dyDescent="0.3"/>
    <row r="731" s="1" customFormat="1" ht="13.5" customHeight="1" x14ac:dyDescent="0.3"/>
    <row r="732" s="1" customFormat="1" ht="13.5" customHeight="1" x14ac:dyDescent="0.3"/>
    <row r="733" s="1" customFormat="1" ht="13.5" customHeight="1" x14ac:dyDescent="0.3"/>
    <row r="734" s="1" customFormat="1" ht="13.5" customHeight="1" x14ac:dyDescent="0.3"/>
    <row r="735" s="1" customFormat="1" ht="13.5" customHeight="1" x14ac:dyDescent="0.3"/>
    <row r="736" s="1" customFormat="1" ht="13.5" customHeight="1" x14ac:dyDescent="0.3"/>
    <row r="737" s="1" customFormat="1" ht="13.5" customHeight="1" x14ac:dyDescent="0.3"/>
    <row r="738" s="1" customFormat="1" ht="13.5" customHeight="1" x14ac:dyDescent="0.3"/>
    <row r="739" s="1" customFormat="1" ht="13.5" customHeight="1" x14ac:dyDescent="0.3"/>
    <row r="740" s="1" customFormat="1" ht="13.5" customHeight="1" x14ac:dyDescent="0.3"/>
    <row r="741" s="1" customFormat="1" ht="13.5" customHeight="1" x14ac:dyDescent="0.3"/>
    <row r="742" s="1" customFormat="1" ht="13.5" customHeight="1" x14ac:dyDescent="0.3"/>
    <row r="743" s="1" customFormat="1" ht="13.5" customHeight="1" x14ac:dyDescent="0.3"/>
    <row r="744" s="1" customFormat="1" ht="13.5" customHeight="1" x14ac:dyDescent="0.3"/>
    <row r="745" s="1" customFormat="1" ht="13.5" customHeight="1" x14ac:dyDescent="0.3"/>
    <row r="746" s="1" customFormat="1" ht="13.5" customHeight="1" x14ac:dyDescent="0.3"/>
    <row r="747" s="1" customFormat="1" ht="13.5" customHeight="1" x14ac:dyDescent="0.3"/>
    <row r="748" s="1" customFormat="1" ht="13.5" customHeight="1" x14ac:dyDescent="0.3"/>
    <row r="749" s="1" customFormat="1" ht="13.5" customHeight="1" x14ac:dyDescent="0.3"/>
    <row r="750" s="1" customFormat="1" ht="13.5" customHeight="1" x14ac:dyDescent="0.3"/>
    <row r="751" s="1" customFormat="1" ht="13.5" customHeight="1" x14ac:dyDescent="0.3"/>
    <row r="752" s="1" customFormat="1" ht="13.5" customHeight="1" x14ac:dyDescent="0.3"/>
    <row r="753" s="1" customFormat="1" ht="13.5" customHeight="1" x14ac:dyDescent="0.3"/>
    <row r="754" s="1" customFormat="1" ht="13.5" customHeight="1" x14ac:dyDescent="0.3"/>
    <row r="755" s="1" customFormat="1" ht="13.5" customHeight="1" x14ac:dyDescent="0.3"/>
    <row r="756" s="1" customFormat="1" ht="13.5" customHeight="1" x14ac:dyDescent="0.3"/>
    <row r="757" s="1" customFormat="1" ht="13.5" customHeight="1" x14ac:dyDescent="0.3"/>
    <row r="758" s="1" customFormat="1" ht="13.5" customHeight="1" x14ac:dyDescent="0.3"/>
    <row r="759" s="1" customFormat="1" ht="13.5" customHeight="1" x14ac:dyDescent="0.3"/>
    <row r="760" s="1" customFormat="1" ht="13.5" customHeight="1" x14ac:dyDescent="0.3"/>
    <row r="761" s="1" customFormat="1" ht="13.5" customHeight="1" x14ac:dyDescent="0.3"/>
    <row r="762" s="1" customFormat="1" ht="13.5" customHeight="1" x14ac:dyDescent="0.3"/>
    <row r="763" s="1" customFormat="1" ht="13.5" customHeight="1" x14ac:dyDescent="0.3"/>
    <row r="764" s="1" customFormat="1" ht="13.5" customHeight="1" x14ac:dyDescent="0.3"/>
    <row r="765" s="1" customFormat="1" ht="13.5" customHeight="1" x14ac:dyDescent="0.3"/>
    <row r="766" s="1" customFormat="1" ht="13.5" customHeight="1" x14ac:dyDescent="0.3"/>
    <row r="767" s="1" customFormat="1" ht="13.5" customHeight="1" x14ac:dyDescent="0.3"/>
    <row r="768" s="1" customFormat="1" ht="13.5" customHeight="1" x14ac:dyDescent="0.3"/>
    <row r="769" s="1" customFormat="1" ht="13.5" customHeight="1" x14ac:dyDescent="0.3"/>
    <row r="770" s="1" customFormat="1" ht="13.5" customHeight="1" x14ac:dyDescent="0.3"/>
    <row r="771" s="1" customFormat="1" ht="13.5" customHeight="1" x14ac:dyDescent="0.3"/>
    <row r="772" s="1" customFormat="1" ht="13.5" customHeight="1" x14ac:dyDescent="0.3"/>
    <row r="773" s="1" customFormat="1" ht="13.5" customHeight="1" x14ac:dyDescent="0.3"/>
    <row r="774" s="1" customFormat="1" ht="13.5" customHeight="1" x14ac:dyDescent="0.3"/>
    <row r="775" s="1" customFormat="1" ht="13.5" customHeight="1" x14ac:dyDescent="0.3"/>
    <row r="776" s="1" customFormat="1" ht="13.5" customHeight="1" x14ac:dyDescent="0.3"/>
    <row r="777" s="1" customFormat="1" ht="13.5" customHeight="1" x14ac:dyDescent="0.3"/>
    <row r="778" s="1" customFormat="1" ht="13.5" customHeight="1" x14ac:dyDescent="0.3"/>
    <row r="779" s="1" customFormat="1" ht="13.5" customHeight="1" x14ac:dyDescent="0.3"/>
    <row r="780" s="1" customFormat="1" ht="13.5" customHeight="1" x14ac:dyDescent="0.3"/>
    <row r="781" s="1" customFormat="1" ht="13.5" customHeight="1" x14ac:dyDescent="0.3"/>
    <row r="782" s="1" customFormat="1" ht="13.5" customHeight="1" x14ac:dyDescent="0.3"/>
    <row r="783" s="1" customFormat="1" ht="13.5" customHeight="1" x14ac:dyDescent="0.3"/>
    <row r="784" s="1" customFormat="1" ht="13.5" customHeight="1" x14ac:dyDescent="0.3"/>
    <row r="785" s="1" customFormat="1" ht="13.5" customHeight="1" x14ac:dyDescent="0.3"/>
    <row r="786" s="1" customFormat="1" ht="13.5" customHeight="1" x14ac:dyDescent="0.3"/>
    <row r="787" s="1" customFormat="1" ht="13.5" customHeight="1" x14ac:dyDescent="0.3"/>
    <row r="788" s="1" customFormat="1" ht="13.5" customHeight="1" x14ac:dyDescent="0.3"/>
    <row r="789" s="1" customFormat="1" ht="13.5" customHeight="1" x14ac:dyDescent="0.3"/>
    <row r="790" s="1" customFormat="1" ht="13.5" customHeight="1" x14ac:dyDescent="0.3"/>
    <row r="791" s="1" customFormat="1" ht="13.5" customHeight="1" x14ac:dyDescent="0.3"/>
    <row r="792" s="1" customFormat="1" ht="13.5" customHeight="1" x14ac:dyDescent="0.3"/>
    <row r="793" s="1" customFormat="1" ht="13.5" customHeight="1" x14ac:dyDescent="0.3"/>
    <row r="794" s="1" customFormat="1" ht="13.5" customHeight="1" x14ac:dyDescent="0.3"/>
    <row r="795" s="1" customFormat="1" ht="13.5" customHeight="1" x14ac:dyDescent="0.3"/>
    <row r="796" s="1" customFormat="1" ht="13.5" customHeight="1" x14ac:dyDescent="0.3"/>
    <row r="797" s="1" customFormat="1" ht="13.5" customHeight="1" x14ac:dyDescent="0.3"/>
    <row r="798" s="1" customFormat="1" ht="13.5" customHeight="1" x14ac:dyDescent="0.3"/>
    <row r="799" s="1" customFormat="1" ht="13.5" customHeight="1" x14ac:dyDescent="0.3"/>
    <row r="800" s="1" customFormat="1" ht="13.5" customHeight="1" x14ac:dyDescent="0.3"/>
    <row r="801" s="1" customFormat="1" ht="13.5" customHeight="1" x14ac:dyDescent="0.3"/>
    <row r="802" s="1" customFormat="1" ht="13.5" customHeight="1" x14ac:dyDescent="0.3"/>
    <row r="803" s="1" customFormat="1" ht="13.5" customHeight="1" x14ac:dyDescent="0.3"/>
    <row r="804" s="1" customFormat="1" ht="13.5" customHeight="1" x14ac:dyDescent="0.3"/>
    <row r="805" s="1" customFormat="1" ht="13.5" customHeight="1" x14ac:dyDescent="0.3"/>
    <row r="806" s="1" customFormat="1" ht="13.5" customHeight="1" x14ac:dyDescent="0.3"/>
    <row r="807" s="1" customFormat="1" ht="13.5" customHeight="1" x14ac:dyDescent="0.3"/>
    <row r="808" s="1" customFormat="1" ht="13.5" customHeight="1" x14ac:dyDescent="0.3"/>
    <row r="809" s="1" customFormat="1" ht="13.5" customHeight="1" x14ac:dyDescent="0.3"/>
    <row r="810" s="1" customFormat="1" ht="13.5" customHeight="1" x14ac:dyDescent="0.3"/>
    <row r="811" s="1" customFormat="1" ht="13.5" customHeight="1" x14ac:dyDescent="0.3"/>
    <row r="812" s="1" customFormat="1" ht="13.5" customHeight="1" x14ac:dyDescent="0.3"/>
    <row r="813" s="1" customFormat="1" ht="13.5" customHeight="1" x14ac:dyDescent="0.3"/>
    <row r="814" s="1" customFormat="1" ht="13.5" customHeight="1" x14ac:dyDescent="0.3"/>
    <row r="815" s="1" customFormat="1" ht="13.5" customHeight="1" x14ac:dyDescent="0.3"/>
    <row r="816" s="1" customFormat="1" ht="13.5" customHeight="1" x14ac:dyDescent="0.3"/>
    <row r="817" s="1" customFormat="1" ht="13.5" customHeight="1" x14ac:dyDescent="0.3"/>
    <row r="818" s="1" customFormat="1" ht="13.5" customHeight="1" x14ac:dyDescent="0.3"/>
    <row r="819" s="1" customFormat="1" ht="13.5" customHeight="1" x14ac:dyDescent="0.3"/>
    <row r="820" s="1" customFormat="1" ht="13.5" customHeight="1" x14ac:dyDescent="0.3"/>
    <row r="821" s="1" customFormat="1" ht="13.5" customHeight="1" x14ac:dyDescent="0.3"/>
    <row r="822" s="1" customFormat="1" ht="13.5" customHeight="1" x14ac:dyDescent="0.3"/>
    <row r="823" s="1" customFormat="1" ht="13.5" customHeight="1" x14ac:dyDescent="0.3"/>
    <row r="824" s="1" customFormat="1" ht="13.5" customHeight="1" x14ac:dyDescent="0.3"/>
    <row r="825" s="1" customFormat="1" ht="13.5" customHeight="1" x14ac:dyDescent="0.3"/>
    <row r="826" s="1" customFormat="1" ht="13.5" customHeight="1" x14ac:dyDescent="0.3"/>
    <row r="827" s="1" customFormat="1" ht="13.5" customHeight="1" x14ac:dyDescent="0.3"/>
    <row r="828" s="1" customFormat="1" ht="13.5" customHeight="1" x14ac:dyDescent="0.3"/>
    <row r="829" s="1" customFormat="1" ht="13.5" customHeight="1" x14ac:dyDescent="0.3"/>
    <row r="830" s="1" customFormat="1" ht="13.5" customHeight="1" x14ac:dyDescent="0.3"/>
    <row r="831" s="1" customFormat="1" ht="13.5" customHeight="1" x14ac:dyDescent="0.3"/>
    <row r="832" s="1" customFormat="1" ht="13.5" customHeight="1" x14ac:dyDescent="0.3"/>
    <row r="833" s="1" customFormat="1" ht="13.5" customHeight="1" x14ac:dyDescent="0.3"/>
    <row r="834" s="1" customFormat="1" ht="13.5" customHeight="1" x14ac:dyDescent="0.3"/>
    <row r="835" s="1" customFormat="1" ht="13.5" customHeight="1" x14ac:dyDescent="0.3"/>
    <row r="836" s="1" customFormat="1" ht="13.5" customHeight="1" x14ac:dyDescent="0.3"/>
    <row r="837" s="1" customFormat="1" ht="13.5" customHeight="1" x14ac:dyDescent="0.3"/>
    <row r="838" s="1" customFormat="1" ht="13.5" customHeight="1" x14ac:dyDescent="0.3"/>
    <row r="839" s="1" customFormat="1" ht="13.5" customHeight="1" x14ac:dyDescent="0.3"/>
    <row r="840" s="1" customFormat="1" ht="13.5" customHeight="1" x14ac:dyDescent="0.3"/>
    <row r="841" s="1" customFormat="1" ht="13.5" customHeight="1" x14ac:dyDescent="0.3"/>
    <row r="842" s="1" customFormat="1" ht="13.5" customHeight="1" x14ac:dyDescent="0.3"/>
    <row r="843" s="1" customFormat="1" ht="13.5" customHeight="1" x14ac:dyDescent="0.3"/>
    <row r="844" s="1" customFormat="1" ht="13.5" customHeight="1" x14ac:dyDescent="0.3"/>
    <row r="845" s="1" customFormat="1" ht="13.5" customHeight="1" x14ac:dyDescent="0.3"/>
    <row r="846" s="1" customFormat="1" ht="13.5" customHeight="1" x14ac:dyDescent="0.3"/>
    <row r="847" s="1" customFormat="1" ht="13.5" customHeight="1" x14ac:dyDescent="0.3"/>
    <row r="848" s="1" customFormat="1" ht="13.5" customHeight="1" x14ac:dyDescent="0.3"/>
    <row r="849" s="1" customFormat="1" ht="13.5" customHeight="1" x14ac:dyDescent="0.3"/>
    <row r="850" s="1" customFormat="1" ht="13.5" customHeight="1" x14ac:dyDescent="0.3"/>
    <row r="851" s="1" customFormat="1" ht="13.5" customHeight="1" x14ac:dyDescent="0.3"/>
    <row r="852" s="1" customFormat="1" ht="13.5" customHeight="1" x14ac:dyDescent="0.3"/>
    <row r="853" s="1" customFormat="1" ht="13.5" customHeight="1" x14ac:dyDescent="0.3"/>
    <row r="854" s="1" customFormat="1" ht="13.5" customHeight="1" x14ac:dyDescent="0.3"/>
    <row r="855" s="1" customFormat="1" ht="13.5" customHeight="1" x14ac:dyDescent="0.3"/>
    <row r="856" s="1" customFormat="1" ht="13.5" customHeight="1" x14ac:dyDescent="0.3"/>
    <row r="857" s="1" customFormat="1" ht="13.5" customHeight="1" x14ac:dyDescent="0.3"/>
    <row r="858" s="1" customFormat="1" ht="13.5" customHeight="1" x14ac:dyDescent="0.3"/>
    <row r="859" s="1" customFormat="1" ht="13.5" customHeight="1" x14ac:dyDescent="0.3"/>
    <row r="860" s="1" customFormat="1" ht="13.5" customHeight="1" x14ac:dyDescent="0.3"/>
    <row r="861" s="1" customFormat="1" ht="13.5" customHeight="1" x14ac:dyDescent="0.3"/>
    <row r="862" s="1" customFormat="1" ht="13.5" customHeight="1" x14ac:dyDescent="0.3"/>
    <row r="863" s="1" customFormat="1" ht="13.5" customHeight="1" x14ac:dyDescent="0.3"/>
    <row r="864" s="1" customFormat="1" ht="13.5" customHeight="1" x14ac:dyDescent="0.3"/>
    <row r="865" s="1" customFormat="1" ht="13.5" customHeight="1" x14ac:dyDescent="0.3"/>
    <row r="866" s="1" customFormat="1" ht="13.5" customHeight="1" x14ac:dyDescent="0.3"/>
    <row r="867" s="1" customFormat="1" ht="13.5" customHeight="1" x14ac:dyDescent="0.3"/>
    <row r="868" s="1" customFormat="1" ht="13.5" customHeight="1" x14ac:dyDescent="0.3"/>
    <row r="869" s="1" customFormat="1" ht="13.5" customHeight="1" x14ac:dyDescent="0.3"/>
    <row r="870" s="1" customFormat="1" ht="13.5" customHeight="1" x14ac:dyDescent="0.3"/>
    <row r="871" s="1" customFormat="1" ht="13.5" customHeight="1" x14ac:dyDescent="0.3"/>
    <row r="872" s="1" customFormat="1" ht="13.5" customHeight="1" x14ac:dyDescent="0.3"/>
    <row r="873" s="1" customFormat="1" ht="13.5" customHeight="1" x14ac:dyDescent="0.3"/>
    <row r="874" s="1" customFormat="1" ht="13.5" customHeight="1" x14ac:dyDescent="0.3"/>
    <row r="875" s="1" customFormat="1" ht="13.5" customHeight="1" x14ac:dyDescent="0.3"/>
    <row r="876" s="1" customFormat="1" ht="13.5" customHeight="1" x14ac:dyDescent="0.3"/>
    <row r="877" s="1" customFormat="1" ht="13.5" customHeight="1" x14ac:dyDescent="0.3"/>
    <row r="878" s="1" customFormat="1" ht="13.5" customHeight="1" x14ac:dyDescent="0.3"/>
    <row r="879" s="1" customFormat="1" ht="13.5" customHeight="1" x14ac:dyDescent="0.3"/>
    <row r="880" s="1" customFormat="1" ht="13.5" customHeight="1" x14ac:dyDescent="0.3"/>
    <row r="881" s="1" customFormat="1" ht="13.5" customHeight="1" x14ac:dyDescent="0.3"/>
    <row r="882" s="1" customFormat="1" ht="13.5" customHeight="1" x14ac:dyDescent="0.3"/>
    <row r="883" s="1" customFormat="1" ht="13.5" customHeight="1" x14ac:dyDescent="0.3"/>
    <row r="884" s="1" customFormat="1" ht="13.5" customHeight="1" x14ac:dyDescent="0.3"/>
    <row r="885" s="1" customFormat="1" ht="13.5" customHeight="1" x14ac:dyDescent="0.3"/>
    <row r="886" s="1" customFormat="1" ht="13.5" customHeight="1" x14ac:dyDescent="0.3"/>
    <row r="887" s="1" customFormat="1" ht="13.5" customHeight="1" x14ac:dyDescent="0.3"/>
    <row r="888" s="1" customFormat="1" ht="13.5" customHeight="1" x14ac:dyDescent="0.3"/>
    <row r="889" s="1" customFormat="1" ht="13.5" customHeight="1" x14ac:dyDescent="0.3"/>
    <row r="890" s="1" customFormat="1" ht="13.5" customHeight="1" x14ac:dyDescent="0.3"/>
    <row r="891" s="1" customFormat="1" ht="13.5" customHeight="1" x14ac:dyDescent="0.3"/>
    <row r="892" s="1" customFormat="1" ht="13.5" customHeight="1" x14ac:dyDescent="0.3"/>
    <row r="893" s="1" customFormat="1" ht="13.5" customHeight="1" x14ac:dyDescent="0.3"/>
    <row r="894" s="1" customFormat="1" ht="13.5" customHeight="1" x14ac:dyDescent="0.3"/>
    <row r="895" s="1" customFormat="1" ht="13.5" customHeight="1" x14ac:dyDescent="0.3"/>
    <row r="896" s="1" customFormat="1" ht="13.5" customHeight="1" x14ac:dyDescent="0.3"/>
    <row r="897" s="1" customFormat="1" ht="13.5" customHeight="1" x14ac:dyDescent="0.3"/>
    <row r="898" s="1" customFormat="1" ht="13.5" customHeight="1" x14ac:dyDescent="0.3"/>
    <row r="899" s="1" customFormat="1" ht="13.5" customHeight="1" x14ac:dyDescent="0.3"/>
    <row r="900" s="1" customFormat="1" ht="13.5" customHeight="1" x14ac:dyDescent="0.3"/>
    <row r="901" s="1" customFormat="1" ht="13.5" customHeight="1" x14ac:dyDescent="0.3"/>
    <row r="902" s="1" customFormat="1" ht="13.5" customHeight="1" x14ac:dyDescent="0.3"/>
    <row r="903" s="1" customFormat="1" ht="13.5" customHeight="1" x14ac:dyDescent="0.3"/>
    <row r="904" s="1" customFormat="1" ht="13.5" customHeight="1" x14ac:dyDescent="0.3"/>
    <row r="905" s="1" customFormat="1" ht="13.5" customHeight="1" x14ac:dyDescent="0.3"/>
    <row r="906" s="1" customFormat="1" ht="13.5" customHeight="1" x14ac:dyDescent="0.3"/>
    <row r="907" s="1" customFormat="1" ht="13.5" customHeight="1" x14ac:dyDescent="0.3"/>
    <row r="908" s="1" customFormat="1" ht="13.5" customHeight="1" x14ac:dyDescent="0.3"/>
    <row r="909" s="1" customFormat="1" ht="13.5" customHeight="1" x14ac:dyDescent="0.3"/>
    <row r="910" s="1" customFormat="1" ht="13.5" customHeight="1" x14ac:dyDescent="0.3"/>
    <row r="911" s="1" customFormat="1" ht="13.5" customHeight="1" x14ac:dyDescent="0.3"/>
    <row r="912" s="1" customFormat="1" ht="13.5" customHeight="1" x14ac:dyDescent="0.3"/>
    <row r="913" s="1" customFormat="1" ht="13.5" customHeight="1" x14ac:dyDescent="0.3"/>
    <row r="914" s="1" customFormat="1" ht="13.5" customHeight="1" x14ac:dyDescent="0.3"/>
    <row r="915" s="1" customFormat="1" ht="13.5" customHeight="1" x14ac:dyDescent="0.3"/>
    <row r="916" s="1" customFormat="1" ht="13.5" customHeight="1" x14ac:dyDescent="0.3"/>
    <row r="917" s="1" customFormat="1" ht="13.5" customHeight="1" x14ac:dyDescent="0.3"/>
    <row r="918" s="1" customFormat="1" ht="13.5" customHeight="1" x14ac:dyDescent="0.3"/>
    <row r="919" s="1" customFormat="1" ht="13.5" customHeight="1" x14ac:dyDescent="0.3"/>
    <row r="920" s="1" customFormat="1" ht="13.5" customHeight="1" x14ac:dyDescent="0.3"/>
    <row r="921" s="1" customFormat="1" ht="13.5" customHeight="1" x14ac:dyDescent="0.3"/>
    <row r="922" s="1" customFormat="1" ht="13.5" customHeight="1" x14ac:dyDescent="0.3"/>
    <row r="923" s="1" customFormat="1" ht="13.5" customHeight="1" x14ac:dyDescent="0.3"/>
    <row r="924" s="1" customFormat="1" ht="13.5" customHeight="1" x14ac:dyDescent="0.3"/>
    <row r="925" s="1" customFormat="1" ht="13.5" customHeight="1" x14ac:dyDescent="0.3"/>
    <row r="926" s="1" customFormat="1" ht="13.5" customHeight="1" x14ac:dyDescent="0.3"/>
    <row r="927" s="1" customFormat="1" ht="13.5" customHeight="1" x14ac:dyDescent="0.3"/>
    <row r="928" s="1" customFormat="1" ht="13.5" customHeight="1" x14ac:dyDescent="0.3"/>
    <row r="929" s="1" customFormat="1" ht="13.5" customHeight="1" x14ac:dyDescent="0.3"/>
    <row r="930" s="1" customFormat="1" ht="13.5" customHeight="1" x14ac:dyDescent="0.3"/>
    <row r="931" s="1" customFormat="1" ht="13.5" customHeight="1" x14ac:dyDescent="0.3"/>
    <row r="932" s="1" customFormat="1" ht="13.5" customHeight="1" x14ac:dyDescent="0.3"/>
    <row r="933" s="1" customFormat="1" ht="13.5" customHeight="1" x14ac:dyDescent="0.3"/>
    <row r="934" s="1" customFormat="1" ht="13.5" customHeight="1" x14ac:dyDescent="0.3"/>
    <row r="935" s="1" customFormat="1" ht="13.5" customHeight="1" x14ac:dyDescent="0.3"/>
    <row r="936" s="1" customFormat="1" ht="13.5" customHeight="1" x14ac:dyDescent="0.3"/>
    <row r="937" s="1" customFormat="1" ht="13.5" customHeight="1" x14ac:dyDescent="0.3"/>
    <row r="938" s="1" customFormat="1" ht="13.5" customHeight="1" x14ac:dyDescent="0.3"/>
    <row r="939" s="1" customFormat="1" ht="13.5" customHeight="1" x14ac:dyDescent="0.3"/>
    <row r="940" s="1" customFormat="1" ht="13.5" customHeight="1" x14ac:dyDescent="0.3"/>
    <row r="941" s="1" customFormat="1" ht="13.5" customHeight="1" x14ac:dyDescent="0.3"/>
    <row r="942" s="1" customFormat="1" ht="13.5" customHeight="1" x14ac:dyDescent="0.3"/>
    <row r="943" s="1" customFormat="1" ht="13.5" customHeight="1" x14ac:dyDescent="0.3"/>
    <row r="944" s="1" customFormat="1" ht="13.5" customHeight="1" x14ac:dyDescent="0.3"/>
    <row r="945" s="1" customFormat="1" ht="13.5" customHeight="1" x14ac:dyDescent="0.3"/>
    <row r="946" s="1" customFormat="1" ht="13.5" customHeight="1" x14ac:dyDescent="0.3"/>
    <row r="947" s="1" customFormat="1" ht="13.5" customHeight="1" x14ac:dyDescent="0.3"/>
    <row r="948" s="1" customFormat="1" ht="13.5" customHeight="1" x14ac:dyDescent="0.3"/>
    <row r="949" s="1" customFormat="1" ht="13.5" customHeight="1" x14ac:dyDescent="0.3"/>
    <row r="950" s="1" customFormat="1" ht="13.5" customHeight="1" x14ac:dyDescent="0.3"/>
    <row r="951" s="1" customFormat="1" ht="13.5" customHeight="1" x14ac:dyDescent="0.3"/>
    <row r="952" s="1" customFormat="1" ht="13.5" customHeight="1" x14ac:dyDescent="0.3"/>
    <row r="953" s="1" customFormat="1" ht="13.5" customHeight="1" x14ac:dyDescent="0.3"/>
    <row r="954" s="1" customFormat="1" ht="13.5" customHeight="1" x14ac:dyDescent="0.3"/>
    <row r="955" s="1" customFormat="1" ht="13.5" customHeight="1" x14ac:dyDescent="0.3"/>
    <row r="956" s="1" customFormat="1" ht="13.5" customHeight="1" x14ac:dyDescent="0.3"/>
    <row r="957" s="1" customFormat="1" ht="13.5" customHeight="1" x14ac:dyDescent="0.3"/>
    <row r="958" s="1" customFormat="1" ht="13.5" customHeight="1" x14ac:dyDescent="0.3"/>
    <row r="959" s="1" customFormat="1" ht="13.5" customHeight="1" x14ac:dyDescent="0.3"/>
    <row r="960" s="1" customFormat="1" ht="13.5" customHeight="1" x14ac:dyDescent="0.3"/>
    <row r="961" s="1" customFormat="1" ht="13.5" customHeight="1" x14ac:dyDescent="0.3"/>
    <row r="962" s="1" customFormat="1" ht="13.5" customHeight="1" x14ac:dyDescent="0.3"/>
    <row r="963" s="1" customFormat="1" ht="13.5" customHeight="1" x14ac:dyDescent="0.3"/>
    <row r="964" s="1" customFormat="1" ht="13.5" customHeight="1" x14ac:dyDescent="0.3"/>
    <row r="965" s="1" customFormat="1" ht="13.5" customHeight="1" x14ac:dyDescent="0.3"/>
    <row r="966" s="1" customFormat="1" ht="13.5" customHeight="1" x14ac:dyDescent="0.3"/>
    <row r="967" s="1" customFormat="1" ht="13.5" customHeight="1" x14ac:dyDescent="0.3"/>
    <row r="968" s="1" customFormat="1" ht="13.5" customHeight="1" x14ac:dyDescent="0.3"/>
    <row r="969" s="1" customFormat="1" ht="13.5" customHeight="1" x14ac:dyDescent="0.3"/>
    <row r="970" s="1" customFormat="1" ht="13.5" customHeight="1" x14ac:dyDescent="0.3"/>
    <row r="971" s="1" customFormat="1" ht="13.5" customHeight="1" x14ac:dyDescent="0.3"/>
    <row r="972" s="1" customFormat="1" ht="13.5" customHeight="1" x14ac:dyDescent="0.3"/>
    <row r="973" s="1" customFormat="1" ht="13.5" customHeight="1" x14ac:dyDescent="0.3"/>
    <row r="974" s="1" customFormat="1" ht="13.5" customHeight="1" x14ac:dyDescent="0.3"/>
    <row r="975" s="1" customFormat="1" ht="13.5" customHeight="1" x14ac:dyDescent="0.3"/>
    <row r="976" s="1" customFormat="1" ht="13.5" customHeight="1" x14ac:dyDescent="0.3"/>
    <row r="977" s="1" customFormat="1" ht="13.5" customHeight="1" x14ac:dyDescent="0.3"/>
    <row r="978" s="1" customFormat="1" ht="13.5" customHeight="1" x14ac:dyDescent="0.3"/>
    <row r="979" s="1" customFormat="1" ht="13.5" customHeight="1" x14ac:dyDescent="0.3"/>
    <row r="980" s="1" customFormat="1" ht="13.5" customHeight="1" x14ac:dyDescent="0.3"/>
    <row r="981" s="1" customFormat="1" ht="13.5" customHeight="1" x14ac:dyDescent="0.3"/>
    <row r="982" s="1" customFormat="1" ht="13.5" customHeight="1" x14ac:dyDescent="0.3"/>
    <row r="983" s="1" customFormat="1" ht="13.5" customHeight="1" x14ac:dyDescent="0.3"/>
    <row r="984" s="1" customFormat="1" ht="13.5" customHeight="1" x14ac:dyDescent="0.3"/>
    <row r="985" s="1" customFormat="1" ht="13.5" customHeight="1" x14ac:dyDescent="0.3"/>
    <row r="986" s="1" customFormat="1" ht="13.5" customHeight="1" x14ac:dyDescent="0.3"/>
    <row r="987" s="1" customFormat="1" ht="13.5" customHeight="1" x14ac:dyDescent="0.3"/>
    <row r="988" s="1" customFormat="1" ht="13.5" customHeight="1" x14ac:dyDescent="0.3"/>
    <row r="989" s="1" customFormat="1" ht="13.5" customHeight="1" x14ac:dyDescent="0.3"/>
    <row r="990" s="1" customFormat="1" ht="13.5" customHeight="1" x14ac:dyDescent="0.3"/>
    <row r="991" s="1" customFormat="1" ht="13.5" customHeight="1" x14ac:dyDescent="0.3"/>
    <row r="992" s="1" customFormat="1" ht="13.5" customHeight="1" x14ac:dyDescent="0.3"/>
    <row r="993" s="1" customFormat="1" ht="13.5" customHeight="1" x14ac:dyDescent="0.3"/>
    <row r="994" s="1" customFormat="1" ht="13.5" customHeight="1" x14ac:dyDescent="0.3"/>
    <row r="995" s="1" customFormat="1" ht="13.5" customHeight="1" x14ac:dyDescent="0.3"/>
    <row r="996" s="1" customFormat="1" ht="13.5" customHeight="1" x14ac:dyDescent="0.3"/>
    <row r="997" s="1" customFormat="1" ht="13.5" customHeight="1" x14ac:dyDescent="0.3"/>
    <row r="998" s="1" customFormat="1" ht="13.5" customHeight="1" x14ac:dyDescent="0.3"/>
    <row r="999" s="1" customFormat="1" ht="13.5" customHeight="1" x14ac:dyDescent="0.3"/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E06DE-F39A-4824-93AE-4D9040602627}">
  <dimension ref="A1:M999"/>
  <sheetViews>
    <sheetView workbookViewId="0">
      <selection activeCell="F15" sqref="F15"/>
    </sheetView>
  </sheetViews>
  <sheetFormatPr baseColWidth="10" defaultColWidth="12.6328125" defaultRowHeight="15" customHeight="1" x14ac:dyDescent="0.3"/>
  <cols>
    <col min="1" max="1" width="15.7265625" style="1" customWidth="1"/>
    <col min="2" max="7" width="10.6328125" style="1" customWidth="1"/>
    <col min="8" max="8" width="11.36328125" style="1" customWidth="1"/>
    <col min="9" max="25" width="10.6328125" style="1" customWidth="1"/>
    <col min="26" max="16384" width="12.6328125" style="1"/>
  </cols>
  <sheetData>
    <row r="1" spans="1:13" ht="12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2.75" customHeight="1" x14ac:dyDescent="0.3">
      <c r="A2" s="1" t="s">
        <v>12</v>
      </c>
      <c r="B2" s="1" t="s">
        <v>13</v>
      </c>
      <c r="D2" s="1">
        <v>1</v>
      </c>
      <c r="H2" s="2" t="s">
        <v>14</v>
      </c>
      <c r="I2" s="3">
        <f t="shared" ref="I2:L2" si="0">SUM(C22+C37+C55+C65+C66+C96+C105+C113+C128+C146+C150)</f>
        <v>10</v>
      </c>
      <c r="J2" s="3">
        <f t="shared" si="0"/>
        <v>0</v>
      </c>
      <c r="K2" s="3">
        <f t="shared" si="0"/>
        <v>1</v>
      </c>
      <c r="L2" s="3">
        <f t="shared" si="0"/>
        <v>0</v>
      </c>
      <c r="M2" s="3">
        <f t="shared" ref="M2:M13" si="1">SUM(I2:L2)</f>
        <v>11</v>
      </c>
    </row>
    <row r="3" spans="1:13" ht="12.75" customHeight="1" x14ac:dyDescent="0.3">
      <c r="A3" s="1" t="s">
        <v>15</v>
      </c>
      <c r="B3" s="1" t="s">
        <v>16</v>
      </c>
      <c r="C3" s="1">
        <v>1</v>
      </c>
      <c r="H3" s="2" t="s">
        <v>17</v>
      </c>
      <c r="I3" s="3">
        <f t="shared" ref="I3:L3" si="2">SUM(C6+C32+C50+C52+C58+C69+C76+C94+C115+C122+C123+C152)</f>
        <v>6</v>
      </c>
      <c r="J3" s="3">
        <f t="shared" si="2"/>
        <v>5</v>
      </c>
      <c r="K3" s="3">
        <f t="shared" si="2"/>
        <v>1</v>
      </c>
      <c r="L3" s="3">
        <f t="shared" si="2"/>
        <v>0</v>
      </c>
      <c r="M3" s="3">
        <f t="shared" si="1"/>
        <v>12</v>
      </c>
    </row>
    <row r="4" spans="1:13" ht="12.75" customHeight="1" x14ac:dyDescent="0.3">
      <c r="A4" s="1" t="s">
        <v>18</v>
      </c>
      <c r="B4" s="1" t="s">
        <v>13</v>
      </c>
      <c r="C4" s="1">
        <v>1</v>
      </c>
      <c r="H4" s="2" t="s">
        <v>19</v>
      </c>
      <c r="I4" s="3">
        <f t="shared" ref="I4:L4" si="3">SUM(C26+C14+C27+C62+C68+C124+C138+C142+C153+C155)</f>
        <v>10</v>
      </c>
      <c r="J4" s="3">
        <f t="shared" si="3"/>
        <v>0</v>
      </c>
      <c r="K4" s="3">
        <f t="shared" si="3"/>
        <v>0</v>
      </c>
      <c r="L4" s="3">
        <f t="shared" si="3"/>
        <v>0</v>
      </c>
      <c r="M4" s="3">
        <f t="shared" si="1"/>
        <v>10</v>
      </c>
    </row>
    <row r="5" spans="1:13" ht="12.75" customHeight="1" x14ac:dyDescent="0.3">
      <c r="A5" s="1" t="s">
        <v>20</v>
      </c>
      <c r="B5" s="1" t="s">
        <v>21</v>
      </c>
      <c r="E5" s="1">
        <v>1</v>
      </c>
      <c r="H5" s="2" t="s">
        <v>22</v>
      </c>
      <c r="I5" s="3">
        <f t="shared" ref="I5:L5" si="4">SUM(C5+C36+C56+C63+C73+C85+C87+C95+C135)</f>
        <v>0</v>
      </c>
      <c r="J5" s="3">
        <f t="shared" si="4"/>
        <v>1</v>
      </c>
      <c r="K5" s="3">
        <f t="shared" si="4"/>
        <v>7</v>
      </c>
      <c r="L5" s="3">
        <f t="shared" si="4"/>
        <v>1</v>
      </c>
      <c r="M5" s="3">
        <f t="shared" si="1"/>
        <v>9</v>
      </c>
    </row>
    <row r="6" spans="1:13" ht="12.75" customHeight="1" x14ac:dyDescent="0.3">
      <c r="A6" s="1" t="s">
        <v>23</v>
      </c>
      <c r="B6" s="1" t="s">
        <v>24</v>
      </c>
      <c r="C6" s="1">
        <v>1</v>
      </c>
      <c r="H6" s="2" t="s">
        <v>25</v>
      </c>
      <c r="I6" s="3">
        <f t="shared" ref="I6:L6" si="5">SUM(C12+C15+C18+C28+C41+C59+C78+C64+C82+C83+C86+C106+C119+C143+C148+C154)</f>
        <v>15</v>
      </c>
      <c r="J6" s="3">
        <f t="shared" si="5"/>
        <v>0</v>
      </c>
      <c r="K6" s="3">
        <f t="shared" si="5"/>
        <v>0</v>
      </c>
      <c r="L6" s="3">
        <f t="shared" si="5"/>
        <v>1</v>
      </c>
      <c r="M6" s="3">
        <f t="shared" si="1"/>
        <v>16</v>
      </c>
    </row>
    <row r="7" spans="1:13" ht="12.75" customHeight="1" x14ac:dyDescent="0.3">
      <c r="A7" s="1" t="s">
        <v>26</v>
      </c>
      <c r="B7" s="1" t="s">
        <v>27</v>
      </c>
      <c r="C7" s="1">
        <v>1</v>
      </c>
      <c r="H7" s="2" t="s">
        <v>28</v>
      </c>
      <c r="I7" s="3">
        <f t="shared" ref="I7:L7" si="6">SUM(C3+C20+C46+C49+C54+C89+C90+C102+C112+C114+C129+C141)</f>
        <v>7</v>
      </c>
      <c r="J7" s="3">
        <f t="shared" si="6"/>
        <v>1</v>
      </c>
      <c r="K7" s="3">
        <f t="shared" si="6"/>
        <v>4</v>
      </c>
      <c r="L7" s="3">
        <f t="shared" si="6"/>
        <v>0</v>
      </c>
      <c r="M7" s="3">
        <f t="shared" si="1"/>
        <v>12</v>
      </c>
    </row>
    <row r="8" spans="1:13" ht="12.75" customHeight="1" x14ac:dyDescent="0.3">
      <c r="A8" s="1" t="s">
        <v>29</v>
      </c>
      <c r="B8" s="1" t="s">
        <v>30</v>
      </c>
      <c r="E8" s="1">
        <v>1</v>
      </c>
      <c r="H8" s="2" t="s">
        <v>27</v>
      </c>
      <c r="I8" s="3">
        <f t="shared" ref="I8:L8" si="7">SUM(C7+C30+C29+C44+C51+C60+C72+C79+C101+C99+C107+C111+C117+C140+C144)</f>
        <v>14</v>
      </c>
      <c r="J8" s="3">
        <f t="shared" si="7"/>
        <v>1</v>
      </c>
      <c r="K8" s="3">
        <f t="shared" si="7"/>
        <v>0</v>
      </c>
      <c r="L8" s="3">
        <f t="shared" si="7"/>
        <v>0</v>
      </c>
      <c r="M8" s="3">
        <f t="shared" si="1"/>
        <v>15</v>
      </c>
    </row>
    <row r="9" spans="1:13" ht="12.75" customHeight="1" x14ac:dyDescent="0.3">
      <c r="A9" s="1" t="s">
        <v>31</v>
      </c>
      <c r="B9" s="1" t="s">
        <v>13</v>
      </c>
      <c r="C9" s="1">
        <v>1</v>
      </c>
      <c r="H9" s="2" t="s">
        <v>13</v>
      </c>
      <c r="I9" s="3">
        <f t="shared" ref="I9:J9" si="8">SUM(C4+C9+C17+C19+C2+C48+C92+C120+C126+C127+C130+C133+C151)</f>
        <v>5</v>
      </c>
      <c r="J9" s="3">
        <f t="shared" si="8"/>
        <v>7</v>
      </c>
      <c r="K9" s="3">
        <f>SUM(D4+D9+D17+D19+D2+D48+D92+D120+D126+D127+D130+D133+D151)</f>
        <v>7</v>
      </c>
      <c r="L9" s="3">
        <f>SUM(F4+F9+F17+F19+F2+F48+F92+F120+F126+F127+F130+F133+F151)</f>
        <v>0</v>
      </c>
      <c r="M9" s="3">
        <f t="shared" si="1"/>
        <v>19</v>
      </c>
    </row>
    <row r="10" spans="1:13" ht="12.75" customHeight="1" x14ac:dyDescent="0.3">
      <c r="A10" s="1" t="s">
        <v>32</v>
      </c>
      <c r="B10" s="1" t="s">
        <v>33</v>
      </c>
      <c r="C10" s="1">
        <v>1</v>
      </c>
      <c r="H10" s="2" t="s">
        <v>30</v>
      </c>
      <c r="I10" s="3">
        <f t="shared" ref="I10:L10" si="9">SUM(C8+C13+C16+C25+C31+C35+C43+C45+C70+C71+C75+C81+C88+C93+C98+C100+C104+C118+C136+C137+C156)</f>
        <v>0</v>
      </c>
      <c r="J10" s="3">
        <f t="shared" si="9"/>
        <v>6</v>
      </c>
      <c r="K10" s="3">
        <f t="shared" si="9"/>
        <v>15</v>
      </c>
      <c r="L10" s="3">
        <f t="shared" si="9"/>
        <v>0</v>
      </c>
      <c r="M10" s="3">
        <f t="shared" si="1"/>
        <v>21</v>
      </c>
    </row>
    <row r="11" spans="1:13" ht="12.75" customHeight="1" x14ac:dyDescent="0.3">
      <c r="A11" s="1" t="s">
        <v>34</v>
      </c>
      <c r="B11" s="1" t="s">
        <v>33</v>
      </c>
      <c r="C11" s="1">
        <v>1</v>
      </c>
      <c r="H11" s="2" t="s">
        <v>35</v>
      </c>
      <c r="I11" s="3">
        <f t="shared" ref="I11:L11" si="10">SUM(C38+C42+C47+C53+C74+C77+C80+C91+C97+C103+C108+C116+C131+C145+C147)</f>
        <v>3</v>
      </c>
      <c r="J11" s="3">
        <f t="shared" si="10"/>
        <v>3</v>
      </c>
      <c r="K11" s="3">
        <f t="shared" si="10"/>
        <v>9</v>
      </c>
      <c r="L11" s="3">
        <f t="shared" si="10"/>
        <v>0</v>
      </c>
      <c r="M11" s="3">
        <f t="shared" si="1"/>
        <v>15</v>
      </c>
    </row>
    <row r="12" spans="1:13" ht="12.75" customHeight="1" x14ac:dyDescent="0.3">
      <c r="A12" s="1" t="s">
        <v>36</v>
      </c>
      <c r="B12" s="1" t="s">
        <v>37</v>
      </c>
      <c r="C12" s="1">
        <v>1</v>
      </c>
      <c r="H12" s="2" t="s">
        <v>38</v>
      </c>
      <c r="I12" s="3">
        <f t="shared" ref="I12:L12" si="11">SUM(C21+C24+C34+C40+C67+C84+C132)</f>
        <v>3</v>
      </c>
      <c r="J12" s="3">
        <f t="shared" si="11"/>
        <v>2</v>
      </c>
      <c r="K12" s="3">
        <f t="shared" si="11"/>
        <v>2</v>
      </c>
      <c r="L12" s="3">
        <f t="shared" si="11"/>
        <v>0</v>
      </c>
      <c r="M12" s="3">
        <f t="shared" si="1"/>
        <v>7</v>
      </c>
    </row>
    <row r="13" spans="1:13" ht="12.75" customHeight="1" x14ac:dyDescent="0.3">
      <c r="A13" s="1" t="s">
        <v>39</v>
      </c>
      <c r="B13" s="1" t="s">
        <v>30</v>
      </c>
      <c r="E13" s="1">
        <v>1</v>
      </c>
      <c r="H13" s="2" t="s">
        <v>33</v>
      </c>
      <c r="I13" s="3">
        <f t="shared" ref="I13:L13" si="12">SUM(C10+C11+C57+C125+C149)</f>
        <v>4</v>
      </c>
      <c r="J13" s="3">
        <f t="shared" si="12"/>
        <v>1</v>
      </c>
      <c r="K13" s="3">
        <f t="shared" si="12"/>
        <v>0</v>
      </c>
      <c r="L13" s="3">
        <f t="shared" si="12"/>
        <v>0</v>
      </c>
      <c r="M13" s="3">
        <f t="shared" si="1"/>
        <v>5</v>
      </c>
    </row>
    <row r="14" spans="1:13" ht="12.75" customHeight="1" x14ac:dyDescent="0.3">
      <c r="A14" s="1" t="s">
        <v>40</v>
      </c>
      <c r="B14" s="1" t="s">
        <v>19</v>
      </c>
      <c r="C14" s="1">
        <v>1</v>
      </c>
      <c r="I14" s="4"/>
      <c r="J14" s="4"/>
      <c r="K14" s="4"/>
      <c r="L14" s="4"/>
    </row>
    <row r="15" spans="1:13" ht="12.75" customHeight="1" x14ac:dyDescent="0.3">
      <c r="A15" s="1" t="s">
        <v>41</v>
      </c>
      <c r="B15" s="1" t="s">
        <v>42</v>
      </c>
      <c r="C15" s="1">
        <v>1</v>
      </c>
      <c r="I15" s="4"/>
      <c r="J15" s="4"/>
      <c r="K15" s="4"/>
      <c r="L15" s="4"/>
    </row>
    <row r="16" spans="1:13" ht="12.75" customHeight="1" x14ac:dyDescent="0.3">
      <c r="A16" s="1" t="s">
        <v>43</v>
      </c>
      <c r="B16" s="1" t="s">
        <v>30</v>
      </c>
      <c r="D16" s="1">
        <v>1</v>
      </c>
      <c r="I16" s="4"/>
      <c r="J16" s="4"/>
      <c r="K16" s="4"/>
      <c r="L16" s="4"/>
    </row>
    <row r="17" spans="1:12" ht="12.75" customHeight="1" x14ac:dyDescent="0.3">
      <c r="A17" s="1" t="s">
        <v>44</v>
      </c>
      <c r="B17" s="1" t="s">
        <v>13</v>
      </c>
      <c r="D17" s="1">
        <v>1</v>
      </c>
      <c r="I17" s="4"/>
      <c r="J17" s="4"/>
      <c r="K17" s="4"/>
      <c r="L17" s="4"/>
    </row>
    <row r="18" spans="1:12" ht="12.75" customHeight="1" x14ac:dyDescent="0.3">
      <c r="A18" s="1" t="s">
        <v>45</v>
      </c>
      <c r="B18" s="1" t="s">
        <v>37</v>
      </c>
      <c r="C18" s="1">
        <v>1</v>
      </c>
      <c r="I18" s="4"/>
      <c r="J18" s="4"/>
      <c r="K18" s="4"/>
      <c r="L18" s="4"/>
    </row>
    <row r="19" spans="1:12" ht="12.75" customHeight="1" x14ac:dyDescent="0.3">
      <c r="A19" s="1" t="s">
        <v>46</v>
      </c>
      <c r="B19" s="1" t="s">
        <v>13</v>
      </c>
      <c r="D19" s="1">
        <v>1</v>
      </c>
    </row>
    <row r="20" spans="1:12" ht="12.75" customHeight="1" x14ac:dyDescent="0.3">
      <c r="A20" s="1" t="s">
        <v>47</v>
      </c>
      <c r="B20" s="1" t="s">
        <v>16</v>
      </c>
      <c r="C20" s="1">
        <v>1</v>
      </c>
    </row>
    <row r="21" spans="1:12" ht="12.75" customHeight="1" x14ac:dyDescent="0.3">
      <c r="A21" s="1" t="s">
        <v>48</v>
      </c>
      <c r="B21" s="1" t="s">
        <v>38</v>
      </c>
      <c r="C21" s="1">
        <v>1</v>
      </c>
    </row>
    <row r="22" spans="1:12" ht="12.75" customHeight="1" x14ac:dyDescent="0.3">
      <c r="A22" s="1" t="s">
        <v>49</v>
      </c>
      <c r="B22" s="1" t="s">
        <v>14</v>
      </c>
      <c r="C22" s="1">
        <v>1</v>
      </c>
    </row>
    <row r="23" spans="1:12" ht="12.75" customHeight="1" x14ac:dyDescent="0.3">
      <c r="A23" s="1" t="s">
        <v>50</v>
      </c>
      <c r="B23" s="1" t="s">
        <v>13</v>
      </c>
      <c r="D23" s="1">
        <v>1</v>
      </c>
    </row>
    <row r="24" spans="1:12" ht="12.75" customHeight="1" x14ac:dyDescent="0.3">
      <c r="A24" s="1" t="s">
        <v>51</v>
      </c>
      <c r="B24" s="1" t="s">
        <v>38</v>
      </c>
      <c r="E24" s="1">
        <v>1</v>
      </c>
    </row>
    <row r="25" spans="1:12" ht="12.75" customHeight="1" x14ac:dyDescent="0.3">
      <c r="A25" s="1" t="s">
        <v>52</v>
      </c>
      <c r="B25" s="1" t="s">
        <v>30</v>
      </c>
      <c r="D25" s="1">
        <v>1</v>
      </c>
    </row>
    <row r="26" spans="1:12" ht="12.75" customHeight="1" x14ac:dyDescent="0.3">
      <c r="A26" s="1" t="s">
        <v>53</v>
      </c>
      <c r="B26" s="1" t="s">
        <v>19</v>
      </c>
      <c r="C26" s="1">
        <v>1</v>
      </c>
    </row>
    <row r="27" spans="1:12" ht="12.75" customHeight="1" x14ac:dyDescent="0.3">
      <c r="A27" s="1" t="s">
        <v>54</v>
      </c>
      <c r="B27" s="1" t="s">
        <v>19</v>
      </c>
      <c r="C27" s="1">
        <v>1</v>
      </c>
    </row>
    <row r="28" spans="1:12" ht="12.75" customHeight="1" x14ac:dyDescent="0.3">
      <c r="A28" s="1" t="s">
        <v>55</v>
      </c>
      <c r="B28" s="1" t="s">
        <v>37</v>
      </c>
      <c r="C28" s="1">
        <v>1</v>
      </c>
    </row>
    <row r="29" spans="1:12" ht="12.75" customHeight="1" x14ac:dyDescent="0.3">
      <c r="A29" s="1" t="s">
        <v>56</v>
      </c>
      <c r="B29" s="1" t="s">
        <v>27</v>
      </c>
      <c r="C29" s="1">
        <v>1</v>
      </c>
    </row>
    <row r="30" spans="1:12" ht="12.75" customHeight="1" x14ac:dyDescent="0.3">
      <c r="A30" s="1" t="s">
        <v>57</v>
      </c>
      <c r="B30" s="1" t="s">
        <v>27</v>
      </c>
      <c r="C30" s="1">
        <v>1</v>
      </c>
    </row>
    <row r="31" spans="1:12" ht="12.75" customHeight="1" x14ac:dyDescent="0.3">
      <c r="A31" s="1" t="s">
        <v>58</v>
      </c>
      <c r="B31" s="1" t="s">
        <v>30</v>
      </c>
      <c r="D31" s="1">
        <v>1</v>
      </c>
    </row>
    <row r="32" spans="1:12" ht="12.75" customHeight="1" x14ac:dyDescent="0.3">
      <c r="A32" s="1" t="s">
        <v>59</v>
      </c>
      <c r="B32" s="1" t="s">
        <v>24</v>
      </c>
      <c r="D32" s="1">
        <v>1</v>
      </c>
    </row>
    <row r="33" spans="1:12" ht="12.75" customHeight="1" x14ac:dyDescent="0.3">
      <c r="A33" s="1" t="s">
        <v>60</v>
      </c>
      <c r="B33" s="1" t="s">
        <v>27</v>
      </c>
      <c r="C33" s="1">
        <v>1</v>
      </c>
    </row>
    <row r="34" spans="1:12" ht="12.75" customHeight="1" x14ac:dyDescent="0.3">
      <c r="A34" s="1" t="s">
        <v>61</v>
      </c>
      <c r="B34" s="1" t="s">
        <v>38</v>
      </c>
      <c r="C34" s="1">
        <v>1</v>
      </c>
    </row>
    <row r="35" spans="1:12" ht="12.75" customHeight="1" x14ac:dyDescent="0.3">
      <c r="A35" s="1" t="s">
        <v>62</v>
      </c>
      <c r="B35" s="1" t="s">
        <v>30</v>
      </c>
      <c r="E35" s="1">
        <v>1</v>
      </c>
    </row>
    <row r="36" spans="1:12" ht="12.75" customHeight="1" x14ac:dyDescent="0.3">
      <c r="A36" s="1" t="s">
        <v>63</v>
      </c>
      <c r="B36" s="1" t="s">
        <v>21</v>
      </c>
      <c r="E36" s="1">
        <v>1</v>
      </c>
    </row>
    <row r="37" spans="1:12" ht="12.75" customHeight="1" x14ac:dyDescent="0.3">
      <c r="A37" s="1" t="s">
        <v>64</v>
      </c>
      <c r="B37" s="1" t="s">
        <v>14</v>
      </c>
      <c r="E37" s="1">
        <v>1</v>
      </c>
    </row>
    <row r="38" spans="1:12" ht="12.75" customHeight="1" x14ac:dyDescent="0.3">
      <c r="A38" s="1" t="s">
        <v>65</v>
      </c>
      <c r="B38" s="1" t="s">
        <v>66</v>
      </c>
      <c r="E38" s="1">
        <v>1</v>
      </c>
    </row>
    <row r="39" spans="1:12" ht="12.75" customHeight="1" x14ac:dyDescent="0.3">
      <c r="A39" s="1" t="s">
        <v>67</v>
      </c>
      <c r="B39" s="1" t="s">
        <v>16</v>
      </c>
      <c r="C39" s="1">
        <v>1</v>
      </c>
    </row>
    <row r="40" spans="1:12" ht="12.75" customHeight="1" x14ac:dyDescent="0.3">
      <c r="A40" s="1" t="s">
        <v>68</v>
      </c>
      <c r="B40" s="1" t="s">
        <v>38</v>
      </c>
      <c r="D40" s="1">
        <v>1</v>
      </c>
    </row>
    <row r="41" spans="1:12" ht="12.75" customHeight="1" x14ac:dyDescent="0.3">
      <c r="A41" s="1" t="s">
        <v>69</v>
      </c>
      <c r="B41" s="1" t="s">
        <v>37</v>
      </c>
      <c r="C41" s="1">
        <v>1</v>
      </c>
    </row>
    <row r="42" spans="1:12" ht="12.75" customHeight="1" x14ac:dyDescent="0.3">
      <c r="A42" s="1" t="s">
        <v>70</v>
      </c>
      <c r="B42" s="1" t="s">
        <v>66</v>
      </c>
      <c r="D42" s="1">
        <v>1</v>
      </c>
    </row>
    <row r="43" spans="1:12" ht="12.75" customHeight="1" x14ac:dyDescent="0.3">
      <c r="A43" s="1" t="s">
        <v>71</v>
      </c>
      <c r="B43" s="1" t="s">
        <v>30</v>
      </c>
      <c r="E43" s="1">
        <v>1</v>
      </c>
    </row>
    <row r="44" spans="1:12" ht="12.75" customHeight="1" x14ac:dyDescent="0.3">
      <c r="A44" s="1" t="s">
        <v>72</v>
      </c>
      <c r="B44" s="1" t="s">
        <v>27</v>
      </c>
      <c r="C44" s="1">
        <v>1</v>
      </c>
    </row>
    <row r="45" spans="1:12" ht="12.75" customHeight="1" x14ac:dyDescent="0.3">
      <c r="A45" s="1" t="s">
        <v>73</v>
      </c>
      <c r="B45" s="1" t="s">
        <v>30</v>
      </c>
      <c r="E45" s="1">
        <v>1</v>
      </c>
      <c r="H45" s="1" t="s">
        <v>6</v>
      </c>
      <c r="I45" s="1" t="s">
        <v>7</v>
      </c>
      <c r="J45" s="1" t="s">
        <v>8</v>
      </c>
      <c r="K45" s="1" t="s">
        <v>9</v>
      </c>
      <c r="L45" s="1" t="s">
        <v>10</v>
      </c>
    </row>
    <row r="46" spans="1:12" ht="12.75" customHeight="1" x14ac:dyDescent="0.3">
      <c r="A46" s="1" t="s">
        <v>74</v>
      </c>
      <c r="B46" s="1" t="s">
        <v>16</v>
      </c>
      <c r="D46" s="1">
        <v>1</v>
      </c>
      <c r="H46" s="2" t="s">
        <v>14</v>
      </c>
      <c r="I46" s="4">
        <f t="shared" ref="I46:I57" si="13">I2/M2</f>
        <v>0.90909090909090906</v>
      </c>
      <c r="J46" s="4">
        <f t="shared" ref="J46:J57" si="14">J2/M2</f>
        <v>0</v>
      </c>
      <c r="K46" s="4">
        <f t="shared" ref="K46:K57" si="15">K2/M2</f>
        <v>9.0909090909090912E-2</v>
      </c>
      <c r="L46" s="4">
        <f t="shared" ref="L46:L57" si="16">L2/M2</f>
        <v>0</v>
      </c>
    </row>
    <row r="47" spans="1:12" ht="12.75" customHeight="1" x14ac:dyDescent="0.3">
      <c r="A47" s="1" t="s">
        <v>75</v>
      </c>
      <c r="B47" s="1" t="s">
        <v>66</v>
      </c>
      <c r="C47" s="1">
        <v>1</v>
      </c>
      <c r="H47" s="2" t="s">
        <v>17</v>
      </c>
      <c r="I47" s="4">
        <f t="shared" si="13"/>
        <v>0.5</v>
      </c>
      <c r="J47" s="4">
        <f t="shared" si="14"/>
        <v>0.41666666666666669</v>
      </c>
      <c r="K47" s="4">
        <f t="shared" si="15"/>
        <v>8.3333333333333329E-2</v>
      </c>
      <c r="L47" s="4">
        <f t="shared" si="16"/>
        <v>0</v>
      </c>
    </row>
    <row r="48" spans="1:12" ht="12.75" customHeight="1" x14ac:dyDescent="0.3">
      <c r="A48" s="1" t="s">
        <v>76</v>
      </c>
      <c r="B48" s="1" t="s">
        <v>13</v>
      </c>
      <c r="C48" s="1">
        <v>1</v>
      </c>
      <c r="H48" s="2" t="s">
        <v>19</v>
      </c>
      <c r="I48" s="4">
        <f t="shared" si="13"/>
        <v>1</v>
      </c>
      <c r="J48" s="4">
        <f t="shared" si="14"/>
        <v>0</v>
      </c>
      <c r="K48" s="4">
        <f t="shared" si="15"/>
        <v>0</v>
      </c>
      <c r="L48" s="4">
        <f t="shared" si="16"/>
        <v>0</v>
      </c>
    </row>
    <row r="49" spans="1:12" ht="12.75" customHeight="1" x14ac:dyDescent="0.3">
      <c r="A49" s="1" t="s">
        <v>77</v>
      </c>
      <c r="B49" s="1" t="s">
        <v>16</v>
      </c>
      <c r="C49" s="1">
        <v>1</v>
      </c>
      <c r="H49" s="2" t="s">
        <v>22</v>
      </c>
      <c r="I49" s="4">
        <f t="shared" si="13"/>
        <v>0</v>
      </c>
      <c r="J49" s="4">
        <f t="shared" si="14"/>
        <v>0.1111111111111111</v>
      </c>
      <c r="K49" s="4">
        <f t="shared" si="15"/>
        <v>0.77777777777777779</v>
      </c>
      <c r="L49" s="4">
        <f t="shared" si="16"/>
        <v>0.1111111111111111</v>
      </c>
    </row>
    <row r="50" spans="1:12" ht="12.75" customHeight="1" x14ac:dyDescent="0.3">
      <c r="A50" s="1" t="s">
        <v>78</v>
      </c>
      <c r="B50" s="1" t="s">
        <v>24</v>
      </c>
      <c r="C50" s="1">
        <v>1</v>
      </c>
      <c r="H50" s="2" t="s">
        <v>25</v>
      </c>
      <c r="I50" s="4">
        <f t="shared" si="13"/>
        <v>0.9375</v>
      </c>
      <c r="J50" s="4">
        <f t="shared" si="14"/>
        <v>0</v>
      </c>
      <c r="K50" s="4">
        <f t="shared" si="15"/>
        <v>0</v>
      </c>
      <c r="L50" s="4">
        <f t="shared" si="16"/>
        <v>6.25E-2</v>
      </c>
    </row>
    <row r="51" spans="1:12" ht="12.75" customHeight="1" x14ac:dyDescent="0.3">
      <c r="A51" s="1" t="s">
        <v>79</v>
      </c>
      <c r="B51" s="1" t="s">
        <v>27</v>
      </c>
      <c r="D51" s="1">
        <v>1</v>
      </c>
      <c r="H51" s="2" t="s">
        <v>28</v>
      </c>
      <c r="I51" s="4">
        <f t="shared" si="13"/>
        <v>0.58333333333333337</v>
      </c>
      <c r="J51" s="4">
        <f t="shared" si="14"/>
        <v>8.3333333333333329E-2</v>
      </c>
      <c r="K51" s="4">
        <f t="shared" si="15"/>
        <v>0.33333333333333331</v>
      </c>
      <c r="L51" s="4">
        <f t="shared" si="16"/>
        <v>0</v>
      </c>
    </row>
    <row r="52" spans="1:12" ht="12.75" customHeight="1" x14ac:dyDescent="0.3">
      <c r="A52" s="1" t="s">
        <v>80</v>
      </c>
      <c r="B52" s="1" t="s">
        <v>24</v>
      </c>
      <c r="D52" s="1">
        <v>1</v>
      </c>
      <c r="H52" s="2" t="s">
        <v>27</v>
      </c>
      <c r="I52" s="4">
        <f t="shared" si="13"/>
        <v>0.93333333333333335</v>
      </c>
      <c r="J52" s="4">
        <f t="shared" si="14"/>
        <v>6.6666666666666666E-2</v>
      </c>
      <c r="K52" s="4">
        <f t="shared" si="15"/>
        <v>0</v>
      </c>
      <c r="L52" s="4">
        <f t="shared" si="16"/>
        <v>0</v>
      </c>
    </row>
    <row r="53" spans="1:12" ht="12.75" customHeight="1" x14ac:dyDescent="0.3">
      <c r="A53" s="1" t="s">
        <v>81</v>
      </c>
      <c r="B53" s="1" t="s">
        <v>66</v>
      </c>
      <c r="E53" s="1">
        <v>1</v>
      </c>
      <c r="H53" s="2" t="s">
        <v>13</v>
      </c>
      <c r="I53" s="4">
        <f t="shared" si="13"/>
        <v>0.26315789473684209</v>
      </c>
      <c r="J53" s="4">
        <f t="shared" si="14"/>
        <v>0.36842105263157893</v>
      </c>
      <c r="K53" s="4">
        <f t="shared" si="15"/>
        <v>0.36842105263157893</v>
      </c>
      <c r="L53" s="4">
        <f t="shared" si="16"/>
        <v>0</v>
      </c>
    </row>
    <row r="54" spans="1:12" ht="12.75" customHeight="1" x14ac:dyDescent="0.3">
      <c r="A54" s="1" t="s">
        <v>82</v>
      </c>
      <c r="B54" s="1" t="s">
        <v>16</v>
      </c>
      <c r="E54" s="1">
        <v>1</v>
      </c>
      <c r="H54" s="2" t="s">
        <v>30</v>
      </c>
      <c r="I54" s="4">
        <f t="shared" si="13"/>
        <v>0</v>
      </c>
      <c r="J54" s="4">
        <f t="shared" si="14"/>
        <v>0.2857142857142857</v>
      </c>
      <c r="K54" s="4">
        <f t="shared" si="15"/>
        <v>0.7142857142857143</v>
      </c>
      <c r="L54" s="4">
        <f t="shared" si="16"/>
        <v>0</v>
      </c>
    </row>
    <row r="55" spans="1:12" ht="12.75" customHeight="1" x14ac:dyDescent="0.3">
      <c r="A55" s="1" t="s">
        <v>83</v>
      </c>
      <c r="B55" s="1" t="s">
        <v>14</v>
      </c>
      <c r="C55" s="1">
        <v>1</v>
      </c>
      <c r="H55" s="2" t="s">
        <v>35</v>
      </c>
      <c r="I55" s="4">
        <f t="shared" si="13"/>
        <v>0.2</v>
      </c>
      <c r="J55" s="4">
        <f t="shared" si="14"/>
        <v>0.2</v>
      </c>
      <c r="K55" s="4">
        <f t="shared" si="15"/>
        <v>0.6</v>
      </c>
      <c r="L55" s="4">
        <f t="shared" si="16"/>
        <v>0</v>
      </c>
    </row>
    <row r="56" spans="1:12" ht="12.75" customHeight="1" x14ac:dyDescent="0.3">
      <c r="A56" s="1" t="s">
        <v>84</v>
      </c>
      <c r="B56" s="1" t="s">
        <v>21</v>
      </c>
      <c r="E56" s="1">
        <v>1</v>
      </c>
      <c r="H56" s="2" t="s">
        <v>38</v>
      </c>
      <c r="I56" s="4">
        <f t="shared" si="13"/>
        <v>0.42857142857142855</v>
      </c>
      <c r="J56" s="4">
        <f t="shared" si="14"/>
        <v>0.2857142857142857</v>
      </c>
      <c r="K56" s="4">
        <f t="shared" si="15"/>
        <v>0.2857142857142857</v>
      </c>
      <c r="L56" s="4">
        <f t="shared" si="16"/>
        <v>0</v>
      </c>
    </row>
    <row r="57" spans="1:12" ht="12.75" customHeight="1" x14ac:dyDescent="0.3">
      <c r="A57" s="1" t="s">
        <v>85</v>
      </c>
      <c r="B57" s="1" t="s">
        <v>33</v>
      </c>
      <c r="D57" s="1">
        <v>1</v>
      </c>
      <c r="H57" s="2" t="s">
        <v>33</v>
      </c>
      <c r="I57" s="4">
        <f t="shared" si="13"/>
        <v>0.8</v>
      </c>
      <c r="J57" s="4">
        <f t="shared" si="14"/>
        <v>0.2</v>
      </c>
      <c r="K57" s="4">
        <f t="shared" si="15"/>
        <v>0</v>
      </c>
      <c r="L57" s="4">
        <f t="shared" si="16"/>
        <v>0</v>
      </c>
    </row>
    <row r="58" spans="1:12" ht="12.75" customHeight="1" x14ac:dyDescent="0.3">
      <c r="A58" s="1" t="s">
        <v>86</v>
      </c>
      <c r="B58" s="1" t="s">
        <v>24</v>
      </c>
      <c r="D58" s="1">
        <v>1</v>
      </c>
    </row>
    <row r="59" spans="1:12" ht="12.75" customHeight="1" x14ac:dyDescent="0.3">
      <c r="A59" s="1" t="s">
        <v>87</v>
      </c>
      <c r="B59" s="1" t="s">
        <v>37</v>
      </c>
      <c r="C59" s="1">
        <v>1</v>
      </c>
    </row>
    <row r="60" spans="1:12" ht="12.75" customHeight="1" x14ac:dyDescent="0.3">
      <c r="A60" s="1" t="s">
        <v>88</v>
      </c>
      <c r="B60" s="1" t="s">
        <v>27</v>
      </c>
      <c r="C60" s="1">
        <v>1</v>
      </c>
    </row>
    <row r="61" spans="1:12" ht="12.75" customHeight="1" x14ac:dyDescent="0.3">
      <c r="A61" s="1" t="s">
        <v>89</v>
      </c>
      <c r="B61" s="1" t="s">
        <v>13</v>
      </c>
      <c r="C61" s="1">
        <v>1</v>
      </c>
    </row>
    <row r="62" spans="1:12" ht="12.75" customHeight="1" x14ac:dyDescent="0.3">
      <c r="A62" s="1" t="s">
        <v>90</v>
      </c>
      <c r="B62" s="1" t="s">
        <v>19</v>
      </c>
      <c r="C62" s="1">
        <v>1</v>
      </c>
    </row>
    <row r="63" spans="1:12" ht="12.75" customHeight="1" x14ac:dyDescent="0.3">
      <c r="A63" s="1" t="s">
        <v>91</v>
      </c>
      <c r="B63" s="1" t="s">
        <v>21</v>
      </c>
      <c r="F63" s="1">
        <v>1</v>
      </c>
    </row>
    <row r="64" spans="1:12" ht="12.75" customHeight="1" x14ac:dyDescent="0.3">
      <c r="A64" s="1" t="s">
        <v>92</v>
      </c>
      <c r="B64" s="1" t="s">
        <v>42</v>
      </c>
      <c r="C64" s="1">
        <v>1</v>
      </c>
    </row>
    <row r="65" spans="1:5" ht="12.75" customHeight="1" x14ac:dyDescent="0.3">
      <c r="A65" s="1" t="s">
        <v>93</v>
      </c>
      <c r="B65" s="1" t="s">
        <v>14</v>
      </c>
      <c r="C65" s="1">
        <v>1</v>
      </c>
    </row>
    <row r="66" spans="1:5" ht="12.75" customHeight="1" x14ac:dyDescent="0.3">
      <c r="A66" s="1" t="s">
        <v>94</v>
      </c>
      <c r="B66" s="1" t="s">
        <v>14</v>
      </c>
      <c r="C66" s="1">
        <v>1</v>
      </c>
    </row>
    <row r="67" spans="1:5" ht="12.75" customHeight="1" x14ac:dyDescent="0.3">
      <c r="A67" s="1" t="s">
        <v>95</v>
      </c>
      <c r="B67" s="1" t="s">
        <v>38</v>
      </c>
      <c r="E67" s="1">
        <v>1</v>
      </c>
    </row>
    <row r="68" spans="1:5" ht="12.75" customHeight="1" x14ac:dyDescent="0.3">
      <c r="A68" s="1" t="s">
        <v>96</v>
      </c>
      <c r="B68" s="1" t="s">
        <v>19</v>
      </c>
      <c r="C68" s="1">
        <v>1</v>
      </c>
    </row>
    <row r="69" spans="1:5" ht="12.75" customHeight="1" x14ac:dyDescent="0.3">
      <c r="A69" s="1" t="s">
        <v>97</v>
      </c>
      <c r="B69" s="1" t="s">
        <v>24</v>
      </c>
      <c r="C69" s="1">
        <v>1</v>
      </c>
    </row>
    <row r="70" spans="1:5" ht="12.75" customHeight="1" x14ac:dyDescent="0.3">
      <c r="A70" s="1" t="s">
        <v>98</v>
      </c>
      <c r="B70" s="1" t="s">
        <v>30</v>
      </c>
      <c r="D70" s="1">
        <v>1</v>
      </c>
    </row>
    <row r="71" spans="1:5" ht="12.75" customHeight="1" x14ac:dyDescent="0.3">
      <c r="A71" s="1" t="s">
        <v>99</v>
      </c>
      <c r="B71" s="1" t="s">
        <v>30</v>
      </c>
      <c r="D71" s="1">
        <v>1</v>
      </c>
    </row>
    <row r="72" spans="1:5" ht="12.75" customHeight="1" x14ac:dyDescent="0.3">
      <c r="A72" s="1" t="s">
        <v>100</v>
      </c>
      <c r="B72" s="1" t="s">
        <v>27</v>
      </c>
      <c r="C72" s="1">
        <v>1</v>
      </c>
    </row>
    <row r="73" spans="1:5" ht="12.75" customHeight="1" x14ac:dyDescent="0.3">
      <c r="A73" s="1" t="s">
        <v>101</v>
      </c>
      <c r="B73" s="1" t="s">
        <v>21</v>
      </c>
      <c r="E73" s="1">
        <v>1</v>
      </c>
    </row>
    <row r="74" spans="1:5" ht="12.75" customHeight="1" x14ac:dyDescent="0.3">
      <c r="A74" s="1" t="s">
        <v>102</v>
      </c>
      <c r="B74" s="1" t="s">
        <v>66</v>
      </c>
      <c r="E74" s="1">
        <v>1</v>
      </c>
    </row>
    <row r="75" spans="1:5" ht="12.75" customHeight="1" x14ac:dyDescent="0.3">
      <c r="A75" s="1" t="s">
        <v>103</v>
      </c>
      <c r="B75" s="1" t="s">
        <v>30</v>
      </c>
      <c r="E75" s="1">
        <v>1</v>
      </c>
    </row>
    <row r="76" spans="1:5" ht="12.75" customHeight="1" x14ac:dyDescent="0.3">
      <c r="A76" s="1" t="s">
        <v>104</v>
      </c>
      <c r="B76" s="1" t="s">
        <v>24</v>
      </c>
      <c r="C76" s="1">
        <v>1</v>
      </c>
    </row>
    <row r="77" spans="1:5" ht="12.75" customHeight="1" x14ac:dyDescent="0.3">
      <c r="A77" s="1" t="s">
        <v>105</v>
      </c>
      <c r="B77" s="1" t="s">
        <v>66</v>
      </c>
      <c r="E77" s="1">
        <v>1</v>
      </c>
    </row>
    <row r="78" spans="1:5" ht="12.75" customHeight="1" x14ac:dyDescent="0.3">
      <c r="A78" s="1" t="s">
        <v>106</v>
      </c>
      <c r="B78" s="1" t="s">
        <v>42</v>
      </c>
      <c r="C78" s="1">
        <v>1</v>
      </c>
    </row>
    <row r="79" spans="1:5" ht="12.75" customHeight="1" x14ac:dyDescent="0.3">
      <c r="A79" s="1" t="s">
        <v>107</v>
      </c>
      <c r="B79" s="1" t="s">
        <v>27</v>
      </c>
      <c r="C79" s="1">
        <v>1</v>
      </c>
    </row>
    <row r="80" spans="1:5" ht="12.75" customHeight="1" x14ac:dyDescent="0.3">
      <c r="A80" s="1" t="s">
        <v>108</v>
      </c>
      <c r="B80" s="1" t="s">
        <v>66</v>
      </c>
      <c r="E80" s="1">
        <v>1</v>
      </c>
    </row>
    <row r="81" spans="1:5" ht="12.75" customHeight="1" x14ac:dyDescent="0.3">
      <c r="A81" s="1" t="s">
        <v>109</v>
      </c>
      <c r="B81" s="1" t="s">
        <v>30</v>
      </c>
      <c r="E81" s="1">
        <v>1</v>
      </c>
    </row>
    <row r="82" spans="1:5" ht="12.75" customHeight="1" x14ac:dyDescent="0.3">
      <c r="A82" s="1" t="s">
        <v>110</v>
      </c>
      <c r="B82" s="1" t="s">
        <v>37</v>
      </c>
      <c r="C82" s="1">
        <v>1</v>
      </c>
    </row>
    <row r="83" spans="1:5" ht="12.75" customHeight="1" x14ac:dyDescent="0.3">
      <c r="A83" s="1" t="s">
        <v>111</v>
      </c>
      <c r="B83" s="1" t="s">
        <v>37</v>
      </c>
      <c r="C83" s="1">
        <v>1</v>
      </c>
    </row>
    <row r="84" spans="1:5" ht="12.75" customHeight="1" x14ac:dyDescent="0.3">
      <c r="A84" s="1" t="s">
        <v>112</v>
      </c>
      <c r="B84" s="1" t="s">
        <v>38</v>
      </c>
      <c r="C84" s="1">
        <v>1</v>
      </c>
    </row>
    <row r="85" spans="1:5" ht="12.75" customHeight="1" x14ac:dyDescent="0.3">
      <c r="A85" s="1" t="s">
        <v>113</v>
      </c>
      <c r="B85" s="1" t="s">
        <v>21</v>
      </c>
      <c r="E85" s="1">
        <v>1</v>
      </c>
    </row>
    <row r="86" spans="1:5" ht="12.75" customHeight="1" x14ac:dyDescent="0.3">
      <c r="A86" s="1" t="s">
        <v>114</v>
      </c>
      <c r="B86" s="1" t="s">
        <v>42</v>
      </c>
      <c r="C86" s="1">
        <v>1</v>
      </c>
    </row>
    <row r="87" spans="1:5" ht="12.75" customHeight="1" x14ac:dyDescent="0.3">
      <c r="A87" s="1" t="s">
        <v>115</v>
      </c>
      <c r="B87" s="1" t="s">
        <v>21</v>
      </c>
      <c r="E87" s="1">
        <v>1</v>
      </c>
    </row>
    <row r="88" spans="1:5" ht="12.75" customHeight="1" x14ac:dyDescent="0.3">
      <c r="A88" s="1" t="s">
        <v>116</v>
      </c>
      <c r="B88" s="1" t="s">
        <v>30</v>
      </c>
      <c r="D88" s="1">
        <v>1</v>
      </c>
    </row>
    <row r="89" spans="1:5" ht="12.75" customHeight="1" x14ac:dyDescent="0.3">
      <c r="A89" s="1" t="s">
        <v>117</v>
      </c>
      <c r="B89" s="1" t="s">
        <v>16</v>
      </c>
      <c r="C89" s="1">
        <v>1</v>
      </c>
    </row>
    <row r="90" spans="1:5" ht="12.75" customHeight="1" x14ac:dyDescent="0.3">
      <c r="A90" s="1" t="s">
        <v>118</v>
      </c>
      <c r="B90" s="1" t="s">
        <v>16</v>
      </c>
      <c r="E90" s="1">
        <v>1</v>
      </c>
    </row>
    <row r="91" spans="1:5" ht="12.75" customHeight="1" x14ac:dyDescent="0.3">
      <c r="A91" s="1" t="s">
        <v>119</v>
      </c>
      <c r="B91" s="1" t="s">
        <v>66</v>
      </c>
      <c r="D91" s="1">
        <v>1</v>
      </c>
    </row>
    <row r="92" spans="1:5" ht="12.75" customHeight="1" x14ac:dyDescent="0.3">
      <c r="A92" s="1" t="s">
        <v>120</v>
      </c>
      <c r="B92" s="1" t="s">
        <v>13</v>
      </c>
      <c r="E92" s="1">
        <v>1</v>
      </c>
    </row>
    <row r="93" spans="1:5" ht="12.75" customHeight="1" x14ac:dyDescent="0.3">
      <c r="A93" s="1" t="s">
        <v>121</v>
      </c>
      <c r="B93" s="1" t="s">
        <v>30</v>
      </c>
      <c r="E93" s="1">
        <v>1</v>
      </c>
    </row>
    <row r="94" spans="1:5" ht="12.75" customHeight="1" x14ac:dyDescent="0.3">
      <c r="A94" s="1" t="s">
        <v>122</v>
      </c>
      <c r="B94" s="1" t="s">
        <v>24</v>
      </c>
      <c r="D94" s="1">
        <v>1</v>
      </c>
    </row>
    <row r="95" spans="1:5" ht="12.75" customHeight="1" x14ac:dyDescent="0.3">
      <c r="A95" s="1" t="s">
        <v>123</v>
      </c>
      <c r="B95" s="1" t="s">
        <v>21</v>
      </c>
      <c r="E95" s="1">
        <v>1</v>
      </c>
    </row>
    <row r="96" spans="1:5" ht="12.75" customHeight="1" x14ac:dyDescent="0.3">
      <c r="A96" s="1" t="s">
        <v>124</v>
      </c>
      <c r="B96" s="1" t="s">
        <v>14</v>
      </c>
      <c r="C96" s="1">
        <v>1</v>
      </c>
    </row>
    <row r="97" spans="1:5" ht="12.75" customHeight="1" x14ac:dyDescent="0.3">
      <c r="A97" s="1" t="s">
        <v>125</v>
      </c>
      <c r="B97" s="1" t="s">
        <v>66</v>
      </c>
      <c r="C97" s="1">
        <v>1</v>
      </c>
    </row>
    <row r="98" spans="1:5" ht="12.75" customHeight="1" x14ac:dyDescent="0.3">
      <c r="A98" s="1" t="s">
        <v>126</v>
      </c>
      <c r="B98" s="1" t="s">
        <v>30</v>
      </c>
      <c r="E98" s="1">
        <v>1</v>
      </c>
    </row>
    <row r="99" spans="1:5" ht="12.75" customHeight="1" x14ac:dyDescent="0.3">
      <c r="A99" s="1" t="s">
        <v>127</v>
      </c>
      <c r="B99" s="1" t="s">
        <v>27</v>
      </c>
      <c r="C99" s="1">
        <v>1</v>
      </c>
    </row>
    <row r="100" spans="1:5" ht="12.75" customHeight="1" x14ac:dyDescent="0.3">
      <c r="A100" s="1" t="s">
        <v>128</v>
      </c>
      <c r="B100" s="1" t="s">
        <v>30</v>
      </c>
      <c r="E100" s="1">
        <v>1</v>
      </c>
    </row>
    <row r="101" spans="1:5" ht="12.75" customHeight="1" x14ac:dyDescent="0.3">
      <c r="A101" s="1" t="s">
        <v>129</v>
      </c>
      <c r="B101" s="1" t="s">
        <v>27</v>
      </c>
      <c r="C101" s="1">
        <v>1</v>
      </c>
    </row>
    <row r="102" spans="1:5" ht="12.75" customHeight="1" x14ac:dyDescent="0.3">
      <c r="A102" s="1" t="s">
        <v>130</v>
      </c>
      <c r="B102" s="1" t="s">
        <v>16</v>
      </c>
      <c r="C102" s="1">
        <v>1</v>
      </c>
    </row>
    <row r="103" spans="1:5" ht="12.75" customHeight="1" x14ac:dyDescent="0.3">
      <c r="A103" s="1" t="s">
        <v>131</v>
      </c>
      <c r="B103" s="1" t="s">
        <v>66</v>
      </c>
      <c r="E103" s="1">
        <v>1</v>
      </c>
    </row>
    <row r="104" spans="1:5" ht="12.75" customHeight="1" x14ac:dyDescent="0.3">
      <c r="A104" s="1" t="s">
        <v>132</v>
      </c>
      <c r="B104" s="1" t="s">
        <v>30</v>
      </c>
      <c r="E104" s="1">
        <v>1</v>
      </c>
    </row>
    <row r="105" spans="1:5" ht="12.75" customHeight="1" x14ac:dyDescent="0.3">
      <c r="A105" s="1" t="s">
        <v>133</v>
      </c>
      <c r="B105" s="1" t="s">
        <v>14</v>
      </c>
      <c r="C105" s="1">
        <v>1</v>
      </c>
    </row>
    <row r="106" spans="1:5" ht="12.75" customHeight="1" x14ac:dyDescent="0.3">
      <c r="A106" s="1" t="s">
        <v>134</v>
      </c>
      <c r="B106" s="1" t="s">
        <v>42</v>
      </c>
      <c r="C106" s="1">
        <v>1</v>
      </c>
    </row>
    <row r="107" spans="1:5" ht="12.75" customHeight="1" x14ac:dyDescent="0.3">
      <c r="A107" s="1" t="s">
        <v>135</v>
      </c>
      <c r="B107" s="1" t="s">
        <v>27</v>
      </c>
      <c r="C107" s="1">
        <v>1</v>
      </c>
    </row>
    <row r="108" spans="1:5" ht="12.75" customHeight="1" x14ac:dyDescent="0.3">
      <c r="A108" s="1" t="s">
        <v>136</v>
      </c>
      <c r="B108" s="1" t="s">
        <v>66</v>
      </c>
      <c r="E108" s="1">
        <v>1</v>
      </c>
    </row>
    <row r="109" spans="1:5" ht="12.75" customHeight="1" x14ac:dyDescent="0.3">
      <c r="A109" s="1" t="s">
        <v>137</v>
      </c>
      <c r="B109" s="1" t="s">
        <v>13</v>
      </c>
      <c r="D109" s="1">
        <v>1</v>
      </c>
    </row>
    <row r="110" spans="1:5" ht="12.75" customHeight="1" x14ac:dyDescent="0.3">
      <c r="A110" s="1" t="s">
        <v>138</v>
      </c>
      <c r="B110" s="1" t="s">
        <v>42</v>
      </c>
      <c r="C110" s="1">
        <v>1</v>
      </c>
    </row>
    <row r="111" spans="1:5" ht="12.75" customHeight="1" x14ac:dyDescent="0.3">
      <c r="A111" s="1" t="s">
        <v>139</v>
      </c>
      <c r="B111" s="1" t="s">
        <v>27</v>
      </c>
      <c r="C111" s="1">
        <v>1</v>
      </c>
    </row>
    <row r="112" spans="1:5" ht="12.75" customHeight="1" x14ac:dyDescent="0.3">
      <c r="A112" s="1" t="s">
        <v>140</v>
      </c>
      <c r="B112" s="1" t="s">
        <v>16</v>
      </c>
      <c r="E112" s="1">
        <v>1</v>
      </c>
    </row>
    <row r="113" spans="1:6" ht="12.75" customHeight="1" x14ac:dyDescent="0.3">
      <c r="A113" s="1" t="s">
        <v>141</v>
      </c>
      <c r="B113" s="1" t="s">
        <v>14</v>
      </c>
      <c r="C113" s="1">
        <v>1</v>
      </c>
    </row>
    <row r="114" spans="1:6" ht="12.75" customHeight="1" x14ac:dyDescent="0.3">
      <c r="A114" s="1" t="s">
        <v>142</v>
      </c>
      <c r="B114" s="1" t="s">
        <v>16</v>
      </c>
      <c r="E114" s="1">
        <v>1</v>
      </c>
    </row>
    <row r="115" spans="1:6" ht="12.75" customHeight="1" x14ac:dyDescent="0.3">
      <c r="A115" s="1" t="s">
        <v>143</v>
      </c>
      <c r="B115" s="1" t="s">
        <v>24</v>
      </c>
      <c r="D115" s="1">
        <v>1</v>
      </c>
    </row>
    <row r="116" spans="1:6" ht="12.75" customHeight="1" x14ac:dyDescent="0.3">
      <c r="A116" s="1" t="s">
        <v>144</v>
      </c>
      <c r="B116" s="1" t="s">
        <v>66</v>
      </c>
      <c r="E116" s="1">
        <v>1</v>
      </c>
    </row>
    <row r="117" spans="1:6" ht="12.75" customHeight="1" x14ac:dyDescent="0.3">
      <c r="A117" s="1" t="s">
        <v>145</v>
      </c>
      <c r="B117" s="1" t="s">
        <v>27</v>
      </c>
      <c r="C117" s="1">
        <v>1</v>
      </c>
    </row>
    <row r="118" spans="1:6" ht="12.75" customHeight="1" x14ac:dyDescent="0.3">
      <c r="A118" s="1" t="s">
        <v>146</v>
      </c>
      <c r="B118" s="1" t="s">
        <v>30</v>
      </c>
      <c r="E118" s="1">
        <v>1</v>
      </c>
    </row>
    <row r="119" spans="1:6" ht="12.75" customHeight="1" x14ac:dyDescent="0.3">
      <c r="A119" s="1" t="s">
        <v>147</v>
      </c>
      <c r="B119" s="1" t="s">
        <v>42</v>
      </c>
      <c r="C119" s="1">
        <v>1</v>
      </c>
    </row>
    <row r="120" spans="1:6" ht="12.75" customHeight="1" x14ac:dyDescent="0.3">
      <c r="A120" s="1" t="s">
        <v>148</v>
      </c>
      <c r="B120" s="1" t="s">
        <v>13</v>
      </c>
      <c r="C120" s="1">
        <v>1</v>
      </c>
    </row>
    <row r="121" spans="1:6" ht="12.75" customHeight="1" x14ac:dyDescent="0.3">
      <c r="A121" s="1" t="s">
        <v>149</v>
      </c>
      <c r="B121" s="1" t="s">
        <v>150</v>
      </c>
      <c r="F121" s="1">
        <v>1</v>
      </c>
    </row>
    <row r="122" spans="1:6" ht="12.75" customHeight="1" x14ac:dyDescent="0.3">
      <c r="A122" s="1" t="s">
        <v>151</v>
      </c>
      <c r="B122" s="1" t="s">
        <v>24</v>
      </c>
      <c r="C122" s="1">
        <v>1</v>
      </c>
    </row>
    <row r="123" spans="1:6" ht="12.75" customHeight="1" x14ac:dyDescent="0.3">
      <c r="A123" s="1" t="s">
        <v>152</v>
      </c>
      <c r="B123" s="1" t="s">
        <v>24</v>
      </c>
      <c r="C123" s="1">
        <v>1</v>
      </c>
    </row>
    <row r="124" spans="1:6" ht="12.75" customHeight="1" x14ac:dyDescent="0.3">
      <c r="A124" s="1" t="s">
        <v>153</v>
      </c>
      <c r="B124" s="1" t="s">
        <v>19</v>
      </c>
      <c r="C124" s="1">
        <v>1</v>
      </c>
    </row>
    <row r="125" spans="1:6" ht="12.75" customHeight="1" x14ac:dyDescent="0.3">
      <c r="A125" s="1" t="s">
        <v>154</v>
      </c>
      <c r="B125" s="1" t="s">
        <v>33</v>
      </c>
      <c r="C125" s="1">
        <v>1</v>
      </c>
    </row>
    <row r="126" spans="1:6" ht="12.75" customHeight="1" x14ac:dyDescent="0.3">
      <c r="A126" s="1" t="s">
        <v>155</v>
      </c>
      <c r="B126" s="1" t="s">
        <v>13</v>
      </c>
      <c r="D126" s="1">
        <v>1</v>
      </c>
    </row>
    <row r="127" spans="1:6" ht="12.75" customHeight="1" x14ac:dyDescent="0.3">
      <c r="A127" s="1" t="s">
        <v>156</v>
      </c>
      <c r="B127" s="1" t="s">
        <v>13</v>
      </c>
      <c r="C127" s="1">
        <v>1</v>
      </c>
    </row>
    <row r="128" spans="1:6" ht="12.75" customHeight="1" x14ac:dyDescent="0.3">
      <c r="A128" s="1" t="s">
        <v>157</v>
      </c>
      <c r="B128" s="1" t="s">
        <v>14</v>
      </c>
      <c r="C128" s="1">
        <v>1</v>
      </c>
    </row>
    <row r="129" spans="1:6" ht="12.75" customHeight="1" x14ac:dyDescent="0.3">
      <c r="A129" s="1" t="s">
        <v>158</v>
      </c>
      <c r="B129" s="1" t="s">
        <v>16</v>
      </c>
      <c r="C129" s="1">
        <v>1</v>
      </c>
    </row>
    <row r="130" spans="1:6" ht="12.75" customHeight="1" x14ac:dyDescent="0.3">
      <c r="A130" s="1" t="s">
        <v>159</v>
      </c>
      <c r="B130" s="1" t="s">
        <v>13</v>
      </c>
      <c r="D130" s="1">
        <v>1</v>
      </c>
    </row>
    <row r="131" spans="1:6" ht="12.75" customHeight="1" x14ac:dyDescent="0.3">
      <c r="A131" s="1" t="s">
        <v>160</v>
      </c>
      <c r="B131" s="1" t="s">
        <v>66</v>
      </c>
      <c r="C131" s="1">
        <v>1</v>
      </c>
    </row>
    <row r="132" spans="1:6" ht="12.75" customHeight="1" x14ac:dyDescent="0.3">
      <c r="A132" s="1" t="s">
        <v>161</v>
      </c>
      <c r="B132" s="1" t="s">
        <v>38</v>
      </c>
      <c r="D132" s="1">
        <v>1</v>
      </c>
    </row>
    <row r="133" spans="1:6" ht="12.75" customHeight="1" x14ac:dyDescent="0.3">
      <c r="A133" s="1" t="s">
        <v>162</v>
      </c>
      <c r="B133" s="1" t="s">
        <v>13</v>
      </c>
      <c r="D133" s="1">
        <v>1</v>
      </c>
    </row>
    <row r="134" spans="1:6" ht="12.75" customHeight="1" x14ac:dyDescent="0.3">
      <c r="A134" s="1" t="s">
        <v>163</v>
      </c>
      <c r="B134" s="1" t="s">
        <v>66</v>
      </c>
      <c r="E134" s="1">
        <v>1</v>
      </c>
    </row>
    <row r="135" spans="1:6" ht="12.75" customHeight="1" x14ac:dyDescent="0.3">
      <c r="A135" s="1" t="s">
        <v>164</v>
      </c>
      <c r="B135" s="1" t="s">
        <v>21</v>
      </c>
      <c r="D135" s="1">
        <v>1</v>
      </c>
    </row>
    <row r="136" spans="1:6" ht="12.75" customHeight="1" x14ac:dyDescent="0.3">
      <c r="A136" s="1" t="s">
        <v>165</v>
      </c>
      <c r="B136" s="1" t="s">
        <v>30</v>
      </c>
      <c r="E136" s="1">
        <v>1</v>
      </c>
    </row>
    <row r="137" spans="1:6" ht="12.75" customHeight="1" x14ac:dyDescent="0.3">
      <c r="A137" s="1" t="s">
        <v>166</v>
      </c>
      <c r="B137" s="1" t="s">
        <v>30</v>
      </c>
      <c r="E137" s="1">
        <v>1</v>
      </c>
    </row>
    <row r="138" spans="1:6" ht="12.75" customHeight="1" x14ac:dyDescent="0.3">
      <c r="A138" s="1" t="s">
        <v>167</v>
      </c>
      <c r="B138" s="1" t="s">
        <v>19</v>
      </c>
      <c r="C138" s="1">
        <v>1</v>
      </c>
    </row>
    <row r="139" spans="1:6" ht="12.75" customHeight="1" x14ac:dyDescent="0.3">
      <c r="A139" s="1" t="s">
        <v>168</v>
      </c>
      <c r="B139" s="1" t="s">
        <v>13</v>
      </c>
      <c r="C139" s="1">
        <v>1</v>
      </c>
    </row>
    <row r="140" spans="1:6" ht="12.75" customHeight="1" x14ac:dyDescent="0.3">
      <c r="A140" s="1" t="s">
        <v>169</v>
      </c>
      <c r="B140" s="1" t="s">
        <v>27</v>
      </c>
      <c r="C140" s="1">
        <v>1</v>
      </c>
    </row>
    <row r="141" spans="1:6" ht="12.75" customHeight="1" x14ac:dyDescent="0.3">
      <c r="A141" s="1" t="s">
        <v>170</v>
      </c>
      <c r="B141" s="1" t="s">
        <v>16</v>
      </c>
      <c r="C141" s="1">
        <v>1</v>
      </c>
    </row>
    <row r="142" spans="1:6" ht="12.75" customHeight="1" x14ac:dyDescent="0.3">
      <c r="A142" s="1" t="s">
        <v>171</v>
      </c>
      <c r="B142" s="1" t="s">
        <v>19</v>
      </c>
      <c r="C142" s="1">
        <v>1</v>
      </c>
    </row>
    <row r="143" spans="1:6" ht="12.75" customHeight="1" x14ac:dyDescent="0.3">
      <c r="A143" s="1" t="s">
        <v>172</v>
      </c>
      <c r="B143" s="1" t="s">
        <v>37</v>
      </c>
      <c r="F143" s="1">
        <v>1</v>
      </c>
    </row>
    <row r="144" spans="1:6" ht="12.75" customHeight="1" x14ac:dyDescent="0.3">
      <c r="A144" s="1" t="s">
        <v>173</v>
      </c>
      <c r="B144" s="1" t="s">
        <v>27</v>
      </c>
      <c r="C144" s="1">
        <v>1</v>
      </c>
    </row>
    <row r="145" spans="1:5" ht="12.75" customHeight="1" x14ac:dyDescent="0.3">
      <c r="A145" s="1" t="s">
        <v>174</v>
      </c>
      <c r="B145" s="1" t="s">
        <v>66</v>
      </c>
      <c r="D145" s="1">
        <v>1</v>
      </c>
    </row>
    <row r="146" spans="1:5" ht="12.75" customHeight="1" x14ac:dyDescent="0.3">
      <c r="A146" s="1" t="s">
        <v>175</v>
      </c>
      <c r="B146" s="1" t="s">
        <v>14</v>
      </c>
      <c r="C146" s="1">
        <v>1</v>
      </c>
    </row>
    <row r="147" spans="1:5" ht="12.75" customHeight="1" x14ac:dyDescent="0.3">
      <c r="A147" s="1" t="s">
        <v>176</v>
      </c>
      <c r="B147" s="1" t="s">
        <v>66</v>
      </c>
      <c r="E147" s="1">
        <v>1</v>
      </c>
    </row>
    <row r="148" spans="1:5" ht="12.75" customHeight="1" x14ac:dyDescent="0.3">
      <c r="A148" s="1" t="s">
        <v>177</v>
      </c>
      <c r="B148" s="1" t="s">
        <v>42</v>
      </c>
      <c r="C148" s="1">
        <v>1</v>
      </c>
    </row>
    <row r="149" spans="1:5" ht="12.75" customHeight="1" x14ac:dyDescent="0.3">
      <c r="A149" s="1" t="s">
        <v>178</v>
      </c>
      <c r="B149" s="1" t="s">
        <v>33</v>
      </c>
      <c r="C149" s="1">
        <v>1</v>
      </c>
    </row>
    <row r="150" spans="1:5" ht="12.75" customHeight="1" x14ac:dyDescent="0.3">
      <c r="A150" s="1" t="s">
        <v>179</v>
      </c>
      <c r="B150" s="1" t="s">
        <v>14</v>
      </c>
      <c r="C150" s="1">
        <v>1</v>
      </c>
    </row>
    <row r="151" spans="1:5" ht="12.75" customHeight="1" x14ac:dyDescent="0.3">
      <c r="A151" s="1" t="s">
        <v>180</v>
      </c>
      <c r="B151" s="1" t="s">
        <v>13</v>
      </c>
      <c r="D151" s="1">
        <v>1</v>
      </c>
    </row>
    <row r="152" spans="1:5" ht="12.75" customHeight="1" x14ac:dyDescent="0.3">
      <c r="A152" s="1" t="s">
        <v>181</v>
      </c>
      <c r="B152" s="1" t="s">
        <v>24</v>
      </c>
      <c r="E152" s="1">
        <v>1</v>
      </c>
    </row>
    <row r="153" spans="1:5" ht="12.75" customHeight="1" x14ac:dyDescent="0.3">
      <c r="A153" s="1" t="s">
        <v>182</v>
      </c>
      <c r="B153" s="1" t="s">
        <v>19</v>
      </c>
      <c r="C153" s="1">
        <v>1</v>
      </c>
    </row>
    <row r="154" spans="1:5" ht="12.75" customHeight="1" x14ac:dyDescent="0.3">
      <c r="A154" s="1" t="s">
        <v>183</v>
      </c>
      <c r="B154" s="1" t="s">
        <v>42</v>
      </c>
      <c r="C154" s="1">
        <v>1</v>
      </c>
    </row>
    <row r="155" spans="1:5" ht="12.75" customHeight="1" x14ac:dyDescent="0.3">
      <c r="A155" s="1" t="s">
        <v>184</v>
      </c>
      <c r="B155" s="1" t="s">
        <v>19</v>
      </c>
      <c r="C155" s="1">
        <v>1</v>
      </c>
    </row>
    <row r="156" spans="1:5" ht="12.75" customHeight="1" x14ac:dyDescent="0.3">
      <c r="A156" s="1" t="s">
        <v>185</v>
      </c>
      <c r="B156" s="1" t="s">
        <v>30</v>
      </c>
      <c r="E156" s="1">
        <v>1</v>
      </c>
    </row>
    <row r="157" spans="1:5" ht="12.75" customHeight="1" x14ac:dyDescent="0.3"/>
    <row r="158" spans="1:5" ht="12.75" customHeight="1" x14ac:dyDescent="0.3"/>
    <row r="159" spans="1:5" ht="12.75" customHeight="1" x14ac:dyDescent="0.3"/>
    <row r="160" spans="1:5" ht="12.75" customHeight="1" x14ac:dyDescent="0.3"/>
    <row r="161" s="1" customFormat="1" ht="12.75" customHeight="1" x14ac:dyDescent="0.3"/>
    <row r="162" s="1" customFormat="1" ht="12.75" customHeight="1" x14ac:dyDescent="0.3"/>
    <row r="163" s="1" customFormat="1" ht="12.75" customHeight="1" x14ac:dyDescent="0.3"/>
    <row r="164" s="1" customFormat="1" ht="12.75" customHeight="1" x14ac:dyDescent="0.3"/>
    <row r="165" s="1" customFormat="1" ht="12.75" customHeight="1" x14ac:dyDescent="0.3"/>
    <row r="166" s="1" customFormat="1" ht="12.75" customHeight="1" x14ac:dyDescent="0.3"/>
    <row r="167" s="1" customFormat="1" ht="12.75" customHeight="1" x14ac:dyDescent="0.3"/>
    <row r="168" s="1" customFormat="1" ht="12.75" customHeight="1" x14ac:dyDescent="0.3"/>
    <row r="169" s="1" customFormat="1" ht="12.75" customHeight="1" x14ac:dyDescent="0.3"/>
    <row r="170" s="1" customFormat="1" ht="12.75" customHeight="1" x14ac:dyDescent="0.3"/>
    <row r="171" s="1" customFormat="1" ht="12.75" customHeight="1" x14ac:dyDescent="0.3"/>
    <row r="172" s="1" customFormat="1" ht="12.75" customHeight="1" x14ac:dyDescent="0.3"/>
    <row r="173" s="1" customFormat="1" ht="12.75" customHeight="1" x14ac:dyDescent="0.3"/>
    <row r="174" s="1" customFormat="1" ht="12.75" customHeight="1" x14ac:dyDescent="0.3"/>
    <row r="175" s="1" customFormat="1" ht="12.75" customHeight="1" x14ac:dyDescent="0.3"/>
    <row r="176" s="1" customFormat="1" ht="12.75" customHeight="1" x14ac:dyDescent="0.3"/>
    <row r="177" s="1" customFormat="1" ht="12.75" customHeight="1" x14ac:dyDescent="0.3"/>
    <row r="178" s="1" customFormat="1" ht="12.75" customHeight="1" x14ac:dyDescent="0.3"/>
    <row r="179" s="1" customFormat="1" ht="12.75" customHeight="1" x14ac:dyDescent="0.3"/>
    <row r="180" s="1" customFormat="1" ht="12.75" customHeight="1" x14ac:dyDescent="0.3"/>
    <row r="181" s="1" customFormat="1" ht="12.75" customHeight="1" x14ac:dyDescent="0.3"/>
    <row r="182" s="1" customFormat="1" ht="12.75" customHeight="1" x14ac:dyDescent="0.3"/>
    <row r="183" s="1" customFormat="1" ht="12.75" customHeight="1" x14ac:dyDescent="0.3"/>
    <row r="184" s="1" customFormat="1" ht="12.75" customHeight="1" x14ac:dyDescent="0.3"/>
    <row r="185" s="1" customFormat="1" ht="12.75" customHeight="1" x14ac:dyDescent="0.3"/>
    <row r="186" s="1" customFormat="1" ht="12.75" customHeight="1" x14ac:dyDescent="0.3"/>
    <row r="187" s="1" customFormat="1" ht="12.75" customHeight="1" x14ac:dyDescent="0.3"/>
    <row r="188" s="1" customFormat="1" ht="12.75" customHeight="1" x14ac:dyDescent="0.3"/>
    <row r="189" s="1" customFormat="1" ht="12.75" customHeight="1" x14ac:dyDescent="0.3"/>
    <row r="190" s="1" customFormat="1" ht="12.75" customHeight="1" x14ac:dyDescent="0.3"/>
    <row r="191" s="1" customFormat="1" ht="12.75" customHeight="1" x14ac:dyDescent="0.3"/>
    <row r="192" s="1" customFormat="1" ht="12.75" customHeight="1" x14ac:dyDescent="0.3"/>
    <row r="193" s="1" customFormat="1" ht="12.75" customHeight="1" x14ac:dyDescent="0.3"/>
    <row r="194" s="1" customFormat="1" ht="12.75" customHeight="1" x14ac:dyDescent="0.3"/>
    <row r="195" s="1" customFormat="1" ht="12.75" customHeight="1" x14ac:dyDescent="0.3"/>
    <row r="196" s="1" customFormat="1" ht="12.75" customHeight="1" x14ac:dyDescent="0.3"/>
    <row r="197" s="1" customFormat="1" ht="12.75" customHeight="1" x14ac:dyDescent="0.3"/>
    <row r="198" s="1" customFormat="1" ht="12.75" customHeight="1" x14ac:dyDescent="0.3"/>
    <row r="199" s="1" customFormat="1" ht="12.75" customHeight="1" x14ac:dyDescent="0.3"/>
    <row r="200" s="1" customFormat="1" ht="12.75" customHeight="1" x14ac:dyDescent="0.3"/>
    <row r="201" s="1" customFormat="1" ht="12.75" customHeight="1" x14ac:dyDescent="0.3"/>
    <row r="202" s="1" customFormat="1" ht="12.75" customHeight="1" x14ac:dyDescent="0.3"/>
    <row r="203" s="1" customFormat="1" ht="12.75" customHeight="1" x14ac:dyDescent="0.3"/>
    <row r="204" s="1" customFormat="1" ht="12.75" customHeight="1" x14ac:dyDescent="0.3"/>
    <row r="205" s="1" customFormat="1" ht="12.75" customHeight="1" x14ac:dyDescent="0.3"/>
    <row r="206" s="1" customFormat="1" ht="12.75" customHeight="1" x14ac:dyDescent="0.3"/>
    <row r="207" s="1" customFormat="1" ht="12.75" customHeight="1" x14ac:dyDescent="0.3"/>
    <row r="208" s="1" customFormat="1" ht="12.75" customHeight="1" x14ac:dyDescent="0.3"/>
    <row r="209" s="1" customFormat="1" ht="12.75" customHeight="1" x14ac:dyDescent="0.3"/>
    <row r="210" s="1" customFormat="1" ht="12.75" customHeight="1" x14ac:dyDescent="0.3"/>
    <row r="211" s="1" customFormat="1" ht="12.75" customHeight="1" x14ac:dyDescent="0.3"/>
    <row r="212" s="1" customFormat="1" ht="12.75" customHeight="1" x14ac:dyDescent="0.3"/>
    <row r="213" s="1" customFormat="1" ht="12.75" customHeight="1" x14ac:dyDescent="0.3"/>
    <row r="214" s="1" customFormat="1" ht="12.75" customHeight="1" x14ac:dyDescent="0.3"/>
    <row r="215" s="1" customFormat="1" ht="12.75" customHeight="1" x14ac:dyDescent="0.3"/>
    <row r="216" s="1" customFormat="1" ht="12.75" customHeight="1" x14ac:dyDescent="0.3"/>
    <row r="217" s="1" customFormat="1" ht="12.75" customHeight="1" x14ac:dyDescent="0.3"/>
    <row r="218" s="1" customFormat="1" ht="12.75" customHeight="1" x14ac:dyDescent="0.3"/>
    <row r="219" s="1" customFormat="1" ht="12.75" customHeight="1" x14ac:dyDescent="0.3"/>
    <row r="220" s="1" customFormat="1" ht="12.75" customHeight="1" x14ac:dyDescent="0.3"/>
    <row r="221" s="1" customFormat="1" ht="12.75" customHeight="1" x14ac:dyDescent="0.3"/>
    <row r="222" s="1" customFormat="1" ht="12.75" customHeight="1" x14ac:dyDescent="0.3"/>
    <row r="223" s="1" customFormat="1" ht="12.75" customHeight="1" x14ac:dyDescent="0.3"/>
    <row r="224" s="1" customFormat="1" ht="12.75" customHeight="1" x14ac:dyDescent="0.3"/>
    <row r="225" s="1" customFormat="1" ht="12.75" customHeight="1" x14ac:dyDescent="0.3"/>
    <row r="226" s="1" customFormat="1" ht="12.75" customHeight="1" x14ac:dyDescent="0.3"/>
    <row r="227" s="1" customFormat="1" ht="12.75" customHeight="1" x14ac:dyDescent="0.3"/>
    <row r="228" s="1" customFormat="1" ht="12.75" customHeight="1" x14ac:dyDescent="0.3"/>
    <row r="229" s="1" customFormat="1" ht="12.75" customHeight="1" x14ac:dyDescent="0.3"/>
    <row r="230" s="1" customFormat="1" ht="12.75" customHeight="1" x14ac:dyDescent="0.3"/>
    <row r="231" s="1" customFormat="1" ht="12.75" customHeight="1" x14ac:dyDescent="0.3"/>
    <row r="232" s="1" customFormat="1" ht="12.75" customHeight="1" x14ac:dyDescent="0.3"/>
    <row r="233" s="1" customFormat="1" ht="12.75" customHeight="1" x14ac:dyDescent="0.3"/>
    <row r="234" s="1" customFormat="1" ht="12.75" customHeight="1" x14ac:dyDescent="0.3"/>
    <row r="235" s="1" customFormat="1" ht="12.75" customHeight="1" x14ac:dyDescent="0.3"/>
    <row r="236" s="1" customFormat="1" ht="12.75" customHeight="1" x14ac:dyDescent="0.3"/>
    <row r="237" s="1" customFormat="1" ht="12.75" customHeight="1" x14ac:dyDescent="0.3"/>
    <row r="238" s="1" customFormat="1" ht="12.75" customHeight="1" x14ac:dyDescent="0.3"/>
    <row r="239" s="1" customFormat="1" ht="12.75" customHeight="1" x14ac:dyDescent="0.3"/>
    <row r="240" s="1" customFormat="1" ht="12.75" customHeight="1" x14ac:dyDescent="0.3"/>
    <row r="241" s="1" customFormat="1" ht="12.75" customHeight="1" x14ac:dyDescent="0.3"/>
    <row r="242" s="1" customFormat="1" ht="12.75" customHeight="1" x14ac:dyDescent="0.3"/>
    <row r="243" s="1" customFormat="1" ht="12.75" customHeight="1" x14ac:dyDescent="0.3"/>
    <row r="244" s="1" customFormat="1" ht="12.75" customHeight="1" x14ac:dyDescent="0.3"/>
    <row r="245" s="1" customFormat="1" ht="12.75" customHeight="1" x14ac:dyDescent="0.3"/>
    <row r="246" s="1" customFormat="1" ht="12.75" customHeight="1" x14ac:dyDescent="0.3"/>
    <row r="247" s="1" customFormat="1" ht="12.75" customHeight="1" x14ac:dyDescent="0.3"/>
    <row r="248" s="1" customFormat="1" ht="12.75" customHeight="1" x14ac:dyDescent="0.3"/>
    <row r="249" s="1" customFormat="1" ht="12.75" customHeight="1" x14ac:dyDescent="0.3"/>
    <row r="250" s="1" customFormat="1" ht="12.75" customHeight="1" x14ac:dyDescent="0.3"/>
    <row r="251" s="1" customFormat="1" ht="12.75" customHeight="1" x14ac:dyDescent="0.3"/>
    <row r="252" s="1" customFormat="1" ht="12.75" customHeight="1" x14ac:dyDescent="0.3"/>
    <row r="253" s="1" customFormat="1" ht="12.75" customHeight="1" x14ac:dyDescent="0.3"/>
    <row r="254" s="1" customFormat="1" ht="12.75" customHeight="1" x14ac:dyDescent="0.3"/>
    <row r="255" s="1" customFormat="1" ht="12.75" customHeight="1" x14ac:dyDescent="0.3"/>
    <row r="256" s="1" customFormat="1" ht="12.75" customHeight="1" x14ac:dyDescent="0.3"/>
    <row r="257" s="1" customFormat="1" ht="12.75" customHeight="1" x14ac:dyDescent="0.3"/>
    <row r="258" s="1" customFormat="1" ht="12.75" customHeight="1" x14ac:dyDescent="0.3"/>
    <row r="259" s="1" customFormat="1" ht="12.75" customHeight="1" x14ac:dyDescent="0.3"/>
    <row r="260" s="1" customFormat="1" ht="12.75" customHeight="1" x14ac:dyDescent="0.3"/>
    <row r="261" s="1" customFormat="1" ht="12.75" customHeight="1" x14ac:dyDescent="0.3"/>
    <row r="262" s="1" customFormat="1" ht="12.75" customHeight="1" x14ac:dyDescent="0.3"/>
    <row r="263" s="1" customFormat="1" ht="12.75" customHeight="1" x14ac:dyDescent="0.3"/>
    <row r="264" s="1" customFormat="1" ht="12.75" customHeight="1" x14ac:dyDescent="0.3"/>
    <row r="265" s="1" customFormat="1" ht="12.75" customHeight="1" x14ac:dyDescent="0.3"/>
    <row r="266" s="1" customFormat="1" ht="12.75" customHeight="1" x14ac:dyDescent="0.3"/>
    <row r="267" s="1" customFormat="1" ht="12.75" customHeight="1" x14ac:dyDescent="0.3"/>
    <row r="268" s="1" customFormat="1" ht="12.75" customHeight="1" x14ac:dyDescent="0.3"/>
    <row r="269" s="1" customFormat="1" ht="12.75" customHeight="1" x14ac:dyDescent="0.3"/>
    <row r="270" s="1" customFormat="1" ht="12.75" customHeight="1" x14ac:dyDescent="0.3"/>
    <row r="271" s="1" customFormat="1" ht="12.75" customHeight="1" x14ac:dyDescent="0.3"/>
    <row r="272" s="1" customFormat="1" ht="12.75" customHeight="1" x14ac:dyDescent="0.3"/>
    <row r="273" s="1" customFormat="1" ht="12.75" customHeight="1" x14ac:dyDescent="0.3"/>
    <row r="274" s="1" customFormat="1" ht="12.75" customHeight="1" x14ac:dyDescent="0.3"/>
    <row r="275" s="1" customFormat="1" ht="12.75" customHeight="1" x14ac:dyDescent="0.3"/>
    <row r="276" s="1" customFormat="1" ht="12.75" customHeight="1" x14ac:dyDescent="0.3"/>
    <row r="277" s="1" customFormat="1" ht="12.75" customHeight="1" x14ac:dyDescent="0.3"/>
    <row r="278" s="1" customFormat="1" ht="12.75" customHeight="1" x14ac:dyDescent="0.3"/>
    <row r="279" s="1" customFormat="1" ht="12.75" customHeight="1" x14ac:dyDescent="0.3"/>
    <row r="280" s="1" customFormat="1" ht="12.75" customHeight="1" x14ac:dyDescent="0.3"/>
    <row r="281" s="1" customFormat="1" ht="12.75" customHeight="1" x14ac:dyDescent="0.3"/>
    <row r="282" s="1" customFormat="1" ht="12.75" customHeight="1" x14ac:dyDescent="0.3"/>
    <row r="283" s="1" customFormat="1" ht="12.75" customHeight="1" x14ac:dyDescent="0.3"/>
    <row r="284" s="1" customFormat="1" ht="12.75" customHeight="1" x14ac:dyDescent="0.3"/>
    <row r="285" s="1" customFormat="1" ht="12.75" customHeight="1" x14ac:dyDescent="0.3"/>
    <row r="286" s="1" customFormat="1" ht="12.75" customHeight="1" x14ac:dyDescent="0.3"/>
    <row r="287" s="1" customFormat="1" ht="12.75" customHeight="1" x14ac:dyDescent="0.3"/>
    <row r="288" s="1" customFormat="1" ht="12.75" customHeight="1" x14ac:dyDescent="0.3"/>
    <row r="289" s="1" customFormat="1" ht="12.75" customHeight="1" x14ac:dyDescent="0.3"/>
    <row r="290" s="1" customFormat="1" ht="12.75" customHeight="1" x14ac:dyDescent="0.3"/>
    <row r="291" s="1" customFormat="1" ht="12.75" customHeight="1" x14ac:dyDescent="0.3"/>
    <row r="292" s="1" customFormat="1" ht="12.75" customHeight="1" x14ac:dyDescent="0.3"/>
    <row r="293" s="1" customFormat="1" ht="12.75" customHeight="1" x14ac:dyDescent="0.3"/>
    <row r="294" s="1" customFormat="1" ht="12.75" customHeight="1" x14ac:dyDescent="0.3"/>
    <row r="295" s="1" customFormat="1" ht="12.75" customHeight="1" x14ac:dyDescent="0.3"/>
    <row r="296" s="1" customFormat="1" ht="12.75" customHeight="1" x14ac:dyDescent="0.3"/>
    <row r="297" s="1" customFormat="1" ht="12.75" customHeight="1" x14ac:dyDescent="0.3"/>
    <row r="298" s="1" customFormat="1" ht="12.75" customHeight="1" x14ac:dyDescent="0.3"/>
    <row r="299" s="1" customFormat="1" ht="12.75" customHeight="1" x14ac:dyDescent="0.3"/>
    <row r="300" s="1" customFormat="1" ht="12.75" customHeight="1" x14ac:dyDescent="0.3"/>
    <row r="301" s="1" customFormat="1" ht="12.75" customHeight="1" x14ac:dyDescent="0.3"/>
    <row r="302" s="1" customFormat="1" ht="12.75" customHeight="1" x14ac:dyDescent="0.3"/>
    <row r="303" s="1" customFormat="1" ht="12.75" customHeight="1" x14ac:dyDescent="0.3"/>
    <row r="304" s="1" customFormat="1" ht="12.75" customHeight="1" x14ac:dyDescent="0.3"/>
    <row r="305" s="1" customFormat="1" ht="12.75" customHeight="1" x14ac:dyDescent="0.3"/>
    <row r="306" s="1" customFormat="1" ht="12.75" customHeight="1" x14ac:dyDescent="0.3"/>
    <row r="307" s="1" customFormat="1" ht="12.75" customHeight="1" x14ac:dyDescent="0.3"/>
    <row r="308" s="1" customFormat="1" ht="12.75" customHeight="1" x14ac:dyDescent="0.3"/>
    <row r="309" s="1" customFormat="1" ht="12.75" customHeight="1" x14ac:dyDescent="0.3"/>
    <row r="310" s="1" customFormat="1" ht="12.75" customHeight="1" x14ac:dyDescent="0.3"/>
    <row r="311" s="1" customFormat="1" ht="12.75" customHeight="1" x14ac:dyDescent="0.3"/>
    <row r="312" s="1" customFormat="1" ht="12.75" customHeight="1" x14ac:dyDescent="0.3"/>
    <row r="313" s="1" customFormat="1" ht="12.75" customHeight="1" x14ac:dyDescent="0.3"/>
    <row r="314" s="1" customFormat="1" ht="12.75" customHeight="1" x14ac:dyDescent="0.3"/>
    <row r="315" s="1" customFormat="1" ht="12.75" customHeight="1" x14ac:dyDescent="0.3"/>
    <row r="316" s="1" customFormat="1" ht="12.75" customHeight="1" x14ac:dyDescent="0.3"/>
    <row r="317" s="1" customFormat="1" ht="12.75" customHeight="1" x14ac:dyDescent="0.3"/>
    <row r="318" s="1" customFormat="1" ht="12.75" customHeight="1" x14ac:dyDescent="0.3"/>
    <row r="319" s="1" customFormat="1" ht="12.75" customHeight="1" x14ac:dyDescent="0.3"/>
    <row r="320" s="1" customFormat="1" ht="12.75" customHeight="1" x14ac:dyDescent="0.3"/>
    <row r="321" s="1" customFormat="1" ht="12.75" customHeight="1" x14ac:dyDescent="0.3"/>
    <row r="322" s="1" customFormat="1" ht="12.75" customHeight="1" x14ac:dyDescent="0.3"/>
    <row r="323" s="1" customFormat="1" ht="12.75" customHeight="1" x14ac:dyDescent="0.3"/>
    <row r="324" s="1" customFormat="1" ht="12.75" customHeight="1" x14ac:dyDescent="0.3"/>
    <row r="325" s="1" customFormat="1" ht="12.75" customHeight="1" x14ac:dyDescent="0.3"/>
    <row r="326" s="1" customFormat="1" ht="12.75" customHeight="1" x14ac:dyDescent="0.3"/>
    <row r="327" s="1" customFormat="1" ht="12.75" customHeight="1" x14ac:dyDescent="0.3"/>
    <row r="328" s="1" customFormat="1" ht="12.75" customHeight="1" x14ac:dyDescent="0.3"/>
    <row r="329" s="1" customFormat="1" ht="12.75" customHeight="1" x14ac:dyDescent="0.3"/>
    <row r="330" s="1" customFormat="1" ht="12.75" customHeight="1" x14ac:dyDescent="0.3"/>
    <row r="331" s="1" customFormat="1" ht="12.75" customHeight="1" x14ac:dyDescent="0.3"/>
    <row r="332" s="1" customFormat="1" ht="12.75" customHeight="1" x14ac:dyDescent="0.3"/>
    <row r="333" s="1" customFormat="1" ht="12.75" customHeight="1" x14ac:dyDescent="0.3"/>
    <row r="334" s="1" customFormat="1" ht="12.75" customHeight="1" x14ac:dyDescent="0.3"/>
    <row r="335" s="1" customFormat="1" ht="12.75" customHeight="1" x14ac:dyDescent="0.3"/>
    <row r="336" s="1" customFormat="1" ht="12.75" customHeight="1" x14ac:dyDescent="0.3"/>
    <row r="337" s="1" customFormat="1" ht="12.75" customHeight="1" x14ac:dyDescent="0.3"/>
    <row r="338" s="1" customFormat="1" ht="12.75" customHeight="1" x14ac:dyDescent="0.3"/>
    <row r="339" s="1" customFormat="1" ht="12.75" customHeight="1" x14ac:dyDescent="0.3"/>
    <row r="340" s="1" customFormat="1" ht="12.75" customHeight="1" x14ac:dyDescent="0.3"/>
    <row r="341" s="1" customFormat="1" ht="12.75" customHeight="1" x14ac:dyDescent="0.3"/>
    <row r="342" s="1" customFormat="1" ht="12.75" customHeight="1" x14ac:dyDescent="0.3"/>
    <row r="343" s="1" customFormat="1" ht="12.75" customHeight="1" x14ac:dyDescent="0.3"/>
    <row r="344" s="1" customFormat="1" ht="12.75" customHeight="1" x14ac:dyDescent="0.3"/>
    <row r="345" s="1" customFormat="1" ht="12.75" customHeight="1" x14ac:dyDescent="0.3"/>
    <row r="346" s="1" customFormat="1" ht="12.75" customHeight="1" x14ac:dyDescent="0.3"/>
    <row r="347" s="1" customFormat="1" ht="12.75" customHeight="1" x14ac:dyDescent="0.3"/>
    <row r="348" s="1" customFormat="1" ht="12.75" customHeight="1" x14ac:dyDescent="0.3"/>
    <row r="349" s="1" customFormat="1" ht="12.75" customHeight="1" x14ac:dyDescent="0.3"/>
    <row r="350" s="1" customFormat="1" ht="12.75" customHeight="1" x14ac:dyDescent="0.3"/>
    <row r="351" s="1" customFormat="1" ht="12.75" customHeight="1" x14ac:dyDescent="0.3"/>
    <row r="352" s="1" customFormat="1" ht="12.75" customHeight="1" x14ac:dyDescent="0.3"/>
    <row r="353" s="1" customFormat="1" ht="12.75" customHeight="1" x14ac:dyDescent="0.3"/>
    <row r="354" s="1" customFormat="1" ht="12.75" customHeight="1" x14ac:dyDescent="0.3"/>
    <row r="355" s="1" customFormat="1" ht="12.75" customHeight="1" x14ac:dyDescent="0.3"/>
    <row r="356" s="1" customFormat="1" ht="12.75" customHeight="1" x14ac:dyDescent="0.3"/>
    <row r="357" s="1" customFormat="1" ht="12.75" customHeight="1" x14ac:dyDescent="0.3"/>
    <row r="358" s="1" customFormat="1" ht="12.75" customHeight="1" x14ac:dyDescent="0.3"/>
    <row r="359" s="1" customFormat="1" ht="12.75" customHeight="1" x14ac:dyDescent="0.3"/>
    <row r="360" s="1" customFormat="1" ht="12.75" customHeight="1" x14ac:dyDescent="0.3"/>
    <row r="361" s="1" customFormat="1" ht="12.75" customHeight="1" x14ac:dyDescent="0.3"/>
    <row r="362" s="1" customFormat="1" ht="12.75" customHeight="1" x14ac:dyDescent="0.3"/>
    <row r="363" s="1" customFormat="1" ht="12.75" customHeight="1" x14ac:dyDescent="0.3"/>
    <row r="364" s="1" customFormat="1" ht="12.75" customHeight="1" x14ac:dyDescent="0.3"/>
    <row r="365" s="1" customFormat="1" ht="12.75" customHeight="1" x14ac:dyDescent="0.3"/>
    <row r="366" s="1" customFormat="1" ht="12.75" customHeight="1" x14ac:dyDescent="0.3"/>
    <row r="367" s="1" customFormat="1" ht="12.75" customHeight="1" x14ac:dyDescent="0.3"/>
    <row r="368" s="1" customFormat="1" ht="12.75" customHeight="1" x14ac:dyDescent="0.3"/>
    <row r="369" s="1" customFormat="1" ht="12.75" customHeight="1" x14ac:dyDescent="0.3"/>
    <row r="370" s="1" customFormat="1" ht="12.75" customHeight="1" x14ac:dyDescent="0.3"/>
    <row r="371" s="1" customFormat="1" ht="12.75" customHeight="1" x14ac:dyDescent="0.3"/>
    <row r="372" s="1" customFormat="1" ht="12.75" customHeight="1" x14ac:dyDescent="0.3"/>
    <row r="373" s="1" customFormat="1" ht="12.75" customHeight="1" x14ac:dyDescent="0.3"/>
    <row r="374" s="1" customFormat="1" ht="12.75" customHeight="1" x14ac:dyDescent="0.3"/>
    <row r="375" s="1" customFormat="1" ht="12.75" customHeight="1" x14ac:dyDescent="0.3"/>
    <row r="376" s="1" customFormat="1" ht="12.75" customHeight="1" x14ac:dyDescent="0.3"/>
    <row r="377" s="1" customFormat="1" ht="12.75" customHeight="1" x14ac:dyDescent="0.3"/>
    <row r="378" s="1" customFormat="1" ht="12.75" customHeight="1" x14ac:dyDescent="0.3"/>
    <row r="379" s="1" customFormat="1" ht="12.75" customHeight="1" x14ac:dyDescent="0.3"/>
    <row r="380" s="1" customFormat="1" ht="12.75" customHeight="1" x14ac:dyDescent="0.3"/>
    <row r="381" s="1" customFormat="1" ht="12.75" customHeight="1" x14ac:dyDescent="0.3"/>
    <row r="382" s="1" customFormat="1" ht="12.75" customHeight="1" x14ac:dyDescent="0.3"/>
    <row r="383" s="1" customFormat="1" ht="12.75" customHeight="1" x14ac:dyDescent="0.3"/>
    <row r="384" s="1" customFormat="1" ht="12.75" customHeight="1" x14ac:dyDescent="0.3"/>
    <row r="385" s="1" customFormat="1" ht="12.75" customHeight="1" x14ac:dyDescent="0.3"/>
    <row r="386" s="1" customFormat="1" ht="12.75" customHeight="1" x14ac:dyDescent="0.3"/>
    <row r="387" s="1" customFormat="1" ht="12.75" customHeight="1" x14ac:dyDescent="0.3"/>
    <row r="388" s="1" customFormat="1" ht="12.75" customHeight="1" x14ac:dyDescent="0.3"/>
    <row r="389" s="1" customFormat="1" ht="12.75" customHeight="1" x14ac:dyDescent="0.3"/>
    <row r="390" s="1" customFormat="1" ht="12.75" customHeight="1" x14ac:dyDescent="0.3"/>
    <row r="391" s="1" customFormat="1" ht="12.75" customHeight="1" x14ac:dyDescent="0.3"/>
    <row r="392" s="1" customFormat="1" ht="12.75" customHeight="1" x14ac:dyDescent="0.3"/>
    <row r="393" s="1" customFormat="1" ht="12.75" customHeight="1" x14ac:dyDescent="0.3"/>
    <row r="394" s="1" customFormat="1" ht="12.75" customHeight="1" x14ac:dyDescent="0.3"/>
    <row r="395" s="1" customFormat="1" ht="12.75" customHeight="1" x14ac:dyDescent="0.3"/>
    <row r="396" s="1" customFormat="1" ht="12.75" customHeight="1" x14ac:dyDescent="0.3"/>
    <row r="397" s="1" customFormat="1" ht="12.75" customHeight="1" x14ac:dyDescent="0.3"/>
    <row r="398" s="1" customFormat="1" ht="12.75" customHeight="1" x14ac:dyDescent="0.3"/>
    <row r="399" s="1" customFormat="1" ht="12.75" customHeight="1" x14ac:dyDescent="0.3"/>
    <row r="400" s="1" customFormat="1" ht="12.75" customHeight="1" x14ac:dyDescent="0.3"/>
    <row r="401" s="1" customFormat="1" ht="12.75" customHeight="1" x14ac:dyDescent="0.3"/>
    <row r="402" s="1" customFormat="1" ht="12.75" customHeight="1" x14ac:dyDescent="0.3"/>
    <row r="403" s="1" customFormat="1" ht="12.75" customHeight="1" x14ac:dyDescent="0.3"/>
    <row r="404" s="1" customFormat="1" ht="12.75" customHeight="1" x14ac:dyDescent="0.3"/>
    <row r="405" s="1" customFormat="1" ht="12.75" customHeight="1" x14ac:dyDescent="0.3"/>
    <row r="406" s="1" customFormat="1" ht="12.75" customHeight="1" x14ac:dyDescent="0.3"/>
    <row r="407" s="1" customFormat="1" ht="12.75" customHeight="1" x14ac:dyDescent="0.3"/>
    <row r="408" s="1" customFormat="1" ht="12.75" customHeight="1" x14ac:dyDescent="0.3"/>
    <row r="409" s="1" customFormat="1" ht="12.75" customHeight="1" x14ac:dyDescent="0.3"/>
    <row r="410" s="1" customFormat="1" ht="12.75" customHeight="1" x14ac:dyDescent="0.3"/>
    <row r="411" s="1" customFormat="1" ht="12.75" customHeight="1" x14ac:dyDescent="0.3"/>
    <row r="412" s="1" customFormat="1" ht="12.75" customHeight="1" x14ac:dyDescent="0.3"/>
    <row r="413" s="1" customFormat="1" ht="12.75" customHeight="1" x14ac:dyDescent="0.3"/>
    <row r="414" s="1" customFormat="1" ht="12.75" customHeight="1" x14ac:dyDescent="0.3"/>
    <row r="415" s="1" customFormat="1" ht="12.75" customHeight="1" x14ac:dyDescent="0.3"/>
    <row r="416" s="1" customFormat="1" ht="12.75" customHeight="1" x14ac:dyDescent="0.3"/>
    <row r="417" s="1" customFormat="1" ht="12.75" customHeight="1" x14ac:dyDescent="0.3"/>
    <row r="418" s="1" customFormat="1" ht="12.75" customHeight="1" x14ac:dyDescent="0.3"/>
    <row r="419" s="1" customFormat="1" ht="12.75" customHeight="1" x14ac:dyDescent="0.3"/>
    <row r="420" s="1" customFormat="1" ht="12.75" customHeight="1" x14ac:dyDescent="0.3"/>
    <row r="421" s="1" customFormat="1" ht="12.75" customHeight="1" x14ac:dyDescent="0.3"/>
    <row r="422" s="1" customFormat="1" ht="12.75" customHeight="1" x14ac:dyDescent="0.3"/>
    <row r="423" s="1" customFormat="1" ht="12.75" customHeight="1" x14ac:dyDescent="0.3"/>
    <row r="424" s="1" customFormat="1" ht="12.75" customHeight="1" x14ac:dyDescent="0.3"/>
    <row r="425" s="1" customFormat="1" ht="12.75" customHeight="1" x14ac:dyDescent="0.3"/>
    <row r="426" s="1" customFormat="1" ht="12.75" customHeight="1" x14ac:dyDescent="0.3"/>
    <row r="427" s="1" customFormat="1" ht="12.75" customHeight="1" x14ac:dyDescent="0.3"/>
    <row r="428" s="1" customFormat="1" ht="12.75" customHeight="1" x14ac:dyDescent="0.3"/>
    <row r="429" s="1" customFormat="1" ht="12.75" customHeight="1" x14ac:dyDescent="0.3"/>
    <row r="430" s="1" customFormat="1" ht="12.75" customHeight="1" x14ac:dyDescent="0.3"/>
    <row r="431" s="1" customFormat="1" ht="12.75" customHeight="1" x14ac:dyDescent="0.3"/>
    <row r="432" s="1" customFormat="1" ht="12.75" customHeight="1" x14ac:dyDescent="0.3"/>
    <row r="433" s="1" customFormat="1" ht="12.75" customHeight="1" x14ac:dyDescent="0.3"/>
    <row r="434" s="1" customFormat="1" ht="12.75" customHeight="1" x14ac:dyDescent="0.3"/>
    <row r="435" s="1" customFormat="1" ht="12.75" customHeight="1" x14ac:dyDescent="0.3"/>
    <row r="436" s="1" customFormat="1" ht="12.75" customHeight="1" x14ac:dyDescent="0.3"/>
    <row r="437" s="1" customFormat="1" ht="12.75" customHeight="1" x14ac:dyDescent="0.3"/>
    <row r="438" s="1" customFormat="1" ht="12.75" customHeight="1" x14ac:dyDescent="0.3"/>
    <row r="439" s="1" customFormat="1" ht="12.75" customHeight="1" x14ac:dyDescent="0.3"/>
    <row r="440" s="1" customFormat="1" ht="12.75" customHeight="1" x14ac:dyDescent="0.3"/>
    <row r="441" s="1" customFormat="1" ht="12.75" customHeight="1" x14ac:dyDescent="0.3"/>
    <row r="442" s="1" customFormat="1" ht="12.75" customHeight="1" x14ac:dyDescent="0.3"/>
    <row r="443" s="1" customFormat="1" ht="12.75" customHeight="1" x14ac:dyDescent="0.3"/>
    <row r="444" s="1" customFormat="1" ht="12.75" customHeight="1" x14ac:dyDescent="0.3"/>
    <row r="445" s="1" customFormat="1" ht="12.75" customHeight="1" x14ac:dyDescent="0.3"/>
    <row r="446" s="1" customFormat="1" ht="12.75" customHeight="1" x14ac:dyDescent="0.3"/>
    <row r="447" s="1" customFormat="1" ht="12.75" customHeight="1" x14ac:dyDescent="0.3"/>
    <row r="448" s="1" customFormat="1" ht="12.75" customHeight="1" x14ac:dyDescent="0.3"/>
    <row r="449" s="1" customFormat="1" ht="12.75" customHeight="1" x14ac:dyDescent="0.3"/>
    <row r="450" s="1" customFormat="1" ht="12.75" customHeight="1" x14ac:dyDescent="0.3"/>
    <row r="451" s="1" customFormat="1" ht="12.75" customHeight="1" x14ac:dyDescent="0.3"/>
    <row r="452" s="1" customFormat="1" ht="12.75" customHeight="1" x14ac:dyDescent="0.3"/>
    <row r="453" s="1" customFormat="1" ht="12.75" customHeight="1" x14ac:dyDescent="0.3"/>
    <row r="454" s="1" customFormat="1" ht="12.75" customHeight="1" x14ac:dyDescent="0.3"/>
    <row r="455" s="1" customFormat="1" ht="12.75" customHeight="1" x14ac:dyDescent="0.3"/>
    <row r="456" s="1" customFormat="1" ht="12.75" customHeight="1" x14ac:dyDescent="0.3"/>
    <row r="457" s="1" customFormat="1" ht="12.75" customHeight="1" x14ac:dyDescent="0.3"/>
    <row r="458" s="1" customFormat="1" ht="12.75" customHeight="1" x14ac:dyDescent="0.3"/>
    <row r="459" s="1" customFormat="1" ht="12.75" customHeight="1" x14ac:dyDescent="0.3"/>
    <row r="460" s="1" customFormat="1" ht="12.75" customHeight="1" x14ac:dyDescent="0.3"/>
    <row r="461" s="1" customFormat="1" ht="12.75" customHeight="1" x14ac:dyDescent="0.3"/>
    <row r="462" s="1" customFormat="1" ht="12.75" customHeight="1" x14ac:dyDescent="0.3"/>
    <row r="463" s="1" customFormat="1" ht="12.75" customHeight="1" x14ac:dyDescent="0.3"/>
    <row r="464" s="1" customFormat="1" ht="12.75" customHeight="1" x14ac:dyDescent="0.3"/>
    <row r="465" s="1" customFormat="1" ht="12.75" customHeight="1" x14ac:dyDescent="0.3"/>
    <row r="466" s="1" customFormat="1" ht="12.75" customHeight="1" x14ac:dyDescent="0.3"/>
    <row r="467" s="1" customFormat="1" ht="12.75" customHeight="1" x14ac:dyDescent="0.3"/>
    <row r="468" s="1" customFormat="1" ht="12.75" customHeight="1" x14ac:dyDescent="0.3"/>
    <row r="469" s="1" customFormat="1" ht="12.75" customHeight="1" x14ac:dyDescent="0.3"/>
    <row r="470" s="1" customFormat="1" ht="12.75" customHeight="1" x14ac:dyDescent="0.3"/>
    <row r="471" s="1" customFormat="1" ht="12.75" customHeight="1" x14ac:dyDescent="0.3"/>
    <row r="472" s="1" customFormat="1" ht="12.75" customHeight="1" x14ac:dyDescent="0.3"/>
    <row r="473" s="1" customFormat="1" ht="12.75" customHeight="1" x14ac:dyDescent="0.3"/>
    <row r="474" s="1" customFormat="1" ht="12.75" customHeight="1" x14ac:dyDescent="0.3"/>
    <row r="475" s="1" customFormat="1" ht="12.75" customHeight="1" x14ac:dyDescent="0.3"/>
    <row r="476" s="1" customFormat="1" ht="12.75" customHeight="1" x14ac:dyDescent="0.3"/>
    <row r="477" s="1" customFormat="1" ht="12.75" customHeight="1" x14ac:dyDescent="0.3"/>
    <row r="478" s="1" customFormat="1" ht="12.75" customHeight="1" x14ac:dyDescent="0.3"/>
    <row r="479" s="1" customFormat="1" ht="12.75" customHeight="1" x14ac:dyDescent="0.3"/>
    <row r="480" s="1" customFormat="1" ht="12.75" customHeight="1" x14ac:dyDescent="0.3"/>
    <row r="481" s="1" customFormat="1" ht="12.75" customHeight="1" x14ac:dyDescent="0.3"/>
    <row r="482" s="1" customFormat="1" ht="12.75" customHeight="1" x14ac:dyDescent="0.3"/>
    <row r="483" s="1" customFormat="1" ht="12.75" customHeight="1" x14ac:dyDescent="0.3"/>
    <row r="484" s="1" customFormat="1" ht="12.75" customHeight="1" x14ac:dyDescent="0.3"/>
    <row r="485" s="1" customFormat="1" ht="12.75" customHeight="1" x14ac:dyDescent="0.3"/>
    <row r="486" s="1" customFormat="1" ht="12.75" customHeight="1" x14ac:dyDescent="0.3"/>
    <row r="487" s="1" customFormat="1" ht="12.75" customHeight="1" x14ac:dyDescent="0.3"/>
    <row r="488" s="1" customFormat="1" ht="12.75" customHeight="1" x14ac:dyDescent="0.3"/>
    <row r="489" s="1" customFormat="1" ht="12.75" customHeight="1" x14ac:dyDescent="0.3"/>
    <row r="490" s="1" customFormat="1" ht="12.75" customHeight="1" x14ac:dyDescent="0.3"/>
    <row r="491" s="1" customFormat="1" ht="12.75" customHeight="1" x14ac:dyDescent="0.3"/>
    <row r="492" s="1" customFormat="1" ht="12.75" customHeight="1" x14ac:dyDescent="0.3"/>
    <row r="493" s="1" customFormat="1" ht="12.75" customHeight="1" x14ac:dyDescent="0.3"/>
    <row r="494" s="1" customFormat="1" ht="12.75" customHeight="1" x14ac:dyDescent="0.3"/>
    <row r="495" s="1" customFormat="1" ht="12.75" customHeight="1" x14ac:dyDescent="0.3"/>
    <row r="496" s="1" customFormat="1" ht="12.75" customHeight="1" x14ac:dyDescent="0.3"/>
    <row r="497" s="1" customFormat="1" ht="12.75" customHeight="1" x14ac:dyDescent="0.3"/>
    <row r="498" s="1" customFormat="1" ht="12.75" customHeight="1" x14ac:dyDescent="0.3"/>
    <row r="499" s="1" customFormat="1" ht="12.75" customHeight="1" x14ac:dyDescent="0.3"/>
    <row r="500" s="1" customFormat="1" ht="12.75" customHeight="1" x14ac:dyDescent="0.3"/>
    <row r="501" s="1" customFormat="1" ht="12.75" customHeight="1" x14ac:dyDescent="0.3"/>
    <row r="502" s="1" customFormat="1" ht="12.75" customHeight="1" x14ac:dyDescent="0.3"/>
    <row r="503" s="1" customFormat="1" ht="12.75" customHeight="1" x14ac:dyDescent="0.3"/>
    <row r="504" s="1" customFormat="1" ht="12.75" customHeight="1" x14ac:dyDescent="0.3"/>
    <row r="505" s="1" customFormat="1" ht="12.75" customHeight="1" x14ac:dyDescent="0.3"/>
    <row r="506" s="1" customFormat="1" ht="12.75" customHeight="1" x14ac:dyDescent="0.3"/>
    <row r="507" s="1" customFormat="1" ht="12.75" customHeight="1" x14ac:dyDescent="0.3"/>
    <row r="508" s="1" customFormat="1" ht="12.75" customHeight="1" x14ac:dyDescent="0.3"/>
    <row r="509" s="1" customFormat="1" ht="12.75" customHeight="1" x14ac:dyDescent="0.3"/>
    <row r="510" s="1" customFormat="1" ht="12.75" customHeight="1" x14ac:dyDescent="0.3"/>
    <row r="511" s="1" customFormat="1" ht="12.75" customHeight="1" x14ac:dyDescent="0.3"/>
    <row r="512" s="1" customFormat="1" ht="12.75" customHeight="1" x14ac:dyDescent="0.3"/>
    <row r="513" s="1" customFormat="1" ht="12.75" customHeight="1" x14ac:dyDescent="0.3"/>
    <row r="514" s="1" customFormat="1" ht="12.75" customHeight="1" x14ac:dyDescent="0.3"/>
    <row r="515" s="1" customFormat="1" ht="12.75" customHeight="1" x14ac:dyDescent="0.3"/>
    <row r="516" s="1" customFormat="1" ht="12.75" customHeight="1" x14ac:dyDescent="0.3"/>
    <row r="517" s="1" customFormat="1" ht="12.75" customHeight="1" x14ac:dyDescent="0.3"/>
    <row r="518" s="1" customFormat="1" ht="12.75" customHeight="1" x14ac:dyDescent="0.3"/>
    <row r="519" s="1" customFormat="1" ht="12.75" customHeight="1" x14ac:dyDescent="0.3"/>
    <row r="520" s="1" customFormat="1" ht="12.75" customHeight="1" x14ac:dyDescent="0.3"/>
    <row r="521" s="1" customFormat="1" ht="12.75" customHeight="1" x14ac:dyDescent="0.3"/>
    <row r="522" s="1" customFormat="1" ht="12.75" customHeight="1" x14ac:dyDescent="0.3"/>
    <row r="523" s="1" customFormat="1" ht="12.75" customHeight="1" x14ac:dyDescent="0.3"/>
    <row r="524" s="1" customFormat="1" ht="12.75" customHeight="1" x14ac:dyDescent="0.3"/>
    <row r="525" s="1" customFormat="1" ht="12.75" customHeight="1" x14ac:dyDescent="0.3"/>
    <row r="526" s="1" customFormat="1" ht="12.75" customHeight="1" x14ac:dyDescent="0.3"/>
    <row r="527" s="1" customFormat="1" ht="12.75" customHeight="1" x14ac:dyDescent="0.3"/>
    <row r="528" s="1" customFormat="1" ht="12.75" customHeight="1" x14ac:dyDescent="0.3"/>
    <row r="529" s="1" customFormat="1" ht="12.75" customHeight="1" x14ac:dyDescent="0.3"/>
    <row r="530" s="1" customFormat="1" ht="12.75" customHeight="1" x14ac:dyDescent="0.3"/>
    <row r="531" s="1" customFormat="1" ht="12.75" customHeight="1" x14ac:dyDescent="0.3"/>
    <row r="532" s="1" customFormat="1" ht="12.75" customHeight="1" x14ac:dyDescent="0.3"/>
    <row r="533" s="1" customFormat="1" ht="12.75" customHeight="1" x14ac:dyDescent="0.3"/>
    <row r="534" s="1" customFormat="1" ht="12.75" customHeight="1" x14ac:dyDescent="0.3"/>
    <row r="535" s="1" customFormat="1" ht="12.75" customHeight="1" x14ac:dyDescent="0.3"/>
    <row r="536" s="1" customFormat="1" ht="12.75" customHeight="1" x14ac:dyDescent="0.3"/>
    <row r="537" s="1" customFormat="1" ht="12.75" customHeight="1" x14ac:dyDescent="0.3"/>
    <row r="538" s="1" customFormat="1" ht="12.75" customHeight="1" x14ac:dyDescent="0.3"/>
    <row r="539" s="1" customFormat="1" ht="12.75" customHeight="1" x14ac:dyDescent="0.3"/>
    <row r="540" s="1" customFormat="1" ht="12.75" customHeight="1" x14ac:dyDescent="0.3"/>
    <row r="541" s="1" customFormat="1" ht="12.75" customHeight="1" x14ac:dyDescent="0.3"/>
    <row r="542" s="1" customFormat="1" ht="12.75" customHeight="1" x14ac:dyDescent="0.3"/>
    <row r="543" s="1" customFormat="1" ht="12.75" customHeight="1" x14ac:dyDescent="0.3"/>
    <row r="544" s="1" customFormat="1" ht="12.75" customHeight="1" x14ac:dyDescent="0.3"/>
    <row r="545" s="1" customFormat="1" ht="12.75" customHeight="1" x14ac:dyDescent="0.3"/>
    <row r="546" s="1" customFormat="1" ht="12.75" customHeight="1" x14ac:dyDescent="0.3"/>
    <row r="547" s="1" customFormat="1" ht="12.75" customHeight="1" x14ac:dyDescent="0.3"/>
    <row r="548" s="1" customFormat="1" ht="12.75" customHeight="1" x14ac:dyDescent="0.3"/>
    <row r="549" s="1" customFormat="1" ht="12.75" customHeight="1" x14ac:dyDescent="0.3"/>
    <row r="550" s="1" customFormat="1" ht="12.75" customHeight="1" x14ac:dyDescent="0.3"/>
    <row r="551" s="1" customFormat="1" ht="12.75" customHeight="1" x14ac:dyDescent="0.3"/>
    <row r="552" s="1" customFormat="1" ht="12.75" customHeight="1" x14ac:dyDescent="0.3"/>
    <row r="553" s="1" customFormat="1" ht="12.75" customHeight="1" x14ac:dyDescent="0.3"/>
    <row r="554" s="1" customFormat="1" ht="12.75" customHeight="1" x14ac:dyDescent="0.3"/>
    <row r="555" s="1" customFormat="1" ht="12.75" customHeight="1" x14ac:dyDescent="0.3"/>
    <row r="556" s="1" customFormat="1" ht="12.75" customHeight="1" x14ac:dyDescent="0.3"/>
    <row r="557" s="1" customFormat="1" ht="12.75" customHeight="1" x14ac:dyDescent="0.3"/>
    <row r="558" s="1" customFormat="1" ht="12.75" customHeight="1" x14ac:dyDescent="0.3"/>
    <row r="559" s="1" customFormat="1" ht="12.75" customHeight="1" x14ac:dyDescent="0.3"/>
    <row r="560" s="1" customFormat="1" ht="12.75" customHeight="1" x14ac:dyDescent="0.3"/>
    <row r="561" s="1" customFormat="1" ht="12.75" customHeight="1" x14ac:dyDescent="0.3"/>
    <row r="562" s="1" customFormat="1" ht="12.75" customHeight="1" x14ac:dyDescent="0.3"/>
    <row r="563" s="1" customFormat="1" ht="12.75" customHeight="1" x14ac:dyDescent="0.3"/>
    <row r="564" s="1" customFormat="1" ht="12.75" customHeight="1" x14ac:dyDescent="0.3"/>
    <row r="565" s="1" customFormat="1" ht="12.75" customHeight="1" x14ac:dyDescent="0.3"/>
    <row r="566" s="1" customFormat="1" ht="12.75" customHeight="1" x14ac:dyDescent="0.3"/>
    <row r="567" s="1" customFormat="1" ht="12.75" customHeight="1" x14ac:dyDescent="0.3"/>
    <row r="568" s="1" customFormat="1" ht="12.75" customHeight="1" x14ac:dyDescent="0.3"/>
    <row r="569" s="1" customFormat="1" ht="12.75" customHeight="1" x14ac:dyDescent="0.3"/>
    <row r="570" s="1" customFormat="1" ht="12.75" customHeight="1" x14ac:dyDescent="0.3"/>
    <row r="571" s="1" customFormat="1" ht="12.75" customHeight="1" x14ac:dyDescent="0.3"/>
    <row r="572" s="1" customFormat="1" ht="12.75" customHeight="1" x14ac:dyDescent="0.3"/>
    <row r="573" s="1" customFormat="1" ht="12.75" customHeight="1" x14ac:dyDescent="0.3"/>
    <row r="574" s="1" customFormat="1" ht="12.75" customHeight="1" x14ac:dyDescent="0.3"/>
    <row r="575" s="1" customFormat="1" ht="12.75" customHeight="1" x14ac:dyDescent="0.3"/>
    <row r="576" s="1" customFormat="1" ht="12.75" customHeight="1" x14ac:dyDescent="0.3"/>
    <row r="577" s="1" customFormat="1" ht="12.75" customHeight="1" x14ac:dyDescent="0.3"/>
    <row r="578" s="1" customFormat="1" ht="12.75" customHeight="1" x14ac:dyDescent="0.3"/>
    <row r="579" s="1" customFormat="1" ht="12.75" customHeight="1" x14ac:dyDescent="0.3"/>
    <row r="580" s="1" customFormat="1" ht="12.75" customHeight="1" x14ac:dyDescent="0.3"/>
    <row r="581" s="1" customFormat="1" ht="12.75" customHeight="1" x14ac:dyDescent="0.3"/>
    <row r="582" s="1" customFormat="1" ht="12.75" customHeight="1" x14ac:dyDescent="0.3"/>
    <row r="583" s="1" customFormat="1" ht="12.75" customHeight="1" x14ac:dyDescent="0.3"/>
    <row r="584" s="1" customFormat="1" ht="12.75" customHeight="1" x14ac:dyDescent="0.3"/>
    <row r="585" s="1" customFormat="1" ht="12.75" customHeight="1" x14ac:dyDescent="0.3"/>
    <row r="586" s="1" customFormat="1" ht="12.75" customHeight="1" x14ac:dyDescent="0.3"/>
    <row r="587" s="1" customFormat="1" ht="12.75" customHeight="1" x14ac:dyDescent="0.3"/>
    <row r="588" s="1" customFormat="1" ht="12.75" customHeight="1" x14ac:dyDescent="0.3"/>
    <row r="589" s="1" customFormat="1" ht="12.75" customHeight="1" x14ac:dyDescent="0.3"/>
    <row r="590" s="1" customFormat="1" ht="12.75" customHeight="1" x14ac:dyDescent="0.3"/>
    <row r="591" s="1" customFormat="1" ht="12.75" customHeight="1" x14ac:dyDescent="0.3"/>
    <row r="592" s="1" customFormat="1" ht="12.75" customHeight="1" x14ac:dyDescent="0.3"/>
    <row r="593" s="1" customFormat="1" ht="12.75" customHeight="1" x14ac:dyDescent="0.3"/>
    <row r="594" s="1" customFormat="1" ht="12.75" customHeight="1" x14ac:dyDescent="0.3"/>
    <row r="595" s="1" customFormat="1" ht="12.75" customHeight="1" x14ac:dyDescent="0.3"/>
    <row r="596" s="1" customFormat="1" ht="12.75" customHeight="1" x14ac:dyDescent="0.3"/>
    <row r="597" s="1" customFormat="1" ht="12.75" customHeight="1" x14ac:dyDescent="0.3"/>
    <row r="598" s="1" customFormat="1" ht="12.75" customHeight="1" x14ac:dyDescent="0.3"/>
    <row r="599" s="1" customFormat="1" ht="12.75" customHeight="1" x14ac:dyDescent="0.3"/>
    <row r="600" s="1" customFormat="1" ht="12.75" customHeight="1" x14ac:dyDescent="0.3"/>
    <row r="601" s="1" customFormat="1" ht="12.75" customHeight="1" x14ac:dyDescent="0.3"/>
    <row r="602" s="1" customFormat="1" ht="12.75" customHeight="1" x14ac:dyDescent="0.3"/>
    <row r="603" s="1" customFormat="1" ht="12.75" customHeight="1" x14ac:dyDescent="0.3"/>
    <row r="604" s="1" customFormat="1" ht="12.75" customHeight="1" x14ac:dyDescent="0.3"/>
    <row r="605" s="1" customFormat="1" ht="12.75" customHeight="1" x14ac:dyDescent="0.3"/>
    <row r="606" s="1" customFormat="1" ht="12.75" customHeight="1" x14ac:dyDescent="0.3"/>
    <row r="607" s="1" customFormat="1" ht="12.75" customHeight="1" x14ac:dyDescent="0.3"/>
    <row r="608" s="1" customFormat="1" ht="12.75" customHeight="1" x14ac:dyDescent="0.3"/>
    <row r="609" s="1" customFormat="1" ht="12.75" customHeight="1" x14ac:dyDescent="0.3"/>
    <row r="610" s="1" customFormat="1" ht="12.75" customHeight="1" x14ac:dyDescent="0.3"/>
    <row r="611" s="1" customFormat="1" ht="12.75" customHeight="1" x14ac:dyDescent="0.3"/>
    <row r="612" s="1" customFormat="1" ht="12.75" customHeight="1" x14ac:dyDescent="0.3"/>
    <row r="613" s="1" customFormat="1" ht="12.75" customHeight="1" x14ac:dyDescent="0.3"/>
    <row r="614" s="1" customFormat="1" ht="12.75" customHeight="1" x14ac:dyDescent="0.3"/>
    <row r="615" s="1" customFormat="1" ht="12.75" customHeight="1" x14ac:dyDescent="0.3"/>
    <row r="616" s="1" customFormat="1" ht="12.75" customHeight="1" x14ac:dyDescent="0.3"/>
    <row r="617" s="1" customFormat="1" ht="12.75" customHeight="1" x14ac:dyDescent="0.3"/>
    <row r="618" s="1" customFormat="1" ht="12.75" customHeight="1" x14ac:dyDescent="0.3"/>
    <row r="619" s="1" customFormat="1" ht="12.75" customHeight="1" x14ac:dyDescent="0.3"/>
    <row r="620" s="1" customFormat="1" ht="12.75" customHeight="1" x14ac:dyDescent="0.3"/>
    <row r="621" s="1" customFormat="1" ht="12.75" customHeight="1" x14ac:dyDescent="0.3"/>
    <row r="622" s="1" customFormat="1" ht="12.75" customHeight="1" x14ac:dyDescent="0.3"/>
    <row r="623" s="1" customFormat="1" ht="12.75" customHeight="1" x14ac:dyDescent="0.3"/>
    <row r="624" s="1" customFormat="1" ht="12.75" customHeight="1" x14ac:dyDescent="0.3"/>
    <row r="625" s="1" customFormat="1" ht="12.75" customHeight="1" x14ac:dyDescent="0.3"/>
    <row r="626" s="1" customFormat="1" ht="12.75" customHeight="1" x14ac:dyDescent="0.3"/>
    <row r="627" s="1" customFormat="1" ht="12.75" customHeight="1" x14ac:dyDescent="0.3"/>
    <row r="628" s="1" customFormat="1" ht="12.75" customHeight="1" x14ac:dyDescent="0.3"/>
    <row r="629" s="1" customFormat="1" ht="12.75" customHeight="1" x14ac:dyDescent="0.3"/>
    <row r="630" s="1" customFormat="1" ht="12.75" customHeight="1" x14ac:dyDescent="0.3"/>
    <row r="631" s="1" customFormat="1" ht="12.75" customHeight="1" x14ac:dyDescent="0.3"/>
    <row r="632" s="1" customFormat="1" ht="12.75" customHeight="1" x14ac:dyDescent="0.3"/>
    <row r="633" s="1" customFormat="1" ht="12.75" customHeight="1" x14ac:dyDescent="0.3"/>
    <row r="634" s="1" customFormat="1" ht="12.75" customHeight="1" x14ac:dyDescent="0.3"/>
    <row r="635" s="1" customFormat="1" ht="12.75" customHeight="1" x14ac:dyDescent="0.3"/>
    <row r="636" s="1" customFormat="1" ht="12.75" customHeight="1" x14ac:dyDescent="0.3"/>
    <row r="637" s="1" customFormat="1" ht="12.75" customHeight="1" x14ac:dyDescent="0.3"/>
    <row r="638" s="1" customFormat="1" ht="12.75" customHeight="1" x14ac:dyDescent="0.3"/>
    <row r="639" s="1" customFormat="1" ht="12.75" customHeight="1" x14ac:dyDescent="0.3"/>
    <row r="640" s="1" customFormat="1" ht="12.75" customHeight="1" x14ac:dyDescent="0.3"/>
    <row r="641" s="1" customFormat="1" ht="12.75" customHeight="1" x14ac:dyDescent="0.3"/>
    <row r="642" s="1" customFormat="1" ht="12.75" customHeight="1" x14ac:dyDescent="0.3"/>
    <row r="643" s="1" customFormat="1" ht="12.75" customHeight="1" x14ac:dyDescent="0.3"/>
    <row r="644" s="1" customFormat="1" ht="12.75" customHeight="1" x14ac:dyDescent="0.3"/>
    <row r="645" s="1" customFormat="1" ht="12.75" customHeight="1" x14ac:dyDescent="0.3"/>
    <row r="646" s="1" customFormat="1" ht="12.75" customHeight="1" x14ac:dyDescent="0.3"/>
    <row r="647" s="1" customFormat="1" ht="12.75" customHeight="1" x14ac:dyDescent="0.3"/>
    <row r="648" s="1" customFormat="1" ht="12.75" customHeight="1" x14ac:dyDescent="0.3"/>
    <row r="649" s="1" customFormat="1" ht="12.75" customHeight="1" x14ac:dyDescent="0.3"/>
    <row r="650" s="1" customFormat="1" ht="12.75" customHeight="1" x14ac:dyDescent="0.3"/>
    <row r="651" s="1" customFormat="1" ht="12.75" customHeight="1" x14ac:dyDescent="0.3"/>
    <row r="652" s="1" customFormat="1" ht="12.75" customHeight="1" x14ac:dyDescent="0.3"/>
    <row r="653" s="1" customFormat="1" ht="12.75" customHeight="1" x14ac:dyDescent="0.3"/>
    <row r="654" s="1" customFormat="1" ht="12.75" customHeight="1" x14ac:dyDescent="0.3"/>
    <row r="655" s="1" customFormat="1" ht="12.75" customHeight="1" x14ac:dyDescent="0.3"/>
    <row r="656" s="1" customFormat="1" ht="12.75" customHeight="1" x14ac:dyDescent="0.3"/>
    <row r="657" s="1" customFormat="1" ht="12.75" customHeight="1" x14ac:dyDescent="0.3"/>
    <row r="658" s="1" customFormat="1" ht="12.75" customHeight="1" x14ac:dyDescent="0.3"/>
    <row r="659" s="1" customFormat="1" ht="12.75" customHeight="1" x14ac:dyDescent="0.3"/>
    <row r="660" s="1" customFormat="1" ht="12.75" customHeight="1" x14ac:dyDescent="0.3"/>
    <row r="661" s="1" customFormat="1" ht="12.75" customHeight="1" x14ac:dyDescent="0.3"/>
    <row r="662" s="1" customFormat="1" ht="12.75" customHeight="1" x14ac:dyDescent="0.3"/>
    <row r="663" s="1" customFormat="1" ht="12.75" customHeight="1" x14ac:dyDescent="0.3"/>
    <row r="664" s="1" customFormat="1" ht="12.75" customHeight="1" x14ac:dyDescent="0.3"/>
    <row r="665" s="1" customFormat="1" ht="12.75" customHeight="1" x14ac:dyDescent="0.3"/>
    <row r="666" s="1" customFormat="1" ht="12.75" customHeight="1" x14ac:dyDescent="0.3"/>
    <row r="667" s="1" customFormat="1" ht="12.75" customHeight="1" x14ac:dyDescent="0.3"/>
    <row r="668" s="1" customFormat="1" ht="12.75" customHeight="1" x14ac:dyDescent="0.3"/>
    <row r="669" s="1" customFormat="1" ht="12.75" customHeight="1" x14ac:dyDescent="0.3"/>
    <row r="670" s="1" customFormat="1" ht="12.75" customHeight="1" x14ac:dyDescent="0.3"/>
    <row r="671" s="1" customFormat="1" ht="12.75" customHeight="1" x14ac:dyDescent="0.3"/>
    <row r="672" s="1" customFormat="1" ht="12.75" customHeight="1" x14ac:dyDescent="0.3"/>
    <row r="673" s="1" customFormat="1" ht="12.75" customHeight="1" x14ac:dyDescent="0.3"/>
    <row r="674" s="1" customFormat="1" ht="12.75" customHeight="1" x14ac:dyDescent="0.3"/>
    <row r="675" s="1" customFormat="1" ht="12.75" customHeight="1" x14ac:dyDescent="0.3"/>
    <row r="676" s="1" customFormat="1" ht="12.75" customHeight="1" x14ac:dyDescent="0.3"/>
    <row r="677" s="1" customFormat="1" ht="12.75" customHeight="1" x14ac:dyDescent="0.3"/>
    <row r="678" s="1" customFormat="1" ht="12.75" customHeight="1" x14ac:dyDescent="0.3"/>
    <row r="679" s="1" customFormat="1" ht="12.75" customHeight="1" x14ac:dyDescent="0.3"/>
    <row r="680" s="1" customFormat="1" ht="12.75" customHeight="1" x14ac:dyDescent="0.3"/>
    <row r="681" s="1" customFormat="1" ht="12.75" customHeight="1" x14ac:dyDescent="0.3"/>
    <row r="682" s="1" customFormat="1" ht="12.75" customHeight="1" x14ac:dyDescent="0.3"/>
    <row r="683" s="1" customFormat="1" ht="12.75" customHeight="1" x14ac:dyDescent="0.3"/>
    <row r="684" s="1" customFormat="1" ht="12.75" customHeight="1" x14ac:dyDescent="0.3"/>
    <row r="685" s="1" customFormat="1" ht="12.75" customHeight="1" x14ac:dyDescent="0.3"/>
    <row r="686" s="1" customFormat="1" ht="12.75" customHeight="1" x14ac:dyDescent="0.3"/>
    <row r="687" s="1" customFormat="1" ht="12.75" customHeight="1" x14ac:dyDescent="0.3"/>
    <row r="688" s="1" customFormat="1" ht="12.75" customHeight="1" x14ac:dyDescent="0.3"/>
    <row r="689" s="1" customFormat="1" ht="12.75" customHeight="1" x14ac:dyDescent="0.3"/>
    <row r="690" s="1" customFormat="1" ht="12.75" customHeight="1" x14ac:dyDescent="0.3"/>
    <row r="691" s="1" customFormat="1" ht="12.75" customHeight="1" x14ac:dyDescent="0.3"/>
    <row r="692" s="1" customFormat="1" ht="12.75" customHeight="1" x14ac:dyDescent="0.3"/>
    <row r="693" s="1" customFormat="1" ht="12.75" customHeight="1" x14ac:dyDescent="0.3"/>
    <row r="694" s="1" customFormat="1" ht="12.75" customHeight="1" x14ac:dyDescent="0.3"/>
    <row r="695" s="1" customFormat="1" ht="12.75" customHeight="1" x14ac:dyDescent="0.3"/>
    <row r="696" s="1" customFormat="1" ht="12.75" customHeight="1" x14ac:dyDescent="0.3"/>
    <row r="697" s="1" customFormat="1" ht="12.75" customHeight="1" x14ac:dyDescent="0.3"/>
    <row r="698" s="1" customFormat="1" ht="12.75" customHeight="1" x14ac:dyDescent="0.3"/>
    <row r="699" s="1" customFormat="1" ht="12.75" customHeight="1" x14ac:dyDescent="0.3"/>
    <row r="700" s="1" customFormat="1" ht="12.75" customHeight="1" x14ac:dyDescent="0.3"/>
    <row r="701" s="1" customFormat="1" ht="12.75" customHeight="1" x14ac:dyDescent="0.3"/>
    <row r="702" s="1" customFormat="1" ht="12.75" customHeight="1" x14ac:dyDescent="0.3"/>
    <row r="703" s="1" customFormat="1" ht="12.75" customHeight="1" x14ac:dyDescent="0.3"/>
    <row r="704" s="1" customFormat="1" ht="12.75" customHeight="1" x14ac:dyDescent="0.3"/>
    <row r="705" s="1" customFormat="1" ht="12.75" customHeight="1" x14ac:dyDescent="0.3"/>
    <row r="706" s="1" customFormat="1" ht="12.75" customHeight="1" x14ac:dyDescent="0.3"/>
    <row r="707" s="1" customFormat="1" ht="12.75" customHeight="1" x14ac:dyDescent="0.3"/>
    <row r="708" s="1" customFormat="1" ht="12.75" customHeight="1" x14ac:dyDescent="0.3"/>
    <row r="709" s="1" customFormat="1" ht="12.75" customHeight="1" x14ac:dyDescent="0.3"/>
    <row r="710" s="1" customFormat="1" ht="12.75" customHeight="1" x14ac:dyDescent="0.3"/>
    <row r="711" s="1" customFormat="1" ht="12.75" customHeight="1" x14ac:dyDescent="0.3"/>
    <row r="712" s="1" customFormat="1" ht="12.75" customHeight="1" x14ac:dyDescent="0.3"/>
    <row r="713" s="1" customFormat="1" ht="12.75" customHeight="1" x14ac:dyDescent="0.3"/>
    <row r="714" s="1" customFormat="1" ht="12.75" customHeight="1" x14ac:dyDescent="0.3"/>
    <row r="715" s="1" customFormat="1" ht="12.75" customHeight="1" x14ac:dyDescent="0.3"/>
    <row r="716" s="1" customFormat="1" ht="12.75" customHeight="1" x14ac:dyDescent="0.3"/>
    <row r="717" s="1" customFormat="1" ht="12.75" customHeight="1" x14ac:dyDescent="0.3"/>
    <row r="718" s="1" customFormat="1" ht="12.75" customHeight="1" x14ac:dyDescent="0.3"/>
    <row r="719" s="1" customFormat="1" ht="12.75" customHeight="1" x14ac:dyDescent="0.3"/>
    <row r="720" s="1" customFormat="1" ht="12.75" customHeight="1" x14ac:dyDescent="0.3"/>
    <row r="721" s="1" customFormat="1" ht="12.75" customHeight="1" x14ac:dyDescent="0.3"/>
    <row r="722" s="1" customFormat="1" ht="12.75" customHeight="1" x14ac:dyDescent="0.3"/>
    <row r="723" s="1" customFormat="1" ht="12.75" customHeight="1" x14ac:dyDescent="0.3"/>
    <row r="724" s="1" customFormat="1" ht="12.75" customHeight="1" x14ac:dyDescent="0.3"/>
    <row r="725" s="1" customFormat="1" ht="12.75" customHeight="1" x14ac:dyDescent="0.3"/>
    <row r="726" s="1" customFormat="1" ht="12.75" customHeight="1" x14ac:dyDescent="0.3"/>
    <row r="727" s="1" customFormat="1" ht="12.75" customHeight="1" x14ac:dyDescent="0.3"/>
    <row r="728" s="1" customFormat="1" ht="12.75" customHeight="1" x14ac:dyDescent="0.3"/>
    <row r="729" s="1" customFormat="1" ht="12.75" customHeight="1" x14ac:dyDescent="0.3"/>
    <row r="730" s="1" customFormat="1" ht="12.75" customHeight="1" x14ac:dyDescent="0.3"/>
    <row r="731" s="1" customFormat="1" ht="12.75" customHeight="1" x14ac:dyDescent="0.3"/>
    <row r="732" s="1" customFormat="1" ht="12.75" customHeight="1" x14ac:dyDescent="0.3"/>
    <row r="733" s="1" customFormat="1" ht="12.75" customHeight="1" x14ac:dyDescent="0.3"/>
    <row r="734" s="1" customFormat="1" ht="12.75" customHeight="1" x14ac:dyDescent="0.3"/>
    <row r="735" s="1" customFormat="1" ht="12.75" customHeight="1" x14ac:dyDescent="0.3"/>
    <row r="736" s="1" customFormat="1" ht="12.75" customHeight="1" x14ac:dyDescent="0.3"/>
    <row r="737" s="1" customFormat="1" ht="12.75" customHeight="1" x14ac:dyDescent="0.3"/>
    <row r="738" s="1" customFormat="1" ht="12.75" customHeight="1" x14ac:dyDescent="0.3"/>
    <row r="739" s="1" customFormat="1" ht="12.75" customHeight="1" x14ac:dyDescent="0.3"/>
    <row r="740" s="1" customFormat="1" ht="12.75" customHeight="1" x14ac:dyDescent="0.3"/>
    <row r="741" s="1" customFormat="1" ht="12.75" customHeight="1" x14ac:dyDescent="0.3"/>
    <row r="742" s="1" customFormat="1" ht="12.75" customHeight="1" x14ac:dyDescent="0.3"/>
    <row r="743" s="1" customFormat="1" ht="12.75" customHeight="1" x14ac:dyDescent="0.3"/>
    <row r="744" s="1" customFormat="1" ht="12.75" customHeight="1" x14ac:dyDescent="0.3"/>
    <row r="745" s="1" customFormat="1" ht="12.75" customHeight="1" x14ac:dyDescent="0.3"/>
    <row r="746" s="1" customFormat="1" ht="12.75" customHeight="1" x14ac:dyDescent="0.3"/>
    <row r="747" s="1" customFormat="1" ht="12.75" customHeight="1" x14ac:dyDescent="0.3"/>
    <row r="748" s="1" customFormat="1" ht="12.75" customHeight="1" x14ac:dyDescent="0.3"/>
    <row r="749" s="1" customFormat="1" ht="12.75" customHeight="1" x14ac:dyDescent="0.3"/>
    <row r="750" s="1" customFormat="1" ht="12.75" customHeight="1" x14ac:dyDescent="0.3"/>
    <row r="751" s="1" customFormat="1" ht="12.75" customHeight="1" x14ac:dyDescent="0.3"/>
    <row r="752" s="1" customFormat="1" ht="12.75" customHeight="1" x14ac:dyDescent="0.3"/>
    <row r="753" s="1" customFormat="1" ht="12.75" customHeight="1" x14ac:dyDescent="0.3"/>
    <row r="754" s="1" customFormat="1" ht="12.75" customHeight="1" x14ac:dyDescent="0.3"/>
    <row r="755" s="1" customFormat="1" ht="12.75" customHeight="1" x14ac:dyDescent="0.3"/>
    <row r="756" s="1" customFormat="1" ht="12.75" customHeight="1" x14ac:dyDescent="0.3"/>
    <row r="757" s="1" customFormat="1" ht="12.75" customHeight="1" x14ac:dyDescent="0.3"/>
    <row r="758" s="1" customFormat="1" ht="12.75" customHeight="1" x14ac:dyDescent="0.3"/>
    <row r="759" s="1" customFormat="1" ht="12.75" customHeight="1" x14ac:dyDescent="0.3"/>
    <row r="760" s="1" customFormat="1" ht="12.75" customHeight="1" x14ac:dyDescent="0.3"/>
    <row r="761" s="1" customFormat="1" ht="12.75" customHeight="1" x14ac:dyDescent="0.3"/>
    <row r="762" s="1" customFormat="1" ht="12.75" customHeight="1" x14ac:dyDescent="0.3"/>
    <row r="763" s="1" customFormat="1" ht="12.75" customHeight="1" x14ac:dyDescent="0.3"/>
    <row r="764" s="1" customFormat="1" ht="12.75" customHeight="1" x14ac:dyDescent="0.3"/>
    <row r="765" s="1" customFormat="1" ht="12.75" customHeight="1" x14ac:dyDescent="0.3"/>
    <row r="766" s="1" customFormat="1" ht="12.75" customHeight="1" x14ac:dyDescent="0.3"/>
    <row r="767" s="1" customFormat="1" ht="12.75" customHeight="1" x14ac:dyDescent="0.3"/>
    <row r="768" s="1" customFormat="1" ht="12.75" customHeight="1" x14ac:dyDescent="0.3"/>
    <row r="769" s="1" customFormat="1" ht="12.75" customHeight="1" x14ac:dyDescent="0.3"/>
    <row r="770" s="1" customFormat="1" ht="12.75" customHeight="1" x14ac:dyDescent="0.3"/>
    <row r="771" s="1" customFormat="1" ht="12.75" customHeight="1" x14ac:dyDescent="0.3"/>
    <row r="772" s="1" customFormat="1" ht="12.75" customHeight="1" x14ac:dyDescent="0.3"/>
    <row r="773" s="1" customFormat="1" ht="12.75" customHeight="1" x14ac:dyDescent="0.3"/>
    <row r="774" s="1" customFormat="1" ht="12.75" customHeight="1" x14ac:dyDescent="0.3"/>
    <row r="775" s="1" customFormat="1" ht="12.75" customHeight="1" x14ac:dyDescent="0.3"/>
    <row r="776" s="1" customFormat="1" ht="12.75" customHeight="1" x14ac:dyDescent="0.3"/>
    <row r="777" s="1" customFormat="1" ht="12.75" customHeight="1" x14ac:dyDescent="0.3"/>
    <row r="778" s="1" customFormat="1" ht="12.75" customHeight="1" x14ac:dyDescent="0.3"/>
    <row r="779" s="1" customFormat="1" ht="12.75" customHeight="1" x14ac:dyDescent="0.3"/>
    <row r="780" s="1" customFormat="1" ht="12.75" customHeight="1" x14ac:dyDescent="0.3"/>
    <row r="781" s="1" customFormat="1" ht="12.75" customHeight="1" x14ac:dyDescent="0.3"/>
    <row r="782" s="1" customFormat="1" ht="12.75" customHeight="1" x14ac:dyDescent="0.3"/>
    <row r="783" s="1" customFormat="1" ht="12.75" customHeight="1" x14ac:dyDescent="0.3"/>
    <row r="784" s="1" customFormat="1" ht="12.75" customHeight="1" x14ac:dyDescent="0.3"/>
    <row r="785" s="1" customFormat="1" ht="12.75" customHeight="1" x14ac:dyDescent="0.3"/>
    <row r="786" s="1" customFormat="1" ht="12.75" customHeight="1" x14ac:dyDescent="0.3"/>
    <row r="787" s="1" customFormat="1" ht="12.75" customHeight="1" x14ac:dyDescent="0.3"/>
    <row r="788" s="1" customFormat="1" ht="12.75" customHeight="1" x14ac:dyDescent="0.3"/>
    <row r="789" s="1" customFormat="1" ht="12.75" customHeight="1" x14ac:dyDescent="0.3"/>
    <row r="790" s="1" customFormat="1" ht="12.75" customHeight="1" x14ac:dyDescent="0.3"/>
    <row r="791" s="1" customFormat="1" ht="12.75" customHeight="1" x14ac:dyDescent="0.3"/>
    <row r="792" s="1" customFormat="1" ht="12.75" customHeight="1" x14ac:dyDescent="0.3"/>
    <row r="793" s="1" customFormat="1" ht="12.75" customHeight="1" x14ac:dyDescent="0.3"/>
    <row r="794" s="1" customFormat="1" ht="12.75" customHeight="1" x14ac:dyDescent="0.3"/>
    <row r="795" s="1" customFormat="1" ht="12.75" customHeight="1" x14ac:dyDescent="0.3"/>
    <row r="796" s="1" customFormat="1" ht="12.75" customHeight="1" x14ac:dyDescent="0.3"/>
    <row r="797" s="1" customFormat="1" ht="12.75" customHeight="1" x14ac:dyDescent="0.3"/>
    <row r="798" s="1" customFormat="1" ht="12.75" customHeight="1" x14ac:dyDescent="0.3"/>
    <row r="799" s="1" customFormat="1" ht="12.75" customHeight="1" x14ac:dyDescent="0.3"/>
    <row r="800" s="1" customFormat="1" ht="12.75" customHeight="1" x14ac:dyDescent="0.3"/>
    <row r="801" s="1" customFormat="1" ht="12.75" customHeight="1" x14ac:dyDescent="0.3"/>
    <row r="802" s="1" customFormat="1" ht="12.75" customHeight="1" x14ac:dyDescent="0.3"/>
    <row r="803" s="1" customFormat="1" ht="12.75" customHeight="1" x14ac:dyDescent="0.3"/>
    <row r="804" s="1" customFormat="1" ht="12.75" customHeight="1" x14ac:dyDescent="0.3"/>
    <row r="805" s="1" customFormat="1" ht="12.75" customHeight="1" x14ac:dyDescent="0.3"/>
    <row r="806" s="1" customFormat="1" ht="12.75" customHeight="1" x14ac:dyDescent="0.3"/>
    <row r="807" s="1" customFormat="1" ht="12.75" customHeight="1" x14ac:dyDescent="0.3"/>
    <row r="808" s="1" customFormat="1" ht="12.75" customHeight="1" x14ac:dyDescent="0.3"/>
    <row r="809" s="1" customFormat="1" ht="12.75" customHeight="1" x14ac:dyDescent="0.3"/>
    <row r="810" s="1" customFormat="1" ht="12.75" customHeight="1" x14ac:dyDescent="0.3"/>
    <row r="811" s="1" customFormat="1" ht="12.75" customHeight="1" x14ac:dyDescent="0.3"/>
    <row r="812" s="1" customFormat="1" ht="12.75" customHeight="1" x14ac:dyDescent="0.3"/>
    <row r="813" s="1" customFormat="1" ht="12.75" customHeight="1" x14ac:dyDescent="0.3"/>
    <row r="814" s="1" customFormat="1" ht="12.75" customHeight="1" x14ac:dyDescent="0.3"/>
    <row r="815" s="1" customFormat="1" ht="12.75" customHeight="1" x14ac:dyDescent="0.3"/>
    <row r="816" s="1" customFormat="1" ht="12.75" customHeight="1" x14ac:dyDescent="0.3"/>
    <row r="817" s="1" customFormat="1" ht="12.75" customHeight="1" x14ac:dyDescent="0.3"/>
    <row r="818" s="1" customFormat="1" ht="12.75" customHeight="1" x14ac:dyDescent="0.3"/>
    <row r="819" s="1" customFormat="1" ht="12.75" customHeight="1" x14ac:dyDescent="0.3"/>
    <row r="820" s="1" customFormat="1" ht="12.75" customHeight="1" x14ac:dyDescent="0.3"/>
    <row r="821" s="1" customFormat="1" ht="12.75" customHeight="1" x14ac:dyDescent="0.3"/>
    <row r="822" s="1" customFormat="1" ht="12.75" customHeight="1" x14ac:dyDescent="0.3"/>
    <row r="823" s="1" customFormat="1" ht="12.75" customHeight="1" x14ac:dyDescent="0.3"/>
    <row r="824" s="1" customFormat="1" ht="12.75" customHeight="1" x14ac:dyDescent="0.3"/>
    <row r="825" s="1" customFormat="1" ht="12.75" customHeight="1" x14ac:dyDescent="0.3"/>
    <row r="826" s="1" customFormat="1" ht="12.75" customHeight="1" x14ac:dyDescent="0.3"/>
    <row r="827" s="1" customFormat="1" ht="12.75" customHeight="1" x14ac:dyDescent="0.3"/>
    <row r="828" s="1" customFormat="1" ht="12.75" customHeight="1" x14ac:dyDescent="0.3"/>
    <row r="829" s="1" customFormat="1" ht="12.75" customHeight="1" x14ac:dyDescent="0.3"/>
    <row r="830" s="1" customFormat="1" ht="12.75" customHeight="1" x14ac:dyDescent="0.3"/>
    <row r="831" s="1" customFormat="1" ht="12.75" customHeight="1" x14ac:dyDescent="0.3"/>
    <row r="832" s="1" customFormat="1" ht="12.75" customHeight="1" x14ac:dyDescent="0.3"/>
    <row r="833" s="1" customFormat="1" ht="12.75" customHeight="1" x14ac:dyDescent="0.3"/>
    <row r="834" s="1" customFormat="1" ht="12.75" customHeight="1" x14ac:dyDescent="0.3"/>
    <row r="835" s="1" customFormat="1" ht="12.75" customHeight="1" x14ac:dyDescent="0.3"/>
    <row r="836" s="1" customFormat="1" ht="12.75" customHeight="1" x14ac:dyDescent="0.3"/>
    <row r="837" s="1" customFormat="1" ht="12.75" customHeight="1" x14ac:dyDescent="0.3"/>
    <row r="838" s="1" customFormat="1" ht="12.75" customHeight="1" x14ac:dyDescent="0.3"/>
    <row r="839" s="1" customFormat="1" ht="12.75" customHeight="1" x14ac:dyDescent="0.3"/>
    <row r="840" s="1" customFormat="1" ht="12.75" customHeight="1" x14ac:dyDescent="0.3"/>
    <row r="841" s="1" customFormat="1" ht="12.75" customHeight="1" x14ac:dyDescent="0.3"/>
    <row r="842" s="1" customFormat="1" ht="12.75" customHeight="1" x14ac:dyDescent="0.3"/>
    <row r="843" s="1" customFormat="1" ht="12.75" customHeight="1" x14ac:dyDescent="0.3"/>
    <row r="844" s="1" customFormat="1" ht="12.75" customHeight="1" x14ac:dyDescent="0.3"/>
    <row r="845" s="1" customFormat="1" ht="12.75" customHeight="1" x14ac:dyDescent="0.3"/>
    <row r="846" s="1" customFormat="1" ht="12.75" customHeight="1" x14ac:dyDescent="0.3"/>
    <row r="847" s="1" customFormat="1" ht="12.75" customHeight="1" x14ac:dyDescent="0.3"/>
    <row r="848" s="1" customFormat="1" ht="12.75" customHeight="1" x14ac:dyDescent="0.3"/>
    <row r="849" s="1" customFormat="1" ht="12.75" customHeight="1" x14ac:dyDescent="0.3"/>
    <row r="850" s="1" customFormat="1" ht="12.75" customHeight="1" x14ac:dyDescent="0.3"/>
    <row r="851" s="1" customFormat="1" ht="12.75" customHeight="1" x14ac:dyDescent="0.3"/>
    <row r="852" s="1" customFormat="1" ht="12.75" customHeight="1" x14ac:dyDescent="0.3"/>
    <row r="853" s="1" customFormat="1" ht="12.75" customHeight="1" x14ac:dyDescent="0.3"/>
    <row r="854" s="1" customFormat="1" ht="12.75" customHeight="1" x14ac:dyDescent="0.3"/>
    <row r="855" s="1" customFormat="1" ht="12.75" customHeight="1" x14ac:dyDescent="0.3"/>
    <row r="856" s="1" customFormat="1" ht="12.75" customHeight="1" x14ac:dyDescent="0.3"/>
    <row r="857" s="1" customFormat="1" ht="12.75" customHeight="1" x14ac:dyDescent="0.3"/>
    <row r="858" s="1" customFormat="1" ht="12.75" customHeight="1" x14ac:dyDescent="0.3"/>
    <row r="859" s="1" customFormat="1" ht="12.75" customHeight="1" x14ac:dyDescent="0.3"/>
    <row r="860" s="1" customFormat="1" ht="12.75" customHeight="1" x14ac:dyDescent="0.3"/>
    <row r="861" s="1" customFormat="1" ht="12.75" customHeight="1" x14ac:dyDescent="0.3"/>
    <row r="862" s="1" customFormat="1" ht="12.75" customHeight="1" x14ac:dyDescent="0.3"/>
    <row r="863" s="1" customFormat="1" ht="12.75" customHeight="1" x14ac:dyDescent="0.3"/>
    <row r="864" s="1" customFormat="1" ht="12.75" customHeight="1" x14ac:dyDescent="0.3"/>
    <row r="865" s="1" customFormat="1" ht="12.75" customHeight="1" x14ac:dyDescent="0.3"/>
    <row r="866" s="1" customFormat="1" ht="12.75" customHeight="1" x14ac:dyDescent="0.3"/>
    <row r="867" s="1" customFormat="1" ht="12.75" customHeight="1" x14ac:dyDescent="0.3"/>
    <row r="868" s="1" customFormat="1" ht="12.75" customHeight="1" x14ac:dyDescent="0.3"/>
    <row r="869" s="1" customFormat="1" ht="12.75" customHeight="1" x14ac:dyDescent="0.3"/>
    <row r="870" s="1" customFormat="1" ht="12.75" customHeight="1" x14ac:dyDescent="0.3"/>
    <row r="871" s="1" customFormat="1" ht="12.75" customHeight="1" x14ac:dyDescent="0.3"/>
    <row r="872" s="1" customFormat="1" ht="12.75" customHeight="1" x14ac:dyDescent="0.3"/>
    <row r="873" s="1" customFormat="1" ht="12.75" customHeight="1" x14ac:dyDescent="0.3"/>
    <row r="874" s="1" customFormat="1" ht="12.75" customHeight="1" x14ac:dyDescent="0.3"/>
    <row r="875" s="1" customFormat="1" ht="12.75" customHeight="1" x14ac:dyDescent="0.3"/>
    <row r="876" s="1" customFormat="1" ht="12.75" customHeight="1" x14ac:dyDescent="0.3"/>
    <row r="877" s="1" customFormat="1" ht="12.75" customHeight="1" x14ac:dyDescent="0.3"/>
    <row r="878" s="1" customFormat="1" ht="12.75" customHeight="1" x14ac:dyDescent="0.3"/>
    <row r="879" s="1" customFormat="1" ht="12.75" customHeight="1" x14ac:dyDescent="0.3"/>
    <row r="880" s="1" customFormat="1" ht="12.75" customHeight="1" x14ac:dyDescent="0.3"/>
    <row r="881" s="1" customFormat="1" ht="12.75" customHeight="1" x14ac:dyDescent="0.3"/>
    <row r="882" s="1" customFormat="1" ht="12.75" customHeight="1" x14ac:dyDescent="0.3"/>
    <row r="883" s="1" customFormat="1" ht="12.75" customHeight="1" x14ac:dyDescent="0.3"/>
    <row r="884" s="1" customFormat="1" ht="12.75" customHeight="1" x14ac:dyDescent="0.3"/>
    <row r="885" s="1" customFormat="1" ht="12.75" customHeight="1" x14ac:dyDescent="0.3"/>
    <row r="886" s="1" customFormat="1" ht="12.75" customHeight="1" x14ac:dyDescent="0.3"/>
    <row r="887" s="1" customFormat="1" ht="12.75" customHeight="1" x14ac:dyDescent="0.3"/>
    <row r="888" s="1" customFormat="1" ht="12.75" customHeight="1" x14ac:dyDescent="0.3"/>
    <row r="889" s="1" customFormat="1" ht="12.75" customHeight="1" x14ac:dyDescent="0.3"/>
    <row r="890" s="1" customFormat="1" ht="12.75" customHeight="1" x14ac:dyDescent="0.3"/>
    <row r="891" s="1" customFormat="1" ht="12.75" customHeight="1" x14ac:dyDescent="0.3"/>
    <row r="892" s="1" customFormat="1" ht="12.75" customHeight="1" x14ac:dyDescent="0.3"/>
    <row r="893" s="1" customFormat="1" ht="12.75" customHeight="1" x14ac:dyDescent="0.3"/>
    <row r="894" s="1" customFormat="1" ht="12.75" customHeight="1" x14ac:dyDescent="0.3"/>
    <row r="895" s="1" customFormat="1" ht="12.75" customHeight="1" x14ac:dyDescent="0.3"/>
    <row r="896" s="1" customFormat="1" ht="12.75" customHeight="1" x14ac:dyDescent="0.3"/>
    <row r="897" s="1" customFormat="1" ht="12.75" customHeight="1" x14ac:dyDescent="0.3"/>
    <row r="898" s="1" customFormat="1" ht="12.75" customHeight="1" x14ac:dyDescent="0.3"/>
    <row r="899" s="1" customFormat="1" ht="12.75" customHeight="1" x14ac:dyDescent="0.3"/>
    <row r="900" s="1" customFormat="1" ht="12.75" customHeight="1" x14ac:dyDescent="0.3"/>
    <row r="901" s="1" customFormat="1" ht="12.75" customHeight="1" x14ac:dyDescent="0.3"/>
    <row r="902" s="1" customFormat="1" ht="12.75" customHeight="1" x14ac:dyDescent="0.3"/>
    <row r="903" s="1" customFormat="1" ht="12.75" customHeight="1" x14ac:dyDescent="0.3"/>
    <row r="904" s="1" customFormat="1" ht="12.75" customHeight="1" x14ac:dyDescent="0.3"/>
    <row r="905" s="1" customFormat="1" ht="12.75" customHeight="1" x14ac:dyDescent="0.3"/>
    <row r="906" s="1" customFormat="1" ht="12.75" customHeight="1" x14ac:dyDescent="0.3"/>
    <row r="907" s="1" customFormat="1" ht="12.75" customHeight="1" x14ac:dyDescent="0.3"/>
    <row r="908" s="1" customFormat="1" ht="12.75" customHeight="1" x14ac:dyDescent="0.3"/>
    <row r="909" s="1" customFormat="1" ht="12.75" customHeight="1" x14ac:dyDescent="0.3"/>
    <row r="910" s="1" customFormat="1" ht="12.75" customHeight="1" x14ac:dyDescent="0.3"/>
    <row r="911" s="1" customFormat="1" ht="12.75" customHeight="1" x14ac:dyDescent="0.3"/>
    <row r="912" s="1" customFormat="1" ht="12.75" customHeight="1" x14ac:dyDescent="0.3"/>
    <row r="913" s="1" customFormat="1" ht="12.75" customHeight="1" x14ac:dyDescent="0.3"/>
    <row r="914" s="1" customFormat="1" ht="12.75" customHeight="1" x14ac:dyDescent="0.3"/>
    <row r="915" s="1" customFormat="1" ht="12.75" customHeight="1" x14ac:dyDescent="0.3"/>
    <row r="916" s="1" customFormat="1" ht="12.75" customHeight="1" x14ac:dyDescent="0.3"/>
    <row r="917" s="1" customFormat="1" ht="12.75" customHeight="1" x14ac:dyDescent="0.3"/>
    <row r="918" s="1" customFormat="1" ht="12.75" customHeight="1" x14ac:dyDescent="0.3"/>
    <row r="919" s="1" customFormat="1" ht="12.75" customHeight="1" x14ac:dyDescent="0.3"/>
    <row r="920" s="1" customFormat="1" ht="12.75" customHeight="1" x14ac:dyDescent="0.3"/>
    <row r="921" s="1" customFormat="1" ht="12.75" customHeight="1" x14ac:dyDescent="0.3"/>
    <row r="922" s="1" customFormat="1" ht="12.75" customHeight="1" x14ac:dyDescent="0.3"/>
    <row r="923" s="1" customFormat="1" ht="12.75" customHeight="1" x14ac:dyDescent="0.3"/>
    <row r="924" s="1" customFormat="1" ht="12.75" customHeight="1" x14ac:dyDescent="0.3"/>
    <row r="925" s="1" customFormat="1" ht="12.75" customHeight="1" x14ac:dyDescent="0.3"/>
    <row r="926" s="1" customFormat="1" ht="12.75" customHeight="1" x14ac:dyDescent="0.3"/>
    <row r="927" s="1" customFormat="1" ht="12.75" customHeight="1" x14ac:dyDescent="0.3"/>
    <row r="928" s="1" customFormat="1" ht="12.75" customHeight="1" x14ac:dyDescent="0.3"/>
    <row r="929" s="1" customFormat="1" ht="12.75" customHeight="1" x14ac:dyDescent="0.3"/>
    <row r="930" s="1" customFormat="1" ht="12.75" customHeight="1" x14ac:dyDescent="0.3"/>
    <row r="931" s="1" customFormat="1" ht="12.75" customHeight="1" x14ac:dyDescent="0.3"/>
    <row r="932" s="1" customFormat="1" ht="12.75" customHeight="1" x14ac:dyDescent="0.3"/>
    <row r="933" s="1" customFormat="1" ht="12.75" customHeight="1" x14ac:dyDescent="0.3"/>
    <row r="934" s="1" customFormat="1" ht="12.75" customHeight="1" x14ac:dyDescent="0.3"/>
    <row r="935" s="1" customFormat="1" ht="12.75" customHeight="1" x14ac:dyDescent="0.3"/>
    <row r="936" s="1" customFormat="1" ht="12.75" customHeight="1" x14ac:dyDescent="0.3"/>
    <row r="937" s="1" customFormat="1" ht="12.75" customHeight="1" x14ac:dyDescent="0.3"/>
    <row r="938" s="1" customFormat="1" ht="12.75" customHeight="1" x14ac:dyDescent="0.3"/>
    <row r="939" s="1" customFormat="1" ht="12.75" customHeight="1" x14ac:dyDescent="0.3"/>
    <row r="940" s="1" customFormat="1" ht="12.75" customHeight="1" x14ac:dyDescent="0.3"/>
    <row r="941" s="1" customFormat="1" ht="12.75" customHeight="1" x14ac:dyDescent="0.3"/>
    <row r="942" s="1" customFormat="1" ht="12.75" customHeight="1" x14ac:dyDescent="0.3"/>
    <row r="943" s="1" customFormat="1" ht="12.75" customHeight="1" x14ac:dyDescent="0.3"/>
    <row r="944" s="1" customFormat="1" ht="12.75" customHeight="1" x14ac:dyDescent="0.3"/>
    <row r="945" s="1" customFormat="1" ht="12.75" customHeight="1" x14ac:dyDescent="0.3"/>
    <row r="946" s="1" customFormat="1" ht="12.75" customHeight="1" x14ac:dyDescent="0.3"/>
    <row r="947" s="1" customFormat="1" ht="12.75" customHeight="1" x14ac:dyDescent="0.3"/>
    <row r="948" s="1" customFormat="1" ht="12.75" customHeight="1" x14ac:dyDescent="0.3"/>
    <row r="949" s="1" customFormat="1" ht="12.75" customHeight="1" x14ac:dyDescent="0.3"/>
    <row r="950" s="1" customFormat="1" ht="12.75" customHeight="1" x14ac:dyDescent="0.3"/>
    <row r="951" s="1" customFormat="1" ht="12.75" customHeight="1" x14ac:dyDescent="0.3"/>
    <row r="952" s="1" customFormat="1" ht="12.75" customHeight="1" x14ac:dyDescent="0.3"/>
    <row r="953" s="1" customFormat="1" ht="12.75" customHeight="1" x14ac:dyDescent="0.3"/>
    <row r="954" s="1" customFormat="1" ht="12.75" customHeight="1" x14ac:dyDescent="0.3"/>
    <row r="955" s="1" customFormat="1" ht="12.75" customHeight="1" x14ac:dyDescent="0.3"/>
    <row r="956" s="1" customFormat="1" ht="12.75" customHeight="1" x14ac:dyDescent="0.3"/>
    <row r="957" s="1" customFormat="1" ht="12.75" customHeight="1" x14ac:dyDescent="0.3"/>
    <row r="958" s="1" customFormat="1" ht="12.75" customHeight="1" x14ac:dyDescent="0.3"/>
    <row r="959" s="1" customFormat="1" ht="12.75" customHeight="1" x14ac:dyDescent="0.3"/>
    <row r="960" s="1" customFormat="1" ht="12.75" customHeight="1" x14ac:dyDescent="0.3"/>
    <row r="961" s="1" customFormat="1" ht="12.75" customHeight="1" x14ac:dyDescent="0.3"/>
    <row r="962" s="1" customFormat="1" ht="12.75" customHeight="1" x14ac:dyDescent="0.3"/>
    <row r="963" s="1" customFormat="1" ht="12.75" customHeight="1" x14ac:dyDescent="0.3"/>
    <row r="964" s="1" customFormat="1" ht="12.75" customHeight="1" x14ac:dyDescent="0.3"/>
    <row r="965" s="1" customFormat="1" ht="12.75" customHeight="1" x14ac:dyDescent="0.3"/>
    <row r="966" s="1" customFormat="1" ht="12.75" customHeight="1" x14ac:dyDescent="0.3"/>
    <row r="967" s="1" customFormat="1" ht="12.75" customHeight="1" x14ac:dyDescent="0.3"/>
    <row r="968" s="1" customFormat="1" ht="12.75" customHeight="1" x14ac:dyDescent="0.3"/>
    <row r="969" s="1" customFormat="1" ht="12.75" customHeight="1" x14ac:dyDescent="0.3"/>
    <row r="970" s="1" customFormat="1" ht="12.75" customHeight="1" x14ac:dyDescent="0.3"/>
    <row r="971" s="1" customFormat="1" ht="12.75" customHeight="1" x14ac:dyDescent="0.3"/>
    <row r="972" s="1" customFormat="1" ht="12.75" customHeight="1" x14ac:dyDescent="0.3"/>
    <row r="973" s="1" customFormat="1" ht="12.75" customHeight="1" x14ac:dyDescent="0.3"/>
    <row r="974" s="1" customFormat="1" ht="12.75" customHeight="1" x14ac:dyDescent="0.3"/>
    <row r="975" s="1" customFormat="1" ht="12.75" customHeight="1" x14ac:dyDescent="0.3"/>
    <row r="976" s="1" customFormat="1" ht="12.75" customHeight="1" x14ac:dyDescent="0.3"/>
    <row r="977" s="1" customFormat="1" ht="12.75" customHeight="1" x14ac:dyDescent="0.3"/>
    <row r="978" s="1" customFormat="1" ht="12.75" customHeight="1" x14ac:dyDescent="0.3"/>
    <row r="979" s="1" customFormat="1" ht="12.75" customHeight="1" x14ac:dyDescent="0.3"/>
    <row r="980" s="1" customFormat="1" ht="12.75" customHeight="1" x14ac:dyDescent="0.3"/>
    <row r="981" s="1" customFormat="1" ht="12.75" customHeight="1" x14ac:dyDescent="0.3"/>
    <row r="982" s="1" customFormat="1" ht="12.75" customHeight="1" x14ac:dyDescent="0.3"/>
    <row r="983" s="1" customFormat="1" ht="12.75" customHeight="1" x14ac:dyDescent="0.3"/>
    <row r="984" s="1" customFormat="1" ht="12.75" customHeight="1" x14ac:dyDescent="0.3"/>
    <row r="985" s="1" customFormat="1" ht="12.75" customHeight="1" x14ac:dyDescent="0.3"/>
    <row r="986" s="1" customFormat="1" ht="12.75" customHeight="1" x14ac:dyDescent="0.3"/>
    <row r="987" s="1" customFormat="1" ht="12.75" customHeight="1" x14ac:dyDescent="0.3"/>
    <row r="988" s="1" customFormat="1" ht="12.75" customHeight="1" x14ac:dyDescent="0.3"/>
    <row r="989" s="1" customFormat="1" ht="12.75" customHeight="1" x14ac:dyDescent="0.3"/>
    <row r="990" s="1" customFormat="1" ht="12.75" customHeight="1" x14ac:dyDescent="0.3"/>
    <row r="991" s="1" customFormat="1" ht="12.75" customHeight="1" x14ac:dyDescent="0.3"/>
    <row r="992" s="1" customFormat="1" ht="12.75" customHeight="1" x14ac:dyDescent="0.3"/>
    <row r="993" s="1" customFormat="1" ht="12.75" customHeight="1" x14ac:dyDescent="0.3"/>
    <row r="994" s="1" customFormat="1" ht="12.75" customHeight="1" x14ac:dyDescent="0.3"/>
    <row r="995" s="1" customFormat="1" ht="12.75" customHeight="1" x14ac:dyDescent="0.3"/>
    <row r="996" s="1" customFormat="1" ht="12.75" customHeight="1" x14ac:dyDescent="0.3"/>
    <row r="997" s="1" customFormat="1" ht="12.75" customHeight="1" x14ac:dyDescent="0.3"/>
    <row r="998" s="1" customFormat="1" ht="12.75" customHeight="1" x14ac:dyDescent="0.3"/>
    <row r="999" s="1" customFormat="1" ht="12.75" customHeight="1" x14ac:dyDescent="0.3"/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690CF-8B41-4EBE-8F5F-E2CBB02F515E}">
  <dimension ref="A1:M999"/>
  <sheetViews>
    <sheetView workbookViewId="0">
      <selection activeCell="G3" sqref="G3"/>
    </sheetView>
  </sheetViews>
  <sheetFormatPr baseColWidth="10" defaultColWidth="12.6328125" defaultRowHeight="15" customHeight="1" x14ac:dyDescent="0.3"/>
  <cols>
    <col min="1" max="1" width="15.7265625" style="1" customWidth="1"/>
    <col min="2" max="7" width="10.6328125" style="1" customWidth="1"/>
    <col min="8" max="8" width="11.36328125" style="1" customWidth="1"/>
    <col min="9" max="25" width="10.6328125" style="1" customWidth="1"/>
    <col min="26" max="16384" width="12.6328125" style="1"/>
  </cols>
  <sheetData>
    <row r="1" spans="1:13" ht="12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2.75" customHeight="1" x14ac:dyDescent="0.3">
      <c r="A2" s="1" t="s">
        <v>12</v>
      </c>
      <c r="B2" s="1" t="s">
        <v>13</v>
      </c>
      <c r="E2" s="1">
        <v>1</v>
      </c>
      <c r="H2" s="2" t="s">
        <v>14</v>
      </c>
      <c r="I2" s="3">
        <f t="shared" ref="I2:L2" si="0">SUM(C22+C37+C55+C65+C66+C96+C105+C113+C128+C146+C150)</f>
        <v>11</v>
      </c>
      <c r="J2" s="3">
        <f t="shared" si="0"/>
        <v>0</v>
      </c>
      <c r="K2" s="3">
        <f t="shared" si="0"/>
        <v>0</v>
      </c>
      <c r="L2" s="3">
        <f t="shared" si="0"/>
        <v>0</v>
      </c>
      <c r="M2" s="3">
        <f t="shared" ref="M2:M13" si="1">SUM(I2:L2)</f>
        <v>11</v>
      </c>
    </row>
    <row r="3" spans="1:13" ht="12.75" customHeight="1" x14ac:dyDescent="0.3">
      <c r="A3" s="1" t="s">
        <v>15</v>
      </c>
      <c r="B3" s="1" t="s">
        <v>16</v>
      </c>
      <c r="C3" s="1">
        <v>1</v>
      </c>
      <c r="H3" s="2" t="s">
        <v>17</v>
      </c>
      <c r="I3" s="3">
        <f t="shared" ref="I3:L3" si="2">SUM(C6+C32+C50+C52+C58+C69+C76+C94+C115+C122+C123+C152)</f>
        <v>12</v>
      </c>
      <c r="J3" s="3">
        <f t="shared" si="2"/>
        <v>0</v>
      </c>
      <c r="K3" s="3">
        <f t="shared" si="2"/>
        <v>0</v>
      </c>
      <c r="L3" s="3">
        <f t="shared" si="2"/>
        <v>0</v>
      </c>
      <c r="M3" s="3">
        <f t="shared" si="1"/>
        <v>12</v>
      </c>
    </row>
    <row r="4" spans="1:13" ht="12.75" customHeight="1" x14ac:dyDescent="0.3">
      <c r="A4" s="1" t="s">
        <v>18</v>
      </c>
      <c r="B4" s="1" t="s">
        <v>13</v>
      </c>
      <c r="D4" s="1">
        <v>1</v>
      </c>
      <c r="H4" s="2" t="s">
        <v>19</v>
      </c>
      <c r="I4" s="3">
        <f t="shared" ref="I4:L4" si="3">SUM(C26+C14+C27+C62+C68+C124+C138+C142+C153+C155)</f>
        <v>10</v>
      </c>
      <c r="J4" s="3">
        <f t="shared" si="3"/>
        <v>0</v>
      </c>
      <c r="K4" s="3">
        <f t="shared" si="3"/>
        <v>0</v>
      </c>
      <c r="L4" s="3">
        <f t="shared" si="3"/>
        <v>0</v>
      </c>
      <c r="M4" s="3">
        <f t="shared" si="1"/>
        <v>10</v>
      </c>
    </row>
    <row r="5" spans="1:13" ht="12.75" customHeight="1" x14ac:dyDescent="0.3">
      <c r="A5" s="1" t="s">
        <v>20</v>
      </c>
      <c r="B5" s="1" t="s">
        <v>21</v>
      </c>
      <c r="C5" s="1">
        <v>1</v>
      </c>
      <c r="H5" s="2" t="s">
        <v>22</v>
      </c>
      <c r="I5" s="3">
        <f t="shared" ref="I5:L5" si="4">SUM(C5+C36+C56+C63+C73+C85+C87+C95+C135)</f>
        <v>8</v>
      </c>
      <c r="J5" s="3">
        <f t="shared" si="4"/>
        <v>0</v>
      </c>
      <c r="K5" s="3">
        <f t="shared" si="4"/>
        <v>0</v>
      </c>
      <c r="L5" s="3">
        <f t="shared" si="4"/>
        <v>1</v>
      </c>
      <c r="M5" s="3">
        <f t="shared" si="1"/>
        <v>9</v>
      </c>
    </row>
    <row r="6" spans="1:13" ht="12.75" customHeight="1" x14ac:dyDescent="0.3">
      <c r="A6" s="1" t="s">
        <v>23</v>
      </c>
      <c r="B6" s="1" t="s">
        <v>24</v>
      </c>
      <c r="C6" s="1">
        <v>1</v>
      </c>
      <c r="H6" s="2" t="s">
        <v>25</v>
      </c>
      <c r="I6" s="3">
        <f t="shared" ref="I6:L6" si="5">SUM(C12+C15+C18+C28+C41+C59+C78+C64+C82+C83+C86+C106+C119+C143+C148+C154)</f>
        <v>13</v>
      </c>
      <c r="J6" s="3">
        <f t="shared" si="5"/>
        <v>3</v>
      </c>
      <c r="K6" s="3">
        <f t="shared" si="5"/>
        <v>0</v>
      </c>
      <c r="L6" s="3">
        <f t="shared" si="5"/>
        <v>0</v>
      </c>
      <c r="M6" s="3">
        <f t="shared" si="1"/>
        <v>16</v>
      </c>
    </row>
    <row r="7" spans="1:13" ht="12.75" customHeight="1" x14ac:dyDescent="0.3">
      <c r="A7" s="1" t="s">
        <v>26</v>
      </c>
      <c r="B7" s="1" t="s">
        <v>27</v>
      </c>
      <c r="C7" s="1">
        <v>1</v>
      </c>
      <c r="H7" s="2" t="s">
        <v>28</v>
      </c>
      <c r="I7" s="3">
        <f t="shared" ref="I7:L7" si="6">SUM(C3+C20+C46+C49+C54+C89+C90+C102+C112+C114+C129+C141)</f>
        <v>10</v>
      </c>
      <c r="J7" s="3">
        <f t="shared" si="6"/>
        <v>2</v>
      </c>
      <c r="K7" s="3">
        <f t="shared" si="6"/>
        <v>0</v>
      </c>
      <c r="L7" s="3">
        <f t="shared" si="6"/>
        <v>0</v>
      </c>
      <c r="M7" s="3">
        <f t="shared" si="1"/>
        <v>12</v>
      </c>
    </row>
    <row r="8" spans="1:13" ht="12.75" customHeight="1" x14ac:dyDescent="0.3">
      <c r="A8" s="1" t="s">
        <v>29</v>
      </c>
      <c r="B8" s="1" t="s">
        <v>30</v>
      </c>
      <c r="D8" s="1">
        <v>1</v>
      </c>
      <c r="H8" s="2" t="s">
        <v>27</v>
      </c>
      <c r="I8" s="3">
        <f t="shared" ref="I8:L8" si="7">SUM(C7+C30+C29+C44+C51+C60+C72+C79+C101+C99+C107+C111+C117+C140+C144)</f>
        <v>5</v>
      </c>
      <c r="J8" s="3">
        <f t="shared" si="7"/>
        <v>9</v>
      </c>
      <c r="K8" s="3">
        <f t="shared" si="7"/>
        <v>1</v>
      </c>
      <c r="L8" s="3">
        <f t="shared" si="7"/>
        <v>0</v>
      </c>
      <c r="M8" s="3">
        <f t="shared" si="1"/>
        <v>15</v>
      </c>
    </row>
    <row r="9" spans="1:13" ht="12.75" customHeight="1" x14ac:dyDescent="0.3">
      <c r="A9" s="1" t="s">
        <v>31</v>
      </c>
      <c r="B9" s="1" t="s">
        <v>13</v>
      </c>
      <c r="D9" s="1">
        <v>1</v>
      </c>
      <c r="H9" s="2" t="s">
        <v>13</v>
      </c>
      <c r="I9" s="3">
        <f t="shared" ref="I9:J9" si="8">SUM(C4+C9+C17+C19+C2+C48+C92+C120+C126+C127+C130+C133+C151)</f>
        <v>1</v>
      </c>
      <c r="J9" s="3">
        <f t="shared" si="8"/>
        <v>10</v>
      </c>
      <c r="K9" s="3">
        <f>SUM(D4+D9+D17+D19+D2+D48+D92+D120+D126+D127+D130+D133+D151)</f>
        <v>10</v>
      </c>
      <c r="L9" s="3">
        <f>SUM(F4+F9+F17+F19+F2+F48+F92+F120+F126+F127+F130+F133+F151)</f>
        <v>0</v>
      </c>
      <c r="M9" s="3">
        <f t="shared" si="1"/>
        <v>21</v>
      </c>
    </row>
    <row r="10" spans="1:13" ht="12.75" customHeight="1" x14ac:dyDescent="0.3">
      <c r="A10" s="1" t="s">
        <v>32</v>
      </c>
      <c r="B10" s="1" t="s">
        <v>33</v>
      </c>
      <c r="C10" s="1">
        <v>1</v>
      </c>
      <c r="H10" s="2" t="s">
        <v>30</v>
      </c>
      <c r="I10" s="3">
        <f t="shared" ref="I10:L10" si="9">SUM(C8+C13+C16+C25+C31+C35+C43+C45+C70+C71+C75+C81+C88+C93+C98+C100+C104+C118+C136+C137+C156)</f>
        <v>0</v>
      </c>
      <c r="J10" s="3">
        <f t="shared" si="9"/>
        <v>20</v>
      </c>
      <c r="K10" s="3">
        <f t="shared" si="9"/>
        <v>1</v>
      </c>
      <c r="L10" s="3">
        <f t="shared" si="9"/>
        <v>0</v>
      </c>
      <c r="M10" s="3">
        <f t="shared" si="1"/>
        <v>21</v>
      </c>
    </row>
    <row r="11" spans="1:13" ht="12.75" customHeight="1" x14ac:dyDescent="0.3">
      <c r="A11" s="1" t="s">
        <v>34</v>
      </c>
      <c r="B11" s="1" t="s">
        <v>33</v>
      </c>
      <c r="C11" s="1">
        <v>1</v>
      </c>
      <c r="H11" s="2" t="s">
        <v>35</v>
      </c>
      <c r="I11" s="3">
        <f t="shared" ref="I11:L11" si="10">SUM(C38+C42+C47+C53+C74+C77+C80+C91+C97+C103+C108+C116+C131+C145+C147)</f>
        <v>0</v>
      </c>
      <c r="J11" s="3">
        <f t="shared" si="10"/>
        <v>14</v>
      </c>
      <c r="K11" s="3">
        <f t="shared" si="10"/>
        <v>1</v>
      </c>
      <c r="L11" s="3">
        <f t="shared" si="10"/>
        <v>0</v>
      </c>
      <c r="M11" s="3">
        <f t="shared" si="1"/>
        <v>15</v>
      </c>
    </row>
    <row r="12" spans="1:13" ht="12.75" customHeight="1" x14ac:dyDescent="0.3">
      <c r="A12" s="1" t="s">
        <v>36</v>
      </c>
      <c r="B12" s="1" t="s">
        <v>37</v>
      </c>
      <c r="C12" s="1">
        <v>1</v>
      </c>
      <c r="H12" s="2" t="s">
        <v>38</v>
      </c>
      <c r="I12" s="3">
        <f t="shared" ref="I12:L12" si="11">SUM(C21+C24+C34+C40+C67+C84+C132)</f>
        <v>0</v>
      </c>
      <c r="J12" s="3">
        <f t="shared" si="11"/>
        <v>6</v>
      </c>
      <c r="K12" s="3">
        <f t="shared" si="11"/>
        <v>1</v>
      </c>
      <c r="L12" s="3">
        <f t="shared" si="11"/>
        <v>0</v>
      </c>
      <c r="M12" s="3">
        <f t="shared" si="1"/>
        <v>7</v>
      </c>
    </row>
    <row r="13" spans="1:13" ht="12.75" customHeight="1" x14ac:dyDescent="0.3">
      <c r="A13" s="1" t="s">
        <v>39</v>
      </c>
      <c r="B13" s="1" t="s">
        <v>30</v>
      </c>
      <c r="D13" s="1">
        <v>1</v>
      </c>
      <c r="H13" s="2" t="s">
        <v>33</v>
      </c>
      <c r="I13" s="3">
        <f t="shared" ref="I13:L13" si="12">SUM(C10+C11+C57+C125+C149)</f>
        <v>4</v>
      </c>
      <c r="J13" s="3">
        <f t="shared" si="12"/>
        <v>1</v>
      </c>
      <c r="K13" s="3">
        <f t="shared" si="12"/>
        <v>0</v>
      </c>
      <c r="L13" s="3">
        <f t="shared" si="12"/>
        <v>0</v>
      </c>
      <c r="M13" s="3">
        <f t="shared" si="1"/>
        <v>5</v>
      </c>
    </row>
    <row r="14" spans="1:13" ht="12.75" customHeight="1" x14ac:dyDescent="0.3">
      <c r="A14" s="1" t="s">
        <v>40</v>
      </c>
      <c r="B14" s="1" t="s">
        <v>19</v>
      </c>
      <c r="C14" s="1">
        <v>1</v>
      </c>
      <c r="I14" s="4"/>
      <c r="J14" s="4"/>
      <c r="K14" s="4"/>
      <c r="L14" s="4"/>
    </row>
    <row r="15" spans="1:13" ht="12.75" customHeight="1" x14ac:dyDescent="0.3">
      <c r="A15" s="1" t="s">
        <v>41</v>
      </c>
      <c r="B15" s="1" t="s">
        <v>42</v>
      </c>
      <c r="C15" s="1">
        <v>1</v>
      </c>
      <c r="I15" s="4"/>
      <c r="J15" s="4"/>
      <c r="K15" s="4"/>
      <c r="L15" s="4"/>
    </row>
    <row r="16" spans="1:13" ht="12.75" customHeight="1" x14ac:dyDescent="0.3">
      <c r="A16" s="1" t="s">
        <v>43</v>
      </c>
      <c r="B16" s="1" t="s">
        <v>30</v>
      </c>
      <c r="D16" s="1">
        <v>1</v>
      </c>
      <c r="I16" s="4"/>
      <c r="J16" s="4"/>
      <c r="K16" s="4"/>
      <c r="L16" s="4"/>
    </row>
    <row r="17" spans="1:12" ht="12.75" customHeight="1" x14ac:dyDescent="0.3">
      <c r="A17" s="1" t="s">
        <v>44</v>
      </c>
      <c r="B17" s="1" t="s">
        <v>13</v>
      </c>
      <c r="D17" s="1">
        <v>1</v>
      </c>
      <c r="I17" s="4"/>
      <c r="J17" s="4"/>
      <c r="K17" s="4"/>
      <c r="L17" s="4"/>
    </row>
    <row r="18" spans="1:12" ht="12.75" customHeight="1" x14ac:dyDescent="0.3">
      <c r="A18" s="1" t="s">
        <v>45</v>
      </c>
      <c r="B18" s="1" t="s">
        <v>37</v>
      </c>
      <c r="C18" s="1">
        <v>1</v>
      </c>
      <c r="I18" s="4"/>
      <c r="J18" s="4"/>
      <c r="K18" s="4"/>
      <c r="L18" s="4"/>
    </row>
    <row r="19" spans="1:12" ht="12.75" customHeight="1" x14ac:dyDescent="0.3">
      <c r="A19" s="1" t="s">
        <v>46</v>
      </c>
      <c r="B19" s="1" t="s">
        <v>13</v>
      </c>
      <c r="D19" s="1">
        <v>1</v>
      </c>
    </row>
    <row r="20" spans="1:12" ht="12.75" customHeight="1" x14ac:dyDescent="0.3">
      <c r="A20" s="1" t="s">
        <v>47</v>
      </c>
      <c r="B20" s="1" t="s">
        <v>16</v>
      </c>
      <c r="C20" s="1">
        <v>1</v>
      </c>
    </row>
    <row r="21" spans="1:12" ht="12.75" customHeight="1" x14ac:dyDescent="0.3">
      <c r="A21" s="1" t="s">
        <v>48</v>
      </c>
      <c r="B21" s="1" t="s">
        <v>38</v>
      </c>
      <c r="D21" s="1">
        <v>1</v>
      </c>
    </row>
    <row r="22" spans="1:12" ht="12.75" customHeight="1" x14ac:dyDescent="0.3">
      <c r="A22" s="1" t="s">
        <v>49</v>
      </c>
      <c r="B22" s="1" t="s">
        <v>14</v>
      </c>
      <c r="C22" s="1">
        <v>1</v>
      </c>
    </row>
    <row r="23" spans="1:12" ht="12.75" customHeight="1" x14ac:dyDescent="0.3">
      <c r="A23" s="1" t="s">
        <v>50</v>
      </c>
      <c r="B23" s="1" t="s">
        <v>13</v>
      </c>
      <c r="F23" s="1">
        <v>1</v>
      </c>
    </row>
    <row r="24" spans="1:12" ht="12.75" customHeight="1" x14ac:dyDescent="0.3">
      <c r="A24" s="1" t="s">
        <v>51</v>
      </c>
      <c r="B24" s="1" t="s">
        <v>38</v>
      </c>
      <c r="E24" s="1">
        <v>1</v>
      </c>
    </row>
    <row r="25" spans="1:12" ht="12.75" customHeight="1" x14ac:dyDescent="0.3">
      <c r="A25" s="1" t="s">
        <v>52</v>
      </c>
      <c r="B25" s="1" t="s">
        <v>30</v>
      </c>
      <c r="D25" s="1">
        <v>1</v>
      </c>
    </row>
    <row r="26" spans="1:12" ht="12.75" customHeight="1" x14ac:dyDescent="0.3">
      <c r="A26" s="1" t="s">
        <v>53</v>
      </c>
      <c r="B26" s="1" t="s">
        <v>19</v>
      </c>
      <c r="C26" s="1">
        <v>1</v>
      </c>
    </row>
    <row r="27" spans="1:12" ht="12.75" customHeight="1" x14ac:dyDescent="0.3">
      <c r="A27" s="1" t="s">
        <v>54</v>
      </c>
      <c r="B27" s="1" t="s">
        <v>19</v>
      </c>
      <c r="C27" s="1">
        <v>1</v>
      </c>
    </row>
    <row r="28" spans="1:12" ht="12.75" customHeight="1" x14ac:dyDescent="0.3">
      <c r="A28" s="1" t="s">
        <v>55</v>
      </c>
      <c r="B28" s="1" t="s">
        <v>37</v>
      </c>
      <c r="D28" s="1">
        <v>1</v>
      </c>
    </row>
    <row r="29" spans="1:12" ht="12.75" customHeight="1" x14ac:dyDescent="0.3">
      <c r="A29" s="1" t="s">
        <v>56</v>
      </c>
      <c r="B29" s="1" t="s">
        <v>27</v>
      </c>
      <c r="D29" s="1">
        <v>1</v>
      </c>
    </row>
    <row r="30" spans="1:12" ht="12.75" customHeight="1" x14ac:dyDescent="0.3">
      <c r="A30" s="1" t="s">
        <v>57</v>
      </c>
      <c r="B30" s="1" t="s">
        <v>27</v>
      </c>
      <c r="C30" s="1">
        <v>1</v>
      </c>
    </row>
    <row r="31" spans="1:12" ht="12.75" customHeight="1" x14ac:dyDescent="0.3">
      <c r="A31" s="1" t="s">
        <v>58</v>
      </c>
      <c r="B31" s="1" t="s">
        <v>30</v>
      </c>
      <c r="D31" s="1">
        <v>1</v>
      </c>
    </row>
    <row r="32" spans="1:12" ht="12.75" customHeight="1" x14ac:dyDescent="0.3">
      <c r="A32" s="1" t="s">
        <v>59</v>
      </c>
      <c r="B32" s="1" t="s">
        <v>24</v>
      </c>
      <c r="C32" s="1">
        <v>1</v>
      </c>
    </row>
    <row r="33" spans="1:12" ht="12.75" customHeight="1" x14ac:dyDescent="0.3">
      <c r="A33" s="1" t="s">
        <v>60</v>
      </c>
      <c r="B33" s="1" t="s">
        <v>27</v>
      </c>
      <c r="D33" s="1">
        <v>1</v>
      </c>
    </row>
    <row r="34" spans="1:12" ht="12.75" customHeight="1" x14ac:dyDescent="0.3">
      <c r="A34" s="1" t="s">
        <v>61</v>
      </c>
      <c r="B34" s="1" t="s">
        <v>38</v>
      </c>
      <c r="D34" s="1">
        <v>1</v>
      </c>
    </row>
    <row r="35" spans="1:12" ht="12.75" customHeight="1" x14ac:dyDescent="0.3">
      <c r="A35" s="1" t="s">
        <v>62</v>
      </c>
      <c r="B35" s="1" t="s">
        <v>30</v>
      </c>
      <c r="D35" s="1">
        <v>1</v>
      </c>
    </row>
    <row r="36" spans="1:12" ht="12.75" customHeight="1" x14ac:dyDescent="0.3">
      <c r="A36" s="1" t="s">
        <v>63</v>
      </c>
      <c r="B36" s="1" t="s">
        <v>21</v>
      </c>
      <c r="C36" s="1">
        <v>1</v>
      </c>
    </row>
    <row r="37" spans="1:12" ht="12.75" customHeight="1" x14ac:dyDescent="0.3">
      <c r="A37" s="1" t="s">
        <v>64</v>
      </c>
      <c r="B37" s="1" t="s">
        <v>14</v>
      </c>
      <c r="C37" s="1">
        <v>1</v>
      </c>
    </row>
    <row r="38" spans="1:12" ht="12.75" customHeight="1" x14ac:dyDescent="0.3">
      <c r="A38" s="1" t="s">
        <v>65</v>
      </c>
      <c r="B38" s="1" t="s">
        <v>66</v>
      </c>
      <c r="D38" s="1">
        <v>1</v>
      </c>
    </row>
    <row r="39" spans="1:12" ht="12.75" customHeight="1" x14ac:dyDescent="0.3">
      <c r="A39" s="1" t="s">
        <v>67</v>
      </c>
      <c r="B39" s="1" t="s">
        <v>16</v>
      </c>
      <c r="C39" s="1">
        <v>1</v>
      </c>
    </row>
    <row r="40" spans="1:12" ht="12.75" customHeight="1" x14ac:dyDescent="0.3">
      <c r="A40" s="1" t="s">
        <v>68</v>
      </c>
      <c r="B40" s="1" t="s">
        <v>38</v>
      </c>
      <c r="D40" s="1">
        <v>1</v>
      </c>
    </row>
    <row r="41" spans="1:12" ht="12.75" customHeight="1" x14ac:dyDescent="0.3">
      <c r="A41" s="1" t="s">
        <v>69</v>
      </c>
      <c r="B41" s="1" t="s">
        <v>37</v>
      </c>
      <c r="C41" s="1">
        <v>1</v>
      </c>
    </row>
    <row r="42" spans="1:12" ht="12.75" customHeight="1" x14ac:dyDescent="0.3">
      <c r="A42" s="1" t="s">
        <v>70</v>
      </c>
      <c r="B42" s="1" t="s">
        <v>66</v>
      </c>
      <c r="D42" s="1">
        <v>1</v>
      </c>
    </row>
    <row r="43" spans="1:12" ht="12.75" customHeight="1" x14ac:dyDescent="0.3">
      <c r="A43" s="1" t="s">
        <v>71</v>
      </c>
      <c r="B43" s="1" t="s">
        <v>30</v>
      </c>
      <c r="D43" s="1">
        <v>1</v>
      </c>
    </row>
    <row r="44" spans="1:12" ht="12.75" customHeight="1" x14ac:dyDescent="0.3">
      <c r="A44" s="1" t="s">
        <v>72</v>
      </c>
      <c r="B44" s="1" t="s">
        <v>27</v>
      </c>
      <c r="D44" s="1">
        <v>1</v>
      </c>
    </row>
    <row r="45" spans="1:12" ht="12.75" customHeight="1" x14ac:dyDescent="0.3">
      <c r="A45" s="1" t="s">
        <v>73</v>
      </c>
      <c r="B45" s="1" t="s">
        <v>30</v>
      </c>
      <c r="D45" s="1">
        <v>1</v>
      </c>
      <c r="H45" s="1" t="s">
        <v>6</v>
      </c>
      <c r="I45" s="1" t="s">
        <v>7</v>
      </c>
      <c r="J45" s="1" t="s">
        <v>8</v>
      </c>
      <c r="K45" s="1" t="s">
        <v>9</v>
      </c>
      <c r="L45" s="1" t="s">
        <v>10</v>
      </c>
    </row>
    <row r="46" spans="1:12" ht="12.75" customHeight="1" x14ac:dyDescent="0.3">
      <c r="A46" s="1" t="s">
        <v>74</v>
      </c>
      <c r="B46" s="1" t="s">
        <v>16</v>
      </c>
      <c r="D46" s="1">
        <v>1</v>
      </c>
      <c r="H46" s="2" t="s">
        <v>14</v>
      </c>
      <c r="I46" s="4">
        <f t="shared" ref="I46:I57" si="13">I2/M2</f>
        <v>1</v>
      </c>
      <c r="J46" s="4">
        <f t="shared" ref="J46:J57" si="14">J2/M2</f>
        <v>0</v>
      </c>
      <c r="K46" s="4">
        <f t="shared" ref="K46:K57" si="15">K2/M2</f>
        <v>0</v>
      </c>
      <c r="L46" s="4">
        <f t="shared" ref="L46:L57" si="16">L2/M2</f>
        <v>0</v>
      </c>
    </row>
    <row r="47" spans="1:12" ht="12.75" customHeight="1" x14ac:dyDescent="0.3">
      <c r="A47" s="1" t="s">
        <v>75</v>
      </c>
      <c r="B47" s="1" t="s">
        <v>66</v>
      </c>
      <c r="D47" s="1">
        <v>1</v>
      </c>
      <c r="H47" s="2" t="s">
        <v>17</v>
      </c>
      <c r="I47" s="4">
        <f t="shared" si="13"/>
        <v>1</v>
      </c>
      <c r="J47" s="4">
        <f t="shared" si="14"/>
        <v>0</v>
      </c>
      <c r="K47" s="4">
        <f t="shared" si="15"/>
        <v>0</v>
      </c>
      <c r="L47" s="4">
        <f t="shared" si="16"/>
        <v>0</v>
      </c>
    </row>
    <row r="48" spans="1:12" ht="12.75" customHeight="1" x14ac:dyDescent="0.3">
      <c r="A48" s="1" t="s">
        <v>76</v>
      </c>
      <c r="B48" s="1" t="s">
        <v>13</v>
      </c>
      <c r="D48" s="1">
        <v>1</v>
      </c>
      <c r="H48" s="2" t="s">
        <v>19</v>
      </c>
      <c r="I48" s="4">
        <f t="shared" si="13"/>
        <v>1</v>
      </c>
      <c r="J48" s="4">
        <f t="shared" si="14"/>
        <v>0</v>
      </c>
      <c r="K48" s="4">
        <f t="shared" si="15"/>
        <v>0</v>
      </c>
      <c r="L48" s="4">
        <f t="shared" si="16"/>
        <v>0</v>
      </c>
    </row>
    <row r="49" spans="1:12" ht="12.75" customHeight="1" x14ac:dyDescent="0.3">
      <c r="A49" s="1" t="s">
        <v>77</v>
      </c>
      <c r="B49" s="1" t="s">
        <v>16</v>
      </c>
      <c r="C49" s="1">
        <v>1</v>
      </c>
      <c r="H49" s="2" t="s">
        <v>22</v>
      </c>
      <c r="I49" s="4">
        <f t="shared" si="13"/>
        <v>0.88888888888888884</v>
      </c>
      <c r="J49" s="4">
        <f t="shared" si="14"/>
        <v>0</v>
      </c>
      <c r="K49" s="4">
        <f t="shared" si="15"/>
        <v>0</v>
      </c>
      <c r="L49" s="4">
        <f t="shared" si="16"/>
        <v>0.1111111111111111</v>
      </c>
    </row>
    <row r="50" spans="1:12" ht="12.75" customHeight="1" x14ac:dyDescent="0.3">
      <c r="A50" s="1" t="s">
        <v>78</v>
      </c>
      <c r="B50" s="1" t="s">
        <v>24</v>
      </c>
      <c r="C50" s="1">
        <v>1</v>
      </c>
      <c r="H50" s="2" t="s">
        <v>25</v>
      </c>
      <c r="I50" s="4">
        <f t="shared" si="13"/>
        <v>0.8125</v>
      </c>
      <c r="J50" s="4">
        <f t="shared" si="14"/>
        <v>0.1875</v>
      </c>
      <c r="K50" s="4">
        <f t="shared" si="15"/>
        <v>0</v>
      </c>
      <c r="L50" s="4">
        <f t="shared" si="16"/>
        <v>0</v>
      </c>
    </row>
    <row r="51" spans="1:12" ht="12.75" customHeight="1" x14ac:dyDescent="0.3">
      <c r="A51" s="1" t="s">
        <v>79</v>
      </c>
      <c r="B51" s="1" t="s">
        <v>27</v>
      </c>
      <c r="D51" s="1">
        <v>1</v>
      </c>
      <c r="H51" s="2" t="s">
        <v>28</v>
      </c>
      <c r="I51" s="4">
        <f t="shared" si="13"/>
        <v>0.83333333333333337</v>
      </c>
      <c r="J51" s="4">
        <f t="shared" si="14"/>
        <v>0.16666666666666666</v>
      </c>
      <c r="K51" s="4">
        <f t="shared" si="15"/>
        <v>0</v>
      </c>
      <c r="L51" s="4">
        <f t="shared" si="16"/>
        <v>0</v>
      </c>
    </row>
    <row r="52" spans="1:12" ht="12.75" customHeight="1" x14ac:dyDescent="0.3">
      <c r="A52" s="1" t="s">
        <v>80</v>
      </c>
      <c r="B52" s="1" t="s">
        <v>24</v>
      </c>
      <c r="C52" s="1">
        <v>1</v>
      </c>
      <c r="H52" s="2" t="s">
        <v>27</v>
      </c>
      <c r="I52" s="4">
        <f t="shared" si="13"/>
        <v>0.33333333333333331</v>
      </c>
      <c r="J52" s="4">
        <f t="shared" si="14"/>
        <v>0.6</v>
      </c>
      <c r="K52" s="4">
        <f t="shared" si="15"/>
        <v>6.6666666666666666E-2</v>
      </c>
      <c r="L52" s="4">
        <f t="shared" si="16"/>
        <v>0</v>
      </c>
    </row>
    <row r="53" spans="1:12" ht="12.75" customHeight="1" x14ac:dyDescent="0.3">
      <c r="A53" s="1" t="s">
        <v>81</v>
      </c>
      <c r="B53" s="1" t="s">
        <v>66</v>
      </c>
      <c r="D53" s="1">
        <v>1</v>
      </c>
      <c r="H53" s="2" t="s">
        <v>13</v>
      </c>
      <c r="I53" s="4">
        <f t="shared" si="13"/>
        <v>4.7619047619047616E-2</v>
      </c>
      <c r="J53" s="4">
        <f t="shared" si="14"/>
        <v>0.47619047619047616</v>
      </c>
      <c r="K53" s="4">
        <f t="shared" si="15"/>
        <v>0.47619047619047616</v>
      </c>
      <c r="L53" s="4">
        <f t="shared" si="16"/>
        <v>0</v>
      </c>
    </row>
    <row r="54" spans="1:12" ht="12.75" customHeight="1" x14ac:dyDescent="0.3">
      <c r="A54" s="1" t="s">
        <v>82</v>
      </c>
      <c r="B54" s="1" t="s">
        <v>16</v>
      </c>
      <c r="C54" s="1">
        <v>1</v>
      </c>
      <c r="H54" s="2" t="s">
        <v>30</v>
      </c>
      <c r="I54" s="4">
        <f t="shared" si="13"/>
        <v>0</v>
      </c>
      <c r="J54" s="4">
        <f t="shared" si="14"/>
        <v>0.95238095238095233</v>
      </c>
      <c r="K54" s="4">
        <f t="shared" si="15"/>
        <v>4.7619047619047616E-2</v>
      </c>
      <c r="L54" s="4">
        <f t="shared" si="16"/>
        <v>0</v>
      </c>
    </row>
    <row r="55" spans="1:12" ht="12.75" customHeight="1" x14ac:dyDescent="0.3">
      <c r="A55" s="1" t="s">
        <v>83</v>
      </c>
      <c r="B55" s="1" t="s">
        <v>14</v>
      </c>
      <c r="C55" s="1">
        <v>1</v>
      </c>
      <c r="H55" s="2" t="s">
        <v>35</v>
      </c>
      <c r="I55" s="4">
        <f t="shared" si="13"/>
        <v>0</v>
      </c>
      <c r="J55" s="4">
        <f t="shared" si="14"/>
        <v>0.93333333333333335</v>
      </c>
      <c r="K55" s="4">
        <f t="shared" si="15"/>
        <v>6.6666666666666666E-2</v>
      </c>
      <c r="L55" s="4">
        <f t="shared" si="16"/>
        <v>0</v>
      </c>
    </row>
    <row r="56" spans="1:12" ht="12.75" customHeight="1" x14ac:dyDescent="0.3">
      <c r="A56" s="1" t="s">
        <v>84</v>
      </c>
      <c r="B56" s="1" t="s">
        <v>21</v>
      </c>
      <c r="C56" s="1">
        <v>1</v>
      </c>
      <c r="H56" s="2" t="s">
        <v>38</v>
      </c>
      <c r="I56" s="4">
        <f t="shared" si="13"/>
        <v>0</v>
      </c>
      <c r="J56" s="4">
        <f t="shared" si="14"/>
        <v>0.8571428571428571</v>
      </c>
      <c r="K56" s="4">
        <f t="shared" si="15"/>
        <v>0.14285714285714285</v>
      </c>
      <c r="L56" s="4">
        <f t="shared" si="16"/>
        <v>0</v>
      </c>
    </row>
    <row r="57" spans="1:12" ht="12.75" customHeight="1" x14ac:dyDescent="0.3">
      <c r="A57" s="1" t="s">
        <v>85</v>
      </c>
      <c r="B57" s="1" t="s">
        <v>33</v>
      </c>
      <c r="D57" s="1">
        <v>1</v>
      </c>
      <c r="H57" s="2" t="s">
        <v>33</v>
      </c>
      <c r="I57" s="4">
        <f t="shared" si="13"/>
        <v>0.8</v>
      </c>
      <c r="J57" s="4">
        <f t="shared" si="14"/>
        <v>0.2</v>
      </c>
      <c r="K57" s="4">
        <f t="shared" si="15"/>
        <v>0</v>
      </c>
      <c r="L57" s="4">
        <f t="shared" si="16"/>
        <v>0</v>
      </c>
    </row>
    <row r="58" spans="1:12" ht="12.75" customHeight="1" x14ac:dyDescent="0.3">
      <c r="A58" s="1" t="s">
        <v>86</v>
      </c>
      <c r="B58" s="1" t="s">
        <v>24</v>
      </c>
      <c r="C58" s="1">
        <v>1</v>
      </c>
    </row>
    <row r="59" spans="1:12" ht="12.75" customHeight="1" x14ac:dyDescent="0.3">
      <c r="A59" s="1" t="s">
        <v>87</v>
      </c>
      <c r="B59" s="1" t="s">
        <v>37</v>
      </c>
      <c r="C59" s="1">
        <v>1</v>
      </c>
    </row>
    <row r="60" spans="1:12" ht="12.75" customHeight="1" x14ac:dyDescent="0.3">
      <c r="A60" s="1" t="s">
        <v>88</v>
      </c>
      <c r="B60" s="1" t="s">
        <v>27</v>
      </c>
      <c r="C60" s="1">
        <v>1</v>
      </c>
    </row>
    <row r="61" spans="1:12" ht="12.75" customHeight="1" x14ac:dyDescent="0.3">
      <c r="A61" s="1" t="s">
        <v>89</v>
      </c>
      <c r="B61" s="1" t="s">
        <v>13</v>
      </c>
      <c r="E61" s="1">
        <v>1</v>
      </c>
    </row>
    <row r="62" spans="1:12" ht="12.75" customHeight="1" x14ac:dyDescent="0.3">
      <c r="A62" s="1" t="s">
        <v>90</v>
      </c>
      <c r="B62" s="1" t="s">
        <v>19</v>
      </c>
      <c r="C62" s="1">
        <v>1</v>
      </c>
    </row>
    <row r="63" spans="1:12" ht="12.75" customHeight="1" x14ac:dyDescent="0.3">
      <c r="A63" s="1" t="s">
        <v>91</v>
      </c>
      <c r="B63" s="1" t="s">
        <v>21</v>
      </c>
      <c r="F63" s="1">
        <v>1</v>
      </c>
    </row>
    <row r="64" spans="1:12" ht="12.75" customHeight="1" x14ac:dyDescent="0.3">
      <c r="A64" s="1" t="s">
        <v>92</v>
      </c>
      <c r="B64" s="1" t="s">
        <v>42</v>
      </c>
      <c r="C64" s="1">
        <v>1</v>
      </c>
    </row>
    <row r="65" spans="1:4" ht="12.75" customHeight="1" x14ac:dyDescent="0.3">
      <c r="A65" s="1" t="s">
        <v>93</v>
      </c>
      <c r="B65" s="1" t="s">
        <v>14</v>
      </c>
      <c r="C65" s="1">
        <v>1</v>
      </c>
    </row>
    <row r="66" spans="1:4" ht="12.75" customHeight="1" x14ac:dyDescent="0.3">
      <c r="A66" s="1" t="s">
        <v>94</v>
      </c>
      <c r="B66" s="1" t="s">
        <v>14</v>
      </c>
      <c r="C66" s="1">
        <v>1</v>
      </c>
    </row>
    <row r="67" spans="1:4" ht="12.75" customHeight="1" x14ac:dyDescent="0.3">
      <c r="A67" s="1" t="s">
        <v>95</v>
      </c>
      <c r="B67" s="1" t="s">
        <v>38</v>
      </c>
      <c r="D67" s="1">
        <v>1</v>
      </c>
    </row>
    <row r="68" spans="1:4" ht="12.75" customHeight="1" x14ac:dyDescent="0.3">
      <c r="A68" s="1" t="s">
        <v>96</v>
      </c>
      <c r="B68" s="1" t="s">
        <v>19</v>
      </c>
      <c r="C68" s="1">
        <v>1</v>
      </c>
    </row>
    <row r="69" spans="1:4" ht="12.75" customHeight="1" x14ac:dyDescent="0.3">
      <c r="A69" s="1" t="s">
        <v>97</v>
      </c>
      <c r="B69" s="1" t="s">
        <v>24</v>
      </c>
      <c r="C69" s="1">
        <v>1</v>
      </c>
    </row>
    <row r="70" spans="1:4" ht="12.75" customHeight="1" x14ac:dyDescent="0.3">
      <c r="A70" s="1" t="s">
        <v>98</v>
      </c>
      <c r="B70" s="1" t="s">
        <v>30</v>
      </c>
      <c r="D70" s="1">
        <v>1</v>
      </c>
    </row>
    <row r="71" spans="1:4" ht="12.75" customHeight="1" x14ac:dyDescent="0.3">
      <c r="A71" s="1" t="s">
        <v>99</v>
      </c>
      <c r="B71" s="1" t="s">
        <v>30</v>
      </c>
      <c r="D71" s="1">
        <v>1</v>
      </c>
    </row>
    <row r="72" spans="1:4" ht="12.75" customHeight="1" x14ac:dyDescent="0.3">
      <c r="A72" s="1" t="s">
        <v>100</v>
      </c>
      <c r="B72" s="1" t="s">
        <v>27</v>
      </c>
      <c r="D72" s="1">
        <v>1</v>
      </c>
    </row>
    <row r="73" spans="1:4" ht="12.75" customHeight="1" x14ac:dyDescent="0.3">
      <c r="A73" s="1" t="s">
        <v>101</v>
      </c>
      <c r="B73" s="1" t="s">
        <v>21</v>
      </c>
      <c r="C73" s="1">
        <v>1</v>
      </c>
    </row>
    <row r="74" spans="1:4" ht="12.75" customHeight="1" x14ac:dyDescent="0.3">
      <c r="A74" s="1" t="s">
        <v>102</v>
      </c>
      <c r="B74" s="1" t="s">
        <v>66</v>
      </c>
      <c r="D74" s="1">
        <v>1</v>
      </c>
    </row>
    <row r="75" spans="1:4" ht="12.75" customHeight="1" x14ac:dyDescent="0.3">
      <c r="A75" s="1" t="s">
        <v>103</v>
      </c>
      <c r="B75" s="1" t="s">
        <v>30</v>
      </c>
      <c r="D75" s="1">
        <v>1</v>
      </c>
    </row>
    <row r="76" spans="1:4" ht="12.75" customHeight="1" x14ac:dyDescent="0.3">
      <c r="A76" s="1" t="s">
        <v>104</v>
      </c>
      <c r="B76" s="1" t="s">
        <v>24</v>
      </c>
      <c r="C76" s="1">
        <v>1</v>
      </c>
    </row>
    <row r="77" spans="1:4" ht="12.75" customHeight="1" x14ac:dyDescent="0.3">
      <c r="A77" s="1" t="s">
        <v>105</v>
      </c>
      <c r="B77" s="1" t="s">
        <v>66</v>
      </c>
      <c r="D77" s="1">
        <v>1</v>
      </c>
    </row>
    <row r="78" spans="1:4" ht="12.75" customHeight="1" x14ac:dyDescent="0.3">
      <c r="A78" s="1" t="s">
        <v>106</v>
      </c>
      <c r="B78" s="1" t="s">
        <v>42</v>
      </c>
      <c r="C78" s="1">
        <v>1</v>
      </c>
    </row>
    <row r="79" spans="1:4" ht="12.75" customHeight="1" x14ac:dyDescent="0.3">
      <c r="A79" s="1" t="s">
        <v>107</v>
      </c>
      <c r="B79" s="1" t="s">
        <v>27</v>
      </c>
      <c r="D79" s="1">
        <v>1</v>
      </c>
    </row>
    <row r="80" spans="1:4" ht="12.75" customHeight="1" x14ac:dyDescent="0.3">
      <c r="A80" s="1" t="s">
        <v>108</v>
      </c>
      <c r="B80" s="1" t="s">
        <v>66</v>
      </c>
      <c r="D80" s="1">
        <v>1</v>
      </c>
    </row>
    <row r="81" spans="1:5" ht="12.75" customHeight="1" x14ac:dyDescent="0.3">
      <c r="A81" s="1" t="s">
        <v>109</v>
      </c>
      <c r="B81" s="1" t="s">
        <v>30</v>
      </c>
      <c r="D81" s="1">
        <v>1</v>
      </c>
    </row>
    <row r="82" spans="1:5" ht="12.75" customHeight="1" x14ac:dyDescent="0.3">
      <c r="A82" s="1" t="s">
        <v>110</v>
      </c>
      <c r="B82" s="1" t="s">
        <v>37</v>
      </c>
      <c r="C82" s="1">
        <v>1</v>
      </c>
    </row>
    <row r="83" spans="1:5" ht="12.75" customHeight="1" x14ac:dyDescent="0.3">
      <c r="A83" s="1" t="s">
        <v>111</v>
      </c>
      <c r="B83" s="1" t="s">
        <v>37</v>
      </c>
      <c r="C83" s="1">
        <v>1</v>
      </c>
    </row>
    <row r="84" spans="1:5" ht="12.75" customHeight="1" x14ac:dyDescent="0.3">
      <c r="A84" s="1" t="s">
        <v>112</v>
      </c>
      <c r="B84" s="1" t="s">
        <v>38</v>
      </c>
      <c r="D84" s="1">
        <v>1</v>
      </c>
    </row>
    <row r="85" spans="1:5" ht="12.75" customHeight="1" x14ac:dyDescent="0.3">
      <c r="A85" s="1" t="s">
        <v>113</v>
      </c>
      <c r="B85" s="1" t="s">
        <v>21</v>
      </c>
      <c r="C85" s="1">
        <v>1</v>
      </c>
    </row>
    <row r="86" spans="1:5" ht="12.75" customHeight="1" x14ac:dyDescent="0.3">
      <c r="A86" s="1" t="s">
        <v>114</v>
      </c>
      <c r="B86" s="1" t="s">
        <v>42</v>
      </c>
      <c r="D86" s="1">
        <v>1</v>
      </c>
    </row>
    <row r="87" spans="1:5" ht="12.75" customHeight="1" x14ac:dyDescent="0.3">
      <c r="A87" s="1" t="s">
        <v>115</v>
      </c>
      <c r="B87" s="1" t="s">
        <v>21</v>
      </c>
      <c r="C87" s="1">
        <v>1</v>
      </c>
    </row>
    <row r="88" spans="1:5" ht="12.75" customHeight="1" x14ac:dyDescent="0.3">
      <c r="A88" s="1" t="s">
        <v>116</v>
      </c>
      <c r="B88" s="1" t="s">
        <v>30</v>
      </c>
      <c r="D88" s="1">
        <v>1</v>
      </c>
    </row>
    <row r="89" spans="1:5" ht="12.75" customHeight="1" x14ac:dyDescent="0.3">
      <c r="A89" s="1" t="s">
        <v>117</v>
      </c>
      <c r="B89" s="1" t="s">
        <v>16</v>
      </c>
      <c r="C89" s="1">
        <v>1</v>
      </c>
    </row>
    <row r="90" spans="1:5" ht="12.75" customHeight="1" x14ac:dyDescent="0.3">
      <c r="A90" s="1" t="s">
        <v>118</v>
      </c>
      <c r="B90" s="1" t="s">
        <v>16</v>
      </c>
      <c r="C90" s="1">
        <v>1</v>
      </c>
    </row>
    <row r="91" spans="1:5" ht="12.75" customHeight="1" x14ac:dyDescent="0.3">
      <c r="A91" s="1" t="s">
        <v>119</v>
      </c>
      <c r="B91" s="1" t="s">
        <v>66</v>
      </c>
      <c r="D91" s="1">
        <v>1</v>
      </c>
    </row>
    <row r="92" spans="1:5" ht="12.75" customHeight="1" x14ac:dyDescent="0.3">
      <c r="A92" s="1" t="s">
        <v>120</v>
      </c>
      <c r="B92" s="1" t="s">
        <v>13</v>
      </c>
      <c r="E92" s="1">
        <v>1</v>
      </c>
    </row>
    <row r="93" spans="1:5" ht="12.75" customHeight="1" x14ac:dyDescent="0.3">
      <c r="A93" s="1" t="s">
        <v>121</v>
      </c>
      <c r="B93" s="1" t="s">
        <v>30</v>
      </c>
      <c r="D93" s="1">
        <v>1</v>
      </c>
    </row>
    <row r="94" spans="1:5" ht="12.75" customHeight="1" x14ac:dyDescent="0.3">
      <c r="A94" s="1" t="s">
        <v>122</v>
      </c>
      <c r="B94" s="1" t="s">
        <v>24</v>
      </c>
      <c r="C94" s="1">
        <v>1</v>
      </c>
    </row>
    <row r="95" spans="1:5" ht="12.75" customHeight="1" x14ac:dyDescent="0.3">
      <c r="A95" s="1" t="s">
        <v>123</v>
      </c>
      <c r="B95" s="1" t="s">
        <v>21</v>
      </c>
      <c r="C95" s="1">
        <v>1</v>
      </c>
    </row>
    <row r="96" spans="1:5" ht="12.75" customHeight="1" x14ac:dyDescent="0.3">
      <c r="A96" s="1" t="s">
        <v>124</v>
      </c>
      <c r="B96" s="1" t="s">
        <v>14</v>
      </c>
      <c r="C96" s="1">
        <v>1</v>
      </c>
    </row>
    <row r="97" spans="1:5" ht="12.75" customHeight="1" x14ac:dyDescent="0.3">
      <c r="A97" s="1" t="s">
        <v>125</v>
      </c>
      <c r="B97" s="1" t="s">
        <v>66</v>
      </c>
      <c r="D97" s="1">
        <v>1</v>
      </c>
    </row>
    <row r="98" spans="1:5" ht="12.75" customHeight="1" x14ac:dyDescent="0.3">
      <c r="A98" s="1" t="s">
        <v>126</v>
      </c>
      <c r="B98" s="1" t="s">
        <v>30</v>
      </c>
      <c r="D98" s="1">
        <v>1</v>
      </c>
    </row>
    <row r="99" spans="1:5" ht="12.75" customHeight="1" x14ac:dyDescent="0.3">
      <c r="A99" s="1" t="s">
        <v>127</v>
      </c>
      <c r="B99" s="1" t="s">
        <v>27</v>
      </c>
      <c r="D99" s="1">
        <v>1</v>
      </c>
    </row>
    <row r="100" spans="1:5" ht="12.75" customHeight="1" x14ac:dyDescent="0.3">
      <c r="A100" s="1" t="s">
        <v>128</v>
      </c>
      <c r="B100" s="1" t="s">
        <v>30</v>
      </c>
      <c r="D100" s="1">
        <v>1</v>
      </c>
    </row>
    <row r="101" spans="1:5" ht="12.75" customHeight="1" x14ac:dyDescent="0.3">
      <c r="A101" s="1" t="s">
        <v>129</v>
      </c>
      <c r="B101" s="1" t="s">
        <v>27</v>
      </c>
      <c r="D101" s="1">
        <v>1</v>
      </c>
    </row>
    <row r="102" spans="1:5" ht="12.75" customHeight="1" x14ac:dyDescent="0.3">
      <c r="A102" s="1" t="s">
        <v>130</v>
      </c>
      <c r="B102" s="1" t="s">
        <v>16</v>
      </c>
      <c r="C102" s="1">
        <v>1</v>
      </c>
    </row>
    <row r="103" spans="1:5" ht="12.75" customHeight="1" x14ac:dyDescent="0.3">
      <c r="A103" s="1" t="s">
        <v>131</v>
      </c>
      <c r="B103" s="1" t="s">
        <v>66</v>
      </c>
      <c r="D103" s="1">
        <v>1</v>
      </c>
    </row>
    <row r="104" spans="1:5" ht="12.75" customHeight="1" x14ac:dyDescent="0.3">
      <c r="A104" s="1" t="s">
        <v>132</v>
      </c>
      <c r="B104" s="1" t="s">
        <v>30</v>
      </c>
      <c r="D104" s="1">
        <v>1</v>
      </c>
    </row>
    <row r="105" spans="1:5" ht="12.75" customHeight="1" x14ac:dyDescent="0.3">
      <c r="A105" s="1" t="s">
        <v>133</v>
      </c>
      <c r="B105" s="1" t="s">
        <v>14</v>
      </c>
      <c r="C105" s="1">
        <v>1</v>
      </c>
    </row>
    <row r="106" spans="1:5" ht="12.75" customHeight="1" x14ac:dyDescent="0.3">
      <c r="A106" s="1" t="s">
        <v>134</v>
      </c>
      <c r="B106" s="1" t="s">
        <v>42</v>
      </c>
      <c r="C106" s="1">
        <v>1</v>
      </c>
    </row>
    <row r="107" spans="1:5" ht="12.75" customHeight="1" x14ac:dyDescent="0.3">
      <c r="A107" s="1" t="s">
        <v>135</v>
      </c>
      <c r="B107" s="1" t="s">
        <v>27</v>
      </c>
      <c r="D107" s="1">
        <v>1</v>
      </c>
    </row>
    <row r="108" spans="1:5" ht="12.75" customHeight="1" x14ac:dyDescent="0.3">
      <c r="A108" s="1" t="s">
        <v>136</v>
      </c>
      <c r="B108" s="1" t="s">
        <v>66</v>
      </c>
      <c r="D108" s="1">
        <v>1</v>
      </c>
    </row>
    <row r="109" spans="1:5" ht="12.75" customHeight="1" x14ac:dyDescent="0.3">
      <c r="A109" s="1" t="s">
        <v>137</v>
      </c>
      <c r="B109" s="1" t="s">
        <v>13</v>
      </c>
      <c r="D109" s="1">
        <v>1</v>
      </c>
    </row>
    <row r="110" spans="1:5" ht="12.75" customHeight="1" x14ac:dyDescent="0.3">
      <c r="A110" s="1" t="s">
        <v>138</v>
      </c>
      <c r="B110" s="1" t="s">
        <v>42</v>
      </c>
      <c r="D110" s="1">
        <v>1</v>
      </c>
    </row>
    <row r="111" spans="1:5" ht="12.75" customHeight="1" x14ac:dyDescent="0.3">
      <c r="A111" s="1" t="s">
        <v>139</v>
      </c>
      <c r="B111" s="1" t="s">
        <v>27</v>
      </c>
      <c r="E111" s="1">
        <v>1</v>
      </c>
    </row>
    <row r="112" spans="1:5" ht="12.75" customHeight="1" x14ac:dyDescent="0.3">
      <c r="A112" s="1" t="s">
        <v>140</v>
      </c>
      <c r="B112" s="1" t="s">
        <v>16</v>
      </c>
      <c r="C112" s="1">
        <v>1</v>
      </c>
    </row>
    <row r="113" spans="1:6" ht="12.75" customHeight="1" x14ac:dyDescent="0.3">
      <c r="A113" s="1" t="s">
        <v>141</v>
      </c>
      <c r="B113" s="1" t="s">
        <v>14</v>
      </c>
      <c r="C113" s="1">
        <v>1</v>
      </c>
    </row>
    <row r="114" spans="1:6" ht="12.75" customHeight="1" x14ac:dyDescent="0.3">
      <c r="A114" s="1" t="s">
        <v>142</v>
      </c>
      <c r="B114" s="1" t="s">
        <v>16</v>
      </c>
      <c r="D114" s="1">
        <v>1</v>
      </c>
    </row>
    <row r="115" spans="1:6" ht="12.75" customHeight="1" x14ac:dyDescent="0.3">
      <c r="A115" s="1" t="s">
        <v>143</v>
      </c>
      <c r="B115" s="1" t="s">
        <v>24</v>
      </c>
      <c r="C115" s="1">
        <v>1</v>
      </c>
    </row>
    <row r="116" spans="1:6" ht="12.75" customHeight="1" x14ac:dyDescent="0.3">
      <c r="A116" s="1" t="s">
        <v>144</v>
      </c>
      <c r="B116" s="1" t="s">
        <v>66</v>
      </c>
      <c r="D116" s="1">
        <v>1</v>
      </c>
    </row>
    <row r="117" spans="1:6" ht="12.75" customHeight="1" x14ac:dyDescent="0.3">
      <c r="A117" s="1" t="s">
        <v>145</v>
      </c>
      <c r="B117" s="1" t="s">
        <v>27</v>
      </c>
      <c r="C117" s="1">
        <v>1</v>
      </c>
    </row>
    <row r="118" spans="1:6" ht="12.75" customHeight="1" x14ac:dyDescent="0.3">
      <c r="A118" s="1" t="s">
        <v>146</v>
      </c>
      <c r="B118" s="1" t="s">
        <v>30</v>
      </c>
      <c r="E118" s="1">
        <v>1</v>
      </c>
    </row>
    <row r="119" spans="1:6" ht="12.75" customHeight="1" x14ac:dyDescent="0.3">
      <c r="A119" s="1" t="s">
        <v>147</v>
      </c>
      <c r="B119" s="1" t="s">
        <v>42</v>
      </c>
      <c r="C119" s="1">
        <v>1</v>
      </c>
    </row>
    <row r="120" spans="1:6" ht="12.75" customHeight="1" x14ac:dyDescent="0.3">
      <c r="A120" s="1" t="s">
        <v>148</v>
      </c>
      <c r="B120" s="1" t="s">
        <v>13</v>
      </c>
      <c r="D120" s="1">
        <v>1</v>
      </c>
    </row>
    <row r="121" spans="1:6" ht="12.75" customHeight="1" x14ac:dyDescent="0.3">
      <c r="A121" s="1" t="s">
        <v>149</v>
      </c>
      <c r="B121" s="1" t="s">
        <v>150</v>
      </c>
      <c r="F121" s="1">
        <v>1</v>
      </c>
    </row>
    <row r="122" spans="1:6" ht="12.75" customHeight="1" x14ac:dyDescent="0.3">
      <c r="A122" s="1" t="s">
        <v>151</v>
      </c>
      <c r="B122" s="1" t="s">
        <v>24</v>
      </c>
      <c r="C122" s="1">
        <v>1</v>
      </c>
    </row>
    <row r="123" spans="1:6" ht="12.75" customHeight="1" x14ac:dyDescent="0.3">
      <c r="A123" s="1" t="s">
        <v>152</v>
      </c>
      <c r="B123" s="1" t="s">
        <v>24</v>
      </c>
      <c r="C123" s="1">
        <v>1</v>
      </c>
    </row>
    <row r="124" spans="1:6" ht="12.75" customHeight="1" x14ac:dyDescent="0.3">
      <c r="A124" s="1" t="s">
        <v>153</v>
      </c>
      <c r="B124" s="1" t="s">
        <v>19</v>
      </c>
      <c r="C124" s="1">
        <v>1</v>
      </c>
    </row>
    <row r="125" spans="1:6" ht="12.75" customHeight="1" x14ac:dyDescent="0.3">
      <c r="A125" s="1" t="s">
        <v>154</v>
      </c>
      <c r="B125" s="1" t="s">
        <v>33</v>
      </c>
      <c r="C125" s="1">
        <v>1</v>
      </c>
    </row>
    <row r="126" spans="1:6" ht="12.75" customHeight="1" x14ac:dyDescent="0.3">
      <c r="A126" s="1" t="s">
        <v>155</v>
      </c>
      <c r="B126" s="1" t="s">
        <v>13</v>
      </c>
      <c r="D126" s="1">
        <v>1</v>
      </c>
    </row>
    <row r="127" spans="1:6" ht="12.75" customHeight="1" x14ac:dyDescent="0.3">
      <c r="A127" s="1" t="s">
        <v>156</v>
      </c>
      <c r="B127" s="1" t="s">
        <v>13</v>
      </c>
      <c r="D127" s="1">
        <v>1</v>
      </c>
    </row>
    <row r="128" spans="1:6" ht="12.75" customHeight="1" x14ac:dyDescent="0.3">
      <c r="A128" s="1" t="s">
        <v>157</v>
      </c>
      <c r="B128" s="1" t="s">
        <v>14</v>
      </c>
      <c r="C128" s="1">
        <v>1</v>
      </c>
    </row>
    <row r="129" spans="1:5" ht="12.75" customHeight="1" x14ac:dyDescent="0.3">
      <c r="A129" s="1" t="s">
        <v>158</v>
      </c>
      <c r="B129" s="1" t="s">
        <v>16</v>
      </c>
      <c r="C129" s="1">
        <v>1</v>
      </c>
    </row>
    <row r="130" spans="1:5" ht="12.75" customHeight="1" x14ac:dyDescent="0.3">
      <c r="A130" s="1" t="s">
        <v>159</v>
      </c>
      <c r="B130" s="1" t="s">
        <v>13</v>
      </c>
      <c r="C130" s="1">
        <v>1</v>
      </c>
    </row>
    <row r="131" spans="1:5" ht="12.75" customHeight="1" x14ac:dyDescent="0.3">
      <c r="A131" s="1" t="s">
        <v>160</v>
      </c>
      <c r="B131" s="1" t="s">
        <v>66</v>
      </c>
      <c r="E131" s="1">
        <v>1</v>
      </c>
    </row>
    <row r="132" spans="1:5" ht="12.75" customHeight="1" x14ac:dyDescent="0.3">
      <c r="A132" s="1" t="s">
        <v>161</v>
      </c>
      <c r="B132" s="1" t="s">
        <v>38</v>
      </c>
      <c r="D132" s="1">
        <v>1</v>
      </c>
    </row>
    <row r="133" spans="1:5" ht="11.25" customHeight="1" x14ac:dyDescent="0.3">
      <c r="A133" s="1" t="s">
        <v>162</v>
      </c>
      <c r="B133" s="1" t="s">
        <v>13</v>
      </c>
      <c r="D133" s="1">
        <v>1</v>
      </c>
    </row>
    <row r="134" spans="1:5" ht="12.75" customHeight="1" x14ac:dyDescent="0.3">
      <c r="A134" s="1" t="s">
        <v>163</v>
      </c>
      <c r="B134" s="1" t="s">
        <v>66</v>
      </c>
      <c r="D134" s="1">
        <v>1</v>
      </c>
    </row>
    <row r="135" spans="1:5" ht="12.75" customHeight="1" x14ac:dyDescent="0.3">
      <c r="A135" s="1" t="s">
        <v>164</v>
      </c>
      <c r="B135" s="1" t="s">
        <v>21</v>
      </c>
      <c r="C135" s="1">
        <v>1</v>
      </c>
    </row>
    <row r="136" spans="1:5" ht="12.75" customHeight="1" x14ac:dyDescent="0.3">
      <c r="A136" s="1" t="s">
        <v>165</v>
      </c>
      <c r="B136" s="1" t="s">
        <v>30</v>
      </c>
      <c r="D136" s="1">
        <v>1</v>
      </c>
    </row>
    <row r="137" spans="1:5" ht="12.75" customHeight="1" x14ac:dyDescent="0.3">
      <c r="A137" s="1" t="s">
        <v>166</v>
      </c>
      <c r="B137" s="1" t="s">
        <v>30</v>
      </c>
      <c r="D137" s="1">
        <v>1</v>
      </c>
    </row>
    <row r="138" spans="1:5" ht="12.75" customHeight="1" x14ac:dyDescent="0.3">
      <c r="A138" s="1" t="s">
        <v>167</v>
      </c>
      <c r="B138" s="1" t="s">
        <v>19</v>
      </c>
      <c r="C138" s="1">
        <v>1</v>
      </c>
    </row>
    <row r="139" spans="1:5" ht="12.75" customHeight="1" x14ac:dyDescent="0.3">
      <c r="A139" s="1" t="s">
        <v>168</v>
      </c>
      <c r="B139" s="1" t="s">
        <v>13</v>
      </c>
      <c r="D139" s="1">
        <v>1</v>
      </c>
    </row>
    <row r="140" spans="1:5" ht="12.75" customHeight="1" x14ac:dyDescent="0.3">
      <c r="A140" s="1" t="s">
        <v>169</v>
      </c>
      <c r="B140" s="1" t="s">
        <v>27</v>
      </c>
      <c r="D140" s="1">
        <v>1</v>
      </c>
    </row>
    <row r="141" spans="1:5" ht="12.75" customHeight="1" x14ac:dyDescent="0.3">
      <c r="A141" s="1" t="s">
        <v>170</v>
      </c>
      <c r="B141" s="1" t="s">
        <v>16</v>
      </c>
      <c r="C141" s="1">
        <v>1</v>
      </c>
    </row>
    <row r="142" spans="1:5" ht="12.75" customHeight="1" x14ac:dyDescent="0.3">
      <c r="A142" s="1" t="s">
        <v>171</v>
      </c>
      <c r="B142" s="1" t="s">
        <v>19</v>
      </c>
      <c r="C142" s="1">
        <v>1</v>
      </c>
    </row>
    <row r="143" spans="1:5" ht="12.75" customHeight="1" x14ac:dyDescent="0.3">
      <c r="A143" s="1" t="s">
        <v>172</v>
      </c>
      <c r="B143" s="1" t="s">
        <v>37</v>
      </c>
      <c r="C143" s="1">
        <v>1</v>
      </c>
    </row>
    <row r="144" spans="1:5" ht="12.75" customHeight="1" x14ac:dyDescent="0.3">
      <c r="A144" s="1" t="s">
        <v>173</v>
      </c>
      <c r="B144" s="1" t="s">
        <v>27</v>
      </c>
      <c r="C144" s="1">
        <v>1</v>
      </c>
    </row>
    <row r="145" spans="1:4" ht="12.75" customHeight="1" x14ac:dyDescent="0.3">
      <c r="A145" s="1" t="s">
        <v>174</v>
      </c>
      <c r="B145" s="1" t="s">
        <v>66</v>
      </c>
      <c r="D145" s="1">
        <v>1</v>
      </c>
    </row>
    <row r="146" spans="1:4" ht="12.75" customHeight="1" x14ac:dyDescent="0.3">
      <c r="A146" s="1" t="s">
        <v>175</v>
      </c>
      <c r="B146" s="1" t="s">
        <v>14</v>
      </c>
      <c r="C146" s="1">
        <v>1</v>
      </c>
    </row>
    <row r="147" spans="1:4" ht="12.75" customHeight="1" x14ac:dyDescent="0.3">
      <c r="A147" s="1" t="s">
        <v>176</v>
      </c>
      <c r="B147" s="1" t="s">
        <v>66</v>
      </c>
      <c r="D147" s="1">
        <v>1</v>
      </c>
    </row>
    <row r="148" spans="1:4" ht="12.75" customHeight="1" x14ac:dyDescent="0.3">
      <c r="A148" s="1" t="s">
        <v>177</v>
      </c>
      <c r="B148" s="1" t="s">
        <v>42</v>
      </c>
      <c r="C148" s="1">
        <v>1</v>
      </c>
    </row>
    <row r="149" spans="1:4" ht="12.75" customHeight="1" x14ac:dyDescent="0.3">
      <c r="A149" s="1" t="s">
        <v>178</v>
      </c>
      <c r="B149" s="1" t="s">
        <v>33</v>
      </c>
      <c r="C149" s="1">
        <v>1</v>
      </c>
    </row>
    <row r="150" spans="1:4" ht="12.75" customHeight="1" x14ac:dyDescent="0.3">
      <c r="A150" s="1" t="s">
        <v>179</v>
      </c>
      <c r="B150" s="1" t="s">
        <v>14</v>
      </c>
      <c r="C150" s="1">
        <v>1</v>
      </c>
    </row>
    <row r="151" spans="1:4" ht="12.75" customHeight="1" x14ac:dyDescent="0.3">
      <c r="A151" s="1" t="s">
        <v>180</v>
      </c>
      <c r="B151" s="1" t="s">
        <v>13</v>
      </c>
      <c r="D151" s="1">
        <v>1</v>
      </c>
    </row>
    <row r="152" spans="1:4" ht="12.75" customHeight="1" x14ac:dyDescent="0.3">
      <c r="A152" s="1" t="s">
        <v>181</v>
      </c>
      <c r="B152" s="1" t="s">
        <v>24</v>
      </c>
      <c r="C152" s="1">
        <v>1</v>
      </c>
    </row>
    <row r="153" spans="1:4" ht="12.75" customHeight="1" x14ac:dyDescent="0.3">
      <c r="A153" s="1" t="s">
        <v>182</v>
      </c>
      <c r="B153" s="1" t="s">
        <v>19</v>
      </c>
      <c r="C153" s="1">
        <v>1</v>
      </c>
    </row>
    <row r="154" spans="1:4" ht="12.75" customHeight="1" x14ac:dyDescent="0.3">
      <c r="A154" s="1" t="s">
        <v>183</v>
      </c>
      <c r="B154" s="1" t="s">
        <v>42</v>
      </c>
      <c r="D154" s="1">
        <v>1</v>
      </c>
    </row>
    <row r="155" spans="1:4" ht="12.75" customHeight="1" x14ac:dyDescent="0.3">
      <c r="A155" s="1" t="s">
        <v>184</v>
      </c>
      <c r="B155" s="1" t="s">
        <v>19</v>
      </c>
      <c r="C155" s="1">
        <v>1</v>
      </c>
    </row>
    <row r="156" spans="1:4" ht="12.75" customHeight="1" x14ac:dyDescent="0.3">
      <c r="A156" s="1" t="s">
        <v>185</v>
      </c>
      <c r="B156" s="1" t="s">
        <v>30</v>
      </c>
      <c r="D156" s="1">
        <v>1</v>
      </c>
    </row>
    <row r="157" spans="1:4" ht="12.75" customHeight="1" x14ac:dyDescent="0.3"/>
    <row r="158" spans="1:4" ht="12.75" customHeight="1" x14ac:dyDescent="0.3"/>
    <row r="159" spans="1:4" ht="12.75" customHeight="1" x14ac:dyDescent="0.3"/>
    <row r="160" spans="1:4" ht="12.75" customHeight="1" x14ac:dyDescent="0.3"/>
    <row r="161" s="1" customFormat="1" ht="12.75" customHeight="1" x14ac:dyDescent="0.3"/>
    <row r="162" s="1" customFormat="1" ht="12.75" customHeight="1" x14ac:dyDescent="0.3"/>
    <row r="163" s="1" customFormat="1" ht="12.75" customHeight="1" x14ac:dyDescent="0.3"/>
    <row r="164" s="1" customFormat="1" ht="12.75" customHeight="1" x14ac:dyDescent="0.3"/>
    <row r="165" s="1" customFormat="1" ht="12.75" customHeight="1" x14ac:dyDescent="0.3"/>
    <row r="166" s="1" customFormat="1" ht="12.75" customHeight="1" x14ac:dyDescent="0.3"/>
    <row r="167" s="1" customFormat="1" ht="12.75" customHeight="1" x14ac:dyDescent="0.3"/>
    <row r="168" s="1" customFormat="1" ht="12.75" customHeight="1" x14ac:dyDescent="0.3"/>
    <row r="169" s="1" customFormat="1" ht="12.75" customHeight="1" x14ac:dyDescent="0.3"/>
    <row r="170" s="1" customFormat="1" ht="12.75" customHeight="1" x14ac:dyDescent="0.3"/>
    <row r="171" s="1" customFormat="1" ht="12.75" customHeight="1" x14ac:dyDescent="0.3"/>
    <row r="172" s="1" customFormat="1" ht="12.75" customHeight="1" x14ac:dyDescent="0.3"/>
    <row r="173" s="1" customFormat="1" ht="12.75" customHeight="1" x14ac:dyDescent="0.3"/>
    <row r="174" s="1" customFormat="1" ht="12.75" customHeight="1" x14ac:dyDescent="0.3"/>
    <row r="175" s="1" customFormat="1" ht="12.75" customHeight="1" x14ac:dyDescent="0.3"/>
    <row r="176" s="1" customFormat="1" ht="12.75" customHeight="1" x14ac:dyDescent="0.3"/>
    <row r="177" s="1" customFormat="1" ht="12.75" customHeight="1" x14ac:dyDescent="0.3"/>
    <row r="178" s="1" customFormat="1" ht="12.75" customHeight="1" x14ac:dyDescent="0.3"/>
    <row r="179" s="1" customFormat="1" ht="12.75" customHeight="1" x14ac:dyDescent="0.3"/>
    <row r="180" s="1" customFormat="1" ht="12.75" customHeight="1" x14ac:dyDescent="0.3"/>
    <row r="181" s="1" customFormat="1" ht="12.75" customHeight="1" x14ac:dyDescent="0.3"/>
    <row r="182" s="1" customFormat="1" ht="12.75" customHeight="1" x14ac:dyDescent="0.3"/>
    <row r="183" s="1" customFormat="1" ht="12.75" customHeight="1" x14ac:dyDescent="0.3"/>
    <row r="184" s="1" customFormat="1" ht="12.75" customHeight="1" x14ac:dyDescent="0.3"/>
    <row r="185" s="1" customFormat="1" ht="12.75" customHeight="1" x14ac:dyDescent="0.3"/>
    <row r="186" s="1" customFormat="1" ht="12.75" customHeight="1" x14ac:dyDescent="0.3"/>
    <row r="187" s="1" customFormat="1" ht="12.75" customHeight="1" x14ac:dyDescent="0.3"/>
    <row r="188" s="1" customFormat="1" ht="12.75" customHeight="1" x14ac:dyDescent="0.3"/>
    <row r="189" s="1" customFormat="1" ht="12.75" customHeight="1" x14ac:dyDescent="0.3"/>
    <row r="190" s="1" customFormat="1" ht="12.75" customHeight="1" x14ac:dyDescent="0.3"/>
    <row r="191" s="1" customFormat="1" ht="12.75" customHeight="1" x14ac:dyDescent="0.3"/>
    <row r="192" s="1" customFormat="1" ht="12.75" customHeight="1" x14ac:dyDescent="0.3"/>
    <row r="193" s="1" customFormat="1" ht="12.75" customHeight="1" x14ac:dyDescent="0.3"/>
    <row r="194" s="1" customFormat="1" ht="12.75" customHeight="1" x14ac:dyDescent="0.3"/>
    <row r="195" s="1" customFormat="1" ht="12.75" customHeight="1" x14ac:dyDescent="0.3"/>
    <row r="196" s="1" customFormat="1" ht="12.75" customHeight="1" x14ac:dyDescent="0.3"/>
    <row r="197" s="1" customFormat="1" ht="12.75" customHeight="1" x14ac:dyDescent="0.3"/>
    <row r="198" s="1" customFormat="1" ht="12.75" customHeight="1" x14ac:dyDescent="0.3"/>
    <row r="199" s="1" customFormat="1" ht="12.75" customHeight="1" x14ac:dyDescent="0.3"/>
    <row r="200" s="1" customFormat="1" ht="12.75" customHeight="1" x14ac:dyDescent="0.3"/>
    <row r="201" s="1" customFormat="1" ht="12.75" customHeight="1" x14ac:dyDescent="0.3"/>
    <row r="202" s="1" customFormat="1" ht="12.75" customHeight="1" x14ac:dyDescent="0.3"/>
    <row r="203" s="1" customFormat="1" ht="12.75" customHeight="1" x14ac:dyDescent="0.3"/>
    <row r="204" s="1" customFormat="1" ht="12.75" customHeight="1" x14ac:dyDescent="0.3"/>
    <row r="205" s="1" customFormat="1" ht="12.75" customHeight="1" x14ac:dyDescent="0.3"/>
    <row r="206" s="1" customFormat="1" ht="12.75" customHeight="1" x14ac:dyDescent="0.3"/>
    <row r="207" s="1" customFormat="1" ht="12.75" customHeight="1" x14ac:dyDescent="0.3"/>
    <row r="208" s="1" customFormat="1" ht="12.75" customHeight="1" x14ac:dyDescent="0.3"/>
    <row r="209" s="1" customFormat="1" ht="12.75" customHeight="1" x14ac:dyDescent="0.3"/>
    <row r="210" s="1" customFormat="1" ht="12.75" customHeight="1" x14ac:dyDescent="0.3"/>
    <row r="211" s="1" customFormat="1" ht="12.75" customHeight="1" x14ac:dyDescent="0.3"/>
    <row r="212" s="1" customFormat="1" ht="12.75" customHeight="1" x14ac:dyDescent="0.3"/>
    <row r="213" s="1" customFormat="1" ht="12.75" customHeight="1" x14ac:dyDescent="0.3"/>
    <row r="214" s="1" customFormat="1" ht="12.75" customHeight="1" x14ac:dyDescent="0.3"/>
    <row r="215" s="1" customFormat="1" ht="12.75" customHeight="1" x14ac:dyDescent="0.3"/>
    <row r="216" s="1" customFormat="1" ht="12.75" customHeight="1" x14ac:dyDescent="0.3"/>
    <row r="217" s="1" customFormat="1" ht="12.75" customHeight="1" x14ac:dyDescent="0.3"/>
    <row r="218" s="1" customFormat="1" ht="12.75" customHeight="1" x14ac:dyDescent="0.3"/>
    <row r="219" s="1" customFormat="1" ht="12.75" customHeight="1" x14ac:dyDescent="0.3"/>
    <row r="220" s="1" customFormat="1" ht="12.75" customHeight="1" x14ac:dyDescent="0.3"/>
    <row r="221" s="1" customFormat="1" ht="12.75" customHeight="1" x14ac:dyDescent="0.3"/>
    <row r="222" s="1" customFormat="1" ht="12.75" customHeight="1" x14ac:dyDescent="0.3"/>
    <row r="223" s="1" customFormat="1" ht="12.75" customHeight="1" x14ac:dyDescent="0.3"/>
    <row r="224" s="1" customFormat="1" ht="12.75" customHeight="1" x14ac:dyDescent="0.3"/>
    <row r="225" s="1" customFormat="1" ht="12.75" customHeight="1" x14ac:dyDescent="0.3"/>
    <row r="226" s="1" customFormat="1" ht="12.75" customHeight="1" x14ac:dyDescent="0.3"/>
    <row r="227" s="1" customFormat="1" ht="12.75" customHeight="1" x14ac:dyDescent="0.3"/>
    <row r="228" s="1" customFormat="1" ht="12.75" customHeight="1" x14ac:dyDescent="0.3"/>
    <row r="229" s="1" customFormat="1" ht="12.75" customHeight="1" x14ac:dyDescent="0.3"/>
    <row r="230" s="1" customFormat="1" ht="12.75" customHeight="1" x14ac:dyDescent="0.3"/>
    <row r="231" s="1" customFormat="1" ht="12.75" customHeight="1" x14ac:dyDescent="0.3"/>
    <row r="232" s="1" customFormat="1" ht="12.75" customHeight="1" x14ac:dyDescent="0.3"/>
    <row r="233" s="1" customFormat="1" ht="12.75" customHeight="1" x14ac:dyDescent="0.3"/>
    <row r="234" s="1" customFormat="1" ht="12.75" customHeight="1" x14ac:dyDescent="0.3"/>
    <row r="235" s="1" customFormat="1" ht="12.75" customHeight="1" x14ac:dyDescent="0.3"/>
    <row r="236" s="1" customFormat="1" ht="12.75" customHeight="1" x14ac:dyDescent="0.3"/>
    <row r="237" s="1" customFormat="1" ht="12.75" customHeight="1" x14ac:dyDescent="0.3"/>
    <row r="238" s="1" customFormat="1" ht="12.75" customHeight="1" x14ac:dyDescent="0.3"/>
    <row r="239" s="1" customFormat="1" ht="12.75" customHeight="1" x14ac:dyDescent="0.3"/>
    <row r="240" s="1" customFormat="1" ht="12.75" customHeight="1" x14ac:dyDescent="0.3"/>
    <row r="241" s="1" customFormat="1" ht="12.75" customHeight="1" x14ac:dyDescent="0.3"/>
    <row r="242" s="1" customFormat="1" ht="12.75" customHeight="1" x14ac:dyDescent="0.3"/>
    <row r="243" s="1" customFormat="1" ht="12.75" customHeight="1" x14ac:dyDescent="0.3"/>
    <row r="244" s="1" customFormat="1" ht="12.75" customHeight="1" x14ac:dyDescent="0.3"/>
    <row r="245" s="1" customFormat="1" ht="12.75" customHeight="1" x14ac:dyDescent="0.3"/>
    <row r="246" s="1" customFormat="1" ht="12.75" customHeight="1" x14ac:dyDescent="0.3"/>
    <row r="247" s="1" customFormat="1" ht="12.75" customHeight="1" x14ac:dyDescent="0.3"/>
    <row r="248" s="1" customFormat="1" ht="12.75" customHeight="1" x14ac:dyDescent="0.3"/>
    <row r="249" s="1" customFormat="1" ht="12.75" customHeight="1" x14ac:dyDescent="0.3"/>
    <row r="250" s="1" customFormat="1" ht="12.75" customHeight="1" x14ac:dyDescent="0.3"/>
    <row r="251" s="1" customFormat="1" ht="12.75" customHeight="1" x14ac:dyDescent="0.3"/>
    <row r="252" s="1" customFormat="1" ht="12.75" customHeight="1" x14ac:dyDescent="0.3"/>
    <row r="253" s="1" customFormat="1" ht="12.75" customHeight="1" x14ac:dyDescent="0.3"/>
    <row r="254" s="1" customFormat="1" ht="12.75" customHeight="1" x14ac:dyDescent="0.3"/>
    <row r="255" s="1" customFormat="1" ht="12.75" customHeight="1" x14ac:dyDescent="0.3"/>
    <row r="256" s="1" customFormat="1" ht="12.75" customHeight="1" x14ac:dyDescent="0.3"/>
    <row r="257" s="1" customFormat="1" ht="12.75" customHeight="1" x14ac:dyDescent="0.3"/>
    <row r="258" s="1" customFormat="1" ht="12.75" customHeight="1" x14ac:dyDescent="0.3"/>
    <row r="259" s="1" customFormat="1" ht="12.75" customHeight="1" x14ac:dyDescent="0.3"/>
    <row r="260" s="1" customFormat="1" ht="12.75" customHeight="1" x14ac:dyDescent="0.3"/>
    <row r="261" s="1" customFormat="1" ht="12.75" customHeight="1" x14ac:dyDescent="0.3"/>
    <row r="262" s="1" customFormat="1" ht="12.75" customHeight="1" x14ac:dyDescent="0.3"/>
    <row r="263" s="1" customFormat="1" ht="12.75" customHeight="1" x14ac:dyDescent="0.3"/>
    <row r="264" s="1" customFormat="1" ht="12.75" customHeight="1" x14ac:dyDescent="0.3"/>
    <row r="265" s="1" customFormat="1" ht="12.75" customHeight="1" x14ac:dyDescent="0.3"/>
    <row r="266" s="1" customFormat="1" ht="12.75" customHeight="1" x14ac:dyDescent="0.3"/>
    <row r="267" s="1" customFormat="1" ht="12.75" customHeight="1" x14ac:dyDescent="0.3"/>
    <row r="268" s="1" customFormat="1" ht="12.75" customHeight="1" x14ac:dyDescent="0.3"/>
    <row r="269" s="1" customFormat="1" ht="12.75" customHeight="1" x14ac:dyDescent="0.3"/>
    <row r="270" s="1" customFormat="1" ht="12.75" customHeight="1" x14ac:dyDescent="0.3"/>
    <row r="271" s="1" customFormat="1" ht="12.75" customHeight="1" x14ac:dyDescent="0.3"/>
    <row r="272" s="1" customFormat="1" ht="12.75" customHeight="1" x14ac:dyDescent="0.3"/>
    <row r="273" s="1" customFormat="1" ht="12.75" customHeight="1" x14ac:dyDescent="0.3"/>
    <row r="274" s="1" customFormat="1" ht="12.75" customHeight="1" x14ac:dyDescent="0.3"/>
    <row r="275" s="1" customFormat="1" ht="12.75" customHeight="1" x14ac:dyDescent="0.3"/>
    <row r="276" s="1" customFormat="1" ht="12.75" customHeight="1" x14ac:dyDescent="0.3"/>
    <row r="277" s="1" customFormat="1" ht="12.75" customHeight="1" x14ac:dyDescent="0.3"/>
    <row r="278" s="1" customFormat="1" ht="12.75" customHeight="1" x14ac:dyDescent="0.3"/>
    <row r="279" s="1" customFormat="1" ht="12.75" customHeight="1" x14ac:dyDescent="0.3"/>
    <row r="280" s="1" customFormat="1" ht="12.75" customHeight="1" x14ac:dyDescent="0.3"/>
    <row r="281" s="1" customFormat="1" ht="12.75" customHeight="1" x14ac:dyDescent="0.3"/>
    <row r="282" s="1" customFormat="1" ht="12.75" customHeight="1" x14ac:dyDescent="0.3"/>
    <row r="283" s="1" customFormat="1" ht="12.75" customHeight="1" x14ac:dyDescent="0.3"/>
    <row r="284" s="1" customFormat="1" ht="12.75" customHeight="1" x14ac:dyDescent="0.3"/>
    <row r="285" s="1" customFormat="1" ht="12.75" customHeight="1" x14ac:dyDescent="0.3"/>
    <row r="286" s="1" customFormat="1" ht="12.75" customHeight="1" x14ac:dyDescent="0.3"/>
    <row r="287" s="1" customFormat="1" ht="12.75" customHeight="1" x14ac:dyDescent="0.3"/>
    <row r="288" s="1" customFormat="1" ht="12.75" customHeight="1" x14ac:dyDescent="0.3"/>
    <row r="289" s="1" customFormat="1" ht="12.75" customHeight="1" x14ac:dyDescent="0.3"/>
    <row r="290" s="1" customFormat="1" ht="12.75" customHeight="1" x14ac:dyDescent="0.3"/>
    <row r="291" s="1" customFormat="1" ht="12.75" customHeight="1" x14ac:dyDescent="0.3"/>
    <row r="292" s="1" customFormat="1" ht="12.75" customHeight="1" x14ac:dyDescent="0.3"/>
    <row r="293" s="1" customFormat="1" ht="12.75" customHeight="1" x14ac:dyDescent="0.3"/>
    <row r="294" s="1" customFormat="1" ht="12.75" customHeight="1" x14ac:dyDescent="0.3"/>
    <row r="295" s="1" customFormat="1" ht="12.75" customHeight="1" x14ac:dyDescent="0.3"/>
    <row r="296" s="1" customFormat="1" ht="12.75" customHeight="1" x14ac:dyDescent="0.3"/>
    <row r="297" s="1" customFormat="1" ht="12.75" customHeight="1" x14ac:dyDescent="0.3"/>
    <row r="298" s="1" customFormat="1" ht="12.75" customHeight="1" x14ac:dyDescent="0.3"/>
    <row r="299" s="1" customFormat="1" ht="12.75" customHeight="1" x14ac:dyDescent="0.3"/>
    <row r="300" s="1" customFormat="1" ht="12.75" customHeight="1" x14ac:dyDescent="0.3"/>
    <row r="301" s="1" customFormat="1" ht="12.75" customHeight="1" x14ac:dyDescent="0.3"/>
    <row r="302" s="1" customFormat="1" ht="12.75" customHeight="1" x14ac:dyDescent="0.3"/>
    <row r="303" s="1" customFormat="1" ht="12.75" customHeight="1" x14ac:dyDescent="0.3"/>
    <row r="304" s="1" customFormat="1" ht="12.75" customHeight="1" x14ac:dyDescent="0.3"/>
    <row r="305" s="1" customFormat="1" ht="12.75" customHeight="1" x14ac:dyDescent="0.3"/>
    <row r="306" s="1" customFormat="1" ht="12.75" customHeight="1" x14ac:dyDescent="0.3"/>
    <row r="307" s="1" customFormat="1" ht="12.75" customHeight="1" x14ac:dyDescent="0.3"/>
    <row r="308" s="1" customFormat="1" ht="12.75" customHeight="1" x14ac:dyDescent="0.3"/>
    <row r="309" s="1" customFormat="1" ht="12.75" customHeight="1" x14ac:dyDescent="0.3"/>
    <row r="310" s="1" customFormat="1" ht="12.75" customHeight="1" x14ac:dyDescent="0.3"/>
    <row r="311" s="1" customFormat="1" ht="12.75" customHeight="1" x14ac:dyDescent="0.3"/>
    <row r="312" s="1" customFormat="1" ht="12.75" customHeight="1" x14ac:dyDescent="0.3"/>
    <row r="313" s="1" customFormat="1" ht="12.75" customHeight="1" x14ac:dyDescent="0.3"/>
    <row r="314" s="1" customFormat="1" ht="12.75" customHeight="1" x14ac:dyDescent="0.3"/>
    <row r="315" s="1" customFormat="1" ht="12.75" customHeight="1" x14ac:dyDescent="0.3"/>
    <row r="316" s="1" customFormat="1" ht="12.75" customHeight="1" x14ac:dyDescent="0.3"/>
    <row r="317" s="1" customFormat="1" ht="12.75" customHeight="1" x14ac:dyDescent="0.3"/>
    <row r="318" s="1" customFormat="1" ht="12.75" customHeight="1" x14ac:dyDescent="0.3"/>
    <row r="319" s="1" customFormat="1" ht="12.75" customHeight="1" x14ac:dyDescent="0.3"/>
    <row r="320" s="1" customFormat="1" ht="12.75" customHeight="1" x14ac:dyDescent="0.3"/>
    <row r="321" s="1" customFormat="1" ht="12.75" customHeight="1" x14ac:dyDescent="0.3"/>
    <row r="322" s="1" customFormat="1" ht="12.75" customHeight="1" x14ac:dyDescent="0.3"/>
    <row r="323" s="1" customFormat="1" ht="12.75" customHeight="1" x14ac:dyDescent="0.3"/>
    <row r="324" s="1" customFormat="1" ht="12.75" customHeight="1" x14ac:dyDescent="0.3"/>
    <row r="325" s="1" customFormat="1" ht="12.75" customHeight="1" x14ac:dyDescent="0.3"/>
    <row r="326" s="1" customFormat="1" ht="12.75" customHeight="1" x14ac:dyDescent="0.3"/>
    <row r="327" s="1" customFormat="1" ht="12.75" customHeight="1" x14ac:dyDescent="0.3"/>
    <row r="328" s="1" customFormat="1" ht="12.75" customHeight="1" x14ac:dyDescent="0.3"/>
    <row r="329" s="1" customFormat="1" ht="12.75" customHeight="1" x14ac:dyDescent="0.3"/>
    <row r="330" s="1" customFormat="1" ht="12.75" customHeight="1" x14ac:dyDescent="0.3"/>
    <row r="331" s="1" customFormat="1" ht="12.75" customHeight="1" x14ac:dyDescent="0.3"/>
    <row r="332" s="1" customFormat="1" ht="12.75" customHeight="1" x14ac:dyDescent="0.3"/>
    <row r="333" s="1" customFormat="1" ht="12.75" customHeight="1" x14ac:dyDescent="0.3"/>
    <row r="334" s="1" customFormat="1" ht="12.75" customHeight="1" x14ac:dyDescent="0.3"/>
    <row r="335" s="1" customFormat="1" ht="12.75" customHeight="1" x14ac:dyDescent="0.3"/>
    <row r="336" s="1" customFormat="1" ht="12.75" customHeight="1" x14ac:dyDescent="0.3"/>
    <row r="337" s="1" customFormat="1" ht="12.75" customHeight="1" x14ac:dyDescent="0.3"/>
    <row r="338" s="1" customFormat="1" ht="12.75" customHeight="1" x14ac:dyDescent="0.3"/>
    <row r="339" s="1" customFormat="1" ht="12.75" customHeight="1" x14ac:dyDescent="0.3"/>
    <row r="340" s="1" customFormat="1" ht="12.75" customHeight="1" x14ac:dyDescent="0.3"/>
    <row r="341" s="1" customFormat="1" ht="12.75" customHeight="1" x14ac:dyDescent="0.3"/>
    <row r="342" s="1" customFormat="1" ht="12.75" customHeight="1" x14ac:dyDescent="0.3"/>
    <row r="343" s="1" customFormat="1" ht="12.75" customHeight="1" x14ac:dyDescent="0.3"/>
    <row r="344" s="1" customFormat="1" ht="12.75" customHeight="1" x14ac:dyDescent="0.3"/>
    <row r="345" s="1" customFormat="1" ht="12.75" customHeight="1" x14ac:dyDescent="0.3"/>
    <row r="346" s="1" customFormat="1" ht="12.75" customHeight="1" x14ac:dyDescent="0.3"/>
    <row r="347" s="1" customFormat="1" ht="12.75" customHeight="1" x14ac:dyDescent="0.3"/>
    <row r="348" s="1" customFormat="1" ht="12.75" customHeight="1" x14ac:dyDescent="0.3"/>
    <row r="349" s="1" customFormat="1" ht="12.75" customHeight="1" x14ac:dyDescent="0.3"/>
    <row r="350" s="1" customFormat="1" ht="12.75" customHeight="1" x14ac:dyDescent="0.3"/>
    <row r="351" s="1" customFormat="1" ht="12.75" customHeight="1" x14ac:dyDescent="0.3"/>
    <row r="352" s="1" customFormat="1" ht="12.75" customHeight="1" x14ac:dyDescent="0.3"/>
    <row r="353" s="1" customFormat="1" ht="12.75" customHeight="1" x14ac:dyDescent="0.3"/>
    <row r="354" s="1" customFormat="1" ht="12.75" customHeight="1" x14ac:dyDescent="0.3"/>
    <row r="355" s="1" customFormat="1" ht="12.75" customHeight="1" x14ac:dyDescent="0.3"/>
    <row r="356" s="1" customFormat="1" ht="12.75" customHeight="1" x14ac:dyDescent="0.3"/>
    <row r="357" s="1" customFormat="1" ht="12.75" customHeight="1" x14ac:dyDescent="0.3"/>
    <row r="358" s="1" customFormat="1" ht="12.75" customHeight="1" x14ac:dyDescent="0.3"/>
    <row r="359" s="1" customFormat="1" ht="12.75" customHeight="1" x14ac:dyDescent="0.3"/>
    <row r="360" s="1" customFormat="1" ht="12.75" customHeight="1" x14ac:dyDescent="0.3"/>
    <row r="361" s="1" customFormat="1" ht="12.75" customHeight="1" x14ac:dyDescent="0.3"/>
    <row r="362" s="1" customFormat="1" ht="12.75" customHeight="1" x14ac:dyDescent="0.3"/>
    <row r="363" s="1" customFormat="1" ht="12.75" customHeight="1" x14ac:dyDescent="0.3"/>
    <row r="364" s="1" customFormat="1" ht="12.75" customHeight="1" x14ac:dyDescent="0.3"/>
    <row r="365" s="1" customFormat="1" ht="12.75" customHeight="1" x14ac:dyDescent="0.3"/>
    <row r="366" s="1" customFormat="1" ht="12.75" customHeight="1" x14ac:dyDescent="0.3"/>
    <row r="367" s="1" customFormat="1" ht="12.75" customHeight="1" x14ac:dyDescent="0.3"/>
    <row r="368" s="1" customFormat="1" ht="12.75" customHeight="1" x14ac:dyDescent="0.3"/>
    <row r="369" s="1" customFormat="1" ht="12.75" customHeight="1" x14ac:dyDescent="0.3"/>
    <row r="370" s="1" customFormat="1" ht="12.75" customHeight="1" x14ac:dyDescent="0.3"/>
    <row r="371" s="1" customFormat="1" ht="12.75" customHeight="1" x14ac:dyDescent="0.3"/>
    <row r="372" s="1" customFormat="1" ht="12.75" customHeight="1" x14ac:dyDescent="0.3"/>
    <row r="373" s="1" customFormat="1" ht="12.75" customHeight="1" x14ac:dyDescent="0.3"/>
    <row r="374" s="1" customFormat="1" ht="12.75" customHeight="1" x14ac:dyDescent="0.3"/>
    <row r="375" s="1" customFormat="1" ht="12.75" customHeight="1" x14ac:dyDescent="0.3"/>
    <row r="376" s="1" customFormat="1" ht="12.75" customHeight="1" x14ac:dyDescent="0.3"/>
    <row r="377" s="1" customFormat="1" ht="12.75" customHeight="1" x14ac:dyDescent="0.3"/>
    <row r="378" s="1" customFormat="1" ht="12.75" customHeight="1" x14ac:dyDescent="0.3"/>
    <row r="379" s="1" customFormat="1" ht="12.75" customHeight="1" x14ac:dyDescent="0.3"/>
    <row r="380" s="1" customFormat="1" ht="12.75" customHeight="1" x14ac:dyDescent="0.3"/>
    <row r="381" s="1" customFormat="1" ht="12.75" customHeight="1" x14ac:dyDescent="0.3"/>
    <row r="382" s="1" customFormat="1" ht="12.75" customHeight="1" x14ac:dyDescent="0.3"/>
    <row r="383" s="1" customFormat="1" ht="12.75" customHeight="1" x14ac:dyDescent="0.3"/>
    <row r="384" s="1" customFormat="1" ht="12.75" customHeight="1" x14ac:dyDescent="0.3"/>
    <row r="385" s="1" customFormat="1" ht="12.75" customHeight="1" x14ac:dyDescent="0.3"/>
    <row r="386" s="1" customFormat="1" ht="12.75" customHeight="1" x14ac:dyDescent="0.3"/>
    <row r="387" s="1" customFormat="1" ht="12.75" customHeight="1" x14ac:dyDescent="0.3"/>
    <row r="388" s="1" customFormat="1" ht="12.75" customHeight="1" x14ac:dyDescent="0.3"/>
    <row r="389" s="1" customFormat="1" ht="12.75" customHeight="1" x14ac:dyDescent="0.3"/>
    <row r="390" s="1" customFormat="1" ht="12.75" customHeight="1" x14ac:dyDescent="0.3"/>
    <row r="391" s="1" customFormat="1" ht="12.75" customHeight="1" x14ac:dyDescent="0.3"/>
    <row r="392" s="1" customFormat="1" ht="12.75" customHeight="1" x14ac:dyDescent="0.3"/>
    <row r="393" s="1" customFormat="1" ht="12.75" customHeight="1" x14ac:dyDescent="0.3"/>
    <row r="394" s="1" customFormat="1" ht="12.75" customHeight="1" x14ac:dyDescent="0.3"/>
    <row r="395" s="1" customFormat="1" ht="12.75" customHeight="1" x14ac:dyDescent="0.3"/>
    <row r="396" s="1" customFormat="1" ht="12.75" customHeight="1" x14ac:dyDescent="0.3"/>
    <row r="397" s="1" customFormat="1" ht="12.75" customHeight="1" x14ac:dyDescent="0.3"/>
    <row r="398" s="1" customFormat="1" ht="12.75" customHeight="1" x14ac:dyDescent="0.3"/>
    <row r="399" s="1" customFormat="1" ht="12.75" customHeight="1" x14ac:dyDescent="0.3"/>
    <row r="400" s="1" customFormat="1" ht="12.75" customHeight="1" x14ac:dyDescent="0.3"/>
    <row r="401" s="1" customFormat="1" ht="12.75" customHeight="1" x14ac:dyDescent="0.3"/>
    <row r="402" s="1" customFormat="1" ht="12.75" customHeight="1" x14ac:dyDescent="0.3"/>
    <row r="403" s="1" customFormat="1" ht="12.75" customHeight="1" x14ac:dyDescent="0.3"/>
    <row r="404" s="1" customFormat="1" ht="12.75" customHeight="1" x14ac:dyDescent="0.3"/>
    <row r="405" s="1" customFormat="1" ht="12.75" customHeight="1" x14ac:dyDescent="0.3"/>
    <row r="406" s="1" customFormat="1" ht="12.75" customHeight="1" x14ac:dyDescent="0.3"/>
    <row r="407" s="1" customFormat="1" ht="12.75" customHeight="1" x14ac:dyDescent="0.3"/>
    <row r="408" s="1" customFormat="1" ht="12.75" customHeight="1" x14ac:dyDescent="0.3"/>
    <row r="409" s="1" customFormat="1" ht="12.75" customHeight="1" x14ac:dyDescent="0.3"/>
    <row r="410" s="1" customFormat="1" ht="12.75" customHeight="1" x14ac:dyDescent="0.3"/>
    <row r="411" s="1" customFormat="1" ht="12.75" customHeight="1" x14ac:dyDescent="0.3"/>
    <row r="412" s="1" customFormat="1" ht="12.75" customHeight="1" x14ac:dyDescent="0.3"/>
    <row r="413" s="1" customFormat="1" ht="12.75" customHeight="1" x14ac:dyDescent="0.3"/>
    <row r="414" s="1" customFormat="1" ht="12.75" customHeight="1" x14ac:dyDescent="0.3"/>
    <row r="415" s="1" customFormat="1" ht="12.75" customHeight="1" x14ac:dyDescent="0.3"/>
    <row r="416" s="1" customFormat="1" ht="12.75" customHeight="1" x14ac:dyDescent="0.3"/>
    <row r="417" s="1" customFormat="1" ht="12.75" customHeight="1" x14ac:dyDescent="0.3"/>
    <row r="418" s="1" customFormat="1" ht="12.75" customHeight="1" x14ac:dyDescent="0.3"/>
    <row r="419" s="1" customFormat="1" ht="12.75" customHeight="1" x14ac:dyDescent="0.3"/>
    <row r="420" s="1" customFormat="1" ht="12.75" customHeight="1" x14ac:dyDescent="0.3"/>
    <row r="421" s="1" customFormat="1" ht="12.75" customHeight="1" x14ac:dyDescent="0.3"/>
    <row r="422" s="1" customFormat="1" ht="12.75" customHeight="1" x14ac:dyDescent="0.3"/>
    <row r="423" s="1" customFormat="1" ht="12.75" customHeight="1" x14ac:dyDescent="0.3"/>
    <row r="424" s="1" customFormat="1" ht="12.75" customHeight="1" x14ac:dyDescent="0.3"/>
    <row r="425" s="1" customFormat="1" ht="12.75" customHeight="1" x14ac:dyDescent="0.3"/>
    <row r="426" s="1" customFormat="1" ht="12.75" customHeight="1" x14ac:dyDescent="0.3"/>
    <row r="427" s="1" customFormat="1" ht="12.75" customHeight="1" x14ac:dyDescent="0.3"/>
    <row r="428" s="1" customFormat="1" ht="12.75" customHeight="1" x14ac:dyDescent="0.3"/>
    <row r="429" s="1" customFormat="1" ht="12.75" customHeight="1" x14ac:dyDescent="0.3"/>
    <row r="430" s="1" customFormat="1" ht="12.75" customHeight="1" x14ac:dyDescent="0.3"/>
    <row r="431" s="1" customFormat="1" ht="12.75" customHeight="1" x14ac:dyDescent="0.3"/>
    <row r="432" s="1" customFormat="1" ht="12.75" customHeight="1" x14ac:dyDescent="0.3"/>
    <row r="433" s="1" customFormat="1" ht="12.75" customHeight="1" x14ac:dyDescent="0.3"/>
    <row r="434" s="1" customFormat="1" ht="12.75" customHeight="1" x14ac:dyDescent="0.3"/>
    <row r="435" s="1" customFormat="1" ht="12.75" customHeight="1" x14ac:dyDescent="0.3"/>
    <row r="436" s="1" customFormat="1" ht="12.75" customHeight="1" x14ac:dyDescent="0.3"/>
    <row r="437" s="1" customFormat="1" ht="12.75" customHeight="1" x14ac:dyDescent="0.3"/>
    <row r="438" s="1" customFormat="1" ht="12.75" customHeight="1" x14ac:dyDescent="0.3"/>
    <row r="439" s="1" customFormat="1" ht="12.75" customHeight="1" x14ac:dyDescent="0.3"/>
    <row r="440" s="1" customFormat="1" ht="12.75" customHeight="1" x14ac:dyDescent="0.3"/>
    <row r="441" s="1" customFormat="1" ht="12.75" customHeight="1" x14ac:dyDescent="0.3"/>
    <row r="442" s="1" customFormat="1" ht="12.75" customHeight="1" x14ac:dyDescent="0.3"/>
    <row r="443" s="1" customFormat="1" ht="12.75" customHeight="1" x14ac:dyDescent="0.3"/>
    <row r="444" s="1" customFormat="1" ht="12.75" customHeight="1" x14ac:dyDescent="0.3"/>
    <row r="445" s="1" customFormat="1" ht="12.75" customHeight="1" x14ac:dyDescent="0.3"/>
    <row r="446" s="1" customFormat="1" ht="12.75" customHeight="1" x14ac:dyDescent="0.3"/>
    <row r="447" s="1" customFormat="1" ht="12.75" customHeight="1" x14ac:dyDescent="0.3"/>
    <row r="448" s="1" customFormat="1" ht="12.75" customHeight="1" x14ac:dyDescent="0.3"/>
    <row r="449" s="1" customFormat="1" ht="12.75" customHeight="1" x14ac:dyDescent="0.3"/>
    <row r="450" s="1" customFormat="1" ht="12.75" customHeight="1" x14ac:dyDescent="0.3"/>
    <row r="451" s="1" customFormat="1" ht="12.75" customHeight="1" x14ac:dyDescent="0.3"/>
    <row r="452" s="1" customFormat="1" ht="12.75" customHeight="1" x14ac:dyDescent="0.3"/>
    <row r="453" s="1" customFormat="1" ht="12.75" customHeight="1" x14ac:dyDescent="0.3"/>
    <row r="454" s="1" customFormat="1" ht="12.75" customHeight="1" x14ac:dyDescent="0.3"/>
    <row r="455" s="1" customFormat="1" ht="12.75" customHeight="1" x14ac:dyDescent="0.3"/>
    <row r="456" s="1" customFormat="1" ht="12.75" customHeight="1" x14ac:dyDescent="0.3"/>
    <row r="457" s="1" customFormat="1" ht="12.75" customHeight="1" x14ac:dyDescent="0.3"/>
    <row r="458" s="1" customFormat="1" ht="12.75" customHeight="1" x14ac:dyDescent="0.3"/>
    <row r="459" s="1" customFormat="1" ht="12.75" customHeight="1" x14ac:dyDescent="0.3"/>
    <row r="460" s="1" customFormat="1" ht="12.75" customHeight="1" x14ac:dyDescent="0.3"/>
    <row r="461" s="1" customFormat="1" ht="12.75" customHeight="1" x14ac:dyDescent="0.3"/>
    <row r="462" s="1" customFormat="1" ht="12.75" customHeight="1" x14ac:dyDescent="0.3"/>
    <row r="463" s="1" customFormat="1" ht="12.75" customHeight="1" x14ac:dyDescent="0.3"/>
    <row r="464" s="1" customFormat="1" ht="12.75" customHeight="1" x14ac:dyDescent="0.3"/>
    <row r="465" s="1" customFormat="1" ht="12.75" customHeight="1" x14ac:dyDescent="0.3"/>
    <row r="466" s="1" customFormat="1" ht="12.75" customHeight="1" x14ac:dyDescent="0.3"/>
    <row r="467" s="1" customFormat="1" ht="12.75" customHeight="1" x14ac:dyDescent="0.3"/>
    <row r="468" s="1" customFormat="1" ht="12.75" customHeight="1" x14ac:dyDescent="0.3"/>
    <row r="469" s="1" customFormat="1" ht="12.75" customHeight="1" x14ac:dyDescent="0.3"/>
    <row r="470" s="1" customFormat="1" ht="12.75" customHeight="1" x14ac:dyDescent="0.3"/>
    <row r="471" s="1" customFormat="1" ht="12.75" customHeight="1" x14ac:dyDescent="0.3"/>
    <row r="472" s="1" customFormat="1" ht="12.75" customHeight="1" x14ac:dyDescent="0.3"/>
    <row r="473" s="1" customFormat="1" ht="12.75" customHeight="1" x14ac:dyDescent="0.3"/>
    <row r="474" s="1" customFormat="1" ht="12.75" customHeight="1" x14ac:dyDescent="0.3"/>
    <row r="475" s="1" customFormat="1" ht="12.75" customHeight="1" x14ac:dyDescent="0.3"/>
    <row r="476" s="1" customFormat="1" ht="12.75" customHeight="1" x14ac:dyDescent="0.3"/>
    <row r="477" s="1" customFormat="1" ht="12.75" customHeight="1" x14ac:dyDescent="0.3"/>
    <row r="478" s="1" customFormat="1" ht="12.75" customHeight="1" x14ac:dyDescent="0.3"/>
    <row r="479" s="1" customFormat="1" ht="12.75" customHeight="1" x14ac:dyDescent="0.3"/>
    <row r="480" s="1" customFormat="1" ht="12.75" customHeight="1" x14ac:dyDescent="0.3"/>
    <row r="481" s="1" customFormat="1" ht="12.75" customHeight="1" x14ac:dyDescent="0.3"/>
    <row r="482" s="1" customFormat="1" ht="12.75" customHeight="1" x14ac:dyDescent="0.3"/>
    <row r="483" s="1" customFormat="1" ht="12.75" customHeight="1" x14ac:dyDescent="0.3"/>
    <row r="484" s="1" customFormat="1" ht="12.75" customHeight="1" x14ac:dyDescent="0.3"/>
    <row r="485" s="1" customFormat="1" ht="12.75" customHeight="1" x14ac:dyDescent="0.3"/>
    <row r="486" s="1" customFormat="1" ht="12.75" customHeight="1" x14ac:dyDescent="0.3"/>
    <row r="487" s="1" customFormat="1" ht="12.75" customHeight="1" x14ac:dyDescent="0.3"/>
    <row r="488" s="1" customFormat="1" ht="12.75" customHeight="1" x14ac:dyDescent="0.3"/>
    <row r="489" s="1" customFormat="1" ht="12.75" customHeight="1" x14ac:dyDescent="0.3"/>
    <row r="490" s="1" customFormat="1" ht="12.75" customHeight="1" x14ac:dyDescent="0.3"/>
    <row r="491" s="1" customFormat="1" ht="12.75" customHeight="1" x14ac:dyDescent="0.3"/>
    <row r="492" s="1" customFormat="1" ht="12.75" customHeight="1" x14ac:dyDescent="0.3"/>
    <row r="493" s="1" customFormat="1" ht="12.75" customHeight="1" x14ac:dyDescent="0.3"/>
    <row r="494" s="1" customFormat="1" ht="12.75" customHeight="1" x14ac:dyDescent="0.3"/>
    <row r="495" s="1" customFormat="1" ht="12.75" customHeight="1" x14ac:dyDescent="0.3"/>
    <row r="496" s="1" customFormat="1" ht="12.75" customHeight="1" x14ac:dyDescent="0.3"/>
    <row r="497" s="1" customFormat="1" ht="12.75" customHeight="1" x14ac:dyDescent="0.3"/>
    <row r="498" s="1" customFormat="1" ht="12.75" customHeight="1" x14ac:dyDescent="0.3"/>
    <row r="499" s="1" customFormat="1" ht="12.75" customHeight="1" x14ac:dyDescent="0.3"/>
    <row r="500" s="1" customFormat="1" ht="12.75" customHeight="1" x14ac:dyDescent="0.3"/>
    <row r="501" s="1" customFormat="1" ht="12.75" customHeight="1" x14ac:dyDescent="0.3"/>
    <row r="502" s="1" customFormat="1" ht="12.75" customHeight="1" x14ac:dyDescent="0.3"/>
    <row r="503" s="1" customFormat="1" ht="12.75" customHeight="1" x14ac:dyDescent="0.3"/>
    <row r="504" s="1" customFormat="1" ht="12.75" customHeight="1" x14ac:dyDescent="0.3"/>
    <row r="505" s="1" customFormat="1" ht="12.75" customHeight="1" x14ac:dyDescent="0.3"/>
    <row r="506" s="1" customFormat="1" ht="12.75" customHeight="1" x14ac:dyDescent="0.3"/>
    <row r="507" s="1" customFormat="1" ht="12.75" customHeight="1" x14ac:dyDescent="0.3"/>
    <row r="508" s="1" customFormat="1" ht="12.75" customHeight="1" x14ac:dyDescent="0.3"/>
    <row r="509" s="1" customFormat="1" ht="12.75" customHeight="1" x14ac:dyDescent="0.3"/>
    <row r="510" s="1" customFormat="1" ht="12.75" customHeight="1" x14ac:dyDescent="0.3"/>
    <row r="511" s="1" customFormat="1" ht="12.75" customHeight="1" x14ac:dyDescent="0.3"/>
    <row r="512" s="1" customFormat="1" ht="12.75" customHeight="1" x14ac:dyDescent="0.3"/>
    <row r="513" s="1" customFormat="1" ht="12.75" customHeight="1" x14ac:dyDescent="0.3"/>
    <row r="514" s="1" customFormat="1" ht="12.75" customHeight="1" x14ac:dyDescent="0.3"/>
    <row r="515" s="1" customFormat="1" ht="12.75" customHeight="1" x14ac:dyDescent="0.3"/>
    <row r="516" s="1" customFormat="1" ht="12.75" customHeight="1" x14ac:dyDescent="0.3"/>
    <row r="517" s="1" customFormat="1" ht="12.75" customHeight="1" x14ac:dyDescent="0.3"/>
    <row r="518" s="1" customFormat="1" ht="12.75" customHeight="1" x14ac:dyDescent="0.3"/>
    <row r="519" s="1" customFormat="1" ht="12.75" customHeight="1" x14ac:dyDescent="0.3"/>
    <row r="520" s="1" customFormat="1" ht="12.75" customHeight="1" x14ac:dyDescent="0.3"/>
    <row r="521" s="1" customFormat="1" ht="12.75" customHeight="1" x14ac:dyDescent="0.3"/>
    <row r="522" s="1" customFormat="1" ht="12.75" customHeight="1" x14ac:dyDescent="0.3"/>
    <row r="523" s="1" customFormat="1" ht="12.75" customHeight="1" x14ac:dyDescent="0.3"/>
    <row r="524" s="1" customFormat="1" ht="12.75" customHeight="1" x14ac:dyDescent="0.3"/>
    <row r="525" s="1" customFormat="1" ht="12.75" customHeight="1" x14ac:dyDescent="0.3"/>
    <row r="526" s="1" customFormat="1" ht="12.75" customHeight="1" x14ac:dyDescent="0.3"/>
    <row r="527" s="1" customFormat="1" ht="12.75" customHeight="1" x14ac:dyDescent="0.3"/>
    <row r="528" s="1" customFormat="1" ht="12.75" customHeight="1" x14ac:dyDescent="0.3"/>
    <row r="529" s="1" customFormat="1" ht="12.75" customHeight="1" x14ac:dyDescent="0.3"/>
    <row r="530" s="1" customFormat="1" ht="12.75" customHeight="1" x14ac:dyDescent="0.3"/>
    <row r="531" s="1" customFormat="1" ht="12.75" customHeight="1" x14ac:dyDescent="0.3"/>
    <row r="532" s="1" customFormat="1" ht="12.75" customHeight="1" x14ac:dyDescent="0.3"/>
    <row r="533" s="1" customFormat="1" ht="12.75" customHeight="1" x14ac:dyDescent="0.3"/>
    <row r="534" s="1" customFormat="1" ht="12.75" customHeight="1" x14ac:dyDescent="0.3"/>
    <row r="535" s="1" customFormat="1" ht="12.75" customHeight="1" x14ac:dyDescent="0.3"/>
    <row r="536" s="1" customFormat="1" ht="12.75" customHeight="1" x14ac:dyDescent="0.3"/>
    <row r="537" s="1" customFormat="1" ht="12.75" customHeight="1" x14ac:dyDescent="0.3"/>
    <row r="538" s="1" customFormat="1" ht="12.75" customHeight="1" x14ac:dyDescent="0.3"/>
    <row r="539" s="1" customFormat="1" ht="12.75" customHeight="1" x14ac:dyDescent="0.3"/>
    <row r="540" s="1" customFormat="1" ht="12.75" customHeight="1" x14ac:dyDescent="0.3"/>
    <row r="541" s="1" customFormat="1" ht="12.75" customHeight="1" x14ac:dyDescent="0.3"/>
    <row r="542" s="1" customFormat="1" ht="12.75" customHeight="1" x14ac:dyDescent="0.3"/>
    <row r="543" s="1" customFormat="1" ht="12.75" customHeight="1" x14ac:dyDescent="0.3"/>
    <row r="544" s="1" customFormat="1" ht="12.75" customHeight="1" x14ac:dyDescent="0.3"/>
    <row r="545" s="1" customFormat="1" ht="12.75" customHeight="1" x14ac:dyDescent="0.3"/>
    <row r="546" s="1" customFormat="1" ht="12.75" customHeight="1" x14ac:dyDescent="0.3"/>
    <row r="547" s="1" customFormat="1" ht="12.75" customHeight="1" x14ac:dyDescent="0.3"/>
    <row r="548" s="1" customFormat="1" ht="12.75" customHeight="1" x14ac:dyDescent="0.3"/>
    <row r="549" s="1" customFormat="1" ht="12.75" customHeight="1" x14ac:dyDescent="0.3"/>
    <row r="550" s="1" customFormat="1" ht="12.75" customHeight="1" x14ac:dyDescent="0.3"/>
    <row r="551" s="1" customFormat="1" ht="12.75" customHeight="1" x14ac:dyDescent="0.3"/>
    <row r="552" s="1" customFormat="1" ht="12.75" customHeight="1" x14ac:dyDescent="0.3"/>
    <row r="553" s="1" customFormat="1" ht="12.75" customHeight="1" x14ac:dyDescent="0.3"/>
    <row r="554" s="1" customFormat="1" ht="12.75" customHeight="1" x14ac:dyDescent="0.3"/>
    <row r="555" s="1" customFormat="1" ht="12.75" customHeight="1" x14ac:dyDescent="0.3"/>
    <row r="556" s="1" customFormat="1" ht="12.75" customHeight="1" x14ac:dyDescent="0.3"/>
    <row r="557" s="1" customFormat="1" ht="12.75" customHeight="1" x14ac:dyDescent="0.3"/>
    <row r="558" s="1" customFormat="1" ht="12.75" customHeight="1" x14ac:dyDescent="0.3"/>
    <row r="559" s="1" customFormat="1" ht="12.75" customHeight="1" x14ac:dyDescent="0.3"/>
    <row r="560" s="1" customFormat="1" ht="12.75" customHeight="1" x14ac:dyDescent="0.3"/>
    <row r="561" s="1" customFormat="1" ht="12.75" customHeight="1" x14ac:dyDescent="0.3"/>
    <row r="562" s="1" customFormat="1" ht="12.75" customHeight="1" x14ac:dyDescent="0.3"/>
    <row r="563" s="1" customFormat="1" ht="12.75" customHeight="1" x14ac:dyDescent="0.3"/>
    <row r="564" s="1" customFormat="1" ht="12.75" customHeight="1" x14ac:dyDescent="0.3"/>
    <row r="565" s="1" customFormat="1" ht="12.75" customHeight="1" x14ac:dyDescent="0.3"/>
    <row r="566" s="1" customFormat="1" ht="12.75" customHeight="1" x14ac:dyDescent="0.3"/>
    <row r="567" s="1" customFormat="1" ht="12.75" customHeight="1" x14ac:dyDescent="0.3"/>
    <row r="568" s="1" customFormat="1" ht="12.75" customHeight="1" x14ac:dyDescent="0.3"/>
    <row r="569" s="1" customFormat="1" ht="12.75" customHeight="1" x14ac:dyDescent="0.3"/>
    <row r="570" s="1" customFormat="1" ht="12.75" customHeight="1" x14ac:dyDescent="0.3"/>
    <row r="571" s="1" customFormat="1" ht="12.75" customHeight="1" x14ac:dyDescent="0.3"/>
    <row r="572" s="1" customFormat="1" ht="12.75" customHeight="1" x14ac:dyDescent="0.3"/>
    <row r="573" s="1" customFormat="1" ht="12.75" customHeight="1" x14ac:dyDescent="0.3"/>
    <row r="574" s="1" customFormat="1" ht="12.75" customHeight="1" x14ac:dyDescent="0.3"/>
    <row r="575" s="1" customFormat="1" ht="12.75" customHeight="1" x14ac:dyDescent="0.3"/>
    <row r="576" s="1" customFormat="1" ht="12.75" customHeight="1" x14ac:dyDescent="0.3"/>
    <row r="577" s="1" customFormat="1" ht="12.75" customHeight="1" x14ac:dyDescent="0.3"/>
    <row r="578" s="1" customFormat="1" ht="12.75" customHeight="1" x14ac:dyDescent="0.3"/>
    <row r="579" s="1" customFormat="1" ht="12.75" customHeight="1" x14ac:dyDescent="0.3"/>
    <row r="580" s="1" customFormat="1" ht="12.75" customHeight="1" x14ac:dyDescent="0.3"/>
    <row r="581" s="1" customFormat="1" ht="12.75" customHeight="1" x14ac:dyDescent="0.3"/>
    <row r="582" s="1" customFormat="1" ht="12.75" customHeight="1" x14ac:dyDescent="0.3"/>
    <row r="583" s="1" customFormat="1" ht="12.75" customHeight="1" x14ac:dyDescent="0.3"/>
    <row r="584" s="1" customFormat="1" ht="12.75" customHeight="1" x14ac:dyDescent="0.3"/>
    <row r="585" s="1" customFormat="1" ht="12.75" customHeight="1" x14ac:dyDescent="0.3"/>
    <row r="586" s="1" customFormat="1" ht="12.75" customHeight="1" x14ac:dyDescent="0.3"/>
    <row r="587" s="1" customFormat="1" ht="12.75" customHeight="1" x14ac:dyDescent="0.3"/>
    <row r="588" s="1" customFormat="1" ht="12.75" customHeight="1" x14ac:dyDescent="0.3"/>
    <row r="589" s="1" customFormat="1" ht="12.75" customHeight="1" x14ac:dyDescent="0.3"/>
    <row r="590" s="1" customFormat="1" ht="12.75" customHeight="1" x14ac:dyDescent="0.3"/>
    <row r="591" s="1" customFormat="1" ht="12.75" customHeight="1" x14ac:dyDescent="0.3"/>
    <row r="592" s="1" customFormat="1" ht="12.75" customHeight="1" x14ac:dyDescent="0.3"/>
    <row r="593" s="1" customFormat="1" ht="12.75" customHeight="1" x14ac:dyDescent="0.3"/>
    <row r="594" s="1" customFormat="1" ht="12.75" customHeight="1" x14ac:dyDescent="0.3"/>
    <row r="595" s="1" customFormat="1" ht="12.75" customHeight="1" x14ac:dyDescent="0.3"/>
    <row r="596" s="1" customFormat="1" ht="12.75" customHeight="1" x14ac:dyDescent="0.3"/>
    <row r="597" s="1" customFormat="1" ht="12.75" customHeight="1" x14ac:dyDescent="0.3"/>
    <row r="598" s="1" customFormat="1" ht="12.75" customHeight="1" x14ac:dyDescent="0.3"/>
    <row r="599" s="1" customFormat="1" ht="12.75" customHeight="1" x14ac:dyDescent="0.3"/>
    <row r="600" s="1" customFormat="1" ht="12.75" customHeight="1" x14ac:dyDescent="0.3"/>
    <row r="601" s="1" customFormat="1" ht="12.75" customHeight="1" x14ac:dyDescent="0.3"/>
    <row r="602" s="1" customFormat="1" ht="12.75" customHeight="1" x14ac:dyDescent="0.3"/>
    <row r="603" s="1" customFormat="1" ht="12.75" customHeight="1" x14ac:dyDescent="0.3"/>
    <row r="604" s="1" customFormat="1" ht="12.75" customHeight="1" x14ac:dyDescent="0.3"/>
    <row r="605" s="1" customFormat="1" ht="12.75" customHeight="1" x14ac:dyDescent="0.3"/>
    <row r="606" s="1" customFormat="1" ht="12.75" customHeight="1" x14ac:dyDescent="0.3"/>
    <row r="607" s="1" customFormat="1" ht="12.75" customHeight="1" x14ac:dyDescent="0.3"/>
    <row r="608" s="1" customFormat="1" ht="12.75" customHeight="1" x14ac:dyDescent="0.3"/>
    <row r="609" s="1" customFormat="1" ht="12.75" customHeight="1" x14ac:dyDescent="0.3"/>
    <row r="610" s="1" customFormat="1" ht="12.75" customHeight="1" x14ac:dyDescent="0.3"/>
    <row r="611" s="1" customFormat="1" ht="12.75" customHeight="1" x14ac:dyDescent="0.3"/>
    <row r="612" s="1" customFormat="1" ht="12.75" customHeight="1" x14ac:dyDescent="0.3"/>
    <row r="613" s="1" customFormat="1" ht="12.75" customHeight="1" x14ac:dyDescent="0.3"/>
    <row r="614" s="1" customFormat="1" ht="12.75" customHeight="1" x14ac:dyDescent="0.3"/>
    <row r="615" s="1" customFormat="1" ht="12.75" customHeight="1" x14ac:dyDescent="0.3"/>
    <row r="616" s="1" customFormat="1" ht="12.75" customHeight="1" x14ac:dyDescent="0.3"/>
    <row r="617" s="1" customFormat="1" ht="12.75" customHeight="1" x14ac:dyDescent="0.3"/>
    <row r="618" s="1" customFormat="1" ht="12.75" customHeight="1" x14ac:dyDescent="0.3"/>
    <row r="619" s="1" customFormat="1" ht="12.75" customHeight="1" x14ac:dyDescent="0.3"/>
    <row r="620" s="1" customFormat="1" ht="12.75" customHeight="1" x14ac:dyDescent="0.3"/>
    <row r="621" s="1" customFormat="1" ht="12.75" customHeight="1" x14ac:dyDescent="0.3"/>
    <row r="622" s="1" customFormat="1" ht="12.75" customHeight="1" x14ac:dyDescent="0.3"/>
    <row r="623" s="1" customFormat="1" ht="12.75" customHeight="1" x14ac:dyDescent="0.3"/>
    <row r="624" s="1" customFormat="1" ht="12.75" customHeight="1" x14ac:dyDescent="0.3"/>
    <row r="625" s="1" customFormat="1" ht="12.75" customHeight="1" x14ac:dyDescent="0.3"/>
    <row r="626" s="1" customFormat="1" ht="12.75" customHeight="1" x14ac:dyDescent="0.3"/>
    <row r="627" s="1" customFormat="1" ht="12.75" customHeight="1" x14ac:dyDescent="0.3"/>
    <row r="628" s="1" customFormat="1" ht="12.75" customHeight="1" x14ac:dyDescent="0.3"/>
    <row r="629" s="1" customFormat="1" ht="12.75" customHeight="1" x14ac:dyDescent="0.3"/>
    <row r="630" s="1" customFormat="1" ht="12.75" customHeight="1" x14ac:dyDescent="0.3"/>
    <row r="631" s="1" customFormat="1" ht="12.75" customHeight="1" x14ac:dyDescent="0.3"/>
    <row r="632" s="1" customFormat="1" ht="12.75" customHeight="1" x14ac:dyDescent="0.3"/>
    <row r="633" s="1" customFormat="1" ht="12.75" customHeight="1" x14ac:dyDescent="0.3"/>
    <row r="634" s="1" customFormat="1" ht="12.75" customHeight="1" x14ac:dyDescent="0.3"/>
    <row r="635" s="1" customFormat="1" ht="12.75" customHeight="1" x14ac:dyDescent="0.3"/>
    <row r="636" s="1" customFormat="1" ht="12.75" customHeight="1" x14ac:dyDescent="0.3"/>
    <row r="637" s="1" customFormat="1" ht="12.75" customHeight="1" x14ac:dyDescent="0.3"/>
    <row r="638" s="1" customFormat="1" ht="12.75" customHeight="1" x14ac:dyDescent="0.3"/>
    <row r="639" s="1" customFormat="1" ht="12.75" customHeight="1" x14ac:dyDescent="0.3"/>
    <row r="640" s="1" customFormat="1" ht="12.75" customHeight="1" x14ac:dyDescent="0.3"/>
    <row r="641" s="1" customFormat="1" ht="12.75" customHeight="1" x14ac:dyDescent="0.3"/>
    <row r="642" s="1" customFormat="1" ht="12.75" customHeight="1" x14ac:dyDescent="0.3"/>
    <row r="643" s="1" customFormat="1" ht="12.75" customHeight="1" x14ac:dyDescent="0.3"/>
    <row r="644" s="1" customFormat="1" ht="12.75" customHeight="1" x14ac:dyDescent="0.3"/>
    <row r="645" s="1" customFormat="1" ht="12.75" customHeight="1" x14ac:dyDescent="0.3"/>
    <row r="646" s="1" customFormat="1" ht="12.75" customHeight="1" x14ac:dyDescent="0.3"/>
    <row r="647" s="1" customFormat="1" ht="12.75" customHeight="1" x14ac:dyDescent="0.3"/>
    <row r="648" s="1" customFormat="1" ht="12.75" customHeight="1" x14ac:dyDescent="0.3"/>
    <row r="649" s="1" customFormat="1" ht="12.75" customHeight="1" x14ac:dyDescent="0.3"/>
    <row r="650" s="1" customFormat="1" ht="12.75" customHeight="1" x14ac:dyDescent="0.3"/>
    <row r="651" s="1" customFormat="1" ht="12.75" customHeight="1" x14ac:dyDescent="0.3"/>
    <row r="652" s="1" customFormat="1" ht="12.75" customHeight="1" x14ac:dyDescent="0.3"/>
    <row r="653" s="1" customFormat="1" ht="12.75" customHeight="1" x14ac:dyDescent="0.3"/>
    <row r="654" s="1" customFormat="1" ht="12.75" customHeight="1" x14ac:dyDescent="0.3"/>
    <row r="655" s="1" customFormat="1" ht="12.75" customHeight="1" x14ac:dyDescent="0.3"/>
    <row r="656" s="1" customFormat="1" ht="12.75" customHeight="1" x14ac:dyDescent="0.3"/>
    <row r="657" s="1" customFormat="1" ht="12.75" customHeight="1" x14ac:dyDescent="0.3"/>
    <row r="658" s="1" customFormat="1" ht="12.75" customHeight="1" x14ac:dyDescent="0.3"/>
    <row r="659" s="1" customFormat="1" ht="12.75" customHeight="1" x14ac:dyDescent="0.3"/>
    <row r="660" s="1" customFormat="1" ht="12.75" customHeight="1" x14ac:dyDescent="0.3"/>
    <row r="661" s="1" customFormat="1" ht="12.75" customHeight="1" x14ac:dyDescent="0.3"/>
    <row r="662" s="1" customFormat="1" ht="12.75" customHeight="1" x14ac:dyDescent="0.3"/>
    <row r="663" s="1" customFormat="1" ht="12.75" customHeight="1" x14ac:dyDescent="0.3"/>
    <row r="664" s="1" customFormat="1" ht="12.75" customHeight="1" x14ac:dyDescent="0.3"/>
    <row r="665" s="1" customFormat="1" ht="12.75" customHeight="1" x14ac:dyDescent="0.3"/>
    <row r="666" s="1" customFormat="1" ht="12.75" customHeight="1" x14ac:dyDescent="0.3"/>
    <row r="667" s="1" customFormat="1" ht="12.75" customHeight="1" x14ac:dyDescent="0.3"/>
    <row r="668" s="1" customFormat="1" ht="12.75" customHeight="1" x14ac:dyDescent="0.3"/>
    <row r="669" s="1" customFormat="1" ht="12.75" customHeight="1" x14ac:dyDescent="0.3"/>
    <row r="670" s="1" customFormat="1" ht="12.75" customHeight="1" x14ac:dyDescent="0.3"/>
    <row r="671" s="1" customFormat="1" ht="12.75" customHeight="1" x14ac:dyDescent="0.3"/>
    <row r="672" s="1" customFormat="1" ht="12.75" customHeight="1" x14ac:dyDescent="0.3"/>
    <row r="673" s="1" customFormat="1" ht="12.75" customHeight="1" x14ac:dyDescent="0.3"/>
    <row r="674" s="1" customFormat="1" ht="12.75" customHeight="1" x14ac:dyDescent="0.3"/>
    <row r="675" s="1" customFormat="1" ht="12.75" customHeight="1" x14ac:dyDescent="0.3"/>
    <row r="676" s="1" customFormat="1" ht="12.75" customHeight="1" x14ac:dyDescent="0.3"/>
    <row r="677" s="1" customFormat="1" ht="12.75" customHeight="1" x14ac:dyDescent="0.3"/>
    <row r="678" s="1" customFormat="1" ht="12.75" customHeight="1" x14ac:dyDescent="0.3"/>
    <row r="679" s="1" customFormat="1" ht="12.75" customHeight="1" x14ac:dyDescent="0.3"/>
    <row r="680" s="1" customFormat="1" ht="12.75" customHeight="1" x14ac:dyDescent="0.3"/>
    <row r="681" s="1" customFormat="1" ht="12.75" customHeight="1" x14ac:dyDescent="0.3"/>
    <row r="682" s="1" customFormat="1" ht="12.75" customHeight="1" x14ac:dyDescent="0.3"/>
    <row r="683" s="1" customFormat="1" ht="12.75" customHeight="1" x14ac:dyDescent="0.3"/>
    <row r="684" s="1" customFormat="1" ht="12.75" customHeight="1" x14ac:dyDescent="0.3"/>
    <row r="685" s="1" customFormat="1" ht="12.75" customHeight="1" x14ac:dyDescent="0.3"/>
    <row r="686" s="1" customFormat="1" ht="12.75" customHeight="1" x14ac:dyDescent="0.3"/>
    <row r="687" s="1" customFormat="1" ht="12.75" customHeight="1" x14ac:dyDescent="0.3"/>
    <row r="688" s="1" customFormat="1" ht="12.75" customHeight="1" x14ac:dyDescent="0.3"/>
    <row r="689" s="1" customFormat="1" ht="12.75" customHeight="1" x14ac:dyDescent="0.3"/>
    <row r="690" s="1" customFormat="1" ht="12.75" customHeight="1" x14ac:dyDescent="0.3"/>
    <row r="691" s="1" customFormat="1" ht="12.75" customHeight="1" x14ac:dyDescent="0.3"/>
    <row r="692" s="1" customFormat="1" ht="12.75" customHeight="1" x14ac:dyDescent="0.3"/>
    <row r="693" s="1" customFormat="1" ht="12.75" customHeight="1" x14ac:dyDescent="0.3"/>
    <row r="694" s="1" customFormat="1" ht="12.75" customHeight="1" x14ac:dyDescent="0.3"/>
    <row r="695" s="1" customFormat="1" ht="12.75" customHeight="1" x14ac:dyDescent="0.3"/>
    <row r="696" s="1" customFormat="1" ht="12.75" customHeight="1" x14ac:dyDescent="0.3"/>
    <row r="697" s="1" customFormat="1" ht="12.75" customHeight="1" x14ac:dyDescent="0.3"/>
    <row r="698" s="1" customFormat="1" ht="12.75" customHeight="1" x14ac:dyDescent="0.3"/>
    <row r="699" s="1" customFormat="1" ht="12.75" customHeight="1" x14ac:dyDescent="0.3"/>
    <row r="700" s="1" customFormat="1" ht="12.75" customHeight="1" x14ac:dyDescent="0.3"/>
    <row r="701" s="1" customFormat="1" ht="12.75" customHeight="1" x14ac:dyDescent="0.3"/>
    <row r="702" s="1" customFormat="1" ht="12.75" customHeight="1" x14ac:dyDescent="0.3"/>
    <row r="703" s="1" customFormat="1" ht="12.75" customHeight="1" x14ac:dyDescent="0.3"/>
    <row r="704" s="1" customFormat="1" ht="12.75" customHeight="1" x14ac:dyDescent="0.3"/>
    <row r="705" s="1" customFormat="1" ht="12.75" customHeight="1" x14ac:dyDescent="0.3"/>
    <row r="706" s="1" customFormat="1" ht="12.75" customHeight="1" x14ac:dyDescent="0.3"/>
    <row r="707" s="1" customFormat="1" ht="12.75" customHeight="1" x14ac:dyDescent="0.3"/>
    <row r="708" s="1" customFormat="1" ht="12.75" customHeight="1" x14ac:dyDescent="0.3"/>
    <row r="709" s="1" customFormat="1" ht="12.75" customHeight="1" x14ac:dyDescent="0.3"/>
    <row r="710" s="1" customFormat="1" ht="12.75" customHeight="1" x14ac:dyDescent="0.3"/>
    <row r="711" s="1" customFormat="1" ht="12.75" customHeight="1" x14ac:dyDescent="0.3"/>
    <row r="712" s="1" customFormat="1" ht="12.75" customHeight="1" x14ac:dyDescent="0.3"/>
    <row r="713" s="1" customFormat="1" ht="12.75" customHeight="1" x14ac:dyDescent="0.3"/>
    <row r="714" s="1" customFormat="1" ht="12.75" customHeight="1" x14ac:dyDescent="0.3"/>
    <row r="715" s="1" customFormat="1" ht="12.75" customHeight="1" x14ac:dyDescent="0.3"/>
    <row r="716" s="1" customFormat="1" ht="12.75" customHeight="1" x14ac:dyDescent="0.3"/>
    <row r="717" s="1" customFormat="1" ht="12.75" customHeight="1" x14ac:dyDescent="0.3"/>
    <row r="718" s="1" customFormat="1" ht="12.75" customHeight="1" x14ac:dyDescent="0.3"/>
    <row r="719" s="1" customFormat="1" ht="12.75" customHeight="1" x14ac:dyDescent="0.3"/>
    <row r="720" s="1" customFormat="1" ht="12.75" customHeight="1" x14ac:dyDescent="0.3"/>
    <row r="721" s="1" customFormat="1" ht="12.75" customHeight="1" x14ac:dyDescent="0.3"/>
    <row r="722" s="1" customFormat="1" ht="12.75" customHeight="1" x14ac:dyDescent="0.3"/>
    <row r="723" s="1" customFormat="1" ht="12.75" customHeight="1" x14ac:dyDescent="0.3"/>
    <row r="724" s="1" customFormat="1" ht="12.75" customHeight="1" x14ac:dyDescent="0.3"/>
    <row r="725" s="1" customFormat="1" ht="12.75" customHeight="1" x14ac:dyDescent="0.3"/>
    <row r="726" s="1" customFormat="1" ht="12.75" customHeight="1" x14ac:dyDescent="0.3"/>
    <row r="727" s="1" customFormat="1" ht="12.75" customHeight="1" x14ac:dyDescent="0.3"/>
    <row r="728" s="1" customFormat="1" ht="12.75" customHeight="1" x14ac:dyDescent="0.3"/>
    <row r="729" s="1" customFormat="1" ht="12.75" customHeight="1" x14ac:dyDescent="0.3"/>
    <row r="730" s="1" customFormat="1" ht="12.75" customHeight="1" x14ac:dyDescent="0.3"/>
    <row r="731" s="1" customFormat="1" ht="12.75" customHeight="1" x14ac:dyDescent="0.3"/>
    <row r="732" s="1" customFormat="1" ht="12.75" customHeight="1" x14ac:dyDescent="0.3"/>
    <row r="733" s="1" customFormat="1" ht="12.75" customHeight="1" x14ac:dyDescent="0.3"/>
    <row r="734" s="1" customFormat="1" ht="12.75" customHeight="1" x14ac:dyDescent="0.3"/>
    <row r="735" s="1" customFormat="1" ht="12.75" customHeight="1" x14ac:dyDescent="0.3"/>
    <row r="736" s="1" customFormat="1" ht="12.75" customHeight="1" x14ac:dyDescent="0.3"/>
    <row r="737" s="1" customFormat="1" ht="12.75" customHeight="1" x14ac:dyDescent="0.3"/>
    <row r="738" s="1" customFormat="1" ht="12.75" customHeight="1" x14ac:dyDescent="0.3"/>
    <row r="739" s="1" customFormat="1" ht="12.75" customHeight="1" x14ac:dyDescent="0.3"/>
    <row r="740" s="1" customFormat="1" ht="12.75" customHeight="1" x14ac:dyDescent="0.3"/>
    <row r="741" s="1" customFormat="1" ht="12.75" customHeight="1" x14ac:dyDescent="0.3"/>
    <row r="742" s="1" customFormat="1" ht="12.75" customHeight="1" x14ac:dyDescent="0.3"/>
    <row r="743" s="1" customFormat="1" ht="12.75" customHeight="1" x14ac:dyDescent="0.3"/>
    <row r="744" s="1" customFormat="1" ht="12.75" customHeight="1" x14ac:dyDescent="0.3"/>
    <row r="745" s="1" customFormat="1" ht="12.75" customHeight="1" x14ac:dyDescent="0.3"/>
    <row r="746" s="1" customFormat="1" ht="12.75" customHeight="1" x14ac:dyDescent="0.3"/>
    <row r="747" s="1" customFormat="1" ht="12.75" customHeight="1" x14ac:dyDescent="0.3"/>
    <row r="748" s="1" customFormat="1" ht="12.75" customHeight="1" x14ac:dyDescent="0.3"/>
    <row r="749" s="1" customFormat="1" ht="12.75" customHeight="1" x14ac:dyDescent="0.3"/>
    <row r="750" s="1" customFormat="1" ht="12.75" customHeight="1" x14ac:dyDescent="0.3"/>
    <row r="751" s="1" customFormat="1" ht="12.75" customHeight="1" x14ac:dyDescent="0.3"/>
    <row r="752" s="1" customFormat="1" ht="12.75" customHeight="1" x14ac:dyDescent="0.3"/>
    <row r="753" s="1" customFormat="1" ht="12.75" customHeight="1" x14ac:dyDescent="0.3"/>
    <row r="754" s="1" customFormat="1" ht="12.75" customHeight="1" x14ac:dyDescent="0.3"/>
    <row r="755" s="1" customFormat="1" ht="12.75" customHeight="1" x14ac:dyDescent="0.3"/>
    <row r="756" s="1" customFormat="1" ht="12.75" customHeight="1" x14ac:dyDescent="0.3"/>
    <row r="757" s="1" customFormat="1" ht="12.75" customHeight="1" x14ac:dyDescent="0.3"/>
    <row r="758" s="1" customFormat="1" ht="12.75" customHeight="1" x14ac:dyDescent="0.3"/>
    <row r="759" s="1" customFormat="1" ht="12.75" customHeight="1" x14ac:dyDescent="0.3"/>
    <row r="760" s="1" customFormat="1" ht="12.75" customHeight="1" x14ac:dyDescent="0.3"/>
    <row r="761" s="1" customFormat="1" ht="12.75" customHeight="1" x14ac:dyDescent="0.3"/>
    <row r="762" s="1" customFormat="1" ht="12.75" customHeight="1" x14ac:dyDescent="0.3"/>
    <row r="763" s="1" customFormat="1" ht="12.75" customHeight="1" x14ac:dyDescent="0.3"/>
    <row r="764" s="1" customFormat="1" ht="12.75" customHeight="1" x14ac:dyDescent="0.3"/>
    <row r="765" s="1" customFormat="1" ht="12.75" customHeight="1" x14ac:dyDescent="0.3"/>
    <row r="766" s="1" customFormat="1" ht="12.75" customHeight="1" x14ac:dyDescent="0.3"/>
    <row r="767" s="1" customFormat="1" ht="12.75" customHeight="1" x14ac:dyDescent="0.3"/>
    <row r="768" s="1" customFormat="1" ht="12.75" customHeight="1" x14ac:dyDescent="0.3"/>
    <row r="769" s="1" customFormat="1" ht="12.75" customHeight="1" x14ac:dyDescent="0.3"/>
    <row r="770" s="1" customFormat="1" ht="12.75" customHeight="1" x14ac:dyDescent="0.3"/>
    <row r="771" s="1" customFormat="1" ht="12.75" customHeight="1" x14ac:dyDescent="0.3"/>
    <row r="772" s="1" customFormat="1" ht="12.75" customHeight="1" x14ac:dyDescent="0.3"/>
    <row r="773" s="1" customFormat="1" ht="12.75" customHeight="1" x14ac:dyDescent="0.3"/>
    <row r="774" s="1" customFormat="1" ht="12.75" customHeight="1" x14ac:dyDescent="0.3"/>
    <row r="775" s="1" customFormat="1" ht="12.75" customHeight="1" x14ac:dyDescent="0.3"/>
    <row r="776" s="1" customFormat="1" ht="12.75" customHeight="1" x14ac:dyDescent="0.3"/>
    <row r="777" s="1" customFormat="1" ht="12.75" customHeight="1" x14ac:dyDescent="0.3"/>
    <row r="778" s="1" customFormat="1" ht="12.75" customHeight="1" x14ac:dyDescent="0.3"/>
    <row r="779" s="1" customFormat="1" ht="12.75" customHeight="1" x14ac:dyDescent="0.3"/>
    <row r="780" s="1" customFormat="1" ht="12.75" customHeight="1" x14ac:dyDescent="0.3"/>
    <row r="781" s="1" customFormat="1" ht="12.75" customHeight="1" x14ac:dyDescent="0.3"/>
    <row r="782" s="1" customFormat="1" ht="12.75" customHeight="1" x14ac:dyDescent="0.3"/>
    <row r="783" s="1" customFormat="1" ht="12.75" customHeight="1" x14ac:dyDescent="0.3"/>
    <row r="784" s="1" customFormat="1" ht="12.75" customHeight="1" x14ac:dyDescent="0.3"/>
    <row r="785" s="1" customFormat="1" ht="12.75" customHeight="1" x14ac:dyDescent="0.3"/>
    <row r="786" s="1" customFormat="1" ht="12.75" customHeight="1" x14ac:dyDescent="0.3"/>
    <row r="787" s="1" customFormat="1" ht="12.75" customHeight="1" x14ac:dyDescent="0.3"/>
    <row r="788" s="1" customFormat="1" ht="12.75" customHeight="1" x14ac:dyDescent="0.3"/>
    <row r="789" s="1" customFormat="1" ht="12.75" customHeight="1" x14ac:dyDescent="0.3"/>
    <row r="790" s="1" customFormat="1" ht="12.75" customHeight="1" x14ac:dyDescent="0.3"/>
    <row r="791" s="1" customFormat="1" ht="12.75" customHeight="1" x14ac:dyDescent="0.3"/>
    <row r="792" s="1" customFormat="1" ht="12.75" customHeight="1" x14ac:dyDescent="0.3"/>
    <row r="793" s="1" customFormat="1" ht="12.75" customHeight="1" x14ac:dyDescent="0.3"/>
    <row r="794" s="1" customFormat="1" ht="12.75" customHeight="1" x14ac:dyDescent="0.3"/>
    <row r="795" s="1" customFormat="1" ht="12.75" customHeight="1" x14ac:dyDescent="0.3"/>
    <row r="796" s="1" customFormat="1" ht="12.75" customHeight="1" x14ac:dyDescent="0.3"/>
    <row r="797" s="1" customFormat="1" ht="12.75" customHeight="1" x14ac:dyDescent="0.3"/>
    <row r="798" s="1" customFormat="1" ht="12.75" customHeight="1" x14ac:dyDescent="0.3"/>
    <row r="799" s="1" customFormat="1" ht="12.75" customHeight="1" x14ac:dyDescent="0.3"/>
    <row r="800" s="1" customFormat="1" ht="12.75" customHeight="1" x14ac:dyDescent="0.3"/>
    <row r="801" s="1" customFormat="1" ht="12.75" customHeight="1" x14ac:dyDescent="0.3"/>
    <row r="802" s="1" customFormat="1" ht="12.75" customHeight="1" x14ac:dyDescent="0.3"/>
    <row r="803" s="1" customFormat="1" ht="12.75" customHeight="1" x14ac:dyDescent="0.3"/>
    <row r="804" s="1" customFormat="1" ht="12.75" customHeight="1" x14ac:dyDescent="0.3"/>
    <row r="805" s="1" customFormat="1" ht="12.75" customHeight="1" x14ac:dyDescent="0.3"/>
    <row r="806" s="1" customFormat="1" ht="12.75" customHeight="1" x14ac:dyDescent="0.3"/>
    <row r="807" s="1" customFormat="1" ht="12.75" customHeight="1" x14ac:dyDescent="0.3"/>
    <row r="808" s="1" customFormat="1" ht="12.75" customHeight="1" x14ac:dyDescent="0.3"/>
    <row r="809" s="1" customFormat="1" ht="12.75" customHeight="1" x14ac:dyDescent="0.3"/>
    <row r="810" s="1" customFormat="1" ht="12.75" customHeight="1" x14ac:dyDescent="0.3"/>
    <row r="811" s="1" customFormat="1" ht="12.75" customHeight="1" x14ac:dyDescent="0.3"/>
    <row r="812" s="1" customFormat="1" ht="12.75" customHeight="1" x14ac:dyDescent="0.3"/>
    <row r="813" s="1" customFormat="1" ht="12.75" customHeight="1" x14ac:dyDescent="0.3"/>
    <row r="814" s="1" customFormat="1" ht="12.75" customHeight="1" x14ac:dyDescent="0.3"/>
    <row r="815" s="1" customFormat="1" ht="12.75" customHeight="1" x14ac:dyDescent="0.3"/>
    <row r="816" s="1" customFormat="1" ht="12.75" customHeight="1" x14ac:dyDescent="0.3"/>
    <row r="817" s="1" customFormat="1" ht="12.75" customHeight="1" x14ac:dyDescent="0.3"/>
    <row r="818" s="1" customFormat="1" ht="12.75" customHeight="1" x14ac:dyDescent="0.3"/>
    <row r="819" s="1" customFormat="1" ht="12.75" customHeight="1" x14ac:dyDescent="0.3"/>
    <row r="820" s="1" customFormat="1" ht="12.75" customHeight="1" x14ac:dyDescent="0.3"/>
    <row r="821" s="1" customFormat="1" ht="12.75" customHeight="1" x14ac:dyDescent="0.3"/>
    <row r="822" s="1" customFormat="1" ht="12.75" customHeight="1" x14ac:dyDescent="0.3"/>
    <row r="823" s="1" customFormat="1" ht="12.75" customHeight="1" x14ac:dyDescent="0.3"/>
    <row r="824" s="1" customFormat="1" ht="12.75" customHeight="1" x14ac:dyDescent="0.3"/>
    <row r="825" s="1" customFormat="1" ht="12.75" customHeight="1" x14ac:dyDescent="0.3"/>
    <row r="826" s="1" customFormat="1" ht="12.75" customHeight="1" x14ac:dyDescent="0.3"/>
    <row r="827" s="1" customFormat="1" ht="12.75" customHeight="1" x14ac:dyDescent="0.3"/>
    <row r="828" s="1" customFormat="1" ht="12.75" customHeight="1" x14ac:dyDescent="0.3"/>
    <row r="829" s="1" customFormat="1" ht="12.75" customHeight="1" x14ac:dyDescent="0.3"/>
    <row r="830" s="1" customFormat="1" ht="12.75" customHeight="1" x14ac:dyDescent="0.3"/>
    <row r="831" s="1" customFormat="1" ht="12.75" customHeight="1" x14ac:dyDescent="0.3"/>
    <row r="832" s="1" customFormat="1" ht="12.75" customHeight="1" x14ac:dyDescent="0.3"/>
    <row r="833" s="1" customFormat="1" ht="12.75" customHeight="1" x14ac:dyDescent="0.3"/>
    <row r="834" s="1" customFormat="1" ht="12.75" customHeight="1" x14ac:dyDescent="0.3"/>
    <row r="835" s="1" customFormat="1" ht="12.75" customHeight="1" x14ac:dyDescent="0.3"/>
    <row r="836" s="1" customFormat="1" ht="12.75" customHeight="1" x14ac:dyDescent="0.3"/>
    <row r="837" s="1" customFormat="1" ht="12.75" customHeight="1" x14ac:dyDescent="0.3"/>
    <row r="838" s="1" customFormat="1" ht="12.75" customHeight="1" x14ac:dyDescent="0.3"/>
    <row r="839" s="1" customFormat="1" ht="12.75" customHeight="1" x14ac:dyDescent="0.3"/>
    <row r="840" s="1" customFormat="1" ht="12.75" customHeight="1" x14ac:dyDescent="0.3"/>
    <row r="841" s="1" customFormat="1" ht="12.75" customHeight="1" x14ac:dyDescent="0.3"/>
    <row r="842" s="1" customFormat="1" ht="12.75" customHeight="1" x14ac:dyDescent="0.3"/>
    <row r="843" s="1" customFormat="1" ht="12.75" customHeight="1" x14ac:dyDescent="0.3"/>
    <row r="844" s="1" customFormat="1" ht="12.75" customHeight="1" x14ac:dyDescent="0.3"/>
    <row r="845" s="1" customFormat="1" ht="12.75" customHeight="1" x14ac:dyDescent="0.3"/>
    <row r="846" s="1" customFormat="1" ht="12.75" customHeight="1" x14ac:dyDescent="0.3"/>
    <row r="847" s="1" customFormat="1" ht="12.75" customHeight="1" x14ac:dyDescent="0.3"/>
    <row r="848" s="1" customFormat="1" ht="12.75" customHeight="1" x14ac:dyDescent="0.3"/>
    <row r="849" s="1" customFormat="1" ht="12.75" customHeight="1" x14ac:dyDescent="0.3"/>
    <row r="850" s="1" customFormat="1" ht="12.75" customHeight="1" x14ac:dyDescent="0.3"/>
    <row r="851" s="1" customFormat="1" ht="12.75" customHeight="1" x14ac:dyDescent="0.3"/>
    <row r="852" s="1" customFormat="1" ht="12.75" customHeight="1" x14ac:dyDescent="0.3"/>
    <row r="853" s="1" customFormat="1" ht="12.75" customHeight="1" x14ac:dyDescent="0.3"/>
    <row r="854" s="1" customFormat="1" ht="12.75" customHeight="1" x14ac:dyDescent="0.3"/>
    <row r="855" s="1" customFormat="1" ht="12.75" customHeight="1" x14ac:dyDescent="0.3"/>
    <row r="856" s="1" customFormat="1" ht="12.75" customHeight="1" x14ac:dyDescent="0.3"/>
    <row r="857" s="1" customFormat="1" ht="12.75" customHeight="1" x14ac:dyDescent="0.3"/>
    <row r="858" s="1" customFormat="1" ht="12.75" customHeight="1" x14ac:dyDescent="0.3"/>
    <row r="859" s="1" customFormat="1" ht="12.75" customHeight="1" x14ac:dyDescent="0.3"/>
    <row r="860" s="1" customFormat="1" ht="12.75" customHeight="1" x14ac:dyDescent="0.3"/>
    <row r="861" s="1" customFormat="1" ht="12.75" customHeight="1" x14ac:dyDescent="0.3"/>
    <row r="862" s="1" customFormat="1" ht="12.75" customHeight="1" x14ac:dyDescent="0.3"/>
    <row r="863" s="1" customFormat="1" ht="12.75" customHeight="1" x14ac:dyDescent="0.3"/>
    <row r="864" s="1" customFormat="1" ht="12.75" customHeight="1" x14ac:dyDescent="0.3"/>
    <row r="865" s="1" customFormat="1" ht="12.75" customHeight="1" x14ac:dyDescent="0.3"/>
    <row r="866" s="1" customFormat="1" ht="12.75" customHeight="1" x14ac:dyDescent="0.3"/>
    <row r="867" s="1" customFormat="1" ht="12.75" customHeight="1" x14ac:dyDescent="0.3"/>
    <row r="868" s="1" customFormat="1" ht="12.75" customHeight="1" x14ac:dyDescent="0.3"/>
    <row r="869" s="1" customFormat="1" ht="12.75" customHeight="1" x14ac:dyDescent="0.3"/>
    <row r="870" s="1" customFormat="1" ht="12.75" customHeight="1" x14ac:dyDescent="0.3"/>
    <row r="871" s="1" customFormat="1" ht="12.75" customHeight="1" x14ac:dyDescent="0.3"/>
    <row r="872" s="1" customFormat="1" ht="12.75" customHeight="1" x14ac:dyDescent="0.3"/>
    <row r="873" s="1" customFormat="1" ht="12.75" customHeight="1" x14ac:dyDescent="0.3"/>
    <row r="874" s="1" customFormat="1" ht="12.75" customHeight="1" x14ac:dyDescent="0.3"/>
    <row r="875" s="1" customFormat="1" ht="12.75" customHeight="1" x14ac:dyDescent="0.3"/>
    <row r="876" s="1" customFormat="1" ht="12.75" customHeight="1" x14ac:dyDescent="0.3"/>
    <row r="877" s="1" customFormat="1" ht="12.75" customHeight="1" x14ac:dyDescent="0.3"/>
    <row r="878" s="1" customFormat="1" ht="12.75" customHeight="1" x14ac:dyDescent="0.3"/>
    <row r="879" s="1" customFormat="1" ht="12.75" customHeight="1" x14ac:dyDescent="0.3"/>
    <row r="880" s="1" customFormat="1" ht="12.75" customHeight="1" x14ac:dyDescent="0.3"/>
    <row r="881" s="1" customFormat="1" ht="12.75" customHeight="1" x14ac:dyDescent="0.3"/>
    <row r="882" s="1" customFormat="1" ht="12.75" customHeight="1" x14ac:dyDescent="0.3"/>
    <row r="883" s="1" customFormat="1" ht="12.75" customHeight="1" x14ac:dyDescent="0.3"/>
    <row r="884" s="1" customFormat="1" ht="12.75" customHeight="1" x14ac:dyDescent="0.3"/>
    <row r="885" s="1" customFormat="1" ht="12.75" customHeight="1" x14ac:dyDescent="0.3"/>
    <row r="886" s="1" customFormat="1" ht="12.75" customHeight="1" x14ac:dyDescent="0.3"/>
    <row r="887" s="1" customFormat="1" ht="12.75" customHeight="1" x14ac:dyDescent="0.3"/>
    <row r="888" s="1" customFormat="1" ht="12.75" customHeight="1" x14ac:dyDescent="0.3"/>
    <row r="889" s="1" customFormat="1" ht="12.75" customHeight="1" x14ac:dyDescent="0.3"/>
    <row r="890" s="1" customFormat="1" ht="12.75" customHeight="1" x14ac:dyDescent="0.3"/>
    <row r="891" s="1" customFormat="1" ht="12.75" customHeight="1" x14ac:dyDescent="0.3"/>
    <row r="892" s="1" customFormat="1" ht="12.75" customHeight="1" x14ac:dyDescent="0.3"/>
    <row r="893" s="1" customFormat="1" ht="12.75" customHeight="1" x14ac:dyDescent="0.3"/>
    <row r="894" s="1" customFormat="1" ht="12.75" customHeight="1" x14ac:dyDescent="0.3"/>
    <row r="895" s="1" customFormat="1" ht="12.75" customHeight="1" x14ac:dyDescent="0.3"/>
    <row r="896" s="1" customFormat="1" ht="12.75" customHeight="1" x14ac:dyDescent="0.3"/>
    <row r="897" s="1" customFormat="1" ht="12.75" customHeight="1" x14ac:dyDescent="0.3"/>
    <row r="898" s="1" customFormat="1" ht="12.75" customHeight="1" x14ac:dyDescent="0.3"/>
    <row r="899" s="1" customFormat="1" ht="12.75" customHeight="1" x14ac:dyDescent="0.3"/>
    <row r="900" s="1" customFormat="1" ht="12.75" customHeight="1" x14ac:dyDescent="0.3"/>
    <row r="901" s="1" customFormat="1" ht="12.75" customHeight="1" x14ac:dyDescent="0.3"/>
    <row r="902" s="1" customFormat="1" ht="12.75" customHeight="1" x14ac:dyDescent="0.3"/>
    <row r="903" s="1" customFormat="1" ht="12.75" customHeight="1" x14ac:dyDescent="0.3"/>
    <row r="904" s="1" customFormat="1" ht="12.75" customHeight="1" x14ac:dyDescent="0.3"/>
    <row r="905" s="1" customFormat="1" ht="12.75" customHeight="1" x14ac:dyDescent="0.3"/>
    <row r="906" s="1" customFormat="1" ht="12.75" customHeight="1" x14ac:dyDescent="0.3"/>
    <row r="907" s="1" customFormat="1" ht="12.75" customHeight="1" x14ac:dyDescent="0.3"/>
    <row r="908" s="1" customFormat="1" ht="12.75" customHeight="1" x14ac:dyDescent="0.3"/>
    <row r="909" s="1" customFormat="1" ht="12.75" customHeight="1" x14ac:dyDescent="0.3"/>
    <row r="910" s="1" customFormat="1" ht="12.75" customHeight="1" x14ac:dyDescent="0.3"/>
    <row r="911" s="1" customFormat="1" ht="12.75" customHeight="1" x14ac:dyDescent="0.3"/>
    <row r="912" s="1" customFormat="1" ht="12.75" customHeight="1" x14ac:dyDescent="0.3"/>
    <row r="913" s="1" customFormat="1" ht="12.75" customHeight="1" x14ac:dyDescent="0.3"/>
    <row r="914" s="1" customFormat="1" ht="12.75" customHeight="1" x14ac:dyDescent="0.3"/>
    <row r="915" s="1" customFormat="1" ht="12.75" customHeight="1" x14ac:dyDescent="0.3"/>
    <row r="916" s="1" customFormat="1" ht="12.75" customHeight="1" x14ac:dyDescent="0.3"/>
    <row r="917" s="1" customFormat="1" ht="12.75" customHeight="1" x14ac:dyDescent="0.3"/>
    <row r="918" s="1" customFormat="1" ht="12.75" customHeight="1" x14ac:dyDescent="0.3"/>
    <row r="919" s="1" customFormat="1" ht="12.75" customHeight="1" x14ac:dyDescent="0.3"/>
    <row r="920" s="1" customFormat="1" ht="12.75" customHeight="1" x14ac:dyDescent="0.3"/>
    <row r="921" s="1" customFormat="1" ht="12.75" customHeight="1" x14ac:dyDescent="0.3"/>
    <row r="922" s="1" customFormat="1" ht="12.75" customHeight="1" x14ac:dyDescent="0.3"/>
    <row r="923" s="1" customFormat="1" ht="12.75" customHeight="1" x14ac:dyDescent="0.3"/>
    <row r="924" s="1" customFormat="1" ht="12.75" customHeight="1" x14ac:dyDescent="0.3"/>
    <row r="925" s="1" customFormat="1" ht="12.75" customHeight="1" x14ac:dyDescent="0.3"/>
    <row r="926" s="1" customFormat="1" ht="12.75" customHeight="1" x14ac:dyDescent="0.3"/>
    <row r="927" s="1" customFormat="1" ht="12.75" customHeight="1" x14ac:dyDescent="0.3"/>
    <row r="928" s="1" customFormat="1" ht="12.75" customHeight="1" x14ac:dyDescent="0.3"/>
    <row r="929" s="1" customFormat="1" ht="12.75" customHeight="1" x14ac:dyDescent="0.3"/>
    <row r="930" s="1" customFormat="1" ht="12.75" customHeight="1" x14ac:dyDescent="0.3"/>
    <row r="931" s="1" customFormat="1" ht="12.75" customHeight="1" x14ac:dyDescent="0.3"/>
    <row r="932" s="1" customFormat="1" ht="12.75" customHeight="1" x14ac:dyDescent="0.3"/>
    <row r="933" s="1" customFormat="1" ht="12.75" customHeight="1" x14ac:dyDescent="0.3"/>
    <row r="934" s="1" customFormat="1" ht="12.75" customHeight="1" x14ac:dyDescent="0.3"/>
    <row r="935" s="1" customFormat="1" ht="12.75" customHeight="1" x14ac:dyDescent="0.3"/>
    <row r="936" s="1" customFormat="1" ht="12.75" customHeight="1" x14ac:dyDescent="0.3"/>
    <row r="937" s="1" customFormat="1" ht="12.75" customHeight="1" x14ac:dyDescent="0.3"/>
    <row r="938" s="1" customFormat="1" ht="12.75" customHeight="1" x14ac:dyDescent="0.3"/>
    <row r="939" s="1" customFormat="1" ht="12.75" customHeight="1" x14ac:dyDescent="0.3"/>
    <row r="940" s="1" customFormat="1" ht="12.75" customHeight="1" x14ac:dyDescent="0.3"/>
    <row r="941" s="1" customFormat="1" ht="12.75" customHeight="1" x14ac:dyDescent="0.3"/>
    <row r="942" s="1" customFormat="1" ht="12.75" customHeight="1" x14ac:dyDescent="0.3"/>
    <row r="943" s="1" customFormat="1" ht="12.75" customHeight="1" x14ac:dyDescent="0.3"/>
    <row r="944" s="1" customFormat="1" ht="12.75" customHeight="1" x14ac:dyDescent="0.3"/>
    <row r="945" s="1" customFormat="1" ht="12.75" customHeight="1" x14ac:dyDescent="0.3"/>
    <row r="946" s="1" customFormat="1" ht="12.75" customHeight="1" x14ac:dyDescent="0.3"/>
    <row r="947" s="1" customFormat="1" ht="12.75" customHeight="1" x14ac:dyDescent="0.3"/>
    <row r="948" s="1" customFormat="1" ht="12.75" customHeight="1" x14ac:dyDescent="0.3"/>
    <row r="949" s="1" customFormat="1" ht="12.75" customHeight="1" x14ac:dyDescent="0.3"/>
    <row r="950" s="1" customFormat="1" ht="12.75" customHeight="1" x14ac:dyDescent="0.3"/>
    <row r="951" s="1" customFormat="1" ht="12.75" customHeight="1" x14ac:dyDescent="0.3"/>
    <row r="952" s="1" customFormat="1" ht="12.75" customHeight="1" x14ac:dyDescent="0.3"/>
    <row r="953" s="1" customFormat="1" ht="12.75" customHeight="1" x14ac:dyDescent="0.3"/>
    <row r="954" s="1" customFormat="1" ht="12.75" customHeight="1" x14ac:dyDescent="0.3"/>
    <row r="955" s="1" customFormat="1" ht="12.75" customHeight="1" x14ac:dyDescent="0.3"/>
    <row r="956" s="1" customFormat="1" ht="12.75" customHeight="1" x14ac:dyDescent="0.3"/>
    <row r="957" s="1" customFormat="1" ht="12.75" customHeight="1" x14ac:dyDescent="0.3"/>
    <row r="958" s="1" customFormat="1" ht="12.75" customHeight="1" x14ac:dyDescent="0.3"/>
    <row r="959" s="1" customFormat="1" ht="12.75" customHeight="1" x14ac:dyDescent="0.3"/>
    <row r="960" s="1" customFormat="1" ht="12.75" customHeight="1" x14ac:dyDescent="0.3"/>
    <row r="961" s="1" customFormat="1" ht="12.75" customHeight="1" x14ac:dyDescent="0.3"/>
    <row r="962" s="1" customFormat="1" ht="12.75" customHeight="1" x14ac:dyDescent="0.3"/>
    <row r="963" s="1" customFormat="1" ht="12.75" customHeight="1" x14ac:dyDescent="0.3"/>
    <row r="964" s="1" customFormat="1" ht="12.75" customHeight="1" x14ac:dyDescent="0.3"/>
    <row r="965" s="1" customFormat="1" ht="12.75" customHeight="1" x14ac:dyDescent="0.3"/>
    <row r="966" s="1" customFormat="1" ht="12.75" customHeight="1" x14ac:dyDescent="0.3"/>
    <row r="967" s="1" customFormat="1" ht="12.75" customHeight="1" x14ac:dyDescent="0.3"/>
    <row r="968" s="1" customFormat="1" ht="12.75" customHeight="1" x14ac:dyDescent="0.3"/>
    <row r="969" s="1" customFormat="1" ht="12.75" customHeight="1" x14ac:dyDescent="0.3"/>
    <row r="970" s="1" customFormat="1" ht="12.75" customHeight="1" x14ac:dyDescent="0.3"/>
    <row r="971" s="1" customFormat="1" ht="12.75" customHeight="1" x14ac:dyDescent="0.3"/>
    <row r="972" s="1" customFormat="1" ht="12.75" customHeight="1" x14ac:dyDescent="0.3"/>
    <row r="973" s="1" customFormat="1" ht="12.75" customHeight="1" x14ac:dyDescent="0.3"/>
    <row r="974" s="1" customFormat="1" ht="12.75" customHeight="1" x14ac:dyDescent="0.3"/>
    <row r="975" s="1" customFormat="1" ht="12.75" customHeight="1" x14ac:dyDescent="0.3"/>
    <row r="976" s="1" customFormat="1" ht="12.75" customHeight="1" x14ac:dyDescent="0.3"/>
    <row r="977" s="1" customFormat="1" ht="12.75" customHeight="1" x14ac:dyDescent="0.3"/>
    <row r="978" s="1" customFormat="1" ht="12.75" customHeight="1" x14ac:dyDescent="0.3"/>
    <row r="979" s="1" customFormat="1" ht="12.75" customHeight="1" x14ac:dyDescent="0.3"/>
    <row r="980" s="1" customFormat="1" ht="12.75" customHeight="1" x14ac:dyDescent="0.3"/>
    <row r="981" s="1" customFormat="1" ht="12.75" customHeight="1" x14ac:dyDescent="0.3"/>
    <row r="982" s="1" customFormat="1" ht="12.75" customHeight="1" x14ac:dyDescent="0.3"/>
    <row r="983" s="1" customFormat="1" ht="12.75" customHeight="1" x14ac:dyDescent="0.3"/>
    <row r="984" s="1" customFormat="1" ht="12.75" customHeight="1" x14ac:dyDescent="0.3"/>
    <row r="985" s="1" customFormat="1" ht="12.75" customHeight="1" x14ac:dyDescent="0.3"/>
    <row r="986" s="1" customFormat="1" ht="12.75" customHeight="1" x14ac:dyDescent="0.3"/>
    <row r="987" s="1" customFormat="1" ht="12.75" customHeight="1" x14ac:dyDescent="0.3"/>
    <row r="988" s="1" customFormat="1" ht="12.75" customHeight="1" x14ac:dyDescent="0.3"/>
    <row r="989" s="1" customFormat="1" ht="12.75" customHeight="1" x14ac:dyDescent="0.3"/>
    <row r="990" s="1" customFormat="1" ht="12.75" customHeight="1" x14ac:dyDescent="0.3"/>
    <row r="991" s="1" customFormat="1" ht="12.75" customHeight="1" x14ac:dyDescent="0.3"/>
    <row r="992" s="1" customFormat="1" ht="12.75" customHeight="1" x14ac:dyDescent="0.3"/>
    <row r="993" s="1" customFormat="1" ht="12.75" customHeight="1" x14ac:dyDescent="0.3"/>
    <row r="994" s="1" customFormat="1" ht="12.75" customHeight="1" x14ac:dyDescent="0.3"/>
    <row r="995" s="1" customFormat="1" ht="12.75" customHeight="1" x14ac:dyDescent="0.3"/>
    <row r="996" s="1" customFormat="1" ht="12.75" customHeight="1" x14ac:dyDescent="0.3"/>
    <row r="997" s="1" customFormat="1" ht="12.75" customHeight="1" x14ac:dyDescent="0.3"/>
    <row r="998" s="1" customFormat="1" ht="12.75" customHeight="1" x14ac:dyDescent="0.3"/>
    <row r="999" s="1" customFormat="1" ht="12.75" customHeight="1" x14ac:dyDescent="0.3"/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F6872-B35C-4386-9366-941BBDF81FAC}">
  <dimension ref="A1:M999"/>
  <sheetViews>
    <sheetView workbookViewId="0">
      <selection activeCell="G3" sqref="G3"/>
    </sheetView>
  </sheetViews>
  <sheetFormatPr baseColWidth="10" defaultColWidth="12.6328125" defaultRowHeight="15" customHeight="1" x14ac:dyDescent="0.3"/>
  <cols>
    <col min="1" max="1" width="15.7265625" style="1" customWidth="1"/>
    <col min="2" max="7" width="10.6328125" style="1" customWidth="1"/>
    <col min="8" max="8" width="11.36328125" style="1" customWidth="1"/>
    <col min="9" max="25" width="10.6328125" style="1" customWidth="1"/>
    <col min="26" max="16384" width="12.6328125" style="1"/>
  </cols>
  <sheetData>
    <row r="1" spans="1:13" ht="13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3.5" customHeight="1" x14ac:dyDescent="0.3">
      <c r="A2" s="1" t="s">
        <v>12</v>
      </c>
      <c r="B2" s="1" t="s">
        <v>13</v>
      </c>
      <c r="D2" s="1">
        <v>1</v>
      </c>
      <c r="H2" s="2" t="s">
        <v>14</v>
      </c>
      <c r="I2" s="3">
        <f t="shared" ref="I2:L2" si="0">SUM(C22+C37+C55+C65+C66+C96+C105+C113+C128+C146+C150)</f>
        <v>11</v>
      </c>
      <c r="J2" s="3">
        <f t="shared" si="0"/>
        <v>0</v>
      </c>
      <c r="K2" s="3">
        <f t="shared" si="0"/>
        <v>0</v>
      </c>
      <c r="L2" s="3">
        <f t="shared" si="0"/>
        <v>0</v>
      </c>
      <c r="M2" s="3">
        <f t="shared" ref="M2:M13" si="1">SUM(I2:L2)</f>
        <v>11</v>
      </c>
    </row>
    <row r="3" spans="1:13" ht="13.5" customHeight="1" x14ac:dyDescent="0.3">
      <c r="A3" s="1" t="s">
        <v>15</v>
      </c>
      <c r="B3" s="1" t="s">
        <v>16</v>
      </c>
      <c r="C3" s="1">
        <v>1</v>
      </c>
      <c r="H3" s="2" t="s">
        <v>17</v>
      </c>
      <c r="I3" s="3">
        <f t="shared" ref="I3:L3" si="2">SUM(C6+C32+C50+C52+C58+C69+C76+C94+C115+C122+C123+C152)</f>
        <v>6</v>
      </c>
      <c r="J3" s="3">
        <f t="shared" si="2"/>
        <v>6</v>
      </c>
      <c r="K3" s="3">
        <f t="shared" si="2"/>
        <v>0</v>
      </c>
      <c r="L3" s="3">
        <f t="shared" si="2"/>
        <v>0</v>
      </c>
      <c r="M3" s="3">
        <f t="shared" si="1"/>
        <v>12</v>
      </c>
    </row>
    <row r="4" spans="1:13" ht="13.5" customHeight="1" x14ac:dyDescent="0.3">
      <c r="A4" s="1" t="s">
        <v>18</v>
      </c>
      <c r="B4" s="1" t="s">
        <v>13</v>
      </c>
      <c r="D4" s="1">
        <v>1</v>
      </c>
      <c r="H4" s="2" t="s">
        <v>19</v>
      </c>
      <c r="I4" s="3">
        <f t="shared" ref="I4:L4" si="3">SUM(C26+C14+C27+C62+C68+C124+C138+C142+C153+C155)</f>
        <v>10</v>
      </c>
      <c r="J4" s="3">
        <f t="shared" si="3"/>
        <v>0</v>
      </c>
      <c r="K4" s="3">
        <f t="shared" si="3"/>
        <v>0</v>
      </c>
      <c r="L4" s="3">
        <f t="shared" si="3"/>
        <v>0</v>
      </c>
      <c r="M4" s="3">
        <f t="shared" si="1"/>
        <v>10</v>
      </c>
    </row>
    <row r="5" spans="1:13" ht="13.5" customHeight="1" x14ac:dyDescent="0.3">
      <c r="A5" s="1" t="s">
        <v>20</v>
      </c>
      <c r="B5" s="1" t="s">
        <v>21</v>
      </c>
      <c r="D5" s="1">
        <v>1</v>
      </c>
      <c r="H5" s="2" t="s">
        <v>22</v>
      </c>
      <c r="I5" s="3">
        <f t="shared" ref="I5:L5" si="4">SUM(C5+C36+C56+C63+C73+C85+C87+C95+C135)</f>
        <v>0</v>
      </c>
      <c r="J5" s="3">
        <f t="shared" si="4"/>
        <v>8</v>
      </c>
      <c r="K5" s="3">
        <f t="shared" si="4"/>
        <v>0</v>
      </c>
      <c r="L5" s="3">
        <f t="shared" si="4"/>
        <v>1</v>
      </c>
      <c r="M5" s="3">
        <f t="shared" si="1"/>
        <v>9</v>
      </c>
    </row>
    <row r="6" spans="1:13" ht="13.5" customHeight="1" x14ac:dyDescent="0.3">
      <c r="A6" s="1" t="s">
        <v>23</v>
      </c>
      <c r="B6" s="1" t="s">
        <v>24</v>
      </c>
      <c r="C6" s="1">
        <v>1</v>
      </c>
      <c r="H6" s="2" t="s">
        <v>25</v>
      </c>
      <c r="I6" s="3">
        <f t="shared" ref="I6:L6" si="5">SUM(C12+C15+C18+C28+C41+C59+C78+C64+C82+C83+C86+C106+C119+C143+C148+C154)</f>
        <v>15</v>
      </c>
      <c r="J6" s="3">
        <f t="shared" si="5"/>
        <v>0</v>
      </c>
      <c r="K6" s="3">
        <f t="shared" si="5"/>
        <v>0</v>
      </c>
      <c r="L6" s="3">
        <f t="shared" si="5"/>
        <v>1</v>
      </c>
      <c r="M6" s="3">
        <f t="shared" si="1"/>
        <v>16</v>
      </c>
    </row>
    <row r="7" spans="1:13" ht="13.5" customHeight="1" x14ac:dyDescent="0.3">
      <c r="A7" s="1" t="s">
        <v>26</v>
      </c>
      <c r="B7" s="1" t="s">
        <v>27</v>
      </c>
      <c r="C7" s="1">
        <v>1</v>
      </c>
      <c r="H7" s="2" t="s">
        <v>28</v>
      </c>
      <c r="I7" s="3">
        <f t="shared" ref="I7:L7" si="6">SUM(C3+C20+C46+C49+C54+C89+C90+C102+C112+C114+C129+C141)</f>
        <v>6</v>
      </c>
      <c r="J7" s="3">
        <f t="shared" si="6"/>
        <v>4</v>
      </c>
      <c r="K7" s="3">
        <f t="shared" si="6"/>
        <v>2</v>
      </c>
      <c r="L7" s="3">
        <f t="shared" si="6"/>
        <v>0</v>
      </c>
      <c r="M7" s="3">
        <f t="shared" si="1"/>
        <v>12</v>
      </c>
    </row>
    <row r="8" spans="1:13" ht="13.5" customHeight="1" x14ac:dyDescent="0.3">
      <c r="A8" s="1" t="s">
        <v>29</v>
      </c>
      <c r="B8" s="1" t="s">
        <v>30</v>
      </c>
      <c r="E8" s="1">
        <v>1</v>
      </c>
      <c r="H8" s="2" t="s">
        <v>27</v>
      </c>
      <c r="I8" s="3">
        <f t="shared" ref="I8:L8" si="7">SUM(C7+C30+C29+C44+C51+C60+C72+C79+C101+C99+C107+C111+C117+C140+C144)</f>
        <v>3</v>
      </c>
      <c r="J8" s="3">
        <f t="shared" si="7"/>
        <v>9</v>
      </c>
      <c r="K8" s="3">
        <f t="shared" si="7"/>
        <v>3</v>
      </c>
      <c r="L8" s="3">
        <f t="shared" si="7"/>
        <v>0</v>
      </c>
      <c r="M8" s="3">
        <f t="shared" si="1"/>
        <v>15</v>
      </c>
    </row>
    <row r="9" spans="1:13" ht="13.5" customHeight="1" x14ac:dyDescent="0.3">
      <c r="A9" s="1" t="s">
        <v>31</v>
      </c>
      <c r="B9" s="1" t="s">
        <v>13</v>
      </c>
      <c r="D9" s="1">
        <v>1</v>
      </c>
      <c r="H9" s="2" t="s">
        <v>13</v>
      </c>
      <c r="I9" s="3">
        <f t="shared" ref="I9:J9" si="8">SUM(C4+C9+C17+C19+C2+C48+C92+C120+C126+C127+C130+C133+C151)</f>
        <v>1</v>
      </c>
      <c r="J9" s="3">
        <f t="shared" si="8"/>
        <v>11</v>
      </c>
      <c r="K9" s="3">
        <f>SUM(D4+D9+D17+D19+D2+D48+D92+D120+D126+D127+D130+D133+D151)</f>
        <v>11</v>
      </c>
      <c r="L9" s="3">
        <f>SUM(F4+F9+F17+F19+F2+F48+F92+F120+F126+F127+F130+F133+F151)</f>
        <v>0</v>
      </c>
      <c r="M9" s="3">
        <f t="shared" si="1"/>
        <v>23</v>
      </c>
    </row>
    <row r="10" spans="1:13" ht="13.5" customHeight="1" x14ac:dyDescent="0.3">
      <c r="A10" s="1" t="s">
        <v>32</v>
      </c>
      <c r="B10" s="1" t="s">
        <v>33</v>
      </c>
      <c r="C10" s="1">
        <v>1</v>
      </c>
      <c r="H10" s="2" t="s">
        <v>30</v>
      </c>
      <c r="I10" s="3">
        <f t="shared" ref="I10:L10" si="9">SUM(C8+C13+C16+C25+C31+C35+C43+C45+C70+C71+C75+C81+C88+C93+C98+C100+C104+C118+C136+C137+C156)</f>
        <v>0</v>
      </c>
      <c r="J10" s="3">
        <f t="shared" si="9"/>
        <v>6</v>
      </c>
      <c r="K10" s="3">
        <f t="shared" si="9"/>
        <v>15</v>
      </c>
      <c r="L10" s="3">
        <f t="shared" si="9"/>
        <v>0</v>
      </c>
      <c r="M10" s="3">
        <f t="shared" si="1"/>
        <v>21</v>
      </c>
    </row>
    <row r="11" spans="1:13" ht="13.5" customHeight="1" x14ac:dyDescent="0.3">
      <c r="A11" s="1" t="s">
        <v>34</v>
      </c>
      <c r="B11" s="1" t="s">
        <v>33</v>
      </c>
      <c r="C11" s="1">
        <v>1</v>
      </c>
      <c r="H11" s="2" t="s">
        <v>35</v>
      </c>
      <c r="I11" s="3">
        <f t="shared" ref="I11:L11" si="10">SUM(C38+C42+C47+C53+C74+C77+C80+C91+C97+C103+C108+C116+C131+C145+C147)</f>
        <v>2</v>
      </c>
      <c r="J11" s="3">
        <f t="shared" si="10"/>
        <v>5</v>
      </c>
      <c r="K11" s="3">
        <f t="shared" si="10"/>
        <v>8</v>
      </c>
      <c r="L11" s="3">
        <f t="shared" si="10"/>
        <v>0</v>
      </c>
      <c r="M11" s="3">
        <f t="shared" si="1"/>
        <v>15</v>
      </c>
    </row>
    <row r="12" spans="1:13" ht="13.5" customHeight="1" x14ac:dyDescent="0.3">
      <c r="A12" s="1" t="s">
        <v>36</v>
      </c>
      <c r="B12" s="1" t="s">
        <v>37</v>
      </c>
      <c r="C12" s="1">
        <v>1</v>
      </c>
      <c r="H12" s="2" t="s">
        <v>38</v>
      </c>
      <c r="I12" s="3">
        <f t="shared" ref="I12:L12" si="11">SUM(C21+C24+C34+C40+C67+C84+C132)</f>
        <v>2</v>
      </c>
      <c r="J12" s="3">
        <f t="shared" si="11"/>
        <v>4</v>
      </c>
      <c r="K12" s="3">
        <f t="shared" si="11"/>
        <v>1</v>
      </c>
      <c r="L12" s="3">
        <f t="shared" si="11"/>
        <v>0</v>
      </c>
      <c r="M12" s="3">
        <f t="shared" si="1"/>
        <v>7</v>
      </c>
    </row>
    <row r="13" spans="1:13" ht="13.5" customHeight="1" x14ac:dyDescent="0.3">
      <c r="A13" s="1" t="s">
        <v>39</v>
      </c>
      <c r="B13" s="1" t="s">
        <v>30</v>
      </c>
      <c r="E13" s="1">
        <v>1</v>
      </c>
      <c r="H13" s="2" t="s">
        <v>33</v>
      </c>
      <c r="I13" s="3">
        <f t="shared" ref="I13:L13" si="12">SUM(C10+C11+C57+C125+C149)</f>
        <v>4</v>
      </c>
      <c r="J13" s="3">
        <f t="shared" si="12"/>
        <v>1</v>
      </c>
      <c r="K13" s="3">
        <f t="shared" si="12"/>
        <v>0</v>
      </c>
      <c r="L13" s="3">
        <f t="shared" si="12"/>
        <v>0</v>
      </c>
      <c r="M13" s="3">
        <f t="shared" si="1"/>
        <v>5</v>
      </c>
    </row>
    <row r="14" spans="1:13" ht="13.5" customHeight="1" x14ac:dyDescent="0.3">
      <c r="A14" s="1" t="s">
        <v>40</v>
      </c>
      <c r="B14" s="1" t="s">
        <v>19</v>
      </c>
      <c r="C14" s="1">
        <v>1</v>
      </c>
      <c r="I14" s="4"/>
      <c r="J14" s="4"/>
      <c r="K14" s="4"/>
      <c r="L14" s="4"/>
    </row>
    <row r="15" spans="1:13" ht="13.5" customHeight="1" x14ac:dyDescent="0.3">
      <c r="A15" s="1" t="s">
        <v>41</v>
      </c>
      <c r="B15" s="1" t="s">
        <v>42</v>
      </c>
      <c r="C15" s="1">
        <v>1</v>
      </c>
      <c r="I15" s="4"/>
      <c r="J15" s="4"/>
      <c r="K15" s="4"/>
      <c r="L15" s="4"/>
    </row>
    <row r="16" spans="1:13" ht="13.5" customHeight="1" x14ac:dyDescent="0.3">
      <c r="A16" s="1" t="s">
        <v>43</v>
      </c>
      <c r="B16" s="1" t="s">
        <v>30</v>
      </c>
      <c r="E16" s="1">
        <v>1</v>
      </c>
      <c r="I16" s="4"/>
      <c r="J16" s="4"/>
      <c r="K16" s="4"/>
      <c r="L16" s="4"/>
    </row>
    <row r="17" spans="1:12" ht="13.5" customHeight="1" x14ac:dyDescent="0.3">
      <c r="A17" s="1" t="s">
        <v>44</v>
      </c>
      <c r="B17" s="1" t="s">
        <v>13</v>
      </c>
      <c r="D17" s="1">
        <v>1</v>
      </c>
      <c r="I17" s="4"/>
      <c r="J17" s="4"/>
      <c r="K17" s="4"/>
      <c r="L17" s="4"/>
    </row>
    <row r="18" spans="1:12" ht="13.5" customHeight="1" x14ac:dyDescent="0.3">
      <c r="A18" s="1" t="s">
        <v>45</v>
      </c>
      <c r="B18" s="1" t="s">
        <v>37</v>
      </c>
      <c r="C18" s="1">
        <v>1</v>
      </c>
      <c r="I18" s="4"/>
      <c r="J18" s="4"/>
      <c r="K18" s="4"/>
      <c r="L18" s="4"/>
    </row>
    <row r="19" spans="1:12" ht="13.5" customHeight="1" x14ac:dyDescent="0.3">
      <c r="A19" s="1" t="s">
        <v>46</v>
      </c>
      <c r="B19" s="1" t="s">
        <v>13</v>
      </c>
      <c r="D19" s="1">
        <v>1</v>
      </c>
    </row>
    <row r="20" spans="1:12" ht="13.5" customHeight="1" x14ac:dyDescent="0.3">
      <c r="A20" s="1" t="s">
        <v>47</v>
      </c>
      <c r="B20" s="1" t="s">
        <v>16</v>
      </c>
      <c r="C20" s="1">
        <v>1</v>
      </c>
    </row>
    <row r="21" spans="1:12" ht="13.5" customHeight="1" x14ac:dyDescent="0.3">
      <c r="A21" s="1" t="s">
        <v>48</v>
      </c>
      <c r="B21" s="1" t="s">
        <v>38</v>
      </c>
      <c r="D21" s="1">
        <v>1</v>
      </c>
    </row>
    <row r="22" spans="1:12" ht="13.5" customHeight="1" x14ac:dyDescent="0.3">
      <c r="A22" s="1" t="s">
        <v>49</v>
      </c>
      <c r="B22" s="1" t="s">
        <v>14</v>
      </c>
      <c r="C22" s="1">
        <v>1</v>
      </c>
    </row>
    <row r="23" spans="1:12" ht="13.5" customHeight="1" x14ac:dyDescent="0.3">
      <c r="A23" s="1" t="s">
        <v>50</v>
      </c>
      <c r="B23" s="1" t="s">
        <v>13</v>
      </c>
      <c r="C23" s="1">
        <v>1</v>
      </c>
    </row>
    <row r="24" spans="1:12" ht="13.5" customHeight="1" x14ac:dyDescent="0.3">
      <c r="A24" s="1" t="s">
        <v>51</v>
      </c>
      <c r="B24" s="1" t="s">
        <v>38</v>
      </c>
      <c r="C24" s="1">
        <v>1</v>
      </c>
    </row>
    <row r="25" spans="1:12" ht="13.5" customHeight="1" x14ac:dyDescent="0.3">
      <c r="A25" s="1" t="s">
        <v>52</v>
      </c>
      <c r="B25" s="1" t="s">
        <v>30</v>
      </c>
      <c r="D25" s="1">
        <v>1</v>
      </c>
    </row>
    <row r="26" spans="1:12" ht="13.5" customHeight="1" x14ac:dyDescent="0.3">
      <c r="A26" s="1" t="s">
        <v>53</v>
      </c>
      <c r="B26" s="1" t="s">
        <v>19</v>
      </c>
      <c r="C26" s="1">
        <v>1</v>
      </c>
    </row>
    <row r="27" spans="1:12" ht="13.5" customHeight="1" x14ac:dyDescent="0.3">
      <c r="A27" s="1" t="s">
        <v>54</v>
      </c>
      <c r="B27" s="1" t="s">
        <v>19</v>
      </c>
      <c r="C27" s="1">
        <v>1</v>
      </c>
    </row>
    <row r="28" spans="1:12" ht="13.5" customHeight="1" x14ac:dyDescent="0.3">
      <c r="A28" s="1" t="s">
        <v>55</v>
      </c>
      <c r="B28" s="1" t="s">
        <v>37</v>
      </c>
      <c r="C28" s="1">
        <v>1</v>
      </c>
    </row>
    <row r="29" spans="1:12" ht="13.5" customHeight="1" x14ac:dyDescent="0.3">
      <c r="A29" s="1" t="s">
        <v>56</v>
      </c>
      <c r="B29" s="1" t="s">
        <v>27</v>
      </c>
      <c r="D29" s="1">
        <v>1</v>
      </c>
    </row>
    <row r="30" spans="1:12" ht="13.5" customHeight="1" x14ac:dyDescent="0.3">
      <c r="A30" s="1" t="s">
        <v>57</v>
      </c>
      <c r="B30" s="1" t="s">
        <v>27</v>
      </c>
      <c r="C30" s="1">
        <v>1</v>
      </c>
    </row>
    <row r="31" spans="1:12" ht="13.5" customHeight="1" x14ac:dyDescent="0.3">
      <c r="A31" s="1" t="s">
        <v>58</v>
      </c>
      <c r="B31" s="1" t="s">
        <v>30</v>
      </c>
      <c r="D31" s="1">
        <v>1</v>
      </c>
    </row>
    <row r="32" spans="1:12" ht="13.5" customHeight="1" x14ac:dyDescent="0.3">
      <c r="A32" s="1" t="s">
        <v>59</v>
      </c>
      <c r="B32" s="1" t="s">
        <v>24</v>
      </c>
      <c r="C32" s="1">
        <v>1</v>
      </c>
    </row>
    <row r="33" spans="1:12" ht="13.5" customHeight="1" x14ac:dyDescent="0.3">
      <c r="A33" s="1" t="s">
        <v>60</v>
      </c>
      <c r="B33" s="1" t="s">
        <v>27</v>
      </c>
      <c r="D33" s="1">
        <v>1</v>
      </c>
    </row>
    <row r="34" spans="1:12" ht="13.5" customHeight="1" x14ac:dyDescent="0.3">
      <c r="A34" s="1" t="s">
        <v>61</v>
      </c>
      <c r="B34" s="1" t="s">
        <v>38</v>
      </c>
      <c r="D34" s="1">
        <v>1</v>
      </c>
    </row>
    <row r="35" spans="1:12" ht="13.5" customHeight="1" x14ac:dyDescent="0.3">
      <c r="A35" s="1" t="s">
        <v>62</v>
      </c>
      <c r="B35" s="1" t="s">
        <v>30</v>
      </c>
      <c r="E35" s="1">
        <v>1</v>
      </c>
    </row>
    <row r="36" spans="1:12" ht="13.5" customHeight="1" x14ac:dyDescent="0.3">
      <c r="A36" s="1" t="s">
        <v>63</v>
      </c>
      <c r="B36" s="1" t="s">
        <v>21</v>
      </c>
      <c r="D36" s="1">
        <v>1</v>
      </c>
    </row>
    <row r="37" spans="1:12" ht="13.5" customHeight="1" x14ac:dyDescent="0.3">
      <c r="A37" s="1" t="s">
        <v>64</v>
      </c>
      <c r="B37" s="1" t="s">
        <v>14</v>
      </c>
      <c r="C37" s="1">
        <v>1</v>
      </c>
    </row>
    <row r="38" spans="1:12" ht="13.5" customHeight="1" x14ac:dyDescent="0.3">
      <c r="A38" s="1" t="s">
        <v>65</v>
      </c>
      <c r="B38" s="1" t="s">
        <v>66</v>
      </c>
      <c r="E38" s="1">
        <v>1</v>
      </c>
    </row>
    <row r="39" spans="1:12" ht="13.5" customHeight="1" x14ac:dyDescent="0.3">
      <c r="A39" s="1" t="s">
        <v>67</v>
      </c>
      <c r="B39" s="1" t="s">
        <v>16</v>
      </c>
      <c r="D39" s="1">
        <v>1</v>
      </c>
    </row>
    <row r="40" spans="1:12" ht="13.5" customHeight="1" x14ac:dyDescent="0.3">
      <c r="A40" s="1" t="s">
        <v>68</v>
      </c>
      <c r="B40" s="1" t="s">
        <v>38</v>
      </c>
      <c r="C40" s="1">
        <v>1</v>
      </c>
    </row>
    <row r="41" spans="1:12" ht="13.5" customHeight="1" x14ac:dyDescent="0.3">
      <c r="A41" s="1" t="s">
        <v>69</v>
      </c>
      <c r="B41" s="1" t="s">
        <v>37</v>
      </c>
      <c r="C41" s="1">
        <v>1</v>
      </c>
    </row>
    <row r="42" spans="1:12" ht="13.5" customHeight="1" x14ac:dyDescent="0.3">
      <c r="A42" s="1" t="s">
        <v>70</v>
      </c>
      <c r="B42" s="1" t="s">
        <v>66</v>
      </c>
      <c r="D42" s="1">
        <v>1</v>
      </c>
    </row>
    <row r="43" spans="1:12" ht="13.5" customHeight="1" x14ac:dyDescent="0.3">
      <c r="A43" s="1" t="s">
        <v>71</v>
      </c>
      <c r="B43" s="1" t="s">
        <v>30</v>
      </c>
      <c r="E43" s="1">
        <v>1</v>
      </c>
    </row>
    <row r="44" spans="1:12" ht="13.5" customHeight="1" x14ac:dyDescent="0.3">
      <c r="A44" s="1" t="s">
        <v>72</v>
      </c>
      <c r="B44" s="1" t="s">
        <v>27</v>
      </c>
      <c r="D44" s="1">
        <v>1</v>
      </c>
    </row>
    <row r="45" spans="1:12" ht="13.5" customHeight="1" x14ac:dyDescent="0.3">
      <c r="A45" s="1" t="s">
        <v>73</v>
      </c>
      <c r="B45" s="1" t="s">
        <v>30</v>
      </c>
      <c r="E45" s="1">
        <v>1</v>
      </c>
      <c r="H45" s="1" t="s">
        <v>6</v>
      </c>
      <c r="I45" s="1" t="s">
        <v>7</v>
      </c>
      <c r="J45" s="1" t="s">
        <v>8</v>
      </c>
      <c r="K45" s="1" t="s">
        <v>9</v>
      </c>
      <c r="L45" s="1" t="s">
        <v>10</v>
      </c>
    </row>
    <row r="46" spans="1:12" ht="13.5" customHeight="1" x14ac:dyDescent="0.3">
      <c r="A46" s="1" t="s">
        <v>74</v>
      </c>
      <c r="B46" s="1" t="s">
        <v>16</v>
      </c>
      <c r="E46" s="1">
        <v>1</v>
      </c>
      <c r="H46" s="2" t="s">
        <v>14</v>
      </c>
      <c r="I46" s="4">
        <f t="shared" ref="I46:I57" si="13">I2/M2</f>
        <v>1</v>
      </c>
      <c r="J46" s="4">
        <f t="shared" ref="J46:J57" si="14">J2/M2</f>
        <v>0</v>
      </c>
      <c r="K46" s="4">
        <f t="shared" ref="K46:K57" si="15">K2/M2</f>
        <v>0</v>
      </c>
      <c r="L46" s="4">
        <f t="shared" ref="L46:L57" si="16">L2/M2</f>
        <v>0</v>
      </c>
    </row>
    <row r="47" spans="1:12" ht="13.5" customHeight="1" x14ac:dyDescent="0.3">
      <c r="A47" s="1" t="s">
        <v>75</v>
      </c>
      <c r="B47" s="1" t="s">
        <v>66</v>
      </c>
      <c r="C47" s="1">
        <v>1</v>
      </c>
      <c r="H47" s="2" t="s">
        <v>17</v>
      </c>
      <c r="I47" s="4">
        <f t="shared" si="13"/>
        <v>0.5</v>
      </c>
      <c r="J47" s="4">
        <f t="shared" si="14"/>
        <v>0.5</v>
      </c>
      <c r="K47" s="4">
        <f t="shared" si="15"/>
        <v>0</v>
      </c>
      <c r="L47" s="4">
        <f t="shared" si="16"/>
        <v>0</v>
      </c>
    </row>
    <row r="48" spans="1:12" ht="13.5" customHeight="1" x14ac:dyDescent="0.3">
      <c r="A48" s="1" t="s">
        <v>76</v>
      </c>
      <c r="B48" s="1" t="s">
        <v>13</v>
      </c>
      <c r="D48" s="1">
        <v>1</v>
      </c>
      <c r="H48" s="2" t="s">
        <v>19</v>
      </c>
      <c r="I48" s="4">
        <f t="shared" si="13"/>
        <v>1</v>
      </c>
      <c r="J48" s="4">
        <f t="shared" si="14"/>
        <v>0</v>
      </c>
      <c r="K48" s="4">
        <f t="shared" si="15"/>
        <v>0</v>
      </c>
      <c r="L48" s="4">
        <f t="shared" si="16"/>
        <v>0</v>
      </c>
    </row>
    <row r="49" spans="1:12" ht="13.5" customHeight="1" x14ac:dyDescent="0.3">
      <c r="A49" s="1" t="s">
        <v>77</v>
      </c>
      <c r="B49" s="1" t="s">
        <v>16</v>
      </c>
      <c r="D49" s="1">
        <v>1</v>
      </c>
      <c r="H49" s="2" t="s">
        <v>22</v>
      </c>
      <c r="I49" s="4">
        <f t="shared" si="13"/>
        <v>0</v>
      </c>
      <c r="J49" s="4">
        <f t="shared" si="14"/>
        <v>0.88888888888888884</v>
      </c>
      <c r="K49" s="4">
        <f t="shared" si="15"/>
        <v>0</v>
      </c>
      <c r="L49" s="4">
        <f t="shared" si="16"/>
        <v>0.1111111111111111</v>
      </c>
    </row>
    <row r="50" spans="1:12" ht="13.5" customHeight="1" x14ac:dyDescent="0.3">
      <c r="A50" s="1" t="s">
        <v>78</v>
      </c>
      <c r="B50" s="1" t="s">
        <v>24</v>
      </c>
      <c r="D50" s="1">
        <v>1</v>
      </c>
      <c r="H50" s="2" t="s">
        <v>25</v>
      </c>
      <c r="I50" s="4">
        <f t="shared" si="13"/>
        <v>0.9375</v>
      </c>
      <c r="J50" s="4">
        <f t="shared" si="14"/>
        <v>0</v>
      </c>
      <c r="K50" s="4">
        <f t="shared" si="15"/>
        <v>0</v>
      </c>
      <c r="L50" s="4">
        <f t="shared" si="16"/>
        <v>6.25E-2</v>
      </c>
    </row>
    <row r="51" spans="1:12" ht="13.5" customHeight="1" x14ac:dyDescent="0.3">
      <c r="A51" s="1" t="s">
        <v>79</v>
      </c>
      <c r="B51" s="1" t="s">
        <v>27</v>
      </c>
      <c r="D51" s="1">
        <v>1</v>
      </c>
      <c r="H51" s="2" t="s">
        <v>28</v>
      </c>
      <c r="I51" s="4">
        <f t="shared" si="13"/>
        <v>0.5</v>
      </c>
      <c r="J51" s="4">
        <f t="shared" si="14"/>
        <v>0.33333333333333331</v>
      </c>
      <c r="K51" s="4">
        <f t="shared" si="15"/>
        <v>0.16666666666666666</v>
      </c>
      <c r="L51" s="4">
        <f t="shared" si="16"/>
        <v>0</v>
      </c>
    </row>
    <row r="52" spans="1:12" ht="13.5" customHeight="1" x14ac:dyDescent="0.3">
      <c r="A52" s="1" t="s">
        <v>80</v>
      </c>
      <c r="B52" s="1" t="s">
        <v>24</v>
      </c>
      <c r="D52" s="1">
        <v>1</v>
      </c>
      <c r="H52" s="2" t="s">
        <v>27</v>
      </c>
      <c r="I52" s="4">
        <f t="shared" si="13"/>
        <v>0.2</v>
      </c>
      <c r="J52" s="4">
        <f t="shared" si="14"/>
        <v>0.6</v>
      </c>
      <c r="K52" s="4">
        <f t="shared" si="15"/>
        <v>0.2</v>
      </c>
      <c r="L52" s="4">
        <f t="shared" si="16"/>
        <v>0</v>
      </c>
    </row>
    <row r="53" spans="1:12" ht="13.5" customHeight="1" x14ac:dyDescent="0.3">
      <c r="A53" s="1" t="s">
        <v>81</v>
      </c>
      <c r="B53" s="1" t="s">
        <v>66</v>
      </c>
      <c r="D53" s="1">
        <v>1</v>
      </c>
      <c r="H53" s="2" t="s">
        <v>13</v>
      </c>
      <c r="I53" s="4">
        <f t="shared" si="13"/>
        <v>4.3478260869565216E-2</v>
      </c>
      <c r="J53" s="4">
        <f t="shared" si="14"/>
        <v>0.47826086956521741</v>
      </c>
      <c r="K53" s="4">
        <f t="shared" si="15"/>
        <v>0.47826086956521741</v>
      </c>
      <c r="L53" s="4">
        <f t="shared" si="16"/>
        <v>0</v>
      </c>
    </row>
    <row r="54" spans="1:12" ht="13.5" customHeight="1" x14ac:dyDescent="0.3">
      <c r="A54" s="1" t="s">
        <v>82</v>
      </c>
      <c r="B54" s="1" t="s">
        <v>16</v>
      </c>
      <c r="C54" s="1">
        <v>1</v>
      </c>
      <c r="H54" s="2" t="s">
        <v>30</v>
      </c>
      <c r="I54" s="4">
        <f t="shared" si="13"/>
        <v>0</v>
      </c>
      <c r="J54" s="4">
        <f t="shared" si="14"/>
        <v>0.2857142857142857</v>
      </c>
      <c r="K54" s="4">
        <f t="shared" si="15"/>
        <v>0.7142857142857143</v>
      </c>
      <c r="L54" s="4">
        <f t="shared" si="16"/>
        <v>0</v>
      </c>
    </row>
    <row r="55" spans="1:12" ht="13.5" customHeight="1" x14ac:dyDescent="0.3">
      <c r="A55" s="1" t="s">
        <v>83</v>
      </c>
      <c r="B55" s="1" t="s">
        <v>14</v>
      </c>
      <c r="C55" s="1">
        <v>1</v>
      </c>
      <c r="H55" s="2" t="s">
        <v>35</v>
      </c>
      <c r="I55" s="4">
        <f t="shared" si="13"/>
        <v>0.13333333333333333</v>
      </c>
      <c r="J55" s="4">
        <f t="shared" si="14"/>
        <v>0.33333333333333331</v>
      </c>
      <c r="K55" s="4">
        <f t="shared" si="15"/>
        <v>0.53333333333333333</v>
      </c>
      <c r="L55" s="4">
        <f t="shared" si="16"/>
        <v>0</v>
      </c>
    </row>
    <row r="56" spans="1:12" ht="13.5" customHeight="1" x14ac:dyDescent="0.3">
      <c r="A56" s="1" t="s">
        <v>84</v>
      </c>
      <c r="B56" s="1" t="s">
        <v>21</v>
      </c>
      <c r="D56" s="1">
        <v>1</v>
      </c>
      <c r="H56" s="2" t="s">
        <v>38</v>
      </c>
      <c r="I56" s="4">
        <f t="shared" si="13"/>
        <v>0.2857142857142857</v>
      </c>
      <c r="J56" s="4">
        <f t="shared" si="14"/>
        <v>0.5714285714285714</v>
      </c>
      <c r="K56" s="4">
        <f t="shared" si="15"/>
        <v>0.14285714285714285</v>
      </c>
      <c r="L56" s="4">
        <f t="shared" si="16"/>
        <v>0</v>
      </c>
    </row>
    <row r="57" spans="1:12" ht="13.5" customHeight="1" x14ac:dyDescent="0.3">
      <c r="A57" s="1" t="s">
        <v>85</v>
      </c>
      <c r="B57" s="1" t="s">
        <v>33</v>
      </c>
      <c r="C57" s="1">
        <v>1</v>
      </c>
      <c r="H57" s="2" t="s">
        <v>33</v>
      </c>
      <c r="I57" s="4">
        <f t="shared" si="13"/>
        <v>0.8</v>
      </c>
      <c r="J57" s="4">
        <f t="shared" si="14"/>
        <v>0.2</v>
      </c>
      <c r="K57" s="4">
        <f t="shared" si="15"/>
        <v>0</v>
      </c>
      <c r="L57" s="4">
        <f t="shared" si="16"/>
        <v>0</v>
      </c>
    </row>
    <row r="58" spans="1:12" ht="13.5" customHeight="1" x14ac:dyDescent="0.3">
      <c r="A58" s="1" t="s">
        <v>86</v>
      </c>
      <c r="B58" s="1" t="s">
        <v>24</v>
      </c>
      <c r="D58" s="1">
        <v>1</v>
      </c>
    </row>
    <row r="59" spans="1:12" ht="13.5" customHeight="1" x14ac:dyDescent="0.3">
      <c r="A59" s="1" t="s">
        <v>87</v>
      </c>
      <c r="B59" s="1" t="s">
        <v>37</v>
      </c>
      <c r="C59" s="1">
        <v>1</v>
      </c>
    </row>
    <row r="60" spans="1:12" ht="13.5" customHeight="1" x14ac:dyDescent="0.3">
      <c r="A60" s="1" t="s">
        <v>88</v>
      </c>
      <c r="B60" s="1" t="s">
        <v>27</v>
      </c>
      <c r="E60" s="1">
        <v>1</v>
      </c>
    </row>
    <row r="61" spans="1:12" ht="13.5" customHeight="1" x14ac:dyDescent="0.3">
      <c r="A61" s="1" t="s">
        <v>89</v>
      </c>
      <c r="B61" s="1" t="s">
        <v>13</v>
      </c>
      <c r="E61" s="1">
        <v>1</v>
      </c>
    </row>
    <row r="62" spans="1:12" ht="13.5" customHeight="1" x14ac:dyDescent="0.3">
      <c r="A62" s="1" t="s">
        <v>90</v>
      </c>
      <c r="B62" s="1" t="s">
        <v>19</v>
      </c>
      <c r="C62" s="1">
        <v>1</v>
      </c>
    </row>
    <row r="63" spans="1:12" ht="13.5" customHeight="1" x14ac:dyDescent="0.3">
      <c r="A63" s="1" t="s">
        <v>91</v>
      </c>
      <c r="B63" s="1" t="s">
        <v>21</v>
      </c>
      <c r="F63" s="1">
        <v>1</v>
      </c>
    </row>
    <row r="64" spans="1:12" ht="13.5" customHeight="1" x14ac:dyDescent="0.3">
      <c r="A64" s="1" t="s">
        <v>92</v>
      </c>
      <c r="B64" s="1" t="s">
        <v>42</v>
      </c>
      <c r="C64" s="1">
        <v>1</v>
      </c>
    </row>
    <row r="65" spans="1:5" ht="13.5" customHeight="1" x14ac:dyDescent="0.3">
      <c r="A65" s="1" t="s">
        <v>93</v>
      </c>
      <c r="B65" s="1" t="s">
        <v>14</v>
      </c>
      <c r="C65" s="1">
        <v>1</v>
      </c>
    </row>
    <row r="66" spans="1:5" ht="13.5" customHeight="1" x14ac:dyDescent="0.3">
      <c r="A66" s="1" t="s">
        <v>94</v>
      </c>
      <c r="B66" s="1" t="s">
        <v>14</v>
      </c>
      <c r="C66" s="1">
        <v>1</v>
      </c>
    </row>
    <row r="67" spans="1:5" ht="13.5" customHeight="1" x14ac:dyDescent="0.3">
      <c r="A67" s="1" t="s">
        <v>95</v>
      </c>
      <c r="B67" s="1" t="s">
        <v>38</v>
      </c>
      <c r="D67" s="1">
        <v>1</v>
      </c>
    </row>
    <row r="68" spans="1:5" ht="13.5" customHeight="1" x14ac:dyDescent="0.3">
      <c r="A68" s="1" t="s">
        <v>96</v>
      </c>
      <c r="B68" s="1" t="s">
        <v>19</v>
      </c>
      <c r="C68" s="1">
        <v>1</v>
      </c>
    </row>
    <row r="69" spans="1:5" ht="13.5" customHeight="1" x14ac:dyDescent="0.3">
      <c r="A69" s="1" t="s">
        <v>97</v>
      </c>
      <c r="B69" s="1" t="s">
        <v>24</v>
      </c>
      <c r="C69" s="1">
        <v>1</v>
      </c>
    </row>
    <row r="70" spans="1:5" ht="13.5" customHeight="1" x14ac:dyDescent="0.3">
      <c r="A70" s="1" t="s">
        <v>98</v>
      </c>
      <c r="B70" s="1" t="s">
        <v>30</v>
      </c>
      <c r="E70" s="1">
        <v>1</v>
      </c>
    </row>
    <row r="71" spans="1:5" ht="13.5" customHeight="1" x14ac:dyDescent="0.3">
      <c r="A71" s="1" t="s">
        <v>99</v>
      </c>
      <c r="B71" s="1" t="s">
        <v>30</v>
      </c>
      <c r="D71" s="1">
        <v>1</v>
      </c>
    </row>
    <row r="72" spans="1:5" ht="13.5" customHeight="1" x14ac:dyDescent="0.3">
      <c r="A72" s="1" t="s">
        <v>100</v>
      </c>
      <c r="B72" s="1" t="s">
        <v>27</v>
      </c>
      <c r="D72" s="1">
        <v>1</v>
      </c>
    </row>
    <row r="73" spans="1:5" ht="13.5" customHeight="1" x14ac:dyDescent="0.3">
      <c r="A73" s="1" t="s">
        <v>101</v>
      </c>
      <c r="B73" s="1" t="s">
        <v>21</v>
      </c>
      <c r="D73" s="1">
        <v>1</v>
      </c>
    </row>
    <row r="74" spans="1:5" ht="13.5" customHeight="1" x14ac:dyDescent="0.3">
      <c r="A74" s="1" t="s">
        <v>102</v>
      </c>
      <c r="B74" s="1" t="s">
        <v>66</v>
      </c>
      <c r="E74" s="1">
        <v>1</v>
      </c>
    </row>
    <row r="75" spans="1:5" ht="13.5" customHeight="1" x14ac:dyDescent="0.3">
      <c r="A75" s="1" t="s">
        <v>103</v>
      </c>
      <c r="B75" s="1" t="s">
        <v>30</v>
      </c>
      <c r="E75" s="1">
        <v>1</v>
      </c>
    </row>
    <row r="76" spans="1:5" ht="13.5" customHeight="1" x14ac:dyDescent="0.3">
      <c r="A76" s="1" t="s">
        <v>104</v>
      </c>
      <c r="B76" s="1" t="s">
        <v>24</v>
      </c>
      <c r="D76" s="1">
        <v>1</v>
      </c>
    </row>
    <row r="77" spans="1:5" ht="13.5" customHeight="1" x14ac:dyDescent="0.3">
      <c r="A77" s="1" t="s">
        <v>105</v>
      </c>
      <c r="B77" s="1" t="s">
        <v>66</v>
      </c>
      <c r="E77" s="1">
        <v>1</v>
      </c>
    </row>
    <row r="78" spans="1:5" ht="13.5" customHeight="1" x14ac:dyDescent="0.3">
      <c r="A78" s="1" t="s">
        <v>106</v>
      </c>
      <c r="B78" s="1" t="s">
        <v>42</v>
      </c>
      <c r="C78" s="1">
        <v>1</v>
      </c>
    </row>
    <row r="79" spans="1:5" ht="13.5" customHeight="1" x14ac:dyDescent="0.3">
      <c r="A79" s="1" t="s">
        <v>107</v>
      </c>
      <c r="B79" s="1" t="s">
        <v>27</v>
      </c>
      <c r="D79" s="1">
        <v>1</v>
      </c>
    </row>
    <row r="80" spans="1:5" ht="13.5" customHeight="1" x14ac:dyDescent="0.3">
      <c r="A80" s="1" t="s">
        <v>108</v>
      </c>
      <c r="B80" s="1" t="s">
        <v>66</v>
      </c>
      <c r="E80" s="1">
        <v>1</v>
      </c>
    </row>
    <row r="81" spans="1:5" ht="13.5" customHeight="1" x14ac:dyDescent="0.3">
      <c r="A81" s="1" t="s">
        <v>109</v>
      </c>
      <c r="B81" s="1" t="s">
        <v>30</v>
      </c>
      <c r="D81" s="1">
        <v>1</v>
      </c>
    </row>
    <row r="82" spans="1:5" ht="13.5" customHeight="1" x14ac:dyDescent="0.3">
      <c r="A82" s="1" t="s">
        <v>110</v>
      </c>
      <c r="B82" s="1" t="s">
        <v>37</v>
      </c>
      <c r="C82" s="1">
        <v>1</v>
      </c>
    </row>
    <row r="83" spans="1:5" ht="13.5" customHeight="1" x14ac:dyDescent="0.3">
      <c r="A83" s="1" t="s">
        <v>111</v>
      </c>
      <c r="B83" s="1" t="s">
        <v>37</v>
      </c>
      <c r="C83" s="1">
        <v>1</v>
      </c>
    </row>
    <row r="84" spans="1:5" ht="13.5" customHeight="1" x14ac:dyDescent="0.3">
      <c r="A84" s="1" t="s">
        <v>112</v>
      </c>
      <c r="B84" s="1" t="s">
        <v>38</v>
      </c>
      <c r="E84" s="1">
        <v>1</v>
      </c>
    </row>
    <row r="85" spans="1:5" ht="13.5" customHeight="1" x14ac:dyDescent="0.3">
      <c r="A85" s="1" t="s">
        <v>113</v>
      </c>
      <c r="B85" s="1" t="s">
        <v>21</v>
      </c>
      <c r="D85" s="1">
        <v>1</v>
      </c>
    </row>
    <row r="86" spans="1:5" ht="13.5" customHeight="1" x14ac:dyDescent="0.3">
      <c r="A86" s="1" t="s">
        <v>114</v>
      </c>
      <c r="B86" s="1" t="s">
        <v>42</v>
      </c>
      <c r="C86" s="1">
        <v>1</v>
      </c>
    </row>
    <row r="87" spans="1:5" ht="13.5" customHeight="1" x14ac:dyDescent="0.3">
      <c r="A87" s="1" t="s">
        <v>115</v>
      </c>
      <c r="B87" s="1" t="s">
        <v>21</v>
      </c>
      <c r="D87" s="1">
        <v>1</v>
      </c>
    </row>
    <row r="88" spans="1:5" ht="13.5" customHeight="1" x14ac:dyDescent="0.3">
      <c r="A88" s="1" t="s">
        <v>116</v>
      </c>
      <c r="B88" s="1" t="s">
        <v>30</v>
      </c>
      <c r="D88" s="1">
        <v>1</v>
      </c>
    </row>
    <row r="89" spans="1:5" ht="13.5" customHeight="1" x14ac:dyDescent="0.3">
      <c r="A89" s="1" t="s">
        <v>117</v>
      </c>
      <c r="B89" s="1" t="s">
        <v>16</v>
      </c>
      <c r="C89" s="1">
        <v>1</v>
      </c>
    </row>
    <row r="90" spans="1:5" ht="13.5" customHeight="1" x14ac:dyDescent="0.3">
      <c r="A90" s="1" t="s">
        <v>118</v>
      </c>
      <c r="B90" s="1" t="s">
        <v>16</v>
      </c>
      <c r="D90" s="1">
        <v>1</v>
      </c>
    </row>
    <row r="91" spans="1:5" ht="13.5" customHeight="1" x14ac:dyDescent="0.3">
      <c r="A91" s="1" t="s">
        <v>119</v>
      </c>
      <c r="B91" s="1" t="s">
        <v>66</v>
      </c>
      <c r="D91" s="1">
        <v>1</v>
      </c>
    </row>
    <row r="92" spans="1:5" ht="13.5" customHeight="1" x14ac:dyDescent="0.3">
      <c r="A92" s="1" t="s">
        <v>120</v>
      </c>
      <c r="B92" s="1" t="s">
        <v>13</v>
      </c>
      <c r="E92" s="1">
        <v>1</v>
      </c>
    </row>
    <row r="93" spans="1:5" ht="13.5" customHeight="1" x14ac:dyDescent="0.3">
      <c r="A93" s="1" t="s">
        <v>121</v>
      </c>
      <c r="B93" s="1" t="s">
        <v>30</v>
      </c>
      <c r="E93" s="1">
        <v>1</v>
      </c>
    </row>
    <row r="94" spans="1:5" ht="13.5" customHeight="1" x14ac:dyDescent="0.3">
      <c r="A94" s="1" t="s">
        <v>122</v>
      </c>
      <c r="B94" s="1" t="s">
        <v>24</v>
      </c>
      <c r="D94" s="1">
        <v>1</v>
      </c>
    </row>
    <row r="95" spans="1:5" ht="13.5" customHeight="1" x14ac:dyDescent="0.3">
      <c r="A95" s="1" t="s">
        <v>123</v>
      </c>
      <c r="B95" s="1" t="s">
        <v>21</v>
      </c>
      <c r="D95" s="1">
        <v>1</v>
      </c>
    </row>
    <row r="96" spans="1:5" ht="13.5" customHeight="1" x14ac:dyDescent="0.3">
      <c r="A96" s="1" t="s">
        <v>124</v>
      </c>
      <c r="B96" s="1" t="s">
        <v>14</v>
      </c>
      <c r="C96" s="1">
        <v>1</v>
      </c>
    </row>
    <row r="97" spans="1:5" ht="13.5" customHeight="1" x14ac:dyDescent="0.3">
      <c r="A97" s="1" t="s">
        <v>125</v>
      </c>
      <c r="B97" s="1" t="s">
        <v>66</v>
      </c>
      <c r="E97" s="1">
        <v>1</v>
      </c>
    </row>
    <row r="98" spans="1:5" ht="13.5" customHeight="1" x14ac:dyDescent="0.3">
      <c r="A98" s="1" t="s">
        <v>126</v>
      </c>
      <c r="B98" s="1" t="s">
        <v>30</v>
      </c>
      <c r="E98" s="1">
        <v>1</v>
      </c>
    </row>
    <row r="99" spans="1:5" ht="13.5" customHeight="1" x14ac:dyDescent="0.3">
      <c r="A99" s="1" t="s">
        <v>127</v>
      </c>
      <c r="B99" s="1" t="s">
        <v>27</v>
      </c>
      <c r="E99" s="1">
        <v>1</v>
      </c>
    </row>
    <row r="100" spans="1:5" ht="13.5" customHeight="1" x14ac:dyDescent="0.3">
      <c r="A100" s="1" t="s">
        <v>128</v>
      </c>
      <c r="B100" s="1" t="s">
        <v>30</v>
      </c>
      <c r="E100" s="1">
        <v>1</v>
      </c>
    </row>
    <row r="101" spans="1:5" ht="13.5" customHeight="1" x14ac:dyDescent="0.3">
      <c r="A101" s="1" t="s">
        <v>129</v>
      </c>
      <c r="B101" s="1" t="s">
        <v>27</v>
      </c>
      <c r="D101" s="1">
        <v>1</v>
      </c>
    </row>
    <row r="102" spans="1:5" ht="13.5" customHeight="1" x14ac:dyDescent="0.3">
      <c r="A102" s="1" t="s">
        <v>130</v>
      </c>
      <c r="B102" s="1" t="s">
        <v>16</v>
      </c>
      <c r="C102" s="1">
        <v>1</v>
      </c>
    </row>
    <row r="103" spans="1:5" ht="13.5" customHeight="1" x14ac:dyDescent="0.3">
      <c r="A103" s="1" t="s">
        <v>131</v>
      </c>
      <c r="B103" s="1" t="s">
        <v>66</v>
      </c>
      <c r="E103" s="1">
        <v>1</v>
      </c>
    </row>
    <row r="104" spans="1:5" ht="13.5" customHeight="1" x14ac:dyDescent="0.3">
      <c r="A104" s="1" t="s">
        <v>132</v>
      </c>
      <c r="B104" s="1" t="s">
        <v>30</v>
      </c>
      <c r="E104" s="1">
        <v>1</v>
      </c>
    </row>
    <row r="105" spans="1:5" ht="13.5" customHeight="1" x14ac:dyDescent="0.3">
      <c r="A105" s="1" t="s">
        <v>133</v>
      </c>
      <c r="B105" s="1" t="s">
        <v>14</v>
      </c>
      <c r="C105" s="1">
        <v>1</v>
      </c>
    </row>
    <row r="106" spans="1:5" ht="13.5" customHeight="1" x14ac:dyDescent="0.3">
      <c r="A106" s="1" t="s">
        <v>134</v>
      </c>
      <c r="B106" s="1" t="s">
        <v>42</v>
      </c>
      <c r="C106" s="1">
        <v>1</v>
      </c>
    </row>
    <row r="107" spans="1:5" ht="13.5" customHeight="1" x14ac:dyDescent="0.3">
      <c r="A107" s="1" t="s">
        <v>135</v>
      </c>
      <c r="B107" s="1" t="s">
        <v>27</v>
      </c>
      <c r="D107" s="1">
        <v>1</v>
      </c>
    </row>
    <row r="108" spans="1:5" ht="13.5" customHeight="1" x14ac:dyDescent="0.3">
      <c r="A108" s="1" t="s">
        <v>136</v>
      </c>
      <c r="B108" s="1" t="s">
        <v>66</v>
      </c>
      <c r="E108" s="1">
        <v>1</v>
      </c>
    </row>
    <row r="109" spans="1:5" ht="13.5" customHeight="1" x14ac:dyDescent="0.3">
      <c r="A109" s="1" t="s">
        <v>137</v>
      </c>
      <c r="B109" s="1" t="s">
        <v>13</v>
      </c>
      <c r="D109" s="1">
        <v>1</v>
      </c>
    </row>
    <row r="110" spans="1:5" ht="13.5" customHeight="1" x14ac:dyDescent="0.3">
      <c r="A110" s="1" t="s">
        <v>138</v>
      </c>
      <c r="B110" s="1" t="s">
        <v>42</v>
      </c>
      <c r="C110" s="1">
        <v>1</v>
      </c>
    </row>
    <row r="111" spans="1:5" ht="13.5" customHeight="1" x14ac:dyDescent="0.3">
      <c r="A111" s="1" t="s">
        <v>139</v>
      </c>
      <c r="B111" s="1" t="s">
        <v>27</v>
      </c>
      <c r="E111" s="1">
        <v>1</v>
      </c>
    </row>
    <row r="112" spans="1:5" ht="13.5" customHeight="1" x14ac:dyDescent="0.3">
      <c r="A112" s="1" t="s">
        <v>140</v>
      </c>
      <c r="B112" s="1" t="s">
        <v>16</v>
      </c>
      <c r="D112" s="1">
        <v>1</v>
      </c>
    </row>
    <row r="113" spans="1:6" ht="13.5" customHeight="1" x14ac:dyDescent="0.3">
      <c r="A113" s="1" t="s">
        <v>141</v>
      </c>
      <c r="B113" s="1" t="s">
        <v>14</v>
      </c>
      <c r="C113" s="1">
        <v>1</v>
      </c>
    </row>
    <row r="114" spans="1:6" ht="13.5" customHeight="1" x14ac:dyDescent="0.3">
      <c r="A114" s="1" t="s">
        <v>142</v>
      </c>
      <c r="B114" s="1" t="s">
        <v>16</v>
      </c>
      <c r="D114" s="1">
        <v>1</v>
      </c>
    </row>
    <row r="115" spans="1:6" ht="13.5" customHeight="1" x14ac:dyDescent="0.3">
      <c r="A115" s="1" t="s">
        <v>143</v>
      </c>
      <c r="B115" s="1" t="s">
        <v>24</v>
      </c>
      <c r="D115" s="1">
        <v>1</v>
      </c>
    </row>
    <row r="116" spans="1:6" ht="13.5" customHeight="1" x14ac:dyDescent="0.3">
      <c r="A116" s="1" t="s">
        <v>144</v>
      </c>
      <c r="B116" s="1" t="s">
        <v>66</v>
      </c>
      <c r="D116" s="1">
        <v>1</v>
      </c>
    </row>
    <row r="117" spans="1:6" ht="13.5" customHeight="1" x14ac:dyDescent="0.3">
      <c r="A117" s="1" t="s">
        <v>145</v>
      </c>
      <c r="B117" s="1" t="s">
        <v>27</v>
      </c>
      <c r="D117" s="1">
        <v>1</v>
      </c>
    </row>
    <row r="118" spans="1:6" ht="13.5" customHeight="1" x14ac:dyDescent="0.3">
      <c r="A118" s="1" t="s">
        <v>146</v>
      </c>
      <c r="B118" s="1" t="s">
        <v>30</v>
      </c>
      <c r="D118" s="1">
        <v>1</v>
      </c>
    </row>
    <row r="119" spans="1:6" ht="13.5" customHeight="1" x14ac:dyDescent="0.3">
      <c r="A119" s="1" t="s">
        <v>147</v>
      </c>
      <c r="B119" s="1" t="s">
        <v>42</v>
      </c>
      <c r="C119" s="1">
        <v>1</v>
      </c>
    </row>
    <row r="120" spans="1:6" ht="13.5" customHeight="1" x14ac:dyDescent="0.3">
      <c r="A120" s="1" t="s">
        <v>148</v>
      </c>
      <c r="B120" s="1" t="s">
        <v>13</v>
      </c>
      <c r="D120" s="1">
        <v>1</v>
      </c>
    </row>
    <row r="121" spans="1:6" ht="13.5" customHeight="1" x14ac:dyDescent="0.3">
      <c r="A121" s="1" t="s">
        <v>149</v>
      </c>
      <c r="B121" s="1" t="s">
        <v>150</v>
      </c>
      <c r="F121" s="1">
        <v>1</v>
      </c>
    </row>
    <row r="122" spans="1:6" ht="13.5" customHeight="1" x14ac:dyDescent="0.3">
      <c r="A122" s="1" t="s">
        <v>151</v>
      </c>
      <c r="B122" s="1" t="s">
        <v>24</v>
      </c>
      <c r="C122" s="1">
        <v>1</v>
      </c>
    </row>
    <row r="123" spans="1:6" ht="13.5" customHeight="1" x14ac:dyDescent="0.3">
      <c r="A123" s="1" t="s">
        <v>152</v>
      </c>
      <c r="B123" s="1" t="s">
        <v>24</v>
      </c>
      <c r="C123" s="1">
        <v>1</v>
      </c>
    </row>
    <row r="124" spans="1:6" ht="13.5" customHeight="1" x14ac:dyDescent="0.3">
      <c r="A124" s="1" t="s">
        <v>153</v>
      </c>
      <c r="B124" s="1" t="s">
        <v>19</v>
      </c>
      <c r="C124" s="1">
        <v>1</v>
      </c>
    </row>
    <row r="125" spans="1:6" ht="13.5" customHeight="1" x14ac:dyDescent="0.3">
      <c r="A125" s="1" t="s">
        <v>154</v>
      </c>
      <c r="B125" s="1" t="s">
        <v>33</v>
      </c>
      <c r="C125" s="1">
        <v>1</v>
      </c>
    </row>
    <row r="126" spans="1:6" ht="13.5" customHeight="1" x14ac:dyDescent="0.3">
      <c r="A126" s="1" t="s">
        <v>155</v>
      </c>
      <c r="B126" s="1" t="s">
        <v>13</v>
      </c>
      <c r="D126" s="1">
        <v>1</v>
      </c>
    </row>
    <row r="127" spans="1:6" ht="13.5" customHeight="1" x14ac:dyDescent="0.3">
      <c r="A127" s="1" t="s">
        <v>156</v>
      </c>
      <c r="B127" s="1" t="s">
        <v>13</v>
      </c>
      <c r="D127" s="1">
        <v>1</v>
      </c>
    </row>
    <row r="128" spans="1:6" ht="13.5" customHeight="1" x14ac:dyDescent="0.3">
      <c r="A128" s="1" t="s">
        <v>157</v>
      </c>
      <c r="B128" s="1" t="s">
        <v>14</v>
      </c>
      <c r="C128" s="1">
        <v>1</v>
      </c>
    </row>
    <row r="129" spans="1:6" ht="13.5" customHeight="1" x14ac:dyDescent="0.3">
      <c r="A129" s="1" t="s">
        <v>158</v>
      </c>
      <c r="B129" s="1" t="s">
        <v>16</v>
      </c>
      <c r="C129" s="1">
        <v>1</v>
      </c>
    </row>
    <row r="130" spans="1:6" ht="13.5" customHeight="1" x14ac:dyDescent="0.3">
      <c r="A130" s="1" t="s">
        <v>159</v>
      </c>
      <c r="B130" s="1" t="s">
        <v>13</v>
      </c>
      <c r="C130" s="1">
        <v>1</v>
      </c>
    </row>
    <row r="131" spans="1:6" ht="13.5" customHeight="1" x14ac:dyDescent="0.3">
      <c r="A131" s="1" t="s">
        <v>160</v>
      </c>
      <c r="B131" s="1" t="s">
        <v>66</v>
      </c>
      <c r="C131" s="1">
        <v>1</v>
      </c>
    </row>
    <row r="132" spans="1:6" ht="13.5" customHeight="1" x14ac:dyDescent="0.3">
      <c r="A132" s="1" t="s">
        <v>161</v>
      </c>
      <c r="B132" s="1" t="s">
        <v>38</v>
      </c>
      <c r="D132" s="1">
        <v>1</v>
      </c>
    </row>
    <row r="133" spans="1:6" ht="13.5" customHeight="1" x14ac:dyDescent="0.3">
      <c r="A133" s="1" t="s">
        <v>162</v>
      </c>
      <c r="B133" s="1" t="s">
        <v>13</v>
      </c>
      <c r="D133" s="1">
        <v>1</v>
      </c>
    </row>
    <row r="134" spans="1:6" ht="13.5" customHeight="1" x14ac:dyDescent="0.3">
      <c r="A134" s="1" t="s">
        <v>163</v>
      </c>
      <c r="B134" s="1" t="s">
        <v>66</v>
      </c>
      <c r="D134" s="1">
        <v>1</v>
      </c>
    </row>
    <row r="135" spans="1:6" ht="13.5" customHeight="1" x14ac:dyDescent="0.3">
      <c r="A135" s="1" t="s">
        <v>164</v>
      </c>
      <c r="B135" s="1" t="s">
        <v>21</v>
      </c>
      <c r="D135" s="1">
        <v>1</v>
      </c>
    </row>
    <row r="136" spans="1:6" ht="13.5" customHeight="1" x14ac:dyDescent="0.3">
      <c r="A136" s="1" t="s">
        <v>165</v>
      </c>
      <c r="B136" s="1" t="s">
        <v>30</v>
      </c>
      <c r="E136" s="1">
        <v>1</v>
      </c>
    </row>
    <row r="137" spans="1:6" ht="13.5" customHeight="1" x14ac:dyDescent="0.3">
      <c r="A137" s="1" t="s">
        <v>166</v>
      </c>
      <c r="B137" s="1" t="s">
        <v>30</v>
      </c>
      <c r="E137" s="1">
        <v>1</v>
      </c>
    </row>
    <row r="138" spans="1:6" ht="13.5" customHeight="1" x14ac:dyDescent="0.3">
      <c r="A138" s="1" t="s">
        <v>167</v>
      </c>
      <c r="B138" s="1" t="s">
        <v>19</v>
      </c>
      <c r="C138" s="1">
        <v>1</v>
      </c>
    </row>
    <row r="139" spans="1:6" ht="13.5" customHeight="1" x14ac:dyDescent="0.3">
      <c r="A139" s="1" t="s">
        <v>168</v>
      </c>
      <c r="B139" s="1" t="s">
        <v>13</v>
      </c>
      <c r="D139" s="1">
        <v>1</v>
      </c>
    </row>
    <row r="140" spans="1:6" ht="13.5" customHeight="1" x14ac:dyDescent="0.3">
      <c r="A140" s="1" t="s">
        <v>169</v>
      </c>
      <c r="B140" s="1" t="s">
        <v>27</v>
      </c>
      <c r="D140" s="1">
        <v>1</v>
      </c>
    </row>
    <row r="141" spans="1:6" ht="13.5" customHeight="1" x14ac:dyDescent="0.3">
      <c r="A141" s="1" t="s">
        <v>170</v>
      </c>
      <c r="B141" s="1" t="s">
        <v>16</v>
      </c>
      <c r="E141" s="1">
        <v>1</v>
      </c>
    </row>
    <row r="142" spans="1:6" ht="13.5" customHeight="1" x14ac:dyDescent="0.3">
      <c r="A142" s="1" t="s">
        <v>171</v>
      </c>
      <c r="B142" s="1" t="s">
        <v>19</v>
      </c>
      <c r="C142" s="1">
        <v>1</v>
      </c>
    </row>
    <row r="143" spans="1:6" ht="13.5" customHeight="1" x14ac:dyDescent="0.3">
      <c r="A143" s="1" t="s">
        <v>172</v>
      </c>
      <c r="B143" s="1" t="s">
        <v>37</v>
      </c>
      <c r="F143" s="1">
        <v>1</v>
      </c>
    </row>
    <row r="144" spans="1:6" ht="13.5" customHeight="1" x14ac:dyDescent="0.3">
      <c r="A144" s="1" t="s">
        <v>173</v>
      </c>
      <c r="B144" s="1" t="s">
        <v>27</v>
      </c>
      <c r="C144" s="1">
        <v>1</v>
      </c>
    </row>
    <row r="145" spans="1:5" ht="13.5" customHeight="1" x14ac:dyDescent="0.3">
      <c r="A145" s="1" t="s">
        <v>174</v>
      </c>
      <c r="B145" s="1" t="s">
        <v>66</v>
      </c>
      <c r="D145" s="1">
        <v>1</v>
      </c>
    </row>
    <row r="146" spans="1:5" ht="13.5" customHeight="1" x14ac:dyDescent="0.3">
      <c r="A146" s="1" t="s">
        <v>175</v>
      </c>
      <c r="B146" s="1" t="s">
        <v>14</v>
      </c>
      <c r="C146" s="1">
        <v>1</v>
      </c>
    </row>
    <row r="147" spans="1:5" ht="13.5" customHeight="1" x14ac:dyDescent="0.3">
      <c r="A147" s="1" t="s">
        <v>176</v>
      </c>
      <c r="B147" s="1" t="s">
        <v>66</v>
      </c>
      <c r="E147" s="1">
        <v>1</v>
      </c>
    </row>
    <row r="148" spans="1:5" ht="13.5" customHeight="1" x14ac:dyDescent="0.3">
      <c r="A148" s="1" t="s">
        <v>177</v>
      </c>
      <c r="B148" s="1" t="s">
        <v>42</v>
      </c>
      <c r="C148" s="1">
        <v>1</v>
      </c>
    </row>
    <row r="149" spans="1:5" ht="13.5" customHeight="1" x14ac:dyDescent="0.3">
      <c r="A149" s="1" t="s">
        <v>178</v>
      </c>
      <c r="B149" s="1" t="s">
        <v>33</v>
      </c>
      <c r="D149" s="1">
        <v>1</v>
      </c>
    </row>
    <row r="150" spans="1:5" ht="13.5" customHeight="1" x14ac:dyDescent="0.3">
      <c r="A150" s="1" t="s">
        <v>179</v>
      </c>
      <c r="B150" s="1" t="s">
        <v>14</v>
      </c>
      <c r="C150" s="1">
        <v>1</v>
      </c>
    </row>
    <row r="151" spans="1:5" ht="13.5" customHeight="1" x14ac:dyDescent="0.3">
      <c r="A151" s="1" t="s">
        <v>180</v>
      </c>
      <c r="B151" s="1" t="s">
        <v>13</v>
      </c>
      <c r="D151" s="1">
        <v>1</v>
      </c>
    </row>
    <row r="152" spans="1:5" ht="13.5" customHeight="1" x14ac:dyDescent="0.3">
      <c r="A152" s="1" t="s">
        <v>181</v>
      </c>
      <c r="B152" s="1" t="s">
        <v>24</v>
      </c>
      <c r="C152" s="1">
        <v>1</v>
      </c>
    </row>
    <row r="153" spans="1:5" ht="13.5" customHeight="1" x14ac:dyDescent="0.3">
      <c r="A153" s="1" t="s">
        <v>182</v>
      </c>
      <c r="B153" s="1" t="s">
        <v>19</v>
      </c>
      <c r="C153" s="1">
        <v>1</v>
      </c>
    </row>
    <row r="154" spans="1:5" ht="13.5" customHeight="1" x14ac:dyDescent="0.3">
      <c r="A154" s="1" t="s">
        <v>183</v>
      </c>
      <c r="B154" s="1" t="s">
        <v>42</v>
      </c>
      <c r="C154" s="1">
        <v>1</v>
      </c>
    </row>
    <row r="155" spans="1:5" ht="13.5" customHeight="1" x14ac:dyDescent="0.3">
      <c r="A155" s="1" t="s">
        <v>184</v>
      </c>
      <c r="B155" s="1" t="s">
        <v>19</v>
      </c>
      <c r="C155" s="1">
        <v>1</v>
      </c>
    </row>
    <row r="156" spans="1:5" ht="13.5" customHeight="1" x14ac:dyDescent="0.3">
      <c r="A156" s="1" t="s">
        <v>185</v>
      </c>
      <c r="B156" s="1" t="s">
        <v>30</v>
      </c>
      <c r="E156" s="1">
        <v>1</v>
      </c>
    </row>
    <row r="157" spans="1:5" ht="13.5" customHeight="1" x14ac:dyDescent="0.3"/>
    <row r="158" spans="1:5" ht="13.5" customHeight="1" x14ac:dyDescent="0.3"/>
    <row r="159" spans="1:5" ht="13.5" customHeight="1" x14ac:dyDescent="0.3"/>
    <row r="160" spans="1:5" ht="13.5" customHeight="1" x14ac:dyDescent="0.3"/>
    <row r="161" s="1" customFormat="1" ht="13.5" customHeight="1" x14ac:dyDescent="0.3"/>
    <row r="162" s="1" customFormat="1" ht="13.5" customHeight="1" x14ac:dyDescent="0.3"/>
    <row r="163" s="1" customFormat="1" ht="13.5" customHeight="1" x14ac:dyDescent="0.3"/>
    <row r="164" s="1" customFormat="1" ht="13.5" customHeight="1" x14ac:dyDescent="0.3"/>
    <row r="165" s="1" customFormat="1" ht="13.5" customHeight="1" x14ac:dyDescent="0.3"/>
    <row r="166" s="1" customFormat="1" ht="13.5" customHeight="1" x14ac:dyDescent="0.3"/>
    <row r="167" s="1" customFormat="1" ht="13.5" customHeight="1" x14ac:dyDescent="0.3"/>
    <row r="168" s="1" customFormat="1" ht="13.5" customHeight="1" x14ac:dyDescent="0.3"/>
    <row r="169" s="1" customFormat="1" ht="13.5" customHeight="1" x14ac:dyDescent="0.3"/>
    <row r="170" s="1" customFormat="1" ht="13.5" customHeight="1" x14ac:dyDescent="0.3"/>
    <row r="171" s="1" customFormat="1" ht="13.5" customHeight="1" x14ac:dyDescent="0.3"/>
    <row r="172" s="1" customFormat="1" ht="13.5" customHeight="1" x14ac:dyDescent="0.3"/>
    <row r="173" s="1" customFormat="1" ht="13.5" customHeight="1" x14ac:dyDescent="0.3"/>
    <row r="174" s="1" customFormat="1" ht="13.5" customHeight="1" x14ac:dyDescent="0.3"/>
    <row r="175" s="1" customFormat="1" ht="13.5" customHeight="1" x14ac:dyDescent="0.3"/>
    <row r="176" s="1" customFormat="1" ht="13.5" customHeight="1" x14ac:dyDescent="0.3"/>
    <row r="177" s="1" customFormat="1" ht="13.5" customHeight="1" x14ac:dyDescent="0.3"/>
    <row r="178" s="1" customFormat="1" ht="13.5" customHeight="1" x14ac:dyDescent="0.3"/>
    <row r="179" s="1" customFormat="1" ht="13.5" customHeight="1" x14ac:dyDescent="0.3"/>
    <row r="180" s="1" customFormat="1" ht="13.5" customHeight="1" x14ac:dyDescent="0.3"/>
    <row r="181" s="1" customFormat="1" ht="13.5" customHeight="1" x14ac:dyDescent="0.3"/>
    <row r="182" s="1" customFormat="1" ht="13.5" customHeight="1" x14ac:dyDescent="0.3"/>
    <row r="183" s="1" customFormat="1" ht="13.5" customHeight="1" x14ac:dyDescent="0.3"/>
    <row r="184" s="1" customFormat="1" ht="13.5" customHeight="1" x14ac:dyDescent="0.3"/>
    <row r="185" s="1" customFormat="1" ht="13.5" customHeight="1" x14ac:dyDescent="0.3"/>
    <row r="186" s="1" customFormat="1" ht="13.5" customHeight="1" x14ac:dyDescent="0.3"/>
    <row r="187" s="1" customFormat="1" ht="13.5" customHeight="1" x14ac:dyDescent="0.3"/>
    <row r="188" s="1" customFormat="1" ht="13.5" customHeight="1" x14ac:dyDescent="0.3"/>
    <row r="189" s="1" customFormat="1" ht="13.5" customHeight="1" x14ac:dyDescent="0.3"/>
    <row r="190" s="1" customFormat="1" ht="13.5" customHeight="1" x14ac:dyDescent="0.3"/>
    <row r="191" s="1" customFormat="1" ht="13.5" customHeight="1" x14ac:dyDescent="0.3"/>
    <row r="192" s="1" customFormat="1" ht="13.5" customHeight="1" x14ac:dyDescent="0.3"/>
    <row r="193" s="1" customFormat="1" ht="13.5" customHeight="1" x14ac:dyDescent="0.3"/>
    <row r="194" s="1" customFormat="1" ht="13.5" customHeight="1" x14ac:dyDescent="0.3"/>
    <row r="195" s="1" customFormat="1" ht="13.5" customHeight="1" x14ac:dyDescent="0.3"/>
    <row r="196" s="1" customFormat="1" ht="13.5" customHeight="1" x14ac:dyDescent="0.3"/>
    <row r="197" s="1" customFormat="1" ht="13.5" customHeight="1" x14ac:dyDescent="0.3"/>
    <row r="198" s="1" customFormat="1" ht="13.5" customHeight="1" x14ac:dyDescent="0.3"/>
    <row r="199" s="1" customFormat="1" ht="13.5" customHeight="1" x14ac:dyDescent="0.3"/>
    <row r="200" s="1" customFormat="1" ht="13.5" customHeight="1" x14ac:dyDescent="0.3"/>
    <row r="201" s="1" customFormat="1" ht="13.5" customHeight="1" x14ac:dyDescent="0.3"/>
    <row r="202" s="1" customFormat="1" ht="13.5" customHeight="1" x14ac:dyDescent="0.3"/>
    <row r="203" s="1" customFormat="1" ht="13.5" customHeight="1" x14ac:dyDescent="0.3"/>
    <row r="204" s="1" customFormat="1" ht="13.5" customHeight="1" x14ac:dyDescent="0.3"/>
    <row r="205" s="1" customFormat="1" ht="13.5" customHeight="1" x14ac:dyDescent="0.3"/>
    <row r="206" s="1" customFormat="1" ht="13.5" customHeight="1" x14ac:dyDescent="0.3"/>
    <row r="207" s="1" customFormat="1" ht="13.5" customHeight="1" x14ac:dyDescent="0.3"/>
    <row r="208" s="1" customFormat="1" ht="13.5" customHeight="1" x14ac:dyDescent="0.3"/>
    <row r="209" s="1" customFormat="1" ht="13.5" customHeight="1" x14ac:dyDescent="0.3"/>
    <row r="210" s="1" customFormat="1" ht="13.5" customHeight="1" x14ac:dyDescent="0.3"/>
    <row r="211" s="1" customFormat="1" ht="13.5" customHeight="1" x14ac:dyDescent="0.3"/>
    <row r="212" s="1" customFormat="1" ht="13.5" customHeight="1" x14ac:dyDescent="0.3"/>
    <row r="213" s="1" customFormat="1" ht="13.5" customHeight="1" x14ac:dyDescent="0.3"/>
    <row r="214" s="1" customFormat="1" ht="13.5" customHeight="1" x14ac:dyDescent="0.3"/>
    <row r="215" s="1" customFormat="1" ht="13.5" customHeight="1" x14ac:dyDescent="0.3"/>
    <row r="216" s="1" customFormat="1" ht="13.5" customHeight="1" x14ac:dyDescent="0.3"/>
    <row r="217" s="1" customFormat="1" ht="13.5" customHeight="1" x14ac:dyDescent="0.3"/>
    <row r="218" s="1" customFormat="1" ht="13.5" customHeight="1" x14ac:dyDescent="0.3"/>
    <row r="219" s="1" customFormat="1" ht="13.5" customHeight="1" x14ac:dyDescent="0.3"/>
    <row r="220" s="1" customFormat="1" ht="13.5" customHeight="1" x14ac:dyDescent="0.3"/>
    <row r="221" s="1" customFormat="1" ht="13.5" customHeight="1" x14ac:dyDescent="0.3"/>
    <row r="222" s="1" customFormat="1" ht="13.5" customHeight="1" x14ac:dyDescent="0.3"/>
    <row r="223" s="1" customFormat="1" ht="13.5" customHeight="1" x14ac:dyDescent="0.3"/>
    <row r="224" s="1" customFormat="1" ht="13.5" customHeight="1" x14ac:dyDescent="0.3"/>
    <row r="225" s="1" customFormat="1" ht="13.5" customHeight="1" x14ac:dyDescent="0.3"/>
    <row r="226" s="1" customFormat="1" ht="13.5" customHeight="1" x14ac:dyDescent="0.3"/>
    <row r="227" s="1" customFormat="1" ht="13.5" customHeight="1" x14ac:dyDescent="0.3"/>
    <row r="228" s="1" customFormat="1" ht="13.5" customHeight="1" x14ac:dyDescent="0.3"/>
    <row r="229" s="1" customFormat="1" ht="13.5" customHeight="1" x14ac:dyDescent="0.3"/>
    <row r="230" s="1" customFormat="1" ht="13.5" customHeight="1" x14ac:dyDescent="0.3"/>
    <row r="231" s="1" customFormat="1" ht="13.5" customHeight="1" x14ac:dyDescent="0.3"/>
    <row r="232" s="1" customFormat="1" ht="13.5" customHeight="1" x14ac:dyDescent="0.3"/>
    <row r="233" s="1" customFormat="1" ht="13.5" customHeight="1" x14ac:dyDescent="0.3"/>
    <row r="234" s="1" customFormat="1" ht="13.5" customHeight="1" x14ac:dyDescent="0.3"/>
    <row r="235" s="1" customFormat="1" ht="13.5" customHeight="1" x14ac:dyDescent="0.3"/>
    <row r="236" s="1" customFormat="1" ht="13.5" customHeight="1" x14ac:dyDescent="0.3"/>
    <row r="237" s="1" customFormat="1" ht="13.5" customHeight="1" x14ac:dyDescent="0.3"/>
    <row r="238" s="1" customFormat="1" ht="13.5" customHeight="1" x14ac:dyDescent="0.3"/>
    <row r="239" s="1" customFormat="1" ht="13.5" customHeight="1" x14ac:dyDescent="0.3"/>
    <row r="240" s="1" customFormat="1" ht="13.5" customHeight="1" x14ac:dyDescent="0.3"/>
    <row r="241" s="1" customFormat="1" ht="13.5" customHeight="1" x14ac:dyDescent="0.3"/>
    <row r="242" s="1" customFormat="1" ht="13.5" customHeight="1" x14ac:dyDescent="0.3"/>
    <row r="243" s="1" customFormat="1" ht="13.5" customHeight="1" x14ac:dyDescent="0.3"/>
    <row r="244" s="1" customFormat="1" ht="13.5" customHeight="1" x14ac:dyDescent="0.3"/>
    <row r="245" s="1" customFormat="1" ht="13.5" customHeight="1" x14ac:dyDescent="0.3"/>
    <row r="246" s="1" customFormat="1" ht="13.5" customHeight="1" x14ac:dyDescent="0.3"/>
    <row r="247" s="1" customFormat="1" ht="13.5" customHeight="1" x14ac:dyDescent="0.3"/>
    <row r="248" s="1" customFormat="1" ht="13.5" customHeight="1" x14ac:dyDescent="0.3"/>
    <row r="249" s="1" customFormat="1" ht="13.5" customHeight="1" x14ac:dyDescent="0.3"/>
    <row r="250" s="1" customFormat="1" ht="13.5" customHeight="1" x14ac:dyDescent="0.3"/>
    <row r="251" s="1" customFormat="1" ht="13.5" customHeight="1" x14ac:dyDescent="0.3"/>
    <row r="252" s="1" customFormat="1" ht="13.5" customHeight="1" x14ac:dyDescent="0.3"/>
    <row r="253" s="1" customFormat="1" ht="13.5" customHeight="1" x14ac:dyDescent="0.3"/>
    <row r="254" s="1" customFormat="1" ht="13.5" customHeight="1" x14ac:dyDescent="0.3"/>
    <row r="255" s="1" customFormat="1" ht="13.5" customHeight="1" x14ac:dyDescent="0.3"/>
    <row r="256" s="1" customFormat="1" ht="13.5" customHeight="1" x14ac:dyDescent="0.3"/>
    <row r="257" s="1" customFormat="1" ht="13.5" customHeight="1" x14ac:dyDescent="0.3"/>
    <row r="258" s="1" customFormat="1" ht="13.5" customHeight="1" x14ac:dyDescent="0.3"/>
    <row r="259" s="1" customFormat="1" ht="13.5" customHeight="1" x14ac:dyDescent="0.3"/>
    <row r="260" s="1" customFormat="1" ht="13.5" customHeight="1" x14ac:dyDescent="0.3"/>
    <row r="261" s="1" customFormat="1" ht="13.5" customHeight="1" x14ac:dyDescent="0.3"/>
    <row r="262" s="1" customFormat="1" ht="13.5" customHeight="1" x14ac:dyDescent="0.3"/>
    <row r="263" s="1" customFormat="1" ht="13.5" customHeight="1" x14ac:dyDescent="0.3"/>
    <row r="264" s="1" customFormat="1" ht="13.5" customHeight="1" x14ac:dyDescent="0.3"/>
    <row r="265" s="1" customFormat="1" ht="13.5" customHeight="1" x14ac:dyDescent="0.3"/>
    <row r="266" s="1" customFormat="1" ht="13.5" customHeight="1" x14ac:dyDescent="0.3"/>
    <row r="267" s="1" customFormat="1" ht="13.5" customHeight="1" x14ac:dyDescent="0.3"/>
    <row r="268" s="1" customFormat="1" ht="13.5" customHeight="1" x14ac:dyDescent="0.3"/>
    <row r="269" s="1" customFormat="1" ht="13.5" customHeight="1" x14ac:dyDescent="0.3"/>
    <row r="270" s="1" customFormat="1" ht="13.5" customHeight="1" x14ac:dyDescent="0.3"/>
    <row r="271" s="1" customFormat="1" ht="13.5" customHeight="1" x14ac:dyDescent="0.3"/>
    <row r="272" s="1" customFormat="1" ht="13.5" customHeight="1" x14ac:dyDescent="0.3"/>
    <row r="273" s="1" customFormat="1" ht="13.5" customHeight="1" x14ac:dyDescent="0.3"/>
    <row r="274" s="1" customFormat="1" ht="13.5" customHeight="1" x14ac:dyDescent="0.3"/>
    <row r="275" s="1" customFormat="1" ht="13.5" customHeight="1" x14ac:dyDescent="0.3"/>
    <row r="276" s="1" customFormat="1" ht="13.5" customHeight="1" x14ac:dyDescent="0.3"/>
    <row r="277" s="1" customFormat="1" ht="13.5" customHeight="1" x14ac:dyDescent="0.3"/>
    <row r="278" s="1" customFormat="1" ht="13.5" customHeight="1" x14ac:dyDescent="0.3"/>
    <row r="279" s="1" customFormat="1" ht="13.5" customHeight="1" x14ac:dyDescent="0.3"/>
    <row r="280" s="1" customFormat="1" ht="13.5" customHeight="1" x14ac:dyDescent="0.3"/>
    <row r="281" s="1" customFormat="1" ht="13.5" customHeight="1" x14ac:dyDescent="0.3"/>
    <row r="282" s="1" customFormat="1" ht="13.5" customHeight="1" x14ac:dyDescent="0.3"/>
    <row r="283" s="1" customFormat="1" ht="13.5" customHeight="1" x14ac:dyDescent="0.3"/>
    <row r="284" s="1" customFormat="1" ht="13.5" customHeight="1" x14ac:dyDescent="0.3"/>
    <row r="285" s="1" customFormat="1" ht="13.5" customHeight="1" x14ac:dyDescent="0.3"/>
    <row r="286" s="1" customFormat="1" ht="13.5" customHeight="1" x14ac:dyDescent="0.3"/>
    <row r="287" s="1" customFormat="1" ht="13.5" customHeight="1" x14ac:dyDescent="0.3"/>
    <row r="288" s="1" customFormat="1" ht="13.5" customHeight="1" x14ac:dyDescent="0.3"/>
    <row r="289" s="1" customFormat="1" ht="13.5" customHeight="1" x14ac:dyDescent="0.3"/>
    <row r="290" s="1" customFormat="1" ht="13.5" customHeight="1" x14ac:dyDescent="0.3"/>
    <row r="291" s="1" customFormat="1" ht="13.5" customHeight="1" x14ac:dyDescent="0.3"/>
    <row r="292" s="1" customFormat="1" ht="13.5" customHeight="1" x14ac:dyDescent="0.3"/>
    <row r="293" s="1" customFormat="1" ht="13.5" customHeight="1" x14ac:dyDescent="0.3"/>
    <row r="294" s="1" customFormat="1" ht="13.5" customHeight="1" x14ac:dyDescent="0.3"/>
    <row r="295" s="1" customFormat="1" ht="13.5" customHeight="1" x14ac:dyDescent="0.3"/>
    <row r="296" s="1" customFormat="1" ht="13.5" customHeight="1" x14ac:dyDescent="0.3"/>
    <row r="297" s="1" customFormat="1" ht="13.5" customHeight="1" x14ac:dyDescent="0.3"/>
    <row r="298" s="1" customFormat="1" ht="13.5" customHeight="1" x14ac:dyDescent="0.3"/>
    <row r="299" s="1" customFormat="1" ht="13.5" customHeight="1" x14ac:dyDescent="0.3"/>
    <row r="300" s="1" customFormat="1" ht="13.5" customHeight="1" x14ac:dyDescent="0.3"/>
    <row r="301" s="1" customFormat="1" ht="13.5" customHeight="1" x14ac:dyDescent="0.3"/>
    <row r="302" s="1" customFormat="1" ht="13.5" customHeight="1" x14ac:dyDescent="0.3"/>
    <row r="303" s="1" customFormat="1" ht="13.5" customHeight="1" x14ac:dyDescent="0.3"/>
    <row r="304" s="1" customFormat="1" ht="13.5" customHeight="1" x14ac:dyDescent="0.3"/>
    <row r="305" s="1" customFormat="1" ht="13.5" customHeight="1" x14ac:dyDescent="0.3"/>
    <row r="306" s="1" customFormat="1" ht="13.5" customHeight="1" x14ac:dyDescent="0.3"/>
    <row r="307" s="1" customFormat="1" ht="13.5" customHeight="1" x14ac:dyDescent="0.3"/>
    <row r="308" s="1" customFormat="1" ht="13.5" customHeight="1" x14ac:dyDescent="0.3"/>
    <row r="309" s="1" customFormat="1" ht="13.5" customHeight="1" x14ac:dyDescent="0.3"/>
    <row r="310" s="1" customFormat="1" ht="13.5" customHeight="1" x14ac:dyDescent="0.3"/>
    <row r="311" s="1" customFormat="1" ht="13.5" customHeight="1" x14ac:dyDescent="0.3"/>
    <row r="312" s="1" customFormat="1" ht="13.5" customHeight="1" x14ac:dyDescent="0.3"/>
    <row r="313" s="1" customFormat="1" ht="13.5" customHeight="1" x14ac:dyDescent="0.3"/>
    <row r="314" s="1" customFormat="1" ht="13.5" customHeight="1" x14ac:dyDescent="0.3"/>
    <row r="315" s="1" customFormat="1" ht="13.5" customHeight="1" x14ac:dyDescent="0.3"/>
    <row r="316" s="1" customFormat="1" ht="13.5" customHeight="1" x14ac:dyDescent="0.3"/>
    <row r="317" s="1" customFormat="1" ht="13.5" customHeight="1" x14ac:dyDescent="0.3"/>
    <row r="318" s="1" customFormat="1" ht="13.5" customHeight="1" x14ac:dyDescent="0.3"/>
    <row r="319" s="1" customFormat="1" ht="13.5" customHeight="1" x14ac:dyDescent="0.3"/>
    <row r="320" s="1" customFormat="1" ht="13.5" customHeight="1" x14ac:dyDescent="0.3"/>
    <row r="321" s="1" customFormat="1" ht="13.5" customHeight="1" x14ac:dyDescent="0.3"/>
    <row r="322" s="1" customFormat="1" ht="13.5" customHeight="1" x14ac:dyDescent="0.3"/>
    <row r="323" s="1" customFormat="1" ht="13.5" customHeight="1" x14ac:dyDescent="0.3"/>
    <row r="324" s="1" customFormat="1" ht="13.5" customHeight="1" x14ac:dyDescent="0.3"/>
    <row r="325" s="1" customFormat="1" ht="13.5" customHeight="1" x14ac:dyDescent="0.3"/>
    <row r="326" s="1" customFormat="1" ht="13.5" customHeight="1" x14ac:dyDescent="0.3"/>
    <row r="327" s="1" customFormat="1" ht="13.5" customHeight="1" x14ac:dyDescent="0.3"/>
    <row r="328" s="1" customFormat="1" ht="13.5" customHeight="1" x14ac:dyDescent="0.3"/>
    <row r="329" s="1" customFormat="1" ht="13.5" customHeight="1" x14ac:dyDescent="0.3"/>
    <row r="330" s="1" customFormat="1" ht="13.5" customHeight="1" x14ac:dyDescent="0.3"/>
    <row r="331" s="1" customFormat="1" ht="13.5" customHeight="1" x14ac:dyDescent="0.3"/>
    <row r="332" s="1" customFormat="1" ht="13.5" customHeight="1" x14ac:dyDescent="0.3"/>
    <row r="333" s="1" customFormat="1" ht="13.5" customHeight="1" x14ac:dyDescent="0.3"/>
    <row r="334" s="1" customFormat="1" ht="13.5" customHeight="1" x14ac:dyDescent="0.3"/>
    <row r="335" s="1" customFormat="1" ht="13.5" customHeight="1" x14ac:dyDescent="0.3"/>
    <row r="336" s="1" customFormat="1" ht="13.5" customHeight="1" x14ac:dyDescent="0.3"/>
    <row r="337" s="1" customFormat="1" ht="13.5" customHeight="1" x14ac:dyDescent="0.3"/>
    <row r="338" s="1" customFormat="1" ht="13.5" customHeight="1" x14ac:dyDescent="0.3"/>
    <row r="339" s="1" customFormat="1" ht="13.5" customHeight="1" x14ac:dyDescent="0.3"/>
    <row r="340" s="1" customFormat="1" ht="13.5" customHeight="1" x14ac:dyDescent="0.3"/>
    <row r="341" s="1" customFormat="1" ht="13.5" customHeight="1" x14ac:dyDescent="0.3"/>
    <row r="342" s="1" customFormat="1" ht="13.5" customHeight="1" x14ac:dyDescent="0.3"/>
    <row r="343" s="1" customFormat="1" ht="13.5" customHeight="1" x14ac:dyDescent="0.3"/>
    <row r="344" s="1" customFormat="1" ht="13.5" customHeight="1" x14ac:dyDescent="0.3"/>
    <row r="345" s="1" customFormat="1" ht="13.5" customHeight="1" x14ac:dyDescent="0.3"/>
    <row r="346" s="1" customFormat="1" ht="13.5" customHeight="1" x14ac:dyDescent="0.3"/>
    <row r="347" s="1" customFormat="1" ht="13.5" customHeight="1" x14ac:dyDescent="0.3"/>
    <row r="348" s="1" customFormat="1" ht="13.5" customHeight="1" x14ac:dyDescent="0.3"/>
    <row r="349" s="1" customFormat="1" ht="13.5" customHeight="1" x14ac:dyDescent="0.3"/>
    <row r="350" s="1" customFormat="1" ht="13.5" customHeight="1" x14ac:dyDescent="0.3"/>
    <row r="351" s="1" customFormat="1" ht="13.5" customHeight="1" x14ac:dyDescent="0.3"/>
    <row r="352" s="1" customFormat="1" ht="13.5" customHeight="1" x14ac:dyDescent="0.3"/>
    <row r="353" s="1" customFormat="1" ht="13.5" customHeight="1" x14ac:dyDescent="0.3"/>
    <row r="354" s="1" customFormat="1" ht="13.5" customHeight="1" x14ac:dyDescent="0.3"/>
    <row r="355" s="1" customFormat="1" ht="13.5" customHeight="1" x14ac:dyDescent="0.3"/>
    <row r="356" s="1" customFormat="1" ht="13.5" customHeight="1" x14ac:dyDescent="0.3"/>
    <row r="357" s="1" customFormat="1" ht="13.5" customHeight="1" x14ac:dyDescent="0.3"/>
    <row r="358" s="1" customFormat="1" ht="13.5" customHeight="1" x14ac:dyDescent="0.3"/>
    <row r="359" s="1" customFormat="1" ht="13.5" customHeight="1" x14ac:dyDescent="0.3"/>
    <row r="360" s="1" customFormat="1" ht="13.5" customHeight="1" x14ac:dyDescent="0.3"/>
    <row r="361" s="1" customFormat="1" ht="13.5" customHeight="1" x14ac:dyDescent="0.3"/>
    <row r="362" s="1" customFormat="1" ht="13.5" customHeight="1" x14ac:dyDescent="0.3"/>
    <row r="363" s="1" customFormat="1" ht="13.5" customHeight="1" x14ac:dyDescent="0.3"/>
    <row r="364" s="1" customFormat="1" ht="13.5" customHeight="1" x14ac:dyDescent="0.3"/>
    <row r="365" s="1" customFormat="1" ht="13.5" customHeight="1" x14ac:dyDescent="0.3"/>
    <row r="366" s="1" customFormat="1" ht="13.5" customHeight="1" x14ac:dyDescent="0.3"/>
    <row r="367" s="1" customFormat="1" ht="13.5" customHeight="1" x14ac:dyDescent="0.3"/>
    <row r="368" s="1" customFormat="1" ht="13.5" customHeight="1" x14ac:dyDescent="0.3"/>
    <row r="369" s="1" customFormat="1" ht="13.5" customHeight="1" x14ac:dyDescent="0.3"/>
    <row r="370" s="1" customFormat="1" ht="13.5" customHeight="1" x14ac:dyDescent="0.3"/>
    <row r="371" s="1" customFormat="1" ht="13.5" customHeight="1" x14ac:dyDescent="0.3"/>
    <row r="372" s="1" customFormat="1" ht="13.5" customHeight="1" x14ac:dyDescent="0.3"/>
    <row r="373" s="1" customFormat="1" ht="13.5" customHeight="1" x14ac:dyDescent="0.3"/>
    <row r="374" s="1" customFormat="1" ht="13.5" customHeight="1" x14ac:dyDescent="0.3"/>
    <row r="375" s="1" customFormat="1" ht="13.5" customHeight="1" x14ac:dyDescent="0.3"/>
    <row r="376" s="1" customFormat="1" ht="13.5" customHeight="1" x14ac:dyDescent="0.3"/>
    <row r="377" s="1" customFormat="1" ht="13.5" customHeight="1" x14ac:dyDescent="0.3"/>
    <row r="378" s="1" customFormat="1" ht="13.5" customHeight="1" x14ac:dyDescent="0.3"/>
    <row r="379" s="1" customFormat="1" ht="13.5" customHeight="1" x14ac:dyDescent="0.3"/>
    <row r="380" s="1" customFormat="1" ht="13.5" customHeight="1" x14ac:dyDescent="0.3"/>
    <row r="381" s="1" customFormat="1" ht="13.5" customHeight="1" x14ac:dyDescent="0.3"/>
    <row r="382" s="1" customFormat="1" ht="13.5" customHeight="1" x14ac:dyDescent="0.3"/>
    <row r="383" s="1" customFormat="1" ht="13.5" customHeight="1" x14ac:dyDescent="0.3"/>
    <row r="384" s="1" customFormat="1" ht="13.5" customHeight="1" x14ac:dyDescent="0.3"/>
    <row r="385" s="1" customFormat="1" ht="13.5" customHeight="1" x14ac:dyDescent="0.3"/>
    <row r="386" s="1" customFormat="1" ht="13.5" customHeight="1" x14ac:dyDescent="0.3"/>
    <row r="387" s="1" customFormat="1" ht="13.5" customHeight="1" x14ac:dyDescent="0.3"/>
    <row r="388" s="1" customFormat="1" ht="13.5" customHeight="1" x14ac:dyDescent="0.3"/>
    <row r="389" s="1" customFormat="1" ht="13.5" customHeight="1" x14ac:dyDescent="0.3"/>
    <row r="390" s="1" customFormat="1" ht="13.5" customHeight="1" x14ac:dyDescent="0.3"/>
    <row r="391" s="1" customFormat="1" ht="13.5" customHeight="1" x14ac:dyDescent="0.3"/>
    <row r="392" s="1" customFormat="1" ht="13.5" customHeight="1" x14ac:dyDescent="0.3"/>
    <row r="393" s="1" customFormat="1" ht="13.5" customHeight="1" x14ac:dyDescent="0.3"/>
    <row r="394" s="1" customFormat="1" ht="13.5" customHeight="1" x14ac:dyDescent="0.3"/>
    <row r="395" s="1" customFormat="1" ht="13.5" customHeight="1" x14ac:dyDescent="0.3"/>
    <row r="396" s="1" customFormat="1" ht="13.5" customHeight="1" x14ac:dyDescent="0.3"/>
    <row r="397" s="1" customFormat="1" ht="13.5" customHeight="1" x14ac:dyDescent="0.3"/>
    <row r="398" s="1" customFormat="1" ht="13.5" customHeight="1" x14ac:dyDescent="0.3"/>
    <row r="399" s="1" customFormat="1" ht="13.5" customHeight="1" x14ac:dyDescent="0.3"/>
    <row r="400" s="1" customFormat="1" ht="13.5" customHeight="1" x14ac:dyDescent="0.3"/>
    <row r="401" s="1" customFormat="1" ht="13.5" customHeight="1" x14ac:dyDescent="0.3"/>
    <row r="402" s="1" customFormat="1" ht="13.5" customHeight="1" x14ac:dyDescent="0.3"/>
    <row r="403" s="1" customFormat="1" ht="13.5" customHeight="1" x14ac:dyDescent="0.3"/>
    <row r="404" s="1" customFormat="1" ht="13.5" customHeight="1" x14ac:dyDescent="0.3"/>
    <row r="405" s="1" customFormat="1" ht="13.5" customHeight="1" x14ac:dyDescent="0.3"/>
    <row r="406" s="1" customFormat="1" ht="13.5" customHeight="1" x14ac:dyDescent="0.3"/>
    <row r="407" s="1" customFormat="1" ht="13.5" customHeight="1" x14ac:dyDescent="0.3"/>
    <row r="408" s="1" customFormat="1" ht="13.5" customHeight="1" x14ac:dyDescent="0.3"/>
    <row r="409" s="1" customFormat="1" ht="13.5" customHeight="1" x14ac:dyDescent="0.3"/>
    <row r="410" s="1" customFormat="1" ht="13.5" customHeight="1" x14ac:dyDescent="0.3"/>
    <row r="411" s="1" customFormat="1" ht="13.5" customHeight="1" x14ac:dyDescent="0.3"/>
    <row r="412" s="1" customFormat="1" ht="13.5" customHeight="1" x14ac:dyDescent="0.3"/>
    <row r="413" s="1" customFormat="1" ht="13.5" customHeight="1" x14ac:dyDescent="0.3"/>
    <row r="414" s="1" customFormat="1" ht="13.5" customHeight="1" x14ac:dyDescent="0.3"/>
    <row r="415" s="1" customFormat="1" ht="13.5" customHeight="1" x14ac:dyDescent="0.3"/>
    <row r="416" s="1" customFormat="1" ht="13.5" customHeight="1" x14ac:dyDescent="0.3"/>
    <row r="417" s="1" customFormat="1" ht="13.5" customHeight="1" x14ac:dyDescent="0.3"/>
    <row r="418" s="1" customFormat="1" ht="13.5" customHeight="1" x14ac:dyDescent="0.3"/>
    <row r="419" s="1" customFormat="1" ht="13.5" customHeight="1" x14ac:dyDescent="0.3"/>
    <row r="420" s="1" customFormat="1" ht="13.5" customHeight="1" x14ac:dyDescent="0.3"/>
    <row r="421" s="1" customFormat="1" ht="13.5" customHeight="1" x14ac:dyDescent="0.3"/>
    <row r="422" s="1" customFormat="1" ht="13.5" customHeight="1" x14ac:dyDescent="0.3"/>
    <row r="423" s="1" customFormat="1" ht="13.5" customHeight="1" x14ac:dyDescent="0.3"/>
    <row r="424" s="1" customFormat="1" ht="13.5" customHeight="1" x14ac:dyDescent="0.3"/>
    <row r="425" s="1" customFormat="1" ht="13.5" customHeight="1" x14ac:dyDescent="0.3"/>
    <row r="426" s="1" customFormat="1" ht="13.5" customHeight="1" x14ac:dyDescent="0.3"/>
    <row r="427" s="1" customFormat="1" ht="13.5" customHeight="1" x14ac:dyDescent="0.3"/>
    <row r="428" s="1" customFormat="1" ht="13.5" customHeight="1" x14ac:dyDescent="0.3"/>
    <row r="429" s="1" customFormat="1" ht="13.5" customHeight="1" x14ac:dyDescent="0.3"/>
    <row r="430" s="1" customFormat="1" ht="13.5" customHeight="1" x14ac:dyDescent="0.3"/>
    <row r="431" s="1" customFormat="1" ht="13.5" customHeight="1" x14ac:dyDescent="0.3"/>
    <row r="432" s="1" customFormat="1" ht="13.5" customHeight="1" x14ac:dyDescent="0.3"/>
    <row r="433" s="1" customFormat="1" ht="13.5" customHeight="1" x14ac:dyDescent="0.3"/>
    <row r="434" s="1" customFormat="1" ht="13.5" customHeight="1" x14ac:dyDescent="0.3"/>
    <row r="435" s="1" customFormat="1" ht="13.5" customHeight="1" x14ac:dyDescent="0.3"/>
    <row r="436" s="1" customFormat="1" ht="13.5" customHeight="1" x14ac:dyDescent="0.3"/>
    <row r="437" s="1" customFormat="1" ht="13.5" customHeight="1" x14ac:dyDescent="0.3"/>
    <row r="438" s="1" customFormat="1" ht="13.5" customHeight="1" x14ac:dyDescent="0.3"/>
    <row r="439" s="1" customFormat="1" ht="13.5" customHeight="1" x14ac:dyDescent="0.3"/>
    <row r="440" s="1" customFormat="1" ht="13.5" customHeight="1" x14ac:dyDescent="0.3"/>
    <row r="441" s="1" customFormat="1" ht="13.5" customHeight="1" x14ac:dyDescent="0.3"/>
    <row r="442" s="1" customFormat="1" ht="13.5" customHeight="1" x14ac:dyDescent="0.3"/>
    <row r="443" s="1" customFormat="1" ht="13.5" customHeight="1" x14ac:dyDescent="0.3"/>
    <row r="444" s="1" customFormat="1" ht="13.5" customHeight="1" x14ac:dyDescent="0.3"/>
    <row r="445" s="1" customFormat="1" ht="13.5" customHeight="1" x14ac:dyDescent="0.3"/>
    <row r="446" s="1" customFormat="1" ht="13.5" customHeight="1" x14ac:dyDescent="0.3"/>
    <row r="447" s="1" customFormat="1" ht="13.5" customHeight="1" x14ac:dyDescent="0.3"/>
    <row r="448" s="1" customFormat="1" ht="13.5" customHeight="1" x14ac:dyDescent="0.3"/>
    <row r="449" s="1" customFormat="1" ht="13.5" customHeight="1" x14ac:dyDescent="0.3"/>
    <row r="450" s="1" customFormat="1" ht="13.5" customHeight="1" x14ac:dyDescent="0.3"/>
    <row r="451" s="1" customFormat="1" ht="13.5" customHeight="1" x14ac:dyDescent="0.3"/>
    <row r="452" s="1" customFormat="1" ht="13.5" customHeight="1" x14ac:dyDescent="0.3"/>
    <row r="453" s="1" customFormat="1" ht="13.5" customHeight="1" x14ac:dyDescent="0.3"/>
    <row r="454" s="1" customFormat="1" ht="13.5" customHeight="1" x14ac:dyDescent="0.3"/>
    <row r="455" s="1" customFormat="1" ht="13.5" customHeight="1" x14ac:dyDescent="0.3"/>
    <row r="456" s="1" customFormat="1" ht="13.5" customHeight="1" x14ac:dyDescent="0.3"/>
    <row r="457" s="1" customFormat="1" ht="13.5" customHeight="1" x14ac:dyDescent="0.3"/>
    <row r="458" s="1" customFormat="1" ht="13.5" customHeight="1" x14ac:dyDescent="0.3"/>
    <row r="459" s="1" customFormat="1" ht="13.5" customHeight="1" x14ac:dyDescent="0.3"/>
    <row r="460" s="1" customFormat="1" ht="13.5" customHeight="1" x14ac:dyDescent="0.3"/>
    <row r="461" s="1" customFormat="1" ht="13.5" customHeight="1" x14ac:dyDescent="0.3"/>
    <row r="462" s="1" customFormat="1" ht="13.5" customHeight="1" x14ac:dyDescent="0.3"/>
    <row r="463" s="1" customFormat="1" ht="13.5" customHeight="1" x14ac:dyDescent="0.3"/>
    <row r="464" s="1" customFormat="1" ht="13.5" customHeight="1" x14ac:dyDescent="0.3"/>
    <row r="465" s="1" customFormat="1" ht="13.5" customHeight="1" x14ac:dyDescent="0.3"/>
    <row r="466" s="1" customFormat="1" ht="13.5" customHeight="1" x14ac:dyDescent="0.3"/>
    <row r="467" s="1" customFormat="1" ht="13.5" customHeight="1" x14ac:dyDescent="0.3"/>
    <row r="468" s="1" customFormat="1" ht="13.5" customHeight="1" x14ac:dyDescent="0.3"/>
    <row r="469" s="1" customFormat="1" ht="13.5" customHeight="1" x14ac:dyDescent="0.3"/>
    <row r="470" s="1" customFormat="1" ht="13.5" customHeight="1" x14ac:dyDescent="0.3"/>
    <row r="471" s="1" customFormat="1" ht="13.5" customHeight="1" x14ac:dyDescent="0.3"/>
    <row r="472" s="1" customFormat="1" ht="13.5" customHeight="1" x14ac:dyDescent="0.3"/>
    <row r="473" s="1" customFormat="1" ht="13.5" customHeight="1" x14ac:dyDescent="0.3"/>
    <row r="474" s="1" customFormat="1" ht="13.5" customHeight="1" x14ac:dyDescent="0.3"/>
    <row r="475" s="1" customFormat="1" ht="13.5" customHeight="1" x14ac:dyDescent="0.3"/>
    <row r="476" s="1" customFormat="1" ht="13.5" customHeight="1" x14ac:dyDescent="0.3"/>
    <row r="477" s="1" customFormat="1" ht="13.5" customHeight="1" x14ac:dyDescent="0.3"/>
    <row r="478" s="1" customFormat="1" ht="13.5" customHeight="1" x14ac:dyDescent="0.3"/>
    <row r="479" s="1" customFormat="1" ht="13.5" customHeight="1" x14ac:dyDescent="0.3"/>
    <row r="480" s="1" customFormat="1" ht="13.5" customHeight="1" x14ac:dyDescent="0.3"/>
    <row r="481" s="1" customFormat="1" ht="13.5" customHeight="1" x14ac:dyDescent="0.3"/>
    <row r="482" s="1" customFormat="1" ht="13.5" customHeight="1" x14ac:dyDescent="0.3"/>
    <row r="483" s="1" customFormat="1" ht="13.5" customHeight="1" x14ac:dyDescent="0.3"/>
    <row r="484" s="1" customFormat="1" ht="13.5" customHeight="1" x14ac:dyDescent="0.3"/>
    <row r="485" s="1" customFormat="1" ht="13.5" customHeight="1" x14ac:dyDescent="0.3"/>
    <row r="486" s="1" customFormat="1" ht="13.5" customHeight="1" x14ac:dyDescent="0.3"/>
    <row r="487" s="1" customFormat="1" ht="13.5" customHeight="1" x14ac:dyDescent="0.3"/>
    <row r="488" s="1" customFormat="1" ht="13.5" customHeight="1" x14ac:dyDescent="0.3"/>
    <row r="489" s="1" customFormat="1" ht="13.5" customHeight="1" x14ac:dyDescent="0.3"/>
    <row r="490" s="1" customFormat="1" ht="13.5" customHeight="1" x14ac:dyDescent="0.3"/>
    <row r="491" s="1" customFormat="1" ht="13.5" customHeight="1" x14ac:dyDescent="0.3"/>
    <row r="492" s="1" customFormat="1" ht="13.5" customHeight="1" x14ac:dyDescent="0.3"/>
    <row r="493" s="1" customFormat="1" ht="13.5" customHeight="1" x14ac:dyDescent="0.3"/>
    <row r="494" s="1" customFormat="1" ht="13.5" customHeight="1" x14ac:dyDescent="0.3"/>
    <row r="495" s="1" customFormat="1" ht="13.5" customHeight="1" x14ac:dyDescent="0.3"/>
    <row r="496" s="1" customFormat="1" ht="13.5" customHeight="1" x14ac:dyDescent="0.3"/>
    <row r="497" s="1" customFormat="1" ht="13.5" customHeight="1" x14ac:dyDescent="0.3"/>
    <row r="498" s="1" customFormat="1" ht="13.5" customHeight="1" x14ac:dyDescent="0.3"/>
    <row r="499" s="1" customFormat="1" ht="13.5" customHeight="1" x14ac:dyDescent="0.3"/>
    <row r="500" s="1" customFormat="1" ht="13.5" customHeight="1" x14ac:dyDescent="0.3"/>
    <row r="501" s="1" customFormat="1" ht="13.5" customHeight="1" x14ac:dyDescent="0.3"/>
    <row r="502" s="1" customFormat="1" ht="13.5" customHeight="1" x14ac:dyDescent="0.3"/>
    <row r="503" s="1" customFormat="1" ht="13.5" customHeight="1" x14ac:dyDescent="0.3"/>
    <row r="504" s="1" customFormat="1" ht="13.5" customHeight="1" x14ac:dyDescent="0.3"/>
    <row r="505" s="1" customFormat="1" ht="13.5" customHeight="1" x14ac:dyDescent="0.3"/>
    <row r="506" s="1" customFormat="1" ht="13.5" customHeight="1" x14ac:dyDescent="0.3"/>
    <row r="507" s="1" customFormat="1" ht="13.5" customHeight="1" x14ac:dyDescent="0.3"/>
    <row r="508" s="1" customFormat="1" ht="13.5" customHeight="1" x14ac:dyDescent="0.3"/>
    <row r="509" s="1" customFormat="1" ht="13.5" customHeight="1" x14ac:dyDescent="0.3"/>
    <row r="510" s="1" customFormat="1" ht="13.5" customHeight="1" x14ac:dyDescent="0.3"/>
    <row r="511" s="1" customFormat="1" ht="13.5" customHeight="1" x14ac:dyDescent="0.3"/>
    <row r="512" s="1" customFormat="1" ht="13.5" customHeight="1" x14ac:dyDescent="0.3"/>
    <row r="513" s="1" customFormat="1" ht="13.5" customHeight="1" x14ac:dyDescent="0.3"/>
    <row r="514" s="1" customFormat="1" ht="13.5" customHeight="1" x14ac:dyDescent="0.3"/>
    <row r="515" s="1" customFormat="1" ht="13.5" customHeight="1" x14ac:dyDescent="0.3"/>
    <row r="516" s="1" customFormat="1" ht="13.5" customHeight="1" x14ac:dyDescent="0.3"/>
    <row r="517" s="1" customFormat="1" ht="13.5" customHeight="1" x14ac:dyDescent="0.3"/>
    <row r="518" s="1" customFormat="1" ht="13.5" customHeight="1" x14ac:dyDescent="0.3"/>
    <row r="519" s="1" customFormat="1" ht="13.5" customHeight="1" x14ac:dyDescent="0.3"/>
    <row r="520" s="1" customFormat="1" ht="13.5" customHeight="1" x14ac:dyDescent="0.3"/>
    <row r="521" s="1" customFormat="1" ht="13.5" customHeight="1" x14ac:dyDescent="0.3"/>
    <row r="522" s="1" customFormat="1" ht="13.5" customHeight="1" x14ac:dyDescent="0.3"/>
    <row r="523" s="1" customFormat="1" ht="13.5" customHeight="1" x14ac:dyDescent="0.3"/>
    <row r="524" s="1" customFormat="1" ht="13.5" customHeight="1" x14ac:dyDescent="0.3"/>
    <row r="525" s="1" customFormat="1" ht="13.5" customHeight="1" x14ac:dyDescent="0.3"/>
    <row r="526" s="1" customFormat="1" ht="13.5" customHeight="1" x14ac:dyDescent="0.3"/>
    <row r="527" s="1" customFormat="1" ht="13.5" customHeight="1" x14ac:dyDescent="0.3"/>
    <row r="528" s="1" customFormat="1" ht="13.5" customHeight="1" x14ac:dyDescent="0.3"/>
    <row r="529" s="1" customFormat="1" ht="13.5" customHeight="1" x14ac:dyDescent="0.3"/>
    <row r="530" s="1" customFormat="1" ht="13.5" customHeight="1" x14ac:dyDescent="0.3"/>
    <row r="531" s="1" customFormat="1" ht="13.5" customHeight="1" x14ac:dyDescent="0.3"/>
    <row r="532" s="1" customFormat="1" ht="13.5" customHeight="1" x14ac:dyDescent="0.3"/>
    <row r="533" s="1" customFormat="1" ht="13.5" customHeight="1" x14ac:dyDescent="0.3"/>
    <row r="534" s="1" customFormat="1" ht="13.5" customHeight="1" x14ac:dyDescent="0.3"/>
    <row r="535" s="1" customFormat="1" ht="13.5" customHeight="1" x14ac:dyDescent="0.3"/>
    <row r="536" s="1" customFormat="1" ht="13.5" customHeight="1" x14ac:dyDescent="0.3"/>
    <row r="537" s="1" customFormat="1" ht="13.5" customHeight="1" x14ac:dyDescent="0.3"/>
    <row r="538" s="1" customFormat="1" ht="13.5" customHeight="1" x14ac:dyDescent="0.3"/>
    <row r="539" s="1" customFormat="1" ht="13.5" customHeight="1" x14ac:dyDescent="0.3"/>
    <row r="540" s="1" customFormat="1" ht="13.5" customHeight="1" x14ac:dyDescent="0.3"/>
    <row r="541" s="1" customFormat="1" ht="13.5" customHeight="1" x14ac:dyDescent="0.3"/>
    <row r="542" s="1" customFormat="1" ht="13.5" customHeight="1" x14ac:dyDescent="0.3"/>
    <row r="543" s="1" customFormat="1" ht="13.5" customHeight="1" x14ac:dyDescent="0.3"/>
    <row r="544" s="1" customFormat="1" ht="13.5" customHeight="1" x14ac:dyDescent="0.3"/>
    <row r="545" s="1" customFormat="1" ht="13.5" customHeight="1" x14ac:dyDescent="0.3"/>
    <row r="546" s="1" customFormat="1" ht="13.5" customHeight="1" x14ac:dyDescent="0.3"/>
    <row r="547" s="1" customFormat="1" ht="13.5" customHeight="1" x14ac:dyDescent="0.3"/>
    <row r="548" s="1" customFormat="1" ht="13.5" customHeight="1" x14ac:dyDescent="0.3"/>
    <row r="549" s="1" customFormat="1" ht="13.5" customHeight="1" x14ac:dyDescent="0.3"/>
    <row r="550" s="1" customFormat="1" ht="13.5" customHeight="1" x14ac:dyDescent="0.3"/>
    <row r="551" s="1" customFormat="1" ht="13.5" customHeight="1" x14ac:dyDescent="0.3"/>
    <row r="552" s="1" customFormat="1" ht="13.5" customHeight="1" x14ac:dyDescent="0.3"/>
    <row r="553" s="1" customFormat="1" ht="13.5" customHeight="1" x14ac:dyDescent="0.3"/>
    <row r="554" s="1" customFormat="1" ht="13.5" customHeight="1" x14ac:dyDescent="0.3"/>
    <row r="555" s="1" customFormat="1" ht="13.5" customHeight="1" x14ac:dyDescent="0.3"/>
    <row r="556" s="1" customFormat="1" ht="13.5" customHeight="1" x14ac:dyDescent="0.3"/>
    <row r="557" s="1" customFormat="1" ht="13.5" customHeight="1" x14ac:dyDescent="0.3"/>
    <row r="558" s="1" customFormat="1" ht="13.5" customHeight="1" x14ac:dyDescent="0.3"/>
    <row r="559" s="1" customFormat="1" ht="13.5" customHeight="1" x14ac:dyDescent="0.3"/>
    <row r="560" s="1" customFormat="1" ht="13.5" customHeight="1" x14ac:dyDescent="0.3"/>
    <row r="561" s="1" customFormat="1" ht="13.5" customHeight="1" x14ac:dyDescent="0.3"/>
    <row r="562" s="1" customFormat="1" ht="13.5" customHeight="1" x14ac:dyDescent="0.3"/>
    <row r="563" s="1" customFormat="1" ht="13.5" customHeight="1" x14ac:dyDescent="0.3"/>
    <row r="564" s="1" customFormat="1" ht="13.5" customHeight="1" x14ac:dyDescent="0.3"/>
    <row r="565" s="1" customFormat="1" ht="13.5" customHeight="1" x14ac:dyDescent="0.3"/>
    <row r="566" s="1" customFormat="1" ht="13.5" customHeight="1" x14ac:dyDescent="0.3"/>
    <row r="567" s="1" customFormat="1" ht="13.5" customHeight="1" x14ac:dyDescent="0.3"/>
    <row r="568" s="1" customFormat="1" ht="13.5" customHeight="1" x14ac:dyDescent="0.3"/>
    <row r="569" s="1" customFormat="1" ht="13.5" customHeight="1" x14ac:dyDescent="0.3"/>
    <row r="570" s="1" customFormat="1" ht="13.5" customHeight="1" x14ac:dyDescent="0.3"/>
    <row r="571" s="1" customFormat="1" ht="13.5" customHeight="1" x14ac:dyDescent="0.3"/>
    <row r="572" s="1" customFormat="1" ht="13.5" customHeight="1" x14ac:dyDescent="0.3"/>
    <row r="573" s="1" customFormat="1" ht="13.5" customHeight="1" x14ac:dyDescent="0.3"/>
    <row r="574" s="1" customFormat="1" ht="13.5" customHeight="1" x14ac:dyDescent="0.3"/>
    <row r="575" s="1" customFormat="1" ht="13.5" customHeight="1" x14ac:dyDescent="0.3"/>
    <row r="576" s="1" customFormat="1" ht="13.5" customHeight="1" x14ac:dyDescent="0.3"/>
    <row r="577" s="1" customFormat="1" ht="13.5" customHeight="1" x14ac:dyDescent="0.3"/>
    <row r="578" s="1" customFormat="1" ht="13.5" customHeight="1" x14ac:dyDescent="0.3"/>
    <row r="579" s="1" customFormat="1" ht="13.5" customHeight="1" x14ac:dyDescent="0.3"/>
    <row r="580" s="1" customFormat="1" ht="13.5" customHeight="1" x14ac:dyDescent="0.3"/>
    <row r="581" s="1" customFormat="1" ht="13.5" customHeight="1" x14ac:dyDescent="0.3"/>
    <row r="582" s="1" customFormat="1" ht="13.5" customHeight="1" x14ac:dyDescent="0.3"/>
    <row r="583" s="1" customFormat="1" ht="13.5" customHeight="1" x14ac:dyDescent="0.3"/>
    <row r="584" s="1" customFormat="1" ht="13.5" customHeight="1" x14ac:dyDescent="0.3"/>
    <row r="585" s="1" customFormat="1" ht="13.5" customHeight="1" x14ac:dyDescent="0.3"/>
    <row r="586" s="1" customFormat="1" ht="13.5" customHeight="1" x14ac:dyDescent="0.3"/>
    <row r="587" s="1" customFormat="1" ht="13.5" customHeight="1" x14ac:dyDescent="0.3"/>
    <row r="588" s="1" customFormat="1" ht="13.5" customHeight="1" x14ac:dyDescent="0.3"/>
    <row r="589" s="1" customFormat="1" ht="13.5" customHeight="1" x14ac:dyDescent="0.3"/>
    <row r="590" s="1" customFormat="1" ht="13.5" customHeight="1" x14ac:dyDescent="0.3"/>
    <row r="591" s="1" customFormat="1" ht="13.5" customHeight="1" x14ac:dyDescent="0.3"/>
    <row r="592" s="1" customFormat="1" ht="13.5" customHeight="1" x14ac:dyDescent="0.3"/>
    <row r="593" s="1" customFormat="1" ht="13.5" customHeight="1" x14ac:dyDescent="0.3"/>
    <row r="594" s="1" customFormat="1" ht="13.5" customHeight="1" x14ac:dyDescent="0.3"/>
    <row r="595" s="1" customFormat="1" ht="13.5" customHeight="1" x14ac:dyDescent="0.3"/>
    <row r="596" s="1" customFormat="1" ht="13.5" customHeight="1" x14ac:dyDescent="0.3"/>
    <row r="597" s="1" customFormat="1" ht="13.5" customHeight="1" x14ac:dyDescent="0.3"/>
    <row r="598" s="1" customFormat="1" ht="13.5" customHeight="1" x14ac:dyDescent="0.3"/>
    <row r="599" s="1" customFormat="1" ht="13.5" customHeight="1" x14ac:dyDescent="0.3"/>
    <row r="600" s="1" customFormat="1" ht="13.5" customHeight="1" x14ac:dyDescent="0.3"/>
    <row r="601" s="1" customFormat="1" ht="13.5" customHeight="1" x14ac:dyDescent="0.3"/>
    <row r="602" s="1" customFormat="1" ht="13.5" customHeight="1" x14ac:dyDescent="0.3"/>
    <row r="603" s="1" customFormat="1" ht="13.5" customHeight="1" x14ac:dyDescent="0.3"/>
    <row r="604" s="1" customFormat="1" ht="13.5" customHeight="1" x14ac:dyDescent="0.3"/>
    <row r="605" s="1" customFormat="1" ht="13.5" customHeight="1" x14ac:dyDescent="0.3"/>
    <row r="606" s="1" customFormat="1" ht="13.5" customHeight="1" x14ac:dyDescent="0.3"/>
    <row r="607" s="1" customFormat="1" ht="13.5" customHeight="1" x14ac:dyDescent="0.3"/>
    <row r="608" s="1" customFormat="1" ht="13.5" customHeight="1" x14ac:dyDescent="0.3"/>
    <row r="609" s="1" customFormat="1" ht="13.5" customHeight="1" x14ac:dyDescent="0.3"/>
    <row r="610" s="1" customFormat="1" ht="13.5" customHeight="1" x14ac:dyDescent="0.3"/>
    <row r="611" s="1" customFormat="1" ht="13.5" customHeight="1" x14ac:dyDescent="0.3"/>
    <row r="612" s="1" customFormat="1" ht="13.5" customHeight="1" x14ac:dyDescent="0.3"/>
    <row r="613" s="1" customFormat="1" ht="13.5" customHeight="1" x14ac:dyDescent="0.3"/>
    <row r="614" s="1" customFormat="1" ht="13.5" customHeight="1" x14ac:dyDescent="0.3"/>
    <row r="615" s="1" customFormat="1" ht="13.5" customHeight="1" x14ac:dyDescent="0.3"/>
    <row r="616" s="1" customFormat="1" ht="13.5" customHeight="1" x14ac:dyDescent="0.3"/>
    <row r="617" s="1" customFormat="1" ht="13.5" customHeight="1" x14ac:dyDescent="0.3"/>
    <row r="618" s="1" customFormat="1" ht="13.5" customHeight="1" x14ac:dyDescent="0.3"/>
    <row r="619" s="1" customFormat="1" ht="13.5" customHeight="1" x14ac:dyDescent="0.3"/>
    <row r="620" s="1" customFormat="1" ht="13.5" customHeight="1" x14ac:dyDescent="0.3"/>
    <row r="621" s="1" customFormat="1" ht="13.5" customHeight="1" x14ac:dyDescent="0.3"/>
    <row r="622" s="1" customFormat="1" ht="13.5" customHeight="1" x14ac:dyDescent="0.3"/>
    <row r="623" s="1" customFormat="1" ht="13.5" customHeight="1" x14ac:dyDescent="0.3"/>
    <row r="624" s="1" customFormat="1" ht="13.5" customHeight="1" x14ac:dyDescent="0.3"/>
    <row r="625" s="1" customFormat="1" ht="13.5" customHeight="1" x14ac:dyDescent="0.3"/>
    <row r="626" s="1" customFormat="1" ht="13.5" customHeight="1" x14ac:dyDescent="0.3"/>
    <row r="627" s="1" customFormat="1" ht="13.5" customHeight="1" x14ac:dyDescent="0.3"/>
    <row r="628" s="1" customFormat="1" ht="13.5" customHeight="1" x14ac:dyDescent="0.3"/>
    <row r="629" s="1" customFormat="1" ht="13.5" customHeight="1" x14ac:dyDescent="0.3"/>
    <row r="630" s="1" customFormat="1" ht="13.5" customHeight="1" x14ac:dyDescent="0.3"/>
    <row r="631" s="1" customFormat="1" ht="13.5" customHeight="1" x14ac:dyDescent="0.3"/>
    <row r="632" s="1" customFormat="1" ht="13.5" customHeight="1" x14ac:dyDescent="0.3"/>
    <row r="633" s="1" customFormat="1" ht="13.5" customHeight="1" x14ac:dyDescent="0.3"/>
    <row r="634" s="1" customFormat="1" ht="13.5" customHeight="1" x14ac:dyDescent="0.3"/>
    <row r="635" s="1" customFormat="1" ht="13.5" customHeight="1" x14ac:dyDescent="0.3"/>
    <row r="636" s="1" customFormat="1" ht="13.5" customHeight="1" x14ac:dyDescent="0.3"/>
    <row r="637" s="1" customFormat="1" ht="13.5" customHeight="1" x14ac:dyDescent="0.3"/>
    <row r="638" s="1" customFormat="1" ht="13.5" customHeight="1" x14ac:dyDescent="0.3"/>
    <row r="639" s="1" customFormat="1" ht="13.5" customHeight="1" x14ac:dyDescent="0.3"/>
    <row r="640" s="1" customFormat="1" ht="13.5" customHeight="1" x14ac:dyDescent="0.3"/>
    <row r="641" s="1" customFormat="1" ht="13.5" customHeight="1" x14ac:dyDescent="0.3"/>
    <row r="642" s="1" customFormat="1" ht="13.5" customHeight="1" x14ac:dyDescent="0.3"/>
    <row r="643" s="1" customFormat="1" ht="13.5" customHeight="1" x14ac:dyDescent="0.3"/>
    <row r="644" s="1" customFormat="1" ht="13.5" customHeight="1" x14ac:dyDescent="0.3"/>
    <row r="645" s="1" customFormat="1" ht="13.5" customHeight="1" x14ac:dyDescent="0.3"/>
    <row r="646" s="1" customFormat="1" ht="13.5" customHeight="1" x14ac:dyDescent="0.3"/>
    <row r="647" s="1" customFormat="1" ht="13.5" customHeight="1" x14ac:dyDescent="0.3"/>
    <row r="648" s="1" customFormat="1" ht="13.5" customHeight="1" x14ac:dyDescent="0.3"/>
    <row r="649" s="1" customFormat="1" ht="13.5" customHeight="1" x14ac:dyDescent="0.3"/>
    <row r="650" s="1" customFormat="1" ht="13.5" customHeight="1" x14ac:dyDescent="0.3"/>
    <row r="651" s="1" customFormat="1" ht="13.5" customHeight="1" x14ac:dyDescent="0.3"/>
    <row r="652" s="1" customFormat="1" ht="13.5" customHeight="1" x14ac:dyDescent="0.3"/>
    <row r="653" s="1" customFormat="1" ht="13.5" customHeight="1" x14ac:dyDescent="0.3"/>
    <row r="654" s="1" customFormat="1" ht="13.5" customHeight="1" x14ac:dyDescent="0.3"/>
    <row r="655" s="1" customFormat="1" ht="13.5" customHeight="1" x14ac:dyDescent="0.3"/>
    <row r="656" s="1" customFormat="1" ht="13.5" customHeight="1" x14ac:dyDescent="0.3"/>
    <row r="657" s="1" customFormat="1" ht="13.5" customHeight="1" x14ac:dyDescent="0.3"/>
    <row r="658" s="1" customFormat="1" ht="13.5" customHeight="1" x14ac:dyDescent="0.3"/>
    <row r="659" s="1" customFormat="1" ht="13.5" customHeight="1" x14ac:dyDescent="0.3"/>
    <row r="660" s="1" customFormat="1" ht="13.5" customHeight="1" x14ac:dyDescent="0.3"/>
    <row r="661" s="1" customFormat="1" ht="13.5" customHeight="1" x14ac:dyDescent="0.3"/>
    <row r="662" s="1" customFormat="1" ht="13.5" customHeight="1" x14ac:dyDescent="0.3"/>
    <row r="663" s="1" customFormat="1" ht="13.5" customHeight="1" x14ac:dyDescent="0.3"/>
    <row r="664" s="1" customFormat="1" ht="13.5" customHeight="1" x14ac:dyDescent="0.3"/>
    <row r="665" s="1" customFormat="1" ht="13.5" customHeight="1" x14ac:dyDescent="0.3"/>
    <row r="666" s="1" customFormat="1" ht="13.5" customHeight="1" x14ac:dyDescent="0.3"/>
    <row r="667" s="1" customFormat="1" ht="13.5" customHeight="1" x14ac:dyDescent="0.3"/>
    <row r="668" s="1" customFormat="1" ht="13.5" customHeight="1" x14ac:dyDescent="0.3"/>
    <row r="669" s="1" customFormat="1" ht="13.5" customHeight="1" x14ac:dyDescent="0.3"/>
    <row r="670" s="1" customFormat="1" ht="13.5" customHeight="1" x14ac:dyDescent="0.3"/>
    <row r="671" s="1" customFormat="1" ht="13.5" customHeight="1" x14ac:dyDescent="0.3"/>
    <row r="672" s="1" customFormat="1" ht="13.5" customHeight="1" x14ac:dyDescent="0.3"/>
    <row r="673" s="1" customFormat="1" ht="13.5" customHeight="1" x14ac:dyDescent="0.3"/>
    <row r="674" s="1" customFormat="1" ht="13.5" customHeight="1" x14ac:dyDescent="0.3"/>
    <row r="675" s="1" customFormat="1" ht="13.5" customHeight="1" x14ac:dyDescent="0.3"/>
    <row r="676" s="1" customFormat="1" ht="13.5" customHeight="1" x14ac:dyDescent="0.3"/>
    <row r="677" s="1" customFormat="1" ht="13.5" customHeight="1" x14ac:dyDescent="0.3"/>
    <row r="678" s="1" customFormat="1" ht="13.5" customHeight="1" x14ac:dyDescent="0.3"/>
    <row r="679" s="1" customFormat="1" ht="13.5" customHeight="1" x14ac:dyDescent="0.3"/>
    <row r="680" s="1" customFormat="1" ht="13.5" customHeight="1" x14ac:dyDescent="0.3"/>
    <row r="681" s="1" customFormat="1" ht="13.5" customHeight="1" x14ac:dyDescent="0.3"/>
    <row r="682" s="1" customFormat="1" ht="13.5" customHeight="1" x14ac:dyDescent="0.3"/>
    <row r="683" s="1" customFormat="1" ht="13.5" customHeight="1" x14ac:dyDescent="0.3"/>
    <row r="684" s="1" customFormat="1" ht="13.5" customHeight="1" x14ac:dyDescent="0.3"/>
    <row r="685" s="1" customFormat="1" ht="13.5" customHeight="1" x14ac:dyDescent="0.3"/>
    <row r="686" s="1" customFormat="1" ht="13.5" customHeight="1" x14ac:dyDescent="0.3"/>
    <row r="687" s="1" customFormat="1" ht="13.5" customHeight="1" x14ac:dyDescent="0.3"/>
    <row r="688" s="1" customFormat="1" ht="13.5" customHeight="1" x14ac:dyDescent="0.3"/>
    <row r="689" s="1" customFormat="1" ht="13.5" customHeight="1" x14ac:dyDescent="0.3"/>
    <row r="690" s="1" customFormat="1" ht="13.5" customHeight="1" x14ac:dyDescent="0.3"/>
    <row r="691" s="1" customFormat="1" ht="13.5" customHeight="1" x14ac:dyDescent="0.3"/>
    <row r="692" s="1" customFormat="1" ht="13.5" customHeight="1" x14ac:dyDescent="0.3"/>
    <row r="693" s="1" customFormat="1" ht="13.5" customHeight="1" x14ac:dyDescent="0.3"/>
    <row r="694" s="1" customFormat="1" ht="13.5" customHeight="1" x14ac:dyDescent="0.3"/>
    <row r="695" s="1" customFormat="1" ht="13.5" customHeight="1" x14ac:dyDescent="0.3"/>
    <row r="696" s="1" customFormat="1" ht="13.5" customHeight="1" x14ac:dyDescent="0.3"/>
    <row r="697" s="1" customFormat="1" ht="13.5" customHeight="1" x14ac:dyDescent="0.3"/>
    <row r="698" s="1" customFormat="1" ht="13.5" customHeight="1" x14ac:dyDescent="0.3"/>
    <row r="699" s="1" customFormat="1" ht="13.5" customHeight="1" x14ac:dyDescent="0.3"/>
    <row r="700" s="1" customFormat="1" ht="13.5" customHeight="1" x14ac:dyDescent="0.3"/>
    <row r="701" s="1" customFormat="1" ht="13.5" customHeight="1" x14ac:dyDescent="0.3"/>
    <row r="702" s="1" customFormat="1" ht="13.5" customHeight="1" x14ac:dyDescent="0.3"/>
    <row r="703" s="1" customFormat="1" ht="13.5" customHeight="1" x14ac:dyDescent="0.3"/>
    <row r="704" s="1" customFormat="1" ht="13.5" customHeight="1" x14ac:dyDescent="0.3"/>
    <row r="705" s="1" customFormat="1" ht="13.5" customHeight="1" x14ac:dyDescent="0.3"/>
    <row r="706" s="1" customFormat="1" ht="13.5" customHeight="1" x14ac:dyDescent="0.3"/>
    <row r="707" s="1" customFormat="1" ht="13.5" customHeight="1" x14ac:dyDescent="0.3"/>
    <row r="708" s="1" customFormat="1" ht="13.5" customHeight="1" x14ac:dyDescent="0.3"/>
    <row r="709" s="1" customFormat="1" ht="13.5" customHeight="1" x14ac:dyDescent="0.3"/>
    <row r="710" s="1" customFormat="1" ht="13.5" customHeight="1" x14ac:dyDescent="0.3"/>
    <row r="711" s="1" customFormat="1" ht="13.5" customHeight="1" x14ac:dyDescent="0.3"/>
    <row r="712" s="1" customFormat="1" ht="13.5" customHeight="1" x14ac:dyDescent="0.3"/>
    <row r="713" s="1" customFormat="1" ht="13.5" customHeight="1" x14ac:dyDescent="0.3"/>
    <row r="714" s="1" customFormat="1" ht="13.5" customHeight="1" x14ac:dyDescent="0.3"/>
    <row r="715" s="1" customFormat="1" ht="13.5" customHeight="1" x14ac:dyDescent="0.3"/>
    <row r="716" s="1" customFormat="1" ht="13.5" customHeight="1" x14ac:dyDescent="0.3"/>
    <row r="717" s="1" customFormat="1" ht="13.5" customHeight="1" x14ac:dyDescent="0.3"/>
    <row r="718" s="1" customFormat="1" ht="13.5" customHeight="1" x14ac:dyDescent="0.3"/>
    <row r="719" s="1" customFormat="1" ht="13.5" customHeight="1" x14ac:dyDescent="0.3"/>
    <row r="720" s="1" customFormat="1" ht="13.5" customHeight="1" x14ac:dyDescent="0.3"/>
    <row r="721" s="1" customFormat="1" ht="13.5" customHeight="1" x14ac:dyDescent="0.3"/>
    <row r="722" s="1" customFormat="1" ht="13.5" customHeight="1" x14ac:dyDescent="0.3"/>
    <row r="723" s="1" customFormat="1" ht="13.5" customHeight="1" x14ac:dyDescent="0.3"/>
    <row r="724" s="1" customFormat="1" ht="13.5" customHeight="1" x14ac:dyDescent="0.3"/>
    <row r="725" s="1" customFormat="1" ht="13.5" customHeight="1" x14ac:dyDescent="0.3"/>
    <row r="726" s="1" customFormat="1" ht="13.5" customHeight="1" x14ac:dyDescent="0.3"/>
    <row r="727" s="1" customFormat="1" ht="13.5" customHeight="1" x14ac:dyDescent="0.3"/>
    <row r="728" s="1" customFormat="1" ht="13.5" customHeight="1" x14ac:dyDescent="0.3"/>
    <row r="729" s="1" customFormat="1" ht="13.5" customHeight="1" x14ac:dyDescent="0.3"/>
    <row r="730" s="1" customFormat="1" ht="13.5" customHeight="1" x14ac:dyDescent="0.3"/>
    <row r="731" s="1" customFormat="1" ht="13.5" customHeight="1" x14ac:dyDescent="0.3"/>
    <row r="732" s="1" customFormat="1" ht="13.5" customHeight="1" x14ac:dyDescent="0.3"/>
    <row r="733" s="1" customFormat="1" ht="13.5" customHeight="1" x14ac:dyDescent="0.3"/>
    <row r="734" s="1" customFormat="1" ht="13.5" customHeight="1" x14ac:dyDescent="0.3"/>
    <row r="735" s="1" customFormat="1" ht="13.5" customHeight="1" x14ac:dyDescent="0.3"/>
    <row r="736" s="1" customFormat="1" ht="13.5" customHeight="1" x14ac:dyDescent="0.3"/>
    <row r="737" s="1" customFormat="1" ht="13.5" customHeight="1" x14ac:dyDescent="0.3"/>
    <row r="738" s="1" customFormat="1" ht="13.5" customHeight="1" x14ac:dyDescent="0.3"/>
    <row r="739" s="1" customFormat="1" ht="13.5" customHeight="1" x14ac:dyDescent="0.3"/>
    <row r="740" s="1" customFormat="1" ht="13.5" customHeight="1" x14ac:dyDescent="0.3"/>
    <row r="741" s="1" customFormat="1" ht="13.5" customHeight="1" x14ac:dyDescent="0.3"/>
    <row r="742" s="1" customFormat="1" ht="13.5" customHeight="1" x14ac:dyDescent="0.3"/>
    <row r="743" s="1" customFormat="1" ht="13.5" customHeight="1" x14ac:dyDescent="0.3"/>
    <row r="744" s="1" customFormat="1" ht="13.5" customHeight="1" x14ac:dyDescent="0.3"/>
    <row r="745" s="1" customFormat="1" ht="13.5" customHeight="1" x14ac:dyDescent="0.3"/>
    <row r="746" s="1" customFormat="1" ht="13.5" customHeight="1" x14ac:dyDescent="0.3"/>
    <row r="747" s="1" customFormat="1" ht="13.5" customHeight="1" x14ac:dyDescent="0.3"/>
    <row r="748" s="1" customFormat="1" ht="13.5" customHeight="1" x14ac:dyDescent="0.3"/>
    <row r="749" s="1" customFormat="1" ht="13.5" customHeight="1" x14ac:dyDescent="0.3"/>
    <row r="750" s="1" customFormat="1" ht="13.5" customHeight="1" x14ac:dyDescent="0.3"/>
    <row r="751" s="1" customFormat="1" ht="13.5" customHeight="1" x14ac:dyDescent="0.3"/>
    <row r="752" s="1" customFormat="1" ht="13.5" customHeight="1" x14ac:dyDescent="0.3"/>
    <row r="753" s="1" customFormat="1" ht="13.5" customHeight="1" x14ac:dyDescent="0.3"/>
    <row r="754" s="1" customFormat="1" ht="13.5" customHeight="1" x14ac:dyDescent="0.3"/>
    <row r="755" s="1" customFormat="1" ht="13.5" customHeight="1" x14ac:dyDescent="0.3"/>
    <row r="756" s="1" customFormat="1" ht="13.5" customHeight="1" x14ac:dyDescent="0.3"/>
    <row r="757" s="1" customFormat="1" ht="13.5" customHeight="1" x14ac:dyDescent="0.3"/>
    <row r="758" s="1" customFormat="1" ht="13.5" customHeight="1" x14ac:dyDescent="0.3"/>
    <row r="759" s="1" customFormat="1" ht="13.5" customHeight="1" x14ac:dyDescent="0.3"/>
    <row r="760" s="1" customFormat="1" ht="13.5" customHeight="1" x14ac:dyDescent="0.3"/>
    <row r="761" s="1" customFormat="1" ht="13.5" customHeight="1" x14ac:dyDescent="0.3"/>
    <row r="762" s="1" customFormat="1" ht="13.5" customHeight="1" x14ac:dyDescent="0.3"/>
    <row r="763" s="1" customFormat="1" ht="13.5" customHeight="1" x14ac:dyDescent="0.3"/>
    <row r="764" s="1" customFormat="1" ht="13.5" customHeight="1" x14ac:dyDescent="0.3"/>
    <row r="765" s="1" customFormat="1" ht="13.5" customHeight="1" x14ac:dyDescent="0.3"/>
    <row r="766" s="1" customFormat="1" ht="13.5" customHeight="1" x14ac:dyDescent="0.3"/>
    <row r="767" s="1" customFormat="1" ht="13.5" customHeight="1" x14ac:dyDescent="0.3"/>
    <row r="768" s="1" customFormat="1" ht="13.5" customHeight="1" x14ac:dyDescent="0.3"/>
    <row r="769" s="1" customFormat="1" ht="13.5" customHeight="1" x14ac:dyDescent="0.3"/>
    <row r="770" s="1" customFormat="1" ht="13.5" customHeight="1" x14ac:dyDescent="0.3"/>
    <row r="771" s="1" customFormat="1" ht="13.5" customHeight="1" x14ac:dyDescent="0.3"/>
    <row r="772" s="1" customFormat="1" ht="13.5" customHeight="1" x14ac:dyDescent="0.3"/>
    <row r="773" s="1" customFormat="1" ht="13.5" customHeight="1" x14ac:dyDescent="0.3"/>
    <row r="774" s="1" customFormat="1" ht="13.5" customHeight="1" x14ac:dyDescent="0.3"/>
    <row r="775" s="1" customFormat="1" ht="13.5" customHeight="1" x14ac:dyDescent="0.3"/>
    <row r="776" s="1" customFormat="1" ht="13.5" customHeight="1" x14ac:dyDescent="0.3"/>
    <row r="777" s="1" customFormat="1" ht="13.5" customHeight="1" x14ac:dyDescent="0.3"/>
    <row r="778" s="1" customFormat="1" ht="13.5" customHeight="1" x14ac:dyDescent="0.3"/>
    <row r="779" s="1" customFormat="1" ht="13.5" customHeight="1" x14ac:dyDescent="0.3"/>
    <row r="780" s="1" customFormat="1" ht="13.5" customHeight="1" x14ac:dyDescent="0.3"/>
    <row r="781" s="1" customFormat="1" ht="13.5" customHeight="1" x14ac:dyDescent="0.3"/>
    <row r="782" s="1" customFormat="1" ht="13.5" customHeight="1" x14ac:dyDescent="0.3"/>
    <row r="783" s="1" customFormat="1" ht="13.5" customHeight="1" x14ac:dyDescent="0.3"/>
    <row r="784" s="1" customFormat="1" ht="13.5" customHeight="1" x14ac:dyDescent="0.3"/>
    <row r="785" s="1" customFormat="1" ht="13.5" customHeight="1" x14ac:dyDescent="0.3"/>
    <row r="786" s="1" customFormat="1" ht="13.5" customHeight="1" x14ac:dyDescent="0.3"/>
    <row r="787" s="1" customFormat="1" ht="13.5" customHeight="1" x14ac:dyDescent="0.3"/>
    <row r="788" s="1" customFormat="1" ht="13.5" customHeight="1" x14ac:dyDescent="0.3"/>
    <row r="789" s="1" customFormat="1" ht="13.5" customHeight="1" x14ac:dyDescent="0.3"/>
    <row r="790" s="1" customFormat="1" ht="13.5" customHeight="1" x14ac:dyDescent="0.3"/>
    <row r="791" s="1" customFormat="1" ht="13.5" customHeight="1" x14ac:dyDescent="0.3"/>
    <row r="792" s="1" customFormat="1" ht="13.5" customHeight="1" x14ac:dyDescent="0.3"/>
    <row r="793" s="1" customFormat="1" ht="13.5" customHeight="1" x14ac:dyDescent="0.3"/>
    <row r="794" s="1" customFormat="1" ht="13.5" customHeight="1" x14ac:dyDescent="0.3"/>
    <row r="795" s="1" customFormat="1" ht="13.5" customHeight="1" x14ac:dyDescent="0.3"/>
    <row r="796" s="1" customFormat="1" ht="13.5" customHeight="1" x14ac:dyDescent="0.3"/>
    <row r="797" s="1" customFormat="1" ht="13.5" customHeight="1" x14ac:dyDescent="0.3"/>
    <row r="798" s="1" customFormat="1" ht="13.5" customHeight="1" x14ac:dyDescent="0.3"/>
    <row r="799" s="1" customFormat="1" ht="13.5" customHeight="1" x14ac:dyDescent="0.3"/>
    <row r="800" s="1" customFormat="1" ht="13.5" customHeight="1" x14ac:dyDescent="0.3"/>
    <row r="801" s="1" customFormat="1" ht="13.5" customHeight="1" x14ac:dyDescent="0.3"/>
    <row r="802" s="1" customFormat="1" ht="13.5" customHeight="1" x14ac:dyDescent="0.3"/>
    <row r="803" s="1" customFormat="1" ht="13.5" customHeight="1" x14ac:dyDescent="0.3"/>
    <row r="804" s="1" customFormat="1" ht="13.5" customHeight="1" x14ac:dyDescent="0.3"/>
    <row r="805" s="1" customFormat="1" ht="13.5" customHeight="1" x14ac:dyDescent="0.3"/>
    <row r="806" s="1" customFormat="1" ht="13.5" customHeight="1" x14ac:dyDescent="0.3"/>
    <row r="807" s="1" customFormat="1" ht="13.5" customHeight="1" x14ac:dyDescent="0.3"/>
    <row r="808" s="1" customFormat="1" ht="13.5" customHeight="1" x14ac:dyDescent="0.3"/>
    <row r="809" s="1" customFormat="1" ht="13.5" customHeight="1" x14ac:dyDescent="0.3"/>
    <row r="810" s="1" customFormat="1" ht="13.5" customHeight="1" x14ac:dyDescent="0.3"/>
    <row r="811" s="1" customFormat="1" ht="13.5" customHeight="1" x14ac:dyDescent="0.3"/>
    <row r="812" s="1" customFormat="1" ht="13.5" customHeight="1" x14ac:dyDescent="0.3"/>
    <row r="813" s="1" customFormat="1" ht="13.5" customHeight="1" x14ac:dyDescent="0.3"/>
    <row r="814" s="1" customFormat="1" ht="13.5" customHeight="1" x14ac:dyDescent="0.3"/>
    <row r="815" s="1" customFormat="1" ht="13.5" customHeight="1" x14ac:dyDescent="0.3"/>
    <row r="816" s="1" customFormat="1" ht="13.5" customHeight="1" x14ac:dyDescent="0.3"/>
    <row r="817" s="1" customFormat="1" ht="13.5" customHeight="1" x14ac:dyDescent="0.3"/>
    <row r="818" s="1" customFormat="1" ht="13.5" customHeight="1" x14ac:dyDescent="0.3"/>
    <row r="819" s="1" customFormat="1" ht="13.5" customHeight="1" x14ac:dyDescent="0.3"/>
    <row r="820" s="1" customFormat="1" ht="13.5" customHeight="1" x14ac:dyDescent="0.3"/>
    <row r="821" s="1" customFormat="1" ht="13.5" customHeight="1" x14ac:dyDescent="0.3"/>
    <row r="822" s="1" customFormat="1" ht="13.5" customHeight="1" x14ac:dyDescent="0.3"/>
    <row r="823" s="1" customFormat="1" ht="13.5" customHeight="1" x14ac:dyDescent="0.3"/>
    <row r="824" s="1" customFormat="1" ht="13.5" customHeight="1" x14ac:dyDescent="0.3"/>
    <row r="825" s="1" customFormat="1" ht="13.5" customHeight="1" x14ac:dyDescent="0.3"/>
    <row r="826" s="1" customFormat="1" ht="13.5" customHeight="1" x14ac:dyDescent="0.3"/>
    <row r="827" s="1" customFormat="1" ht="13.5" customHeight="1" x14ac:dyDescent="0.3"/>
    <row r="828" s="1" customFormat="1" ht="13.5" customHeight="1" x14ac:dyDescent="0.3"/>
    <row r="829" s="1" customFormat="1" ht="13.5" customHeight="1" x14ac:dyDescent="0.3"/>
    <row r="830" s="1" customFormat="1" ht="13.5" customHeight="1" x14ac:dyDescent="0.3"/>
    <row r="831" s="1" customFormat="1" ht="13.5" customHeight="1" x14ac:dyDescent="0.3"/>
    <row r="832" s="1" customFormat="1" ht="13.5" customHeight="1" x14ac:dyDescent="0.3"/>
    <row r="833" s="1" customFormat="1" ht="13.5" customHeight="1" x14ac:dyDescent="0.3"/>
    <row r="834" s="1" customFormat="1" ht="13.5" customHeight="1" x14ac:dyDescent="0.3"/>
    <row r="835" s="1" customFormat="1" ht="13.5" customHeight="1" x14ac:dyDescent="0.3"/>
    <row r="836" s="1" customFormat="1" ht="13.5" customHeight="1" x14ac:dyDescent="0.3"/>
    <row r="837" s="1" customFormat="1" ht="13.5" customHeight="1" x14ac:dyDescent="0.3"/>
    <row r="838" s="1" customFormat="1" ht="13.5" customHeight="1" x14ac:dyDescent="0.3"/>
    <row r="839" s="1" customFormat="1" ht="13.5" customHeight="1" x14ac:dyDescent="0.3"/>
    <row r="840" s="1" customFormat="1" ht="13.5" customHeight="1" x14ac:dyDescent="0.3"/>
    <row r="841" s="1" customFormat="1" ht="13.5" customHeight="1" x14ac:dyDescent="0.3"/>
    <row r="842" s="1" customFormat="1" ht="13.5" customHeight="1" x14ac:dyDescent="0.3"/>
    <row r="843" s="1" customFormat="1" ht="13.5" customHeight="1" x14ac:dyDescent="0.3"/>
    <row r="844" s="1" customFormat="1" ht="13.5" customHeight="1" x14ac:dyDescent="0.3"/>
    <row r="845" s="1" customFormat="1" ht="13.5" customHeight="1" x14ac:dyDescent="0.3"/>
    <row r="846" s="1" customFormat="1" ht="13.5" customHeight="1" x14ac:dyDescent="0.3"/>
    <row r="847" s="1" customFormat="1" ht="13.5" customHeight="1" x14ac:dyDescent="0.3"/>
    <row r="848" s="1" customFormat="1" ht="13.5" customHeight="1" x14ac:dyDescent="0.3"/>
    <row r="849" s="1" customFormat="1" ht="13.5" customHeight="1" x14ac:dyDescent="0.3"/>
    <row r="850" s="1" customFormat="1" ht="13.5" customHeight="1" x14ac:dyDescent="0.3"/>
    <row r="851" s="1" customFormat="1" ht="13.5" customHeight="1" x14ac:dyDescent="0.3"/>
    <row r="852" s="1" customFormat="1" ht="13.5" customHeight="1" x14ac:dyDescent="0.3"/>
    <row r="853" s="1" customFormat="1" ht="13.5" customHeight="1" x14ac:dyDescent="0.3"/>
    <row r="854" s="1" customFormat="1" ht="13.5" customHeight="1" x14ac:dyDescent="0.3"/>
    <row r="855" s="1" customFormat="1" ht="13.5" customHeight="1" x14ac:dyDescent="0.3"/>
    <row r="856" s="1" customFormat="1" ht="13.5" customHeight="1" x14ac:dyDescent="0.3"/>
    <row r="857" s="1" customFormat="1" ht="13.5" customHeight="1" x14ac:dyDescent="0.3"/>
    <row r="858" s="1" customFormat="1" ht="13.5" customHeight="1" x14ac:dyDescent="0.3"/>
    <row r="859" s="1" customFormat="1" ht="13.5" customHeight="1" x14ac:dyDescent="0.3"/>
    <row r="860" s="1" customFormat="1" ht="13.5" customHeight="1" x14ac:dyDescent="0.3"/>
    <row r="861" s="1" customFormat="1" ht="13.5" customHeight="1" x14ac:dyDescent="0.3"/>
    <row r="862" s="1" customFormat="1" ht="13.5" customHeight="1" x14ac:dyDescent="0.3"/>
    <row r="863" s="1" customFormat="1" ht="13.5" customHeight="1" x14ac:dyDescent="0.3"/>
    <row r="864" s="1" customFormat="1" ht="13.5" customHeight="1" x14ac:dyDescent="0.3"/>
    <row r="865" s="1" customFormat="1" ht="13.5" customHeight="1" x14ac:dyDescent="0.3"/>
    <row r="866" s="1" customFormat="1" ht="13.5" customHeight="1" x14ac:dyDescent="0.3"/>
    <row r="867" s="1" customFormat="1" ht="13.5" customHeight="1" x14ac:dyDescent="0.3"/>
    <row r="868" s="1" customFormat="1" ht="13.5" customHeight="1" x14ac:dyDescent="0.3"/>
    <row r="869" s="1" customFormat="1" ht="13.5" customHeight="1" x14ac:dyDescent="0.3"/>
    <row r="870" s="1" customFormat="1" ht="13.5" customHeight="1" x14ac:dyDescent="0.3"/>
    <row r="871" s="1" customFormat="1" ht="13.5" customHeight="1" x14ac:dyDescent="0.3"/>
    <row r="872" s="1" customFormat="1" ht="13.5" customHeight="1" x14ac:dyDescent="0.3"/>
    <row r="873" s="1" customFormat="1" ht="13.5" customHeight="1" x14ac:dyDescent="0.3"/>
    <row r="874" s="1" customFormat="1" ht="13.5" customHeight="1" x14ac:dyDescent="0.3"/>
    <row r="875" s="1" customFormat="1" ht="13.5" customHeight="1" x14ac:dyDescent="0.3"/>
    <row r="876" s="1" customFormat="1" ht="13.5" customHeight="1" x14ac:dyDescent="0.3"/>
    <row r="877" s="1" customFormat="1" ht="13.5" customHeight="1" x14ac:dyDescent="0.3"/>
    <row r="878" s="1" customFormat="1" ht="13.5" customHeight="1" x14ac:dyDescent="0.3"/>
    <row r="879" s="1" customFormat="1" ht="13.5" customHeight="1" x14ac:dyDescent="0.3"/>
    <row r="880" s="1" customFormat="1" ht="13.5" customHeight="1" x14ac:dyDescent="0.3"/>
    <row r="881" s="1" customFormat="1" ht="13.5" customHeight="1" x14ac:dyDescent="0.3"/>
    <row r="882" s="1" customFormat="1" ht="13.5" customHeight="1" x14ac:dyDescent="0.3"/>
    <row r="883" s="1" customFormat="1" ht="13.5" customHeight="1" x14ac:dyDescent="0.3"/>
    <row r="884" s="1" customFormat="1" ht="13.5" customHeight="1" x14ac:dyDescent="0.3"/>
    <row r="885" s="1" customFormat="1" ht="13.5" customHeight="1" x14ac:dyDescent="0.3"/>
    <row r="886" s="1" customFormat="1" ht="13.5" customHeight="1" x14ac:dyDescent="0.3"/>
    <row r="887" s="1" customFormat="1" ht="13.5" customHeight="1" x14ac:dyDescent="0.3"/>
    <row r="888" s="1" customFormat="1" ht="13.5" customHeight="1" x14ac:dyDescent="0.3"/>
    <row r="889" s="1" customFormat="1" ht="13.5" customHeight="1" x14ac:dyDescent="0.3"/>
    <row r="890" s="1" customFormat="1" ht="13.5" customHeight="1" x14ac:dyDescent="0.3"/>
    <row r="891" s="1" customFormat="1" ht="13.5" customHeight="1" x14ac:dyDescent="0.3"/>
    <row r="892" s="1" customFormat="1" ht="13.5" customHeight="1" x14ac:dyDescent="0.3"/>
    <row r="893" s="1" customFormat="1" ht="13.5" customHeight="1" x14ac:dyDescent="0.3"/>
    <row r="894" s="1" customFormat="1" ht="13.5" customHeight="1" x14ac:dyDescent="0.3"/>
    <row r="895" s="1" customFormat="1" ht="13.5" customHeight="1" x14ac:dyDescent="0.3"/>
    <row r="896" s="1" customFormat="1" ht="13.5" customHeight="1" x14ac:dyDescent="0.3"/>
    <row r="897" s="1" customFormat="1" ht="13.5" customHeight="1" x14ac:dyDescent="0.3"/>
    <row r="898" s="1" customFormat="1" ht="13.5" customHeight="1" x14ac:dyDescent="0.3"/>
    <row r="899" s="1" customFormat="1" ht="13.5" customHeight="1" x14ac:dyDescent="0.3"/>
    <row r="900" s="1" customFormat="1" ht="13.5" customHeight="1" x14ac:dyDescent="0.3"/>
    <row r="901" s="1" customFormat="1" ht="13.5" customHeight="1" x14ac:dyDescent="0.3"/>
    <row r="902" s="1" customFormat="1" ht="13.5" customHeight="1" x14ac:dyDescent="0.3"/>
    <row r="903" s="1" customFormat="1" ht="13.5" customHeight="1" x14ac:dyDescent="0.3"/>
    <row r="904" s="1" customFormat="1" ht="13.5" customHeight="1" x14ac:dyDescent="0.3"/>
    <row r="905" s="1" customFormat="1" ht="13.5" customHeight="1" x14ac:dyDescent="0.3"/>
    <row r="906" s="1" customFormat="1" ht="13.5" customHeight="1" x14ac:dyDescent="0.3"/>
    <row r="907" s="1" customFormat="1" ht="13.5" customHeight="1" x14ac:dyDescent="0.3"/>
    <row r="908" s="1" customFormat="1" ht="13.5" customHeight="1" x14ac:dyDescent="0.3"/>
    <row r="909" s="1" customFormat="1" ht="13.5" customHeight="1" x14ac:dyDescent="0.3"/>
    <row r="910" s="1" customFormat="1" ht="13.5" customHeight="1" x14ac:dyDescent="0.3"/>
    <row r="911" s="1" customFormat="1" ht="13.5" customHeight="1" x14ac:dyDescent="0.3"/>
    <row r="912" s="1" customFormat="1" ht="13.5" customHeight="1" x14ac:dyDescent="0.3"/>
    <row r="913" s="1" customFormat="1" ht="13.5" customHeight="1" x14ac:dyDescent="0.3"/>
    <row r="914" s="1" customFormat="1" ht="13.5" customHeight="1" x14ac:dyDescent="0.3"/>
    <row r="915" s="1" customFormat="1" ht="13.5" customHeight="1" x14ac:dyDescent="0.3"/>
    <row r="916" s="1" customFormat="1" ht="13.5" customHeight="1" x14ac:dyDescent="0.3"/>
    <row r="917" s="1" customFormat="1" ht="13.5" customHeight="1" x14ac:dyDescent="0.3"/>
    <row r="918" s="1" customFormat="1" ht="13.5" customHeight="1" x14ac:dyDescent="0.3"/>
    <row r="919" s="1" customFormat="1" ht="13.5" customHeight="1" x14ac:dyDescent="0.3"/>
    <row r="920" s="1" customFormat="1" ht="13.5" customHeight="1" x14ac:dyDescent="0.3"/>
    <row r="921" s="1" customFormat="1" ht="13.5" customHeight="1" x14ac:dyDescent="0.3"/>
    <row r="922" s="1" customFormat="1" ht="13.5" customHeight="1" x14ac:dyDescent="0.3"/>
    <row r="923" s="1" customFormat="1" ht="13.5" customHeight="1" x14ac:dyDescent="0.3"/>
    <row r="924" s="1" customFormat="1" ht="13.5" customHeight="1" x14ac:dyDescent="0.3"/>
    <row r="925" s="1" customFormat="1" ht="13.5" customHeight="1" x14ac:dyDescent="0.3"/>
    <row r="926" s="1" customFormat="1" ht="13.5" customHeight="1" x14ac:dyDescent="0.3"/>
    <row r="927" s="1" customFormat="1" ht="13.5" customHeight="1" x14ac:dyDescent="0.3"/>
    <row r="928" s="1" customFormat="1" ht="13.5" customHeight="1" x14ac:dyDescent="0.3"/>
    <row r="929" s="1" customFormat="1" ht="13.5" customHeight="1" x14ac:dyDescent="0.3"/>
    <row r="930" s="1" customFormat="1" ht="13.5" customHeight="1" x14ac:dyDescent="0.3"/>
    <row r="931" s="1" customFormat="1" ht="13.5" customHeight="1" x14ac:dyDescent="0.3"/>
    <row r="932" s="1" customFormat="1" ht="13.5" customHeight="1" x14ac:dyDescent="0.3"/>
    <row r="933" s="1" customFormat="1" ht="13.5" customHeight="1" x14ac:dyDescent="0.3"/>
    <row r="934" s="1" customFormat="1" ht="13.5" customHeight="1" x14ac:dyDescent="0.3"/>
    <row r="935" s="1" customFormat="1" ht="13.5" customHeight="1" x14ac:dyDescent="0.3"/>
    <row r="936" s="1" customFormat="1" ht="13.5" customHeight="1" x14ac:dyDescent="0.3"/>
    <row r="937" s="1" customFormat="1" ht="13.5" customHeight="1" x14ac:dyDescent="0.3"/>
    <row r="938" s="1" customFormat="1" ht="13.5" customHeight="1" x14ac:dyDescent="0.3"/>
    <row r="939" s="1" customFormat="1" ht="13.5" customHeight="1" x14ac:dyDescent="0.3"/>
    <row r="940" s="1" customFormat="1" ht="13.5" customHeight="1" x14ac:dyDescent="0.3"/>
    <row r="941" s="1" customFormat="1" ht="13.5" customHeight="1" x14ac:dyDescent="0.3"/>
    <row r="942" s="1" customFormat="1" ht="13.5" customHeight="1" x14ac:dyDescent="0.3"/>
    <row r="943" s="1" customFormat="1" ht="13.5" customHeight="1" x14ac:dyDescent="0.3"/>
    <row r="944" s="1" customFormat="1" ht="13.5" customHeight="1" x14ac:dyDescent="0.3"/>
    <row r="945" s="1" customFormat="1" ht="13.5" customHeight="1" x14ac:dyDescent="0.3"/>
    <row r="946" s="1" customFormat="1" ht="13.5" customHeight="1" x14ac:dyDescent="0.3"/>
    <row r="947" s="1" customFormat="1" ht="13.5" customHeight="1" x14ac:dyDescent="0.3"/>
    <row r="948" s="1" customFormat="1" ht="13.5" customHeight="1" x14ac:dyDescent="0.3"/>
    <row r="949" s="1" customFormat="1" ht="13.5" customHeight="1" x14ac:dyDescent="0.3"/>
    <row r="950" s="1" customFormat="1" ht="13.5" customHeight="1" x14ac:dyDescent="0.3"/>
    <row r="951" s="1" customFormat="1" ht="13.5" customHeight="1" x14ac:dyDescent="0.3"/>
    <row r="952" s="1" customFormat="1" ht="13.5" customHeight="1" x14ac:dyDescent="0.3"/>
    <row r="953" s="1" customFormat="1" ht="13.5" customHeight="1" x14ac:dyDescent="0.3"/>
    <row r="954" s="1" customFormat="1" ht="13.5" customHeight="1" x14ac:dyDescent="0.3"/>
    <row r="955" s="1" customFormat="1" ht="13.5" customHeight="1" x14ac:dyDescent="0.3"/>
    <row r="956" s="1" customFormat="1" ht="13.5" customHeight="1" x14ac:dyDescent="0.3"/>
    <row r="957" s="1" customFormat="1" ht="13.5" customHeight="1" x14ac:dyDescent="0.3"/>
    <row r="958" s="1" customFormat="1" ht="13.5" customHeight="1" x14ac:dyDescent="0.3"/>
    <row r="959" s="1" customFormat="1" ht="13.5" customHeight="1" x14ac:dyDescent="0.3"/>
    <row r="960" s="1" customFormat="1" ht="13.5" customHeight="1" x14ac:dyDescent="0.3"/>
    <row r="961" s="1" customFormat="1" ht="13.5" customHeight="1" x14ac:dyDescent="0.3"/>
    <row r="962" s="1" customFormat="1" ht="13.5" customHeight="1" x14ac:dyDescent="0.3"/>
    <row r="963" s="1" customFormat="1" ht="13.5" customHeight="1" x14ac:dyDescent="0.3"/>
    <row r="964" s="1" customFormat="1" ht="13.5" customHeight="1" x14ac:dyDescent="0.3"/>
    <row r="965" s="1" customFormat="1" ht="13.5" customHeight="1" x14ac:dyDescent="0.3"/>
    <row r="966" s="1" customFormat="1" ht="13.5" customHeight="1" x14ac:dyDescent="0.3"/>
    <row r="967" s="1" customFormat="1" ht="13.5" customHeight="1" x14ac:dyDescent="0.3"/>
    <row r="968" s="1" customFormat="1" ht="13.5" customHeight="1" x14ac:dyDescent="0.3"/>
    <row r="969" s="1" customFormat="1" ht="13.5" customHeight="1" x14ac:dyDescent="0.3"/>
    <row r="970" s="1" customFormat="1" ht="13.5" customHeight="1" x14ac:dyDescent="0.3"/>
    <row r="971" s="1" customFormat="1" ht="13.5" customHeight="1" x14ac:dyDescent="0.3"/>
    <row r="972" s="1" customFormat="1" ht="13.5" customHeight="1" x14ac:dyDescent="0.3"/>
    <row r="973" s="1" customFormat="1" ht="13.5" customHeight="1" x14ac:dyDescent="0.3"/>
    <row r="974" s="1" customFormat="1" ht="13.5" customHeight="1" x14ac:dyDescent="0.3"/>
    <row r="975" s="1" customFormat="1" ht="13.5" customHeight="1" x14ac:dyDescent="0.3"/>
    <row r="976" s="1" customFormat="1" ht="13.5" customHeight="1" x14ac:dyDescent="0.3"/>
    <row r="977" s="1" customFormat="1" ht="13.5" customHeight="1" x14ac:dyDescent="0.3"/>
    <row r="978" s="1" customFormat="1" ht="13.5" customHeight="1" x14ac:dyDescent="0.3"/>
    <row r="979" s="1" customFormat="1" ht="13.5" customHeight="1" x14ac:dyDescent="0.3"/>
    <row r="980" s="1" customFormat="1" ht="13.5" customHeight="1" x14ac:dyDescent="0.3"/>
    <row r="981" s="1" customFormat="1" ht="13.5" customHeight="1" x14ac:dyDescent="0.3"/>
    <row r="982" s="1" customFormat="1" ht="13.5" customHeight="1" x14ac:dyDescent="0.3"/>
    <row r="983" s="1" customFormat="1" ht="13.5" customHeight="1" x14ac:dyDescent="0.3"/>
    <row r="984" s="1" customFormat="1" ht="13.5" customHeight="1" x14ac:dyDescent="0.3"/>
    <row r="985" s="1" customFormat="1" ht="13.5" customHeight="1" x14ac:dyDescent="0.3"/>
    <row r="986" s="1" customFormat="1" ht="13.5" customHeight="1" x14ac:dyDescent="0.3"/>
    <row r="987" s="1" customFormat="1" ht="13.5" customHeight="1" x14ac:dyDescent="0.3"/>
    <row r="988" s="1" customFormat="1" ht="13.5" customHeight="1" x14ac:dyDescent="0.3"/>
    <row r="989" s="1" customFormat="1" ht="13.5" customHeight="1" x14ac:dyDescent="0.3"/>
    <row r="990" s="1" customFormat="1" ht="13.5" customHeight="1" x14ac:dyDescent="0.3"/>
    <row r="991" s="1" customFormat="1" ht="13.5" customHeight="1" x14ac:dyDescent="0.3"/>
    <row r="992" s="1" customFormat="1" ht="13.5" customHeight="1" x14ac:dyDescent="0.3"/>
    <row r="993" s="1" customFormat="1" ht="13.5" customHeight="1" x14ac:dyDescent="0.3"/>
    <row r="994" s="1" customFormat="1" ht="13.5" customHeight="1" x14ac:dyDescent="0.3"/>
    <row r="995" s="1" customFormat="1" ht="13.5" customHeight="1" x14ac:dyDescent="0.3"/>
    <row r="996" s="1" customFormat="1" ht="13.5" customHeight="1" x14ac:dyDescent="0.3"/>
    <row r="997" s="1" customFormat="1" ht="13.5" customHeight="1" x14ac:dyDescent="0.3"/>
    <row r="998" s="1" customFormat="1" ht="13.5" customHeight="1" x14ac:dyDescent="0.3"/>
    <row r="999" s="1" customFormat="1" ht="13.5" customHeight="1" x14ac:dyDescent="0.3"/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551E0-71B7-44B4-AADF-780F8BB413E1}">
  <dimension ref="A1:M999"/>
  <sheetViews>
    <sheetView workbookViewId="0">
      <selection sqref="A1:XFD1048576"/>
    </sheetView>
  </sheetViews>
  <sheetFormatPr baseColWidth="10" defaultColWidth="12.6328125" defaultRowHeight="15" customHeight="1" x14ac:dyDescent="0.3"/>
  <cols>
    <col min="1" max="1" width="15.7265625" style="1" customWidth="1"/>
    <col min="2" max="7" width="10.6328125" style="1" customWidth="1"/>
    <col min="8" max="8" width="11.36328125" style="1" customWidth="1"/>
    <col min="9" max="25" width="10.6328125" style="1" customWidth="1"/>
    <col min="26" max="16384" width="12.6328125" style="1"/>
  </cols>
  <sheetData>
    <row r="1" spans="1:13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4.25" customHeight="1" x14ac:dyDescent="0.3">
      <c r="A2" s="1" t="s">
        <v>12</v>
      </c>
      <c r="B2" s="1" t="s">
        <v>13</v>
      </c>
      <c r="D2" s="1">
        <v>1</v>
      </c>
      <c r="H2" s="2" t="s">
        <v>14</v>
      </c>
      <c r="I2" s="3">
        <f t="shared" ref="I2:L2" si="0">SUM(C22+C37+C55+C65+C66+C96+C105+C113+C128+C146+C150)</f>
        <v>11</v>
      </c>
      <c r="J2" s="3">
        <f t="shared" si="0"/>
        <v>0</v>
      </c>
      <c r="K2" s="3">
        <f t="shared" si="0"/>
        <v>0</v>
      </c>
      <c r="L2" s="3">
        <f t="shared" si="0"/>
        <v>0</v>
      </c>
      <c r="M2" s="3">
        <f t="shared" ref="M2:M13" si="1">SUM(I2:L2)</f>
        <v>11</v>
      </c>
    </row>
    <row r="3" spans="1:13" ht="14.25" customHeight="1" x14ac:dyDescent="0.3">
      <c r="A3" s="1" t="s">
        <v>15</v>
      </c>
      <c r="B3" s="1" t="s">
        <v>16</v>
      </c>
      <c r="C3" s="1">
        <v>1</v>
      </c>
      <c r="H3" s="2" t="s">
        <v>17</v>
      </c>
      <c r="I3" s="3">
        <f t="shared" ref="I3:L3" si="2">SUM(C6+C32+C50+C52+C58+C69+C76+C94+C115+C122+C123+C152)</f>
        <v>12</v>
      </c>
      <c r="J3" s="3">
        <f t="shared" si="2"/>
        <v>0</v>
      </c>
      <c r="K3" s="3">
        <f t="shared" si="2"/>
        <v>0</v>
      </c>
      <c r="L3" s="3">
        <f t="shared" si="2"/>
        <v>0</v>
      </c>
      <c r="M3" s="3">
        <f t="shared" si="1"/>
        <v>12</v>
      </c>
    </row>
    <row r="4" spans="1:13" ht="14.25" customHeight="1" x14ac:dyDescent="0.3">
      <c r="A4" s="1" t="s">
        <v>18</v>
      </c>
      <c r="B4" s="1" t="s">
        <v>13</v>
      </c>
      <c r="D4" s="1">
        <v>1</v>
      </c>
      <c r="H4" s="2" t="s">
        <v>19</v>
      </c>
      <c r="I4" s="3">
        <f t="shared" ref="I4:L4" si="3">SUM(C26+C14+C27+C62+C68+C124+C138+C142+C153+C155)</f>
        <v>10</v>
      </c>
      <c r="J4" s="3">
        <f t="shared" si="3"/>
        <v>0</v>
      </c>
      <c r="K4" s="3">
        <f t="shared" si="3"/>
        <v>0</v>
      </c>
      <c r="L4" s="3">
        <f t="shared" si="3"/>
        <v>0</v>
      </c>
      <c r="M4" s="3">
        <f t="shared" si="1"/>
        <v>10</v>
      </c>
    </row>
    <row r="5" spans="1:13" ht="14.25" customHeight="1" x14ac:dyDescent="0.3">
      <c r="A5" s="1" t="s">
        <v>20</v>
      </c>
      <c r="B5" s="1" t="s">
        <v>21</v>
      </c>
      <c r="C5" s="1">
        <v>1</v>
      </c>
      <c r="H5" s="2" t="s">
        <v>22</v>
      </c>
      <c r="I5" s="3">
        <f t="shared" ref="I5:L5" si="4">SUM(C5+C36+C56+C63+C73+C85+C87+C95+C135)</f>
        <v>8</v>
      </c>
      <c r="J5" s="3">
        <f t="shared" si="4"/>
        <v>0</v>
      </c>
      <c r="K5" s="3">
        <f t="shared" si="4"/>
        <v>0</v>
      </c>
      <c r="L5" s="3">
        <f t="shared" si="4"/>
        <v>1</v>
      </c>
      <c r="M5" s="3">
        <f t="shared" si="1"/>
        <v>9</v>
      </c>
    </row>
    <row r="6" spans="1:13" ht="14.25" customHeight="1" x14ac:dyDescent="0.3">
      <c r="A6" s="1" t="s">
        <v>23</v>
      </c>
      <c r="B6" s="1" t="s">
        <v>24</v>
      </c>
      <c r="C6" s="1">
        <v>1</v>
      </c>
      <c r="H6" s="2" t="s">
        <v>25</v>
      </c>
      <c r="I6" s="3">
        <f t="shared" ref="I6:L6" si="5">SUM(C12+C15+C18+C28+C41+C59+C78+C64+C82+C83+C86+C106+C119+C143+C148+C154)</f>
        <v>15</v>
      </c>
      <c r="J6" s="3">
        <f t="shared" si="5"/>
        <v>0</v>
      </c>
      <c r="K6" s="3">
        <f t="shared" si="5"/>
        <v>0</v>
      </c>
      <c r="L6" s="3">
        <f t="shared" si="5"/>
        <v>1</v>
      </c>
      <c r="M6" s="3">
        <f t="shared" si="1"/>
        <v>16</v>
      </c>
    </row>
    <row r="7" spans="1:13" ht="14.25" customHeight="1" x14ac:dyDescent="0.3">
      <c r="A7" s="1" t="s">
        <v>26</v>
      </c>
      <c r="B7" s="1" t="s">
        <v>27</v>
      </c>
      <c r="D7" s="1">
        <v>1</v>
      </c>
      <c r="H7" s="2" t="s">
        <v>28</v>
      </c>
      <c r="I7" s="3">
        <f t="shared" ref="I7:L7" si="6">SUM(C3+C20+C46+C49+C54+C89+C90+C102+C112+C114+C129+C141)</f>
        <v>3</v>
      </c>
      <c r="J7" s="3">
        <f t="shared" si="6"/>
        <v>5</v>
      </c>
      <c r="K7" s="3">
        <f t="shared" si="6"/>
        <v>4</v>
      </c>
      <c r="L7" s="3">
        <f t="shared" si="6"/>
        <v>0</v>
      </c>
      <c r="M7" s="3">
        <f t="shared" si="1"/>
        <v>12</v>
      </c>
    </row>
    <row r="8" spans="1:13" ht="14.25" customHeight="1" x14ac:dyDescent="0.3">
      <c r="A8" s="1" t="s">
        <v>29</v>
      </c>
      <c r="B8" s="1" t="s">
        <v>30</v>
      </c>
      <c r="E8" s="1">
        <v>1</v>
      </c>
      <c r="H8" s="2" t="s">
        <v>27</v>
      </c>
      <c r="I8" s="3">
        <f t="shared" ref="I8:L8" si="7">SUM(C7+C30+C29+C44+C51+C60+C72+C79+C101+C99+C107+C111+C117+C140+C144)</f>
        <v>2</v>
      </c>
      <c r="J8" s="3">
        <f t="shared" si="7"/>
        <v>12</v>
      </c>
      <c r="K8" s="3">
        <f t="shared" si="7"/>
        <v>1</v>
      </c>
      <c r="L8" s="3">
        <f t="shared" si="7"/>
        <v>0</v>
      </c>
      <c r="M8" s="3">
        <f t="shared" si="1"/>
        <v>15</v>
      </c>
    </row>
    <row r="9" spans="1:13" ht="14.25" customHeight="1" x14ac:dyDescent="0.3">
      <c r="A9" s="1" t="s">
        <v>31</v>
      </c>
      <c r="B9" s="1" t="s">
        <v>13</v>
      </c>
      <c r="D9" s="1">
        <v>1</v>
      </c>
      <c r="H9" s="2" t="s">
        <v>13</v>
      </c>
      <c r="I9" s="3">
        <f t="shared" ref="I9:J9" si="8">SUM(C4+C9+C17+C19+C2+C48+C92+C120+C126+C127+C130+C133+C151)</f>
        <v>0</v>
      </c>
      <c r="J9" s="3">
        <f t="shared" si="8"/>
        <v>12</v>
      </c>
      <c r="K9" s="3">
        <f>SUM(D4+D9+D17+D19+D2+D48+D92+D120+D126+D127+D130+D133+D151)</f>
        <v>12</v>
      </c>
      <c r="L9" s="3">
        <f>SUM(F4+F9+F17+F19+F2+F48+F92+F120+F126+F127+F130+F133+F151)</f>
        <v>0</v>
      </c>
      <c r="M9" s="3">
        <f t="shared" si="1"/>
        <v>24</v>
      </c>
    </row>
    <row r="10" spans="1:13" ht="14.25" customHeight="1" x14ac:dyDescent="0.3">
      <c r="A10" s="1" t="s">
        <v>32</v>
      </c>
      <c r="B10" s="1" t="s">
        <v>33</v>
      </c>
      <c r="C10" s="1">
        <v>1</v>
      </c>
      <c r="H10" s="2" t="s">
        <v>30</v>
      </c>
      <c r="I10" s="3">
        <f t="shared" ref="I10:L10" si="9">SUM(C8+C13+C16+C25+C31+C35+C43+C45+C70+C71+C75+C81+C88+C93+C98+C100+C104+C118+C136+C137+C156)</f>
        <v>0</v>
      </c>
      <c r="J10" s="3">
        <f t="shared" si="9"/>
        <v>4</v>
      </c>
      <c r="K10" s="3">
        <f t="shared" si="9"/>
        <v>17</v>
      </c>
      <c r="L10" s="3">
        <f t="shared" si="9"/>
        <v>0</v>
      </c>
      <c r="M10" s="3">
        <f t="shared" si="1"/>
        <v>21</v>
      </c>
    </row>
    <row r="11" spans="1:13" ht="14.25" customHeight="1" x14ac:dyDescent="0.3">
      <c r="A11" s="1" t="s">
        <v>34</v>
      </c>
      <c r="B11" s="1" t="s">
        <v>33</v>
      </c>
      <c r="C11" s="1">
        <v>1</v>
      </c>
      <c r="H11" s="2" t="s">
        <v>35</v>
      </c>
      <c r="I11" s="3">
        <f t="shared" ref="I11:L11" si="10">SUM(C38+C42+C47+C53+C74+C77+C80+C91+C97+C103+C108+C116+C131+C145+C147)</f>
        <v>1</v>
      </c>
      <c r="J11" s="3">
        <f t="shared" si="10"/>
        <v>10</v>
      </c>
      <c r="K11" s="3">
        <f t="shared" si="10"/>
        <v>4</v>
      </c>
      <c r="L11" s="3">
        <f t="shared" si="10"/>
        <v>0</v>
      </c>
      <c r="M11" s="3">
        <f t="shared" si="1"/>
        <v>15</v>
      </c>
    </row>
    <row r="12" spans="1:13" ht="14.25" customHeight="1" x14ac:dyDescent="0.3">
      <c r="A12" s="1" t="s">
        <v>36</v>
      </c>
      <c r="B12" s="1" t="s">
        <v>37</v>
      </c>
      <c r="C12" s="1">
        <v>1</v>
      </c>
      <c r="H12" s="2" t="s">
        <v>38</v>
      </c>
      <c r="I12" s="3">
        <f t="shared" ref="I12:L12" si="11">SUM(C21+C24+C34+C40+C67+C84+C132)</f>
        <v>0</v>
      </c>
      <c r="J12" s="3">
        <f t="shared" si="11"/>
        <v>6</v>
      </c>
      <c r="K12" s="3">
        <f t="shared" si="11"/>
        <v>1</v>
      </c>
      <c r="L12" s="3">
        <f t="shared" si="11"/>
        <v>0</v>
      </c>
      <c r="M12" s="3">
        <f t="shared" si="1"/>
        <v>7</v>
      </c>
    </row>
    <row r="13" spans="1:13" ht="14.25" customHeight="1" x14ac:dyDescent="0.3">
      <c r="A13" s="1" t="s">
        <v>39</v>
      </c>
      <c r="B13" s="1" t="s">
        <v>30</v>
      </c>
      <c r="E13" s="1">
        <v>1</v>
      </c>
      <c r="H13" s="2" t="s">
        <v>33</v>
      </c>
      <c r="I13" s="3">
        <f t="shared" ref="I13:L13" si="12">SUM(C10+C11+C57+C125+C149)</f>
        <v>4</v>
      </c>
      <c r="J13" s="3">
        <f t="shared" si="12"/>
        <v>1</v>
      </c>
      <c r="K13" s="3">
        <f t="shared" si="12"/>
        <v>0</v>
      </c>
      <c r="L13" s="3">
        <f t="shared" si="12"/>
        <v>0</v>
      </c>
      <c r="M13" s="3">
        <f t="shared" si="1"/>
        <v>5</v>
      </c>
    </row>
    <row r="14" spans="1:13" ht="14.25" customHeight="1" x14ac:dyDescent="0.3">
      <c r="A14" s="1" t="s">
        <v>40</v>
      </c>
      <c r="B14" s="1" t="s">
        <v>19</v>
      </c>
      <c r="C14" s="1">
        <v>1</v>
      </c>
      <c r="I14" s="4"/>
      <c r="J14" s="4"/>
      <c r="K14" s="4"/>
      <c r="L14" s="4"/>
    </row>
    <row r="15" spans="1:13" ht="14.25" customHeight="1" x14ac:dyDescent="0.3">
      <c r="A15" s="1" t="s">
        <v>41</v>
      </c>
      <c r="B15" s="1" t="s">
        <v>42</v>
      </c>
      <c r="C15" s="1">
        <v>1</v>
      </c>
      <c r="I15" s="4"/>
      <c r="J15" s="4"/>
      <c r="K15" s="4"/>
      <c r="L15" s="4"/>
    </row>
    <row r="16" spans="1:13" ht="14.25" customHeight="1" x14ac:dyDescent="0.3">
      <c r="A16" s="1" t="s">
        <v>43</v>
      </c>
      <c r="B16" s="1" t="s">
        <v>30</v>
      </c>
      <c r="D16" s="1">
        <v>1</v>
      </c>
      <c r="I16" s="4"/>
      <c r="J16" s="4"/>
      <c r="K16" s="4"/>
      <c r="L16" s="4"/>
    </row>
    <row r="17" spans="1:12" ht="14.25" customHeight="1" x14ac:dyDescent="0.3">
      <c r="A17" s="1" t="s">
        <v>44</v>
      </c>
      <c r="B17" s="1" t="s">
        <v>13</v>
      </c>
      <c r="D17" s="1">
        <v>1</v>
      </c>
      <c r="I17" s="4"/>
      <c r="J17" s="4"/>
      <c r="K17" s="4"/>
      <c r="L17" s="4"/>
    </row>
    <row r="18" spans="1:12" ht="14.25" customHeight="1" x14ac:dyDescent="0.3">
      <c r="A18" s="1" t="s">
        <v>45</v>
      </c>
      <c r="B18" s="1" t="s">
        <v>37</v>
      </c>
      <c r="C18" s="1">
        <v>1</v>
      </c>
      <c r="I18" s="4"/>
      <c r="J18" s="4"/>
      <c r="K18" s="4"/>
      <c r="L18" s="4"/>
    </row>
    <row r="19" spans="1:12" ht="14.25" customHeight="1" x14ac:dyDescent="0.3">
      <c r="A19" s="1" t="s">
        <v>46</v>
      </c>
      <c r="B19" s="1" t="s">
        <v>13</v>
      </c>
      <c r="D19" s="1">
        <v>1</v>
      </c>
    </row>
    <row r="20" spans="1:12" ht="14.25" customHeight="1" x14ac:dyDescent="0.3">
      <c r="A20" s="1" t="s">
        <v>47</v>
      </c>
      <c r="B20" s="1" t="s">
        <v>16</v>
      </c>
      <c r="D20" s="1">
        <v>1</v>
      </c>
    </row>
    <row r="21" spans="1:12" ht="14.25" customHeight="1" x14ac:dyDescent="0.3">
      <c r="A21" s="1" t="s">
        <v>48</v>
      </c>
      <c r="B21" s="1" t="s">
        <v>38</v>
      </c>
      <c r="D21" s="1">
        <v>1</v>
      </c>
    </row>
    <row r="22" spans="1:12" ht="14.25" customHeight="1" x14ac:dyDescent="0.3">
      <c r="A22" s="1" t="s">
        <v>49</v>
      </c>
      <c r="B22" s="1" t="s">
        <v>14</v>
      </c>
      <c r="C22" s="1">
        <v>1</v>
      </c>
    </row>
    <row r="23" spans="1:12" ht="14.25" customHeight="1" x14ac:dyDescent="0.3">
      <c r="A23" s="1" t="s">
        <v>50</v>
      </c>
      <c r="B23" s="1" t="s">
        <v>13</v>
      </c>
      <c r="D23" s="1">
        <v>1</v>
      </c>
    </row>
    <row r="24" spans="1:12" ht="14.25" customHeight="1" x14ac:dyDescent="0.3">
      <c r="A24" s="1" t="s">
        <v>51</v>
      </c>
      <c r="B24" s="1" t="s">
        <v>38</v>
      </c>
      <c r="E24" s="1">
        <v>1</v>
      </c>
    </row>
    <row r="25" spans="1:12" ht="14.25" customHeight="1" x14ac:dyDescent="0.3">
      <c r="A25" s="1" t="s">
        <v>52</v>
      </c>
      <c r="B25" s="1" t="s">
        <v>30</v>
      </c>
      <c r="E25" s="1">
        <v>1</v>
      </c>
    </row>
    <row r="26" spans="1:12" ht="14.25" customHeight="1" x14ac:dyDescent="0.3">
      <c r="A26" s="1" t="s">
        <v>53</v>
      </c>
      <c r="B26" s="1" t="s">
        <v>19</v>
      </c>
      <c r="C26" s="1">
        <v>1</v>
      </c>
    </row>
    <row r="27" spans="1:12" ht="14.25" customHeight="1" x14ac:dyDescent="0.3">
      <c r="A27" s="1" t="s">
        <v>54</v>
      </c>
      <c r="B27" s="1" t="s">
        <v>19</v>
      </c>
      <c r="C27" s="1">
        <v>1</v>
      </c>
    </row>
    <row r="28" spans="1:12" ht="14.25" customHeight="1" x14ac:dyDescent="0.3">
      <c r="A28" s="1" t="s">
        <v>55</v>
      </c>
      <c r="B28" s="1" t="s">
        <v>37</v>
      </c>
      <c r="C28" s="1">
        <v>1</v>
      </c>
    </row>
    <row r="29" spans="1:12" ht="14.25" customHeight="1" x14ac:dyDescent="0.3">
      <c r="A29" s="1" t="s">
        <v>56</v>
      </c>
      <c r="B29" s="1" t="s">
        <v>27</v>
      </c>
      <c r="D29" s="1">
        <v>1</v>
      </c>
    </row>
    <row r="30" spans="1:12" ht="14.25" customHeight="1" x14ac:dyDescent="0.3">
      <c r="A30" s="1" t="s">
        <v>57</v>
      </c>
      <c r="B30" s="1" t="s">
        <v>27</v>
      </c>
      <c r="D30" s="1">
        <v>1</v>
      </c>
    </row>
    <row r="31" spans="1:12" ht="14.25" customHeight="1" x14ac:dyDescent="0.3">
      <c r="A31" s="1" t="s">
        <v>58</v>
      </c>
      <c r="B31" s="1" t="s">
        <v>30</v>
      </c>
      <c r="D31" s="1">
        <v>1</v>
      </c>
    </row>
    <row r="32" spans="1:12" ht="14.25" customHeight="1" x14ac:dyDescent="0.3">
      <c r="A32" s="1" t="s">
        <v>59</v>
      </c>
      <c r="B32" s="1" t="s">
        <v>24</v>
      </c>
      <c r="C32" s="1">
        <v>1</v>
      </c>
    </row>
    <row r="33" spans="1:12" ht="14.25" customHeight="1" x14ac:dyDescent="0.3">
      <c r="A33" s="1" t="s">
        <v>60</v>
      </c>
      <c r="B33" s="1" t="s">
        <v>27</v>
      </c>
      <c r="D33" s="1">
        <v>1</v>
      </c>
    </row>
    <row r="34" spans="1:12" ht="14.25" customHeight="1" x14ac:dyDescent="0.3">
      <c r="A34" s="1" t="s">
        <v>61</v>
      </c>
      <c r="B34" s="1" t="s">
        <v>38</v>
      </c>
      <c r="D34" s="1">
        <v>1</v>
      </c>
    </row>
    <row r="35" spans="1:12" ht="14.25" customHeight="1" x14ac:dyDescent="0.3">
      <c r="A35" s="1" t="s">
        <v>62</v>
      </c>
      <c r="B35" s="1" t="s">
        <v>30</v>
      </c>
      <c r="E35" s="1">
        <v>1</v>
      </c>
    </row>
    <row r="36" spans="1:12" ht="14.25" customHeight="1" x14ac:dyDescent="0.3">
      <c r="A36" s="1" t="s">
        <v>63</v>
      </c>
      <c r="B36" s="1" t="s">
        <v>21</v>
      </c>
      <c r="C36" s="1">
        <v>1</v>
      </c>
    </row>
    <row r="37" spans="1:12" ht="14.25" customHeight="1" x14ac:dyDescent="0.3">
      <c r="A37" s="1" t="s">
        <v>64</v>
      </c>
      <c r="B37" s="1" t="s">
        <v>14</v>
      </c>
      <c r="C37" s="1">
        <v>1</v>
      </c>
    </row>
    <row r="38" spans="1:12" ht="14.25" customHeight="1" x14ac:dyDescent="0.3">
      <c r="A38" s="1" t="s">
        <v>65</v>
      </c>
      <c r="B38" s="1" t="s">
        <v>66</v>
      </c>
      <c r="D38" s="1">
        <v>1</v>
      </c>
    </row>
    <row r="39" spans="1:12" ht="14.25" customHeight="1" x14ac:dyDescent="0.3">
      <c r="A39" s="1" t="s">
        <v>67</v>
      </c>
      <c r="B39" s="1" t="s">
        <v>16</v>
      </c>
      <c r="E39" s="1">
        <v>1</v>
      </c>
    </row>
    <row r="40" spans="1:12" ht="14.25" customHeight="1" x14ac:dyDescent="0.3">
      <c r="A40" s="1" t="s">
        <v>68</v>
      </c>
      <c r="B40" s="1" t="s">
        <v>38</v>
      </c>
      <c r="D40" s="1">
        <v>1</v>
      </c>
    </row>
    <row r="41" spans="1:12" ht="14.25" customHeight="1" x14ac:dyDescent="0.3">
      <c r="A41" s="1" t="s">
        <v>69</v>
      </c>
      <c r="B41" s="1" t="s">
        <v>37</v>
      </c>
      <c r="C41" s="1">
        <v>1</v>
      </c>
    </row>
    <row r="42" spans="1:12" ht="14.25" customHeight="1" x14ac:dyDescent="0.3">
      <c r="A42" s="1" t="s">
        <v>70</v>
      </c>
      <c r="B42" s="1" t="s">
        <v>66</v>
      </c>
      <c r="D42" s="1">
        <v>1</v>
      </c>
    </row>
    <row r="43" spans="1:12" ht="14.25" customHeight="1" x14ac:dyDescent="0.3">
      <c r="A43" s="1" t="s">
        <v>71</v>
      </c>
      <c r="B43" s="1" t="s">
        <v>30</v>
      </c>
      <c r="E43" s="1">
        <v>1</v>
      </c>
    </row>
    <row r="44" spans="1:12" ht="14.25" customHeight="1" x14ac:dyDescent="0.3">
      <c r="A44" s="1" t="s">
        <v>72</v>
      </c>
      <c r="B44" s="1" t="s">
        <v>27</v>
      </c>
      <c r="D44" s="1">
        <v>1</v>
      </c>
    </row>
    <row r="45" spans="1:12" ht="14.25" customHeight="1" x14ac:dyDescent="0.3">
      <c r="A45" s="1" t="s">
        <v>73</v>
      </c>
      <c r="B45" s="1" t="s">
        <v>30</v>
      </c>
      <c r="E45" s="1">
        <v>1</v>
      </c>
      <c r="H45" s="1" t="s">
        <v>6</v>
      </c>
      <c r="I45" s="1" t="s">
        <v>7</v>
      </c>
      <c r="J45" s="1" t="s">
        <v>8</v>
      </c>
      <c r="K45" s="1" t="s">
        <v>9</v>
      </c>
      <c r="L45" s="1" t="s">
        <v>10</v>
      </c>
    </row>
    <row r="46" spans="1:12" ht="14.25" customHeight="1" x14ac:dyDescent="0.3">
      <c r="A46" s="1" t="s">
        <v>74</v>
      </c>
      <c r="B46" s="1" t="s">
        <v>16</v>
      </c>
      <c r="C46" s="1">
        <v>1</v>
      </c>
      <c r="H46" s="2" t="s">
        <v>14</v>
      </c>
      <c r="I46" s="4">
        <f t="shared" ref="I46:I57" si="13">I2/M2</f>
        <v>1</v>
      </c>
      <c r="J46" s="4">
        <f t="shared" ref="J46:J57" si="14">J2/M2</f>
        <v>0</v>
      </c>
      <c r="K46" s="4">
        <f t="shared" ref="K46:K57" si="15">K2/M2</f>
        <v>0</v>
      </c>
      <c r="L46" s="4">
        <f t="shared" ref="L46:L57" si="16">L2/M2</f>
        <v>0</v>
      </c>
    </row>
    <row r="47" spans="1:12" ht="14.25" customHeight="1" x14ac:dyDescent="0.3">
      <c r="A47" s="1" t="s">
        <v>75</v>
      </c>
      <c r="B47" s="1" t="s">
        <v>66</v>
      </c>
      <c r="D47" s="1">
        <v>1</v>
      </c>
      <c r="H47" s="2" t="s">
        <v>17</v>
      </c>
      <c r="I47" s="4">
        <f t="shared" si="13"/>
        <v>1</v>
      </c>
      <c r="J47" s="4">
        <f t="shared" si="14"/>
        <v>0</v>
      </c>
      <c r="K47" s="4">
        <f t="shared" si="15"/>
        <v>0</v>
      </c>
      <c r="L47" s="4">
        <f t="shared" si="16"/>
        <v>0</v>
      </c>
    </row>
    <row r="48" spans="1:12" ht="14.25" customHeight="1" x14ac:dyDescent="0.3">
      <c r="A48" s="1" t="s">
        <v>76</v>
      </c>
      <c r="B48" s="1" t="s">
        <v>13</v>
      </c>
      <c r="D48" s="1">
        <v>1</v>
      </c>
      <c r="H48" s="2" t="s">
        <v>19</v>
      </c>
      <c r="I48" s="4">
        <f t="shared" si="13"/>
        <v>1</v>
      </c>
      <c r="J48" s="4">
        <f t="shared" si="14"/>
        <v>0</v>
      </c>
      <c r="K48" s="4">
        <f t="shared" si="15"/>
        <v>0</v>
      </c>
      <c r="L48" s="4">
        <f t="shared" si="16"/>
        <v>0</v>
      </c>
    </row>
    <row r="49" spans="1:12" ht="14.25" customHeight="1" x14ac:dyDescent="0.3">
      <c r="A49" s="1" t="s">
        <v>77</v>
      </c>
      <c r="B49" s="1" t="s">
        <v>16</v>
      </c>
      <c r="D49" s="1">
        <v>1</v>
      </c>
      <c r="H49" s="2" t="s">
        <v>22</v>
      </c>
      <c r="I49" s="4">
        <f t="shared" si="13"/>
        <v>0.88888888888888884</v>
      </c>
      <c r="J49" s="4">
        <f t="shared" si="14"/>
        <v>0</v>
      </c>
      <c r="K49" s="4">
        <f t="shared" si="15"/>
        <v>0</v>
      </c>
      <c r="L49" s="4">
        <f t="shared" si="16"/>
        <v>0.1111111111111111</v>
      </c>
    </row>
    <row r="50" spans="1:12" ht="14.25" customHeight="1" x14ac:dyDescent="0.3">
      <c r="A50" s="1" t="s">
        <v>78</v>
      </c>
      <c r="B50" s="1" t="s">
        <v>24</v>
      </c>
      <c r="C50" s="1">
        <v>1</v>
      </c>
      <c r="H50" s="2" t="s">
        <v>25</v>
      </c>
      <c r="I50" s="4">
        <f t="shared" si="13"/>
        <v>0.9375</v>
      </c>
      <c r="J50" s="4">
        <f t="shared" si="14"/>
        <v>0</v>
      </c>
      <c r="K50" s="4">
        <f t="shared" si="15"/>
        <v>0</v>
      </c>
      <c r="L50" s="4">
        <f t="shared" si="16"/>
        <v>6.25E-2</v>
      </c>
    </row>
    <row r="51" spans="1:12" ht="14.25" customHeight="1" x14ac:dyDescent="0.3">
      <c r="A51" s="1" t="s">
        <v>79</v>
      </c>
      <c r="B51" s="1" t="s">
        <v>27</v>
      </c>
      <c r="D51" s="1">
        <v>1</v>
      </c>
      <c r="H51" s="2" t="s">
        <v>28</v>
      </c>
      <c r="I51" s="4">
        <f t="shared" si="13"/>
        <v>0.25</v>
      </c>
      <c r="J51" s="4">
        <f t="shared" si="14"/>
        <v>0.41666666666666669</v>
      </c>
      <c r="K51" s="4">
        <f t="shared" si="15"/>
        <v>0.33333333333333331</v>
      </c>
      <c r="L51" s="4">
        <f t="shared" si="16"/>
        <v>0</v>
      </c>
    </row>
    <row r="52" spans="1:12" ht="14.25" customHeight="1" x14ac:dyDescent="0.3">
      <c r="A52" s="1" t="s">
        <v>80</v>
      </c>
      <c r="B52" s="1" t="s">
        <v>24</v>
      </c>
      <c r="C52" s="1">
        <v>1</v>
      </c>
      <c r="H52" s="2" t="s">
        <v>27</v>
      </c>
      <c r="I52" s="4">
        <f t="shared" si="13"/>
        <v>0.13333333333333333</v>
      </c>
      <c r="J52" s="4">
        <f t="shared" si="14"/>
        <v>0.8</v>
      </c>
      <c r="K52" s="4">
        <f t="shared" si="15"/>
        <v>6.6666666666666666E-2</v>
      </c>
      <c r="L52" s="4">
        <f t="shared" si="16"/>
        <v>0</v>
      </c>
    </row>
    <row r="53" spans="1:12" ht="14.25" customHeight="1" x14ac:dyDescent="0.3">
      <c r="A53" s="1" t="s">
        <v>81</v>
      </c>
      <c r="B53" s="1" t="s">
        <v>66</v>
      </c>
      <c r="D53" s="1">
        <v>1</v>
      </c>
      <c r="H53" s="2" t="s">
        <v>13</v>
      </c>
      <c r="I53" s="4">
        <f t="shared" si="13"/>
        <v>0</v>
      </c>
      <c r="J53" s="4">
        <f t="shared" si="14"/>
        <v>0.5</v>
      </c>
      <c r="K53" s="4">
        <f t="shared" si="15"/>
        <v>0.5</v>
      </c>
      <c r="L53" s="4">
        <f t="shared" si="16"/>
        <v>0</v>
      </c>
    </row>
    <row r="54" spans="1:12" ht="14.25" customHeight="1" x14ac:dyDescent="0.3">
      <c r="A54" s="1" t="s">
        <v>82</v>
      </c>
      <c r="B54" s="1" t="s">
        <v>16</v>
      </c>
      <c r="E54" s="1">
        <v>1</v>
      </c>
      <c r="H54" s="2" t="s">
        <v>30</v>
      </c>
      <c r="I54" s="4">
        <f t="shared" si="13"/>
        <v>0</v>
      </c>
      <c r="J54" s="4">
        <f t="shared" si="14"/>
        <v>0.19047619047619047</v>
      </c>
      <c r="K54" s="4">
        <f t="shared" si="15"/>
        <v>0.80952380952380953</v>
      </c>
      <c r="L54" s="4">
        <f t="shared" si="16"/>
        <v>0</v>
      </c>
    </row>
    <row r="55" spans="1:12" ht="14.25" customHeight="1" x14ac:dyDescent="0.3">
      <c r="A55" s="1" t="s">
        <v>83</v>
      </c>
      <c r="B55" s="1" t="s">
        <v>14</v>
      </c>
      <c r="C55" s="1">
        <v>1</v>
      </c>
      <c r="H55" s="2" t="s">
        <v>35</v>
      </c>
      <c r="I55" s="4">
        <f t="shared" si="13"/>
        <v>6.6666666666666666E-2</v>
      </c>
      <c r="J55" s="4">
        <f t="shared" si="14"/>
        <v>0.66666666666666663</v>
      </c>
      <c r="K55" s="4">
        <f t="shared" si="15"/>
        <v>0.26666666666666666</v>
      </c>
      <c r="L55" s="4">
        <f t="shared" si="16"/>
        <v>0</v>
      </c>
    </row>
    <row r="56" spans="1:12" ht="14.25" customHeight="1" x14ac:dyDescent="0.3">
      <c r="A56" s="1" t="s">
        <v>84</v>
      </c>
      <c r="B56" s="1" t="s">
        <v>21</v>
      </c>
      <c r="C56" s="1">
        <v>1</v>
      </c>
      <c r="H56" s="2" t="s">
        <v>38</v>
      </c>
      <c r="I56" s="4">
        <f t="shared" si="13"/>
        <v>0</v>
      </c>
      <c r="J56" s="4">
        <f t="shared" si="14"/>
        <v>0.8571428571428571</v>
      </c>
      <c r="K56" s="4">
        <f t="shared" si="15"/>
        <v>0.14285714285714285</v>
      </c>
      <c r="L56" s="4">
        <f t="shared" si="16"/>
        <v>0</v>
      </c>
    </row>
    <row r="57" spans="1:12" ht="14.25" customHeight="1" x14ac:dyDescent="0.3">
      <c r="A57" s="1" t="s">
        <v>85</v>
      </c>
      <c r="B57" s="1" t="s">
        <v>33</v>
      </c>
      <c r="D57" s="1">
        <v>1</v>
      </c>
      <c r="H57" s="2" t="s">
        <v>33</v>
      </c>
      <c r="I57" s="4">
        <f t="shared" si="13"/>
        <v>0.8</v>
      </c>
      <c r="J57" s="4">
        <f t="shared" si="14"/>
        <v>0.2</v>
      </c>
      <c r="K57" s="4">
        <f t="shared" si="15"/>
        <v>0</v>
      </c>
      <c r="L57" s="4">
        <f t="shared" si="16"/>
        <v>0</v>
      </c>
    </row>
    <row r="58" spans="1:12" ht="14.25" customHeight="1" x14ac:dyDescent="0.3">
      <c r="A58" s="1" t="s">
        <v>86</v>
      </c>
      <c r="B58" s="1" t="s">
        <v>24</v>
      </c>
      <c r="C58" s="1">
        <v>1</v>
      </c>
    </row>
    <row r="59" spans="1:12" ht="14.25" customHeight="1" x14ac:dyDescent="0.3">
      <c r="A59" s="1" t="s">
        <v>87</v>
      </c>
      <c r="B59" s="1" t="s">
        <v>37</v>
      </c>
      <c r="C59" s="1">
        <v>1</v>
      </c>
    </row>
    <row r="60" spans="1:12" ht="14.25" customHeight="1" x14ac:dyDescent="0.3">
      <c r="A60" s="1" t="s">
        <v>88</v>
      </c>
      <c r="B60" s="1" t="s">
        <v>27</v>
      </c>
      <c r="C60" s="1">
        <v>1</v>
      </c>
    </row>
    <row r="61" spans="1:12" ht="14.25" customHeight="1" x14ac:dyDescent="0.3">
      <c r="A61" s="1" t="s">
        <v>89</v>
      </c>
      <c r="B61" s="1" t="s">
        <v>13</v>
      </c>
      <c r="E61" s="1">
        <v>1</v>
      </c>
    </row>
    <row r="62" spans="1:12" ht="14.25" customHeight="1" x14ac:dyDescent="0.3">
      <c r="A62" s="1" t="s">
        <v>90</v>
      </c>
      <c r="B62" s="1" t="s">
        <v>19</v>
      </c>
      <c r="C62" s="1">
        <v>1</v>
      </c>
    </row>
    <row r="63" spans="1:12" ht="14.25" customHeight="1" x14ac:dyDescent="0.3">
      <c r="A63" s="1" t="s">
        <v>91</v>
      </c>
      <c r="B63" s="1" t="s">
        <v>21</v>
      </c>
      <c r="F63" s="1">
        <v>1</v>
      </c>
    </row>
    <row r="64" spans="1:12" ht="14.25" customHeight="1" x14ac:dyDescent="0.3">
      <c r="A64" s="1" t="s">
        <v>92</v>
      </c>
      <c r="B64" s="1" t="s">
        <v>42</v>
      </c>
      <c r="C64" s="1">
        <v>1</v>
      </c>
    </row>
    <row r="65" spans="1:5" ht="14.25" customHeight="1" x14ac:dyDescent="0.3">
      <c r="A65" s="1" t="s">
        <v>93</v>
      </c>
      <c r="B65" s="1" t="s">
        <v>14</v>
      </c>
      <c r="C65" s="1">
        <v>1</v>
      </c>
    </row>
    <row r="66" spans="1:5" ht="14.25" customHeight="1" x14ac:dyDescent="0.3">
      <c r="A66" s="1" t="s">
        <v>94</v>
      </c>
      <c r="B66" s="1" t="s">
        <v>14</v>
      </c>
      <c r="C66" s="1">
        <v>1</v>
      </c>
    </row>
    <row r="67" spans="1:5" ht="14.25" customHeight="1" x14ac:dyDescent="0.3">
      <c r="A67" s="1" t="s">
        <v>95</v>
      </c>
      <c r="B67" s="1" t="s">
        <v>38</v>
      </c>
      <c r="D67" s="1">
        <v>1</v>
      </c>
    </row>
    <row r="68" spans="1:5" ht="14.25" customHeight="1" x14ac:dyDescent="0.3">
      <c r="A68" s="1" t="s">
        <v>96</v>
      </c>
      <c r="B68" s="1" t="s">
        <v>19</v>
      </c>
      <c r="C68" s="1">
        <v>1</v>
      </c>
    </row>
    <row r="69" spans="1:5" ht="14.25" customHeight="1" x14ac:dyDescent="0.3">
      <c r="A69" s="1" t="s">
        <v>97</v>
      </c>
      <c r="B69" s="1" t="s">
        <v>24</v>
      </c>
      <c r="C69" s="1">
        <v>1</v>
      </c>
    </row>
    <row r="70" spans="1:5" ht="14.25" customHeight="1" x14ac:dyDescent="0.3">
      <c r="A70" s="1" t="s">
        <v>98</v>
      </c>
      <c r="B70" s="1" t="s">
        <v>30</v>
      </c>
      <c r="E70" s="1">
        <v>1</v>
      </c>
    </row>
    <row r="71" spans="1:5" ht="14.25" customHeight="1" x14ac:dyDescent="0.3">
      <c r="A71" s="1" t="s">
        <v>99</v>
      </c>
      <c r="B71" s="1" t="s">
        <v>30</v>
      </c>
      <c r="D71" s="1">
        <v>1</v>
      </c>
    </row>
    <row r="72" spans="1:5" ht="14.25" customHeight="1" x14ac:dyDescent="0.3">
      <c r="A72" s="1" t="s">
        <v>100</v>
      </c>
      <c r="B72" s="1" t="s">
        <v>27</v>
      </c>
      <c r="D72" s="1">
        <v>1</v>
      </c>
    </row>
    <row r="73" spans="1:5" ht="14.25" customHeight="1" x14ac:dyDescent="0.3">
      <c r="A73" s="1" t="s">
        <v>101</v>
      </c>
      <c r="B73" s="1" t="s">
        <v>21</v>
      </c>
      <c r="C73" s="1">
        <v>1</v>
      </c>
    </row>
    <row r="74" spans="1:5" ht="14.25" customHeight="1" x14ac:dyDescent="0.3">
      <c r="A74" s="1" t="s">
        <v>102</v>
      </c>
      <c r="B74" s="1" t="s">
        <v>66</v>
      </c>
      <c r="D74" s="1">
        <v>1</v>
      </c>
    </row>
    <row r="75" spans="1:5" ht="14.25" customHeight="1" x14ac:dyDescent="0.3">
      <c r="A75" s="1" t="s">
        <v>103</v>
      </c>
      <c r="B75" s="1" t="s">
        <v>30</v>
      </c>
      <c r="E75" s="1">
        <v>1</v>
      </c>
    </row>
    <row r="76" spans="1:5" ht="14.25" customHeight="1" x14ac:dyDescent="0.3">
      <c r="A76" s="1" t="s">
        <v>104</v>
      </c>
      <c r="B76" s="1" t="s">
        <v>24</v>
      </c>
      <c r="C76" s="1">
        <v>1</v>
      </c>
    </row>
    <row r="77" spans="1:5" ht="14.25" customHeight="1" x14ac:dyDescent="0.3">
      <c r="A77" s="1" t="s">
        <v>105</v>
      </c>
      <c r="B77" s="1" t="s">
        <v>66</v>
      </c>
      <c r="C77" s="1">
        <v>1</v>
      </c>
    </row>
    <row r="78" spans="1:5" ht="14.25" customHeight="1" x14ac:dyDescent="0.3">
      <c r="A78" s="1" t="s">
        <v>106</v>
      </c>
      <c r="B78" s="1" t="s">
        <v>42</v>
      </c>
      <c r="C78" s="1">
        <v>1</v>
      </c>
    </row>
    <row r="79" spans="1:5" ht="14.25" customHeight="1" x14ac:dyDescent="0.3">
      <c r="A79" s="1" t="s">
        <v>107</v>
      </c>
      <c r="B79" s="1" t="s">
        <v>27</v>
      </c>
      <c r="D79" s="1">
        <v>1</v>
      </c>
    </row>
    <row r="80" spans="1:5" ht="14.25" customHeight="1" x14ac:dyDescent="0.3">
      <c r="A80" s="1" t="s">
        <v>108</v>
      </c>
      <c r="B80" s="1" t="s">
        <v>66</v>
      </c>
      <c r="D80" s="1">
        <v>1</v>
      </c>
    </row>
    <row r="81" spans="1:6" ht="14.25" customHeight="1" x14ac:dyDescent="0.3">
      <c r="A81" s="1" t="s">
        <v>109</v>
      </c>
      <c r="B81" s="1" t="s">
        <v>30</v>
      </c>
      <c r="E81" s="1">
        <v>1</v>
      </c>
    </row>
    <row r="82" spans="1:6" ht="14.25" customHeight="1" x14ac:dyDescent="0.3">
      <c r="A82" s="1" t="s">
        <v>110</v>
      </c>
      <c r="B82" s="1" t="s">
        <v>37</v>
      </c>
      <c r="C82" s="1">
        <v>1</v>
      </c>
    </row>
    <row r="83" spans="1:6" ht="14.25" customHeight="1" x14ac:dyDescent="0.3">
      <c r="A83" s="1" t="s">
        <v>111</v>
      </c>
      <c r="B83" s="1" t="s">
        <v>37</v>
      </c>
      <c r="F83" s="1">
        <v>1</v>
      </c>
    </row>
    <row r="84" spans="1:6" ht="14.25" customHeight="1" x14ac:dyDescent="0.3">
      <c r="A84" s="1" t="s">
        <v>112</v>
      </c>
      <c r="B84" s="1" t="s">
        <v>38</v>
      </c>
      <c r="D84" s="1">
        <v>1</v>
      </c>
    </row>
    <row r="85" spans="1:6" ht="14.25" customHeight="1" x14ac:dyDescent="0.3">
      <c r="A85" s="1" t="s">
        <v>113</v>
      </c>
      <c r="B85" s="1" t="s">
        <v>21</v>
      </c>
      <c r="C85" s="1">
        <v>1</v>
      </c>
    </row>
    <row r="86" spans="1:6" ht="14.25" customHeight="1" x14ac:dyDescent="0.3">
      <c r="A86" s="1" t="s">
        <v>114</v>
      </c>
      <c r="B86" s="1" t="s">
        <v>42</v>
      </c>
      <c r="C86" s="1">
        <v>1</v>
      </c>
    </row>
    <row r="87" spans="1:6" ht="14.25" customHeight="1" x14ac:dyDescent="0.3">
      <c r="A87" s="1" t="s">
        <v>115</v>
      </c>
      <c r="B87" s="1" t="s">
        <v>21</v>
      </c>
      <c r="C87" s="1">
        <v>1</v>
      </c>
    </row>
    <row r="88" spans="1:6" ht="14.25" customHeight="1" x14ac:dyDescent="0.3">
      <c r="A88" s="1" t="s">
        <v>116</v>
      </c>
      <c r="B88" s="1" t="s">
        <v>30</v>
      </c>
      <c r="D88" s="1">
        <v>1</v>
      </c>
    </row>
    <row r="89" spans="1:6" ht="14.25" customHeight="1" x14ac:dyDescent="0.3">
      <c r="A89" s="1" t="s">
        <v>117</v>
      </c>
      <c r="B89" s="1" t="s">
        <v>16</v>
      </c>
      <c r="C89" s="1">
        <v>1</v>
      </c>
    </row>
    <row r="90" spans="1:6" ht="14.25" customHeight="1" x14ac:dyDescent="0.3">
      <c r="A90" s="1" t="s">
        <v>118</v>
      </c>
      <c r="B90" s="1" t="s">
        <v>16</v>
      </c>
      <c r="E90" s="1">
        <v>1</v>
      </c>
    </row>
    <row r="91" spans="1:6" ht="14.25" customHeight="1" x14ac:dyDescent="0.3">
      <c r="A91" s="1" t="s">
        <v>119</v>
      </c>
      <c r="B91" s="1" t="s">
        <v>66</v>
      </c>
      <c r="D91" s="1">
        <v>1</v>
      </c>
    </row>
    <row r="92" spans="1:6" ht="14.25" customHeight="1" x14ac:dyDescent="0.3">
      <c r="A92" s="1" t="s">
        <v>120</v>
      </c>
      <c r="B92" s="1" t="s">
        <v>13</v>
      </c>
      <c r="E92" s="1">
        <v>1</v>
      </c>
    </row>
    <row r="93" spans="1:6" ht="14.25" customHeight="1" x14ac:dyDescent="0.3">
      <c r="A93" s="1" t="s">
        <v>121</v>
      </c>
      <c r="B93" s="1" t="s">
        <v>30</v>
      </c>
      <c r="E93" s="1">
        <v>1</v>
      </c>
    </row>
    <row r="94" spans="1:6" ht="14.25" customHeight="1" x14ac:dyDescent="0.3">
      <c r="A94" s="1" t="s">
        <v>122</v>
      </c>
      <c r="B94" s="1" t="s">
        <v>24</v>
      </c>
      <c r="C94" s="1">
        <v>1</v>
      </c>
    </row>
    <row r="95" spans="1:6" ht="14.25" customHeight="1" x14ac:dyDescent="0.3">
      <c r="A95" s="1" t="s">
        <v>123</v>
      </c>
      <c r="B95" s="1" t="s">
        <v>21</v>
      </c>
      <c r="C95" s="1">
        <v>1</v>
      </c>
    </row>
    <row r="96" spans="1:6" ht="14.25" customHeight="1" x14ac:dyDescent="0.3">
      <c r="A96" s="1" t="s">
        <v>124</v>
      </c>
      <c r="B96" s="1" t="s">
        <v>14</v>
      </c>
      <c r="C96" s="1">
        <v>1</v>
      </c>
    </row>
    <row r="97" spans="1:5" ht="14.25" customHeight="1" x14ac:dyDescent="0.3">
      <c r="A97" s="1" t="s">
        <v>125</v>
      </c>
      <c r="B97" s="1" t="s">
        <v>66</v>
      </c>
      <c r="D97" s="1">
        <v>1</v>
      </c>
    </row>
    <row r="98" spans="1:5" ht="14.25" customHeight="1" x14ac:dyDescent="0.3">
      <c r="A98" s="1" t="s">
        <v>126</v>
      </c>
      <c r="B98" s="1" t="s">
        <v>30</v>
      </c>
      <c r="E98" s="1">
        <v>1</v>
      </c>
    </row>
    <row r="99" spans="1:5" ht="14.25" customHeight="1" x14ac:dyDescent="0.3">
      <c r="A99" s="1" t="s">
        <v>127</v>
      </c>
      <c r="B99" s="1" t="s">
        <v>27</v>
      </c>
      <c r="D99" s="1">
        <v>1</v>
      </c>
    </row>
    <row r="100" spans="1:5" ht="14.25" customHeight="1" x14ac:dyDescent="0.3">
      <c r="A100" s="1" t="s">
        <v>128</v>
      </c>
      <c r="B100" s="1" t="s">
        <v>30</v>
      </c>
      <c r="E100" s="1">
        <v>1</v>
      </c>
    </row>
    <row r="101" spans="1:5" ht="14.25" customHeight="1" x14ac:dyDescent="0.3">
      <c r="A101" s="1" t="s">
        <v>129</v>
      </c>
      <c r="B101" s="1" t="s">
        <v>27</v>
      </c>
      <c r="D101" s="1">
        <v>1</v>
      </c>
    </row>
    <row r="102" spans="1:5" ht="14.25" customHeight="1" x14ac:dyDescent="0.3">
      <c r="A102" s="1" t="s">
        <v>130</v>
      </c>
      <c r="B102" s="1" t="s">
        <v>16</v>
      </c>
      <c r="D102" s="1">
        <v>1</v>
      </c>
    </row>
    <row r="103" spans="1:5" ht="14.25" customHeight="1" x14ac:dyDescent="0.3">
      <c r="A103" s="1" t="s">
        <v>131</v>
      </c>
      <c r="B103" s="1" t="s">
        <v>66</v>
      </c>
      <c r="E103" s="1">
        <v>1</v>
      </c>
    </row>
    <row r="104" spans="1:5" ht="14.25" customHeight="1" x14ac:dyDescent="0.3">
      <c r="A104" s="1" t="s">
        <v>132</v>
      </c>
      <c r="B104" s="1" t="s">
        <v>30</v>
      </c>
      <c r="E104" s="1">
        <v>1</v>
      </c>
    </row>
    <row r="105" spans="1:5" ht="14.25" customHeight="1" x14ac:dyDescent="0.3">
      <c r="A105" s="1" t="s">
        <v>133</v>
      </c>
      <c r="B105" s="1" t="s">
        <v>14</v>
      </c>
      <c r="C105" s="1">
        <v>1</v>
      </c>
    </row>
    <row r="106" spans="1:5" ht="14.25" customHeight="1" x14ac:dyDescent="0.3">
      <c r="A106" s="1" t="s">
        <v>134</v>
      </c>
      <c r="B106" s="1" t="s">
        <v>42</v>
      </c>
      <c r="C106" s="1">
        <v>1</v>
      </c>
    </row>
    <row r="107" spans="1:5" ht="14.25" customHeight="1" x14ac:dyDescent="0.3">
      <c r="A107" s="1" t="s">
        <v>135</v>
      </c>
      <c r="B107" s="1" t="s">
        <v>27</v>
      </c>
      <c r="D107" s="1">
        <v>1</v>
      </c>
    </row>
    <row r="108" spans="1:5" ht="14.25" customHeight="1" x14ac:dyDescent="0.3">
      <c r="A108" s="1" t="s">
        <v>136</v>
      </c>
      <c r="B108" s="1" t="s">
        <v>66</v>
      </c>
      <c r="E108" s="1">
        <v>1</v>
      </c>
    </row>
    <row r="109" spans="1:5" ht="14.25" customHeight="1" x14ac:dyDescent="0.3">
      <c r="A109" s="1" t="s">
        <v>137</v>
      </c>
      <c r="B109" s="1" t="s">
        <v>13</v>
      </c>
      <c r="D109" s="1">
        <v>1</v>
      </c>
    </row>
    <row r="110" spans="1:5" ht="14.25" customHeight="1" x14ac:dyDescent="0.3">
      <c r="A110" s="1" t="s">
        <v>138</v>
      </c>
      <c r="B110" s="1" t="s">
        <v>42</v>
      </c>
      <c r="C110" s="1">
        <v>1</v>
      </c>
    </row>
    <row r="111" spans="1:5" ht="14.25" customHeight="1" x14ac:dyDescent="0.3">
      <c r="A111" s="1" t="s">
        <v>139</v>
      </c>
      <c r="B111" s="1" t="s">
        <v>27</v>
      </c>
      <c r="E111" s="1">
        <v>1</v>
      </c>
    </row>
    <row r="112" spans="1:5" ht="14.25" customHeight="1" x14ac:dyDescent="0.3">
      <c r="A112" s="1" t="s">
        <v>140</v>
      </c>
      <c r="B112" s="1" t="s">
        <v>16</v>
      </c>
      <c r="D112" s="1">
        <v>1</v>
      </c>
    </row>
    <row r="113" spans="1:6" ht="14.25" customHeight="1" x14ac:dyDescent="0.3">
      <c r="A113" s="1" t="s">
        <v>141</v>
      </c>
      <c r="B113" s="1" t="s">
        <v>14</v>
      </c>
      <c r="C113" s="1">
        <v>1</v>
      </c>
    </row>
    <row r="114" spans="1:6" ht="14.25" customHeight="1" x14ac:dyDescent="0.3">
      <c r="A114" s="1" t="s">
        <v>142</v>
      </c>
      <c r="B114" s="1" t="s">
        <v>16</v>
      </c>
      <c r="D114" s="1">
        <v>1</v>
      </c>
    </row>
    <row r="115" spans="1:6" ht="14.25" customHeight="1" x14ac:dyDescent="0.3">
      <c r="A115" s="1" t="s">
        <v>143</v>
      </c>
      <c r="B115" s="1" t="s">
        <v>24</v>
      </c>
      <c r="C115" s="1">
        <v>1</v>
      </c>
    </row>
    <row r="116" spans="1:6" ht="14.25" customHeight="1" x14ac:dyDescent="0.3">
      <c r="A116" s="1" t="s">
        <v>144</v>
      </c>
      <c r="B116" s="1" t="s">
        <v>66</v>
      </c>
      <c r="D116" s="1">
        <v>1</v>
      </c>
    </row>
    <row r="117" spans="1:6" ht="14.25" customHeight="1" x14ac:dyDescent="0.3">
      <c r="A117" s="1" t="s">
        <v>145</v>
      </c>
      <c r="B117" s="1" t="s">
        <v>27</v>
      </c>
      <c r="D117" s="1">
        <v>1</v>
      </c>
    </row>
    <row r="118" spans="1:6" ht="14.25" customHeight="1" x14ac:dyDescent="0.3">
      <c r="A118" s="1" t="s">
        <v>146</v>
      </c>
      <c r="B118" s="1" t="s">
        <v>30</v>
      </c>
      <c r="E118" s="1">
        <v>1</v>
      </c>
    </row>
    <row r="119" spans="1:6" ht="14.25" customHeight="1" x14ac:dyDescent="0.3">
      <c r="A119" s="1" t="s">
        <v>147</v>
      </c>
      <c r="B119" s="1" t="s">
        <v>42</v>
      </c>
      <c r="C119" s="1">
        <v>1</v>
      </c>
    </row>
    <row r="120" spans="1:6" ht="14.25" customHeight="1" x14ac:dyDescent="0.3">
      <c r="A120" s="1" t="s">
        <v>148</v>
      </c>
      <c r="B120" s="1" t="s">
        <v>13</v>
      </c>
      <c r="D120" s="1">
        <v>1</v>
      </c>
    </row>
    <row r="121" spans="1:6" ht="14.25" customHeight="1" x14ac:dyDescent="0.3">
      <c r="A121" s="1" t="s">
        <v>149</v>
      </c>
      <c r="B121" s="1" t="s">
        <v>150</v>
      </c>
      <c r="F121" s="1">
        <v>1</v>
      </c>
    </row>
    <row r="122" spans="1:6" ht="14.25" customHeight="1" x14ac:dyDescent="0.3">
      <c r="A122" s="1" t="s">
        <v>151</v>
      </c>
      <c r="B122" s="1" t="s">
        <v>24</v>
      </c>
      <c r="C122" s="1">
        <v>1</v>
      </c>
    </row>
    <row r="123" spans="1:6" ht="14.25" customHeight="1" x14ac:dyDescent="0.3">
      <c r="A123" s="1" t="s">
        <v>152</v>
      </c>
      <c r="B123" s="1" t="s">
        <v>24</v>
      </c>
      <c r="C123" s="1">
        <v>1</v>
      </c>
    </row>
    <row r="124" spans="1:6" ht="14.25" customHeight="1" x14ac:dyDescent="0.3">
      <c r="A124" s="1" t="s">
        <v>153</v>
      </c>
      <c r="B124" s="1" t="s">
        <v>19</v>
      </c>
      <c r="C124" s="1">
        <v>1</v>
      </c>
    </row>
    <row r="125" spans="1:6" ht="14.25" customHeight="1" x14ac:dyDescent="0.3">
      <c r="A125" s="1" t="s">
        <v>154</v>
      </c>
      <c r="B125" s="1" t="s">
        <v>33</v>
      </c>
      <c r="C125" s="1">
        <v>1</v>
      </c>
    </row>
    <row r="126" spans="1:6" ht="14.25" customHeight="1" x14ac:dyDescent="0.3">
      <c r="A126" s="1" t="s">
        <v>155</v>
      </c>
      <c r="B126" s="1" t="s">
        <v>13</v>
      </c>
      <c r="D126" s="1">
        <v>1</v>
      </c>
    </row>
    <row r="127" spans="1:6" ht="14.25" customHeight="1" x14ac:dyDescent="0.3">
      <c r="A127" s="1" t="s">
        <v>156</v>
      </c>
      <c r="B127" s="1" t="s">
        <v>13</v>
      </c>
      <c r="D127" s="1">
        <v>1</v>
      </c>
    </row>
    <row r="128" spans="1:6" ht="14.25" customHeight="1" x14ac:dyDescent="0.3">
      <c r="A128" s="1" t="s">
        <v>157</v>
      </c>
      <c r="B128" s="1" t="s">
        <v>14</v>
      </c>
      <c r="C128" s="1">
        <v>1</v>
      </c>
    </row>
    <row r="129" spans="1:5" ht="14.25" customHeight="1" x14ac:dyDescent="0.3">
      <c r="A129" s="1" t="s">
        <v>158</v>
      </c>
      <c r="B129" s="1" t="s">
        <v>16</v>
      </c>
      <c r="E129" s="1">
        <v>1</v>
      </c>
    </row>
    <row r="130" spans="1:5" ht="14.25" customHeight="1" x14ac:dyDescent="0.3">
      <c r="A130" s="1" t="s">
        <v>159</v>
      </c>
      <c r="B130" s="1" t="s">
        <v>13</v>
      </c>
      <c r="D130" s="1">
        <v>1</v>
      </c>
    </row>
    <row r="131" spans="1:5" ht="14.25" customHeight="1" x14ac:dyDescent="0.3">
      <c r="A131" s="1" t="s">
        <v>160</v>
      </c>
      <c r="B131" s="1" t="s">
        <v>66</v>
      </c>
      <c r="E131" s="1">
        <v>1</v>
      </c>
    </row>
    <row r="132" spans="1:5" ht="14.25" customHeight="1" x14ac:dyDescent="0.3">
      <c r="A132" s="1" t="s">
        <v>161</v>
      </c>
      <c r="B132" s="1" t="s">
        <v>38</v>
      </c>
      <c r="D132" s="1">
        <v>1</v>
      </c>
    </row>
    <row r="133" spans="1:5" ht="14.25" customHeight="1" x14ac:dyDescent="0.3">
      <c r="A133" s="1" t="s">
        <v>162</v>
      </c>
      <c r="B133" s="1" t="s">
        <v>13</v>
      </c>
      <c r="D133" s="1">
        <v>1</v>
      </c>
    </row>
    <row r="134" spans="1:5" ht="14.25" customHeight="1" x14ac:dyDescent="0.3">
      <c r="A134" s="1" t="s">
        <v>163</v>
      </c>
      <c r="B134" s="1" t="s">
        <v>66</v>
      </c>
      <c r="D134" s="1">
        <v>1</v>
      </c>
    </row>
    <row r="135" spans="1:5" ht="14.25" customHeight="1" x14ac:dyDescent="0.3">
      <c r="A135" s="1" t="s">
        <v>164</v>
      </c>
      <c r="B135" s="1" t="s">
        <v>21</v>
      </c>
      <c r="C135" s="1">
        <v>1</v>
      </c>
    </row>
    <row r="136" spans="1:5" ht="14.25" customHeight="1" x14ac:dyDescent="0.3">
      <c r="A136" s="1" t="s">
        <v>165</v>
      </c>
      <c r="B136" s="1" t="s">
        <v>30</v>
      </c>
      <c r="E136" s="1">
        <v>1</v>
      </c>
    </row>
    <row r="137" spans="1:5" ht="14.25" customHeight="1" x14ac:dyDescent="0.3">
      <c r="A137" s="1" t="s">
        <v>166</v>
      </c>
      <c r="B137" s="1" t="s">
        <v>30</v>
      </c>
      <c r="E137" s="1">
        <v>1</v>
      </c>
    </row>
    <row r="138" spans="1:5" ht="14.25" customHeight="1" x14ac:dyDescent="0.3">
      <c r="A138" s="1" t="s">
        <v>167</v>
      </c>
      <c r="B138" s="1" t="s">
        <v>19</v>
      </c>
      <c r="C138" s="1">
        <v>1</v>
      </c>
    </row>
    <row r="139" spans="1:5" ht="14.25" customHeight="1" x14ac:dyDescent="0.3">
      <c r="A139" s="1" t="s">
        <v>168</v>
      </c>
      <c r="B139" s="1" t="s">
        <v>13</v>
      </c>
      <c r="D139" s="1">
        <v>1</v>
      </c>
    </row>
    <row r="140" spans="1:5" ht="14.25" customHeight="1" x14ac:dyDescent="0.3">
      <c r="A140" s="1" t="s">
        <v>169</v>
      </c>
      <c r="B140" s="1" t="s">
        <v>27</v>
      </c>
      <c r="D140" s="1">
        <v>1</v>
      </c>
    </row>
    <row r="141" spans="1:5" ht="14.25" customHeight="1" x14ac:dyDescent="0.3">
      <c r="A141" s="1" t="s">
        <v>170</v>
      </c>
      <c r="B141" s="1" t="s">
        <v>16</v>
      </c>
      <c r="E141" s="1">
        <v>1</v>
      </c>
    </row>
    <row r="142" spans="1:5" ht="14.25" customHeight="1" x14ac:dyDescent="0.3">
      <c r="A142" s="1" t="s">
        <v>171</v>
      </c>
      <c r="B142" s="1" t="s">
        <v>19</v>
      </c>
      <c r="C142" s="1">
        <v>1</v>
      </c>
    </row>
    <row r="143" spans="1:5" ht="14.25" customHeight="1" x14ac:dyDescent="0.3">
      <c r="A143" s="1" t="s">
        <v>172</v>
      </c>
      <c r="B143" s="1" t="s">
        <v>37</v>
      </c>
      <c r="C143" s="1">
        <v>1</v>
      </c>
    </row>
    <row r="144" spans="1:5" ht="14.25" customHeight="1" x14ac:dyDescent="0.3">
      <c r="A144" s="1" t="s">
        <v>173</v>
      </c>
      <c r="B144" s="1" t="s">
        <v>27</v>
      </c>
      <c r="C144" s="1">
        <v>1</v>
      </c>
    </row>
    <row r="145" spans="1:5" ht="14.25" customHeight="1" x14ac:dyDescent="0.3">
      <c r="A145" s="1" t="s">
        <v>174</v>
      </c>
      <c r="B145" s="1" t="s">
        <v>66</v>
      </c>
      <c r="D145" s="1">
        <v>1</v>
      </c>
    </row>
    <row r="146" spans="1:5" ht="14.25" customHeight="1" x14ac:dyDescent="0.3">
      <c r="A146" s="1" t="s">
        <v>175</v>
      </c>
      <c r="B146" s="1" t="s">
        <v>14</v>
      </c>
      <c r="C146" s="1">
        <v>1</v>
      </c>
    </row>
    <row r="147" spans="1:5" ht="14.25" customHeight="1" x14ac:dyDescent="0.3">
      <c r="A147" s="1" t="s">
        <v>176</v>
      </c>
      <c r="B147" s="1" t="s">
        <v>66</v>
      </c>
      <c r="E147" s="1">
        <v>1</v>
      </c>
    </row>
    <row r="148" spans="1:5" ht="14.25" customHeight="1" x14ac:dyDescent="0.3">
      <c r="A148" s="1" t="s">
        <v>177</v>
      </c>
      <c r="B148" s="1" t="s">
        <v>42</v>
      </c>
      <c r="C148" s="1">
        <v>1</v>
      </c>
    </row>
    <row r="149" spans="1:5" ht="14.25" customHeight="1" x14ac:dyDescent="0.3">
      <c r="A149" s="1" t="s">
        <v>178</v>
      </c>
      <c r="B149" s="1" t="s">
        <v>33</v>
      </c>
      <c r="C149" s="1">
        <v>1</v>
      </c>
    </row>
    <row r="150" spans="1:5" ht="14.25" customHeight="1" x14ac:dyDescent="0.3">
      <c r="A150" s="1" t="s">
        <v>179</v>
      </c>
      <c r="B150" s="1" t="s">
        <v>14</v>
      </c>
      <c r="C150" s="1">
        <v>1</v>
      </c>
    </row>
    <row r="151" spans="1:5" ht="14.25" customHeight="1" x14ac:dyDescent="0.3">
      <c r="A151" s="1" t="s">
        <v>180</v>
      </c>
      <c r="B151" s="1" t="s">
        <v>13</v>
      </c>
      <c r="D151" s="1">
        <v>1</v>
      </c>
    </row>
    <row r="152" spans="1:5" ht="14.25" customHeight="1" x14ac:dyDescent="0.3">
      <c r="A152" s="1" t="s">
        <v>181</v>
      </c>
      <c r="B152" s="1" t="s">
        <v>24</v>
      </c>
      <c r="C152" s="1">
        <v>1</v>
      </c>
    </row>
    <row r="153" spans="1:5" ht="14.25" customHeight="1" x14ac:dyDescent="0.3">
      <c r="A153" s="1" t="s">
        <v>182</v>
      </c>
      <c r="B153" s="1" t="s">
        <v>19</v>
      </c>
      <c r="C153" s="1">
        <v>1</v>
      </c>
    </row>
    <row r="154" spans="1:5" ht="14.25" customHeight="1" x14ac:dyDescent="0.3">
      <c r="A154" s="1" t="s">
        <v>183</v>
      </c>
      <c r="B154" s="1" t="s">
        <v>42</v>
      </c>
      <c r="C154" s="1">
        <v>1</v>
      </c>
    </row>
    <row r="155" spans="1:5" ht="14.25" customHeight="1" x14ac:dyDescent="0.3">
      <c r="A155" s="1" t="s">
        <v>184</v>
      </c>
      <c r="B155" s="1" t="s">
        <v>19</v>
      </c>
      <c r="C155" s="1">
        <v>1</v>
      </c>
    </row>
    <row r="156" spans="1:5" ht="14.25" customHeight="1" x14ac:dyDescent="0.3">
      <c r="A156" s="1" t="s">
        <v>185</v>
      </c>
      <c r="B156" s="1" t="s">
        <v>30</v>
      </c>
      <c r="E156" s="1">
        <v>1</v>
      </c>
    </row>
    <row r="157" spans="1:5" ht="14.25" customHeight="1" x14ac:dyDescent="0.3"/>
    <row r="158" spans="1:5" ht="14.25" customHeight="1" x14ac:dyDescent="0.3"/>
    <row r="159" spans="1:5" ht="14.25" customHeight="1" x14ac:dyDescent="0.3"/>
    <row r="160" spans="1:5" ht="14.25" customHeight="1" x14ac:dyDescent="0.3"/>
    <row r="161" s="1" customFormat="1" ht="14.25" customHeight="1" x14ac:dyDescent="0.3"/>
    <row r="162" s="1" customFormat="1" ht="14.25" customHeight="1" x14ac:dyDescent="0.3"/>
    <row r="163" s="1" customFormat="1" ht="14.25" customHeight="1" x14ac:dyDescent="0.3"/>
    <row r="164" s="1" customFormat="1" ht="14.25" customHeight="1" x14ac:dyDescent="0.3"/>
    <row r="165" s="1" customFormat="1" ht="14.25" customHeight="1" x14ac:dyDescent="0.3"/>
    <row r="166" s="1" customFormat="1" ht="14.25" customHeight="1" x14ac:dyDescent="0.3"/>
    <row r="167" s="1" customFormat="1" ht="14.25" customHeight="1" x14ac:dyDescent="0.3"/>
    <row r="168" s="1" customFormat="1" ht="14.25" customHeight="1" x14ac:dyDescent="0.3"/>
    <row r="169" s="1" customFormat="1" ht="14.25" customHeight="1" x14ac:dyDescent="0.3"/>
    <row r="170" s="1" customFormat="1" ht="14.25" customHeight="1" x14ac:dyDescent="0.3"/>
    <row r="171" s="1" customFormat="1" ht="14.25" customHeight="1" x14ac:dyDescent="0.3"/>
    <row r="172" s="1" customFormat="1" ht="14.25" customHeight="1" x14ac:dyDescent="0.3"/>
    <row r="173" s="1" customFormat="1" ht="14.25" customHeight="1" x14ac:dyDescent="0.3"/>
    <row r="174" s="1" customFormat="1" ht="14.25" customHeight="1" x14ac:dyDescent="0.3"/>
    <row r="175" s="1" customFormat="1" ht="14.25" customHeight="1" x14ac:dyDescent="0.3"/>
    <row r="176" s="1" customFormat="1" ht="14.25" customHeight="1" x14ac:dyDescent="0.3"/>
    <row r="177" s="1" customFormat="1" ht="14.25" customHeight="1" x14ac:dyDescent="0.3"/>
    <row r="178" s="1" customFormat="1" ht="14.25" customHeight="1" x14ac:dyDescent="0.3"/>
    <row r="179" s="1" customFormat="1" ht="14.25" customHeight="1" x14ac:dyDescent="0.3"/>
    <row r="180" s="1" customFormat="1" ht="14.25" customHeight="1" x14ac:dyDescent="0.3"/>
    <row r="181" s="1" customFormat="1" ht="14.25" customHeight="1" x14ac:dyDescent="0.3"/>
    <row r="182" s="1" customFormat="1" ht="14.25" customHeight="1" x14ac:dyDescent="0.3"/>
    <row r="183" s="1" customFormat="1" ht="14.25" customHeight="1" x14ac:dyDescent="0.3"/>
    <row r="184" s="1" customFormat="1" ht="14.25" customHeight="1" x14ac:dyDescent="0.3"/>
    <row r="185" s="1" customFormat="1" ht="14.25" customHeight="1" x14ac:dyDescent="0.3"/>
    <row r="186" s="1" customFormat="1" ht="14.25" customHeight="1" x14ac:dyDescent="0.3"/>
    <row r="187" s="1" customFormat="1" ht="14.25" customHeight="1" x14ac:dyDescent="0.3"/>
    <row r="188" s="1" customFormat="1" ht="14.25" customHeight="1" x14ac:dyDescent="0.3"/>
    <row r="189" s="1" customFormat="1" ht="14.25" customHeight="1" x14ac:dyDescent="0.3"/>
    <row r="190" s="1" customFormat="1" ht="14.25" customHeight="1" x14ac:dyDescent="0.3"/>
    <row r="191" s="1" customFormat="1" ht="14.25" customHeight="1" x14ac:dyDescent="0.3"/>
    <row r="192" s="1" customFormat="1" ht="14.25" customHeight="1" x14ac:dyDescent="0.3"/>
    <row r="193" s="1" customFormat="1" ht="14.25" customHeight="1" x14ac:dyDescent="0.3"/>
    <row r="194" s="1" customFormat="1" ht="14.25" customHeight="1" x14ac:dyDescent="0.3"/>
    <row r="195" s="1" customFormat="1" ht="14.25" customHeight="1" x14ac:dyDescent="0.3"/>
    <row r="196" s="1" customFormat="1" ht="14.25" customHeight="1" x14ac:dyDescent="0.3"/>
    <row r="197" s="1" customFormat="1" ht="14.25" customHeight="1" x14ac:dyDescent="0.3"/>
    <row r="198" s="1" customFormat="1" ht="14.25" customHeight="1" x14ac:dyDescent="0.3"/>
    <row r="199" s="1" customFormat="1" ht="14.25" customHeight="1" x14ac:dyDescent="0.3"/>
    <row r="200" s="1" customFormat="1" ht="14.25" customHeight="1" x14ac:dyDescent="0.3"/>
    <row r="201" s="1" customFormat="1" ht="14.25" customHeight="1" x14ac:dyDescent="0.3"/>
    <row r="202" s="1" customFormat="1" ht="14.25" customHeight="1" x14ac:dyDescent="0.3"/>
    <row r="203" s="1" customFormat="1" ht="14.25" customHeight="1" x14ac:dyDescent="0.3"/>
    <row r="204" s="1" customFormat="1" ht="14.25" customHeight="1" x14ac:dyDescent="0.3"/>
    <row r="205" s="1" customFormat="1" ht="14.25" customHeight="1" x14ac:dyDescent="0.3"/>
    <row r="206" s="1" customFormat="1" ht="14.25" customHeight="1" x14ac:dyDescent="0.3"/>
    <row r="207" s="1" customFormat="1" ht="14.25" customHeight="1" x14ac:dyDescent="0.3"/>
    <row r="208" s="1" customFormat="1" ht="14.25" customHeight="1" x14ac:dyDescent="0.3"/>
    <row r="209" s="1" customFormat="1" ht="14.25" customHeight="1" x14ac:dyDescent="0.3"/>
    <row r="210" s="1" customFormat="1" ht="14.25" customHeight="1" x14ac:dyDescent="0.3"/>
    <row r="211" s="1" customFormat="1" ht="14.25" customHeight="1" x14ac:dyDescent="0.3"/>
    <row r="212" s="1" customFormat="1" ht="14.25" customHeight="1" x14ac:dyDescent="0.3"/>
    <row r="213" s="1" customFormat="1" ht="14.25" customHeight="1" x14ac:dyDescent="0.3"/>
    <row r="214" s="1" customFormat="1" ht="14.25" customHeight="1" x14ac:dyDescent="0.3"/>
    <row r="215" s="1" customFormat="1" ht="14.25" customHeight="1" x14ac:dyDescent="0.3"/>
    <row r="216" s="1" customFormat="1" ht="14.25" customHeight="1" x14ac:dyDescent="0.3"/>
    <row r="217" s="1" customFormat="1" ht="14.25" customHeight="1" x14ac:dyDescent="0.3"/>
    <row r="218" s="1" customFormat="1" ht="14.25" customHeight="1" x14ac:dyDescent="0.3"/>
    <row r="219" s="1" customFormat="1" ht="14.25" customHeight="1" x14ac:dyDescent="0.3"/>
    <row r="220" s="1" customFormat="1" ht="14.25" customHeight="1" x14ac:dyDescent="0.3"/>
    <row r="221" s="1" customFormat="1" ht="14.25" customHeight="1" x14ac:dyDescent="0.3"/>
    <row r="222" s="1" customFormat="1" ht="14.25" customHeight="1" x14ac:dyDescent="0.3"/>
    <row r="223" s="1" customFormat="1" ht="14.25" customHeight="1" x14ac:dyDescent="0.3"/>
    <row r="224" s="1" customFormat="1" ht="14.25" customHeight="1" x14ac:dyDescent="0.3"/>
    <row r="225" s="1" customFormat="1" ht="14.25" customHeight="1" x14ac:dyDescent="0.3"/>
    <row r="226" s="1" customFormat="1" ht="14.25" customHeight="1" x14ac:dyDescent="0.3"/>
    <row r="227" s="1" customFormat="1" ht="14.25" customHeight="1" x14ac:dyDescent="0.3"/>
    <row r="228" s="1" customFormat="1" ht="14.25" customHeight="1" x14ac:dyDescent="0.3"/>
    <row r="229" s="1" customFormat="1" ht="14.25" customHeight="1" x14ac:dyDescent="0.3"/>
    <row r="230" s="1" customFormat="1" ht="14.25" customHeight="1" x14ac:dyDescent="0.3"/>
    <row r="231" s="1" customFormat="1" ht="14.25" customHeight="1" x14ac:dyDescent="0.3"/>
    <row r="232" s="1" customFormat="1" ht="14.25" customHeight="1" x14ac:dyDescent="0.3"/>
    <row r="233" s="1" customFormat="1" ht="14.25" customHeight="1" x14ac:dyDescent="0.3"/>
    <row r="234" s="1" customFormat="1" ht="14.25" customHeight="1" x14ac:dyDescent="0.3"/>
    <row r="235" s="1" customFormat="1" ht="14.25" customHeight="1" x14ac:dyDescent="0.3"/>
    <row r="236" s="1" customFormat="1" ht="14.25" customHeight="1" x14ac:dyDescent="0.3"/>
    <row r="237" s="1" customFormat="1" ht="14.25" customHeight="1" x14ac:dyDescent="0.3"/>
    <row r="238" s="1" customFormat="1" ht="14.25" customHeight="1" x14ac:dyDescent="0.3"/>
    <row r="239" s="1" customFormat="1" ht="14.25" customHeight="1" x14ac:dyDescent="0.3"/>
    <row r="240" s="1" customFormat="1" ht="14.25" customHeight="1" x14ac:dyDescent="0.3"/>
    <row r="241" s="1" customFormat="1" ht="14.25" customHeight="1" x14ac:dyDescent="0.3"/>
    <row r="242" s="1" customFormat="1" ht="14.25" customHeight="1" x14ac:dyDescent="0.3"/>
    <row r="243" s="1" customFormat="1" ht="14.25" customHeight="1" x14ac:dyDescent="0.3"/>
    <row r="244" s="1" customFormat="1" ht="14.25" customHeight="1" x14ac:dyDescent="0.3"/>
    <row r="245" s="1" customFormat="1" ht="14.25" customHeight="1" x14ac:dyDescent="0.3"/>
    <row r="246" s="1" customFormat="1" ht="14.25" customHeight="1" x14ac:dyDescent="0.3"/>
    <row r="247" s="1" customFormat="1" ht="14.25" customHeight="1" x14ac:dyDescent="0.3"/>
    <row r="248" s="1" customFormat="1" ht="14.25" customHeight="1" x14ac:dyDescent="0.3"/>
    <row r="249" s="1" customFormat="1" ht="14.25" customHeight="1" x14ac:dyDescent="0.3"/>
    <row r="250" s="1" customFormat="1" ht="14.25" customHeight="1" x14ac:dyDescent="0.3"/>
    <row r="251" s="1" customFormat="1" ht="14.25" customHeight="1" x14ac:dyDescent="0.3"/>
    <row r="252" s="1" customFormat="1" ht="14.25" customHeight="1" x14ac:dyDescent="0.3"/>
    <row r="253" s="1" customFormat="1" ht="14.25" customHeight="1" x14ac:dyDescent="0.3"/>
    <row r="254" s="1" customFormat="1" ht="14.25" customHeight="1" x14ac:dyDescent="0.3"/>
    <row r="255" s="1" customFormat="1" ht="14.25" customHeight="1" x14ac:dyDescent="0.3"/>
    <row r="256" s="1" customFormat="1" ht="14.25" customHeight="1" x14ac:dyDescent="0.3"/>
    <row r="257" s="1" customFormat="1" ht="14.25" customHeight="1" x14ac:dyDescent="0.3"/>
    <row r="258" s="1" customFormat="1" ht="14.25" customHeight="1" x14ac:dyDescent="0.3"/>
    <row r="259" s="1" customFormat="1" ht="14.25" customHeight="1" x14ac:dyDescent="0.3"/>
    <row r="260" s="1" customFormat="1" ht="14.25" customHeight="1" x14ac:dyDescent="0.3"/>
    <row r="261" s="1" customFormat="1" ht="14.25" customHeight="1" x14ac:dyDescent="0.3"/>
    <row r="262" s="1" customFormat="1" ht="14.25" customHeight="1" x14ac:dyDescent="0.3"/>
    <row r="263" s="1" customFormat="1" ht="14.25" customHeight="1" x14ac:dyDescent="0.3"/>
    <row r="264" s="1" customFormat="1" ht="14.25" customHeight="1" x14ac:dyDescent="0.3"/>
    <row r="265" s="1" customFormat="1" ht="14.25" customHeight="1" x14ac:dyDescent="0.3"/>
    <row r="266" s="1" customFormat="1" ht="14.25" customHeight="1" x14ac:dyDescent="0.3"/>
    <row r="267" s="1" customFormat="1" ht="14.25" customHeight="1" x14ac:dyDescent="0.3"/>
    <row r="268" s="1" customFormat="1" ht="14.25" customHeight="1" x14ac:dyDescent="0.3"/>
    <row r="269" s="1" customFormat="1" ht="14.25" customHeight="1" x14ac:dyDescent="0.3"/>
    <row r="270" s="1" customFormat="1" ht="14.25" customHeight="1" x14ac:dyDescent="0.3"/>
    <row r="271" s="1" customFormat="1" ht="14.25" customHeight="1" x14ac:dyDescent="0.3"/>
    <row r="272" s="1" customFormat="1" ht="14.25" customHeight="1" x14ac:dyDescent="0.3"/>
    <row r="273" s="1" customFormat="1" ht="14.25" customHeight="1" x14ac:dyDescent="0.3"/>
    <row r="274" s="1" customFormat="1" ht="14.25" customHeight="1" x14ac:dyDescent="0.3"/>
    <row r="275" s="1" customFormat="1" ht="14.25" customHeight="1" x14ac:dyDescent="0.3"/>
    <row r="276" s="1" customFormat="1" ht="14.25" customHeight="1" x14ac:dyDescent="0.3"/>
    <row r="277" s="1" customFormat="1" ht="14.25" customHeight="1" x14ac:dyDescent="0.3"/>
    <row r="278" s="1" customFormat="1" ht="14.25" customHeight="1" x14ac:dyDescent="0.3"/>
    <row r="279" s="1" customFormat="1" ht="14.25" customHeight="1" x14ac:dyDescent="0.3"/>
    <row r="280" s="1" customFormat="1" ht="14.25" customHeight="1" x14ac:dyDescent="0.3"/>
    <row r="281" s="1" customFormat="1" ht="14.25" customHeight="1" x14ac:dyDescent="0.3"/>
    <row r="282" s="1" customFormat="1" ht="14.25" customHeight="1" x14ac:dyDescent="0.3"/>
    <row r="283" s="1" customFormat="1" ht="14.25" customHeight="1" x14ac:dyDescent="0.3"/>
    <row r="284" s="1" customFormat="1" ht="14.25" customHeight="1" x14ac:dyDescent="0.3"/>
    <row r="285" s="1" customFormat="1" ht="14.25" customHeight="1" x14ac:dyDescent="0.3"/>
    <row r="286" s="1" customFormat="1" ht="14.25" customHeight="1" x14ac:dyDescent="0.3"/>
    <row r="287" s="1" customFormat="1" ht="14.25" customHeight="1" x14ac:dyDescent="0.3"/>
    <row r="288" s="1" customFormat="1" ht="14.25" customHeight="1" x14ac:dyDescent="0.3"/>
    <row r="289" s="1" customFormat="1" ht="14.25" customHeight="1" x14ac:dyDescent="0.3"/>
    <row r="290" s="1" customFormat="1" ht="14.25" customHeight="1" x14ac:dyDescent="0.3"/>
    <row r="291" s="1" customFormat="1" ht="14.25" customHeight="1" x14ac:dyDescent="0.3"/>
    <row r="292" s="1" customFormat="1" ht="14.25" customHeight="1" x14ac:dyDescent="0.3"/>
    <row r="293" s="1" customFormat="1" ht="14.25" customHeight="1" x14ac:dyDescent="0.3"/>
    <row r="294" s="1" customFormat="1" ht="14.25" customHeight="1" x14ac:dyDescent="0.3"/>
    <row r="295" s="1" customFormat="1" ht="14.25" customHeight="1" x14ac:dyDescent="0.3"/>
    <row r="296" s="1" customFormat="1" ht="14.25" customHeight="1" x14ac:dyDescent="0.3"/>
    <row r="297" s="1" customFormat="1" ht="14.25" customHeight="1" x14ac:dyDescent="0.3"/>
    <row r="298" s="1" customFormat="1" ht="14.25" customHeight="1" x14ac:dyDescent="0.3"/>
    <row r="299" s="1" customFormat="1" ht="14.25" customHeight="1" x14ac:dyDescent="0.3"/>
    <row r="300" s="1" customFormat="1" ht="14.25" customHeight="1" x14ac:dyDescent="0.3"/>
    <row r="301" s="1" customFormat="1" ht="14.25" customHeight="1" x14ac:dyDescent="0.3"/>
    <row r="302" s="1" customFormat="1" ht="14.25" customHeight="1" x14ac:dyDescent="0.3"/>
    <row r="303" s="1" customFormat="1" ht="14.25" customHeight="1" x14ac:dyDescent="0.3"/>
    <row r="304" s="1" customFormat="1" ht="14.25" customHeight="1" x14ac:dyDescent="0.3"/>
    <row r="305" s="1" customFormat="1" ht="14.25" customHeight="1" x14ac:dyDescent="0.3"/>
    <row r="306" s="1" customFormat="1" ht="14.25" customHeight="1" x14ac:dyDescent="0.3"/>
    <row r="307" s="1" customFormat="1" ht="14.25" customHeight="1" x14ac:dyDescent="0.3"/>
    <row r="308" s="1" customFormat="1" ht="14.25" customHeight="1" x14ac:dyDescent="0.3"/>
    <row r="309" s="1" customFormat="1" ht="14.25" customHeight="1" x14ac:dyDescent="0.3"/>
    <row r="310" s="1" customFormat="1" ht="14.25" customHeight="1" x14ac:dyDescent="0.3"/>
    <row r="311" s="1" customFormat="1" ht="14.25" customHeight="1" x14ac:dyDescent="0.3"/>
    <row r="312" s="1" customFormat="1" ht="14.25" customHeight="1" x14ac:dyDescent="0.3"/>
    <row r="313" s="1" customFormat="1" ht="14.25" customHeight="1" x14ac:dyDescent="0.3"/>
    <row r="314" s="1" customFormat="1" ht="14.25" customHeight="1" x14ac:dyDescent="0.3"/>
    <row r="315" s="1" customFormat="1" ht="14.25" customHeight="1" x14ac:dyDescent="0.3"/>
    <row r="316" s="1" customFormat="1" ht="14.25" customHeight="1" x14ac:dyDescent="0.3"/>
    <row r="317" s="1" customFormat="1" ht="14.25" customHeight="1" x14ac:dyDescent="0.3"/>
    <row r="318" s="1" customFormat="1" ht="14.25" customHeight="1" x14ac:dyDescent="0.3"/>
    <row r="319" s="1" customFormat="1" ht="14.25" customHeight="1" x14ac:dyDescent="0.3"/>
    <row r="320" s="1" customFormat="1" ht="14.25" customHeight="1" x14ac:dyDescent="0.3"/>
    <row r="321" s="1" customFormat="1" ht="14.25" customHeight="1" x14ac:dyDescent="0.3"/>
    <row r="322" s="1" customFormat="1" ht="14.25" customHeight="1" x14ac:dyDescent="0.3"/>
    <row r="323" s="1" customFormat="1" ht="14.25" customHeight="1" x14ac:dyDescent="0.3"/>
    <row r="324" s="1" customFormat="1" ht="14.25" customHeight="1" x14ac:dyDescent="0.3"/>
    <row r="325" s="1" customFormat="1" ht="14.25" customHeight="1" x14ac:dyDescent="0.3"/>
    <row r="326" s="1" customFormat="1" ht="14.25" customHeight="1" x14ac:dyDescent="0.3"/>
    <row r="327" s="1" customFormat="1" ht="14.25" customHeight="1" x14ac:dyDescent="0.3"/>
    <row r="328" s="1" customFormat="1" ht="14.25" customHeight="1" x14ac:dyDescent="0.3"/>
    <row r="329" s="1" customFormat="1" ht="14.25" customHeight="1" x14ac:dyDescent="0.3"/>
    <row r="330" s="1" customFormat="1" ht="14.25" customHeight="1" x14ac:dyDescent="0.3"/>
    <row r="331" s="1" customFormat="1" ht="14.25" customHeight="1" x14ac:dyDescent="0.3"/>
    <row r="332" s="1" customFormat="1" ht="14.25" customHeight="1" x14ac:dyDescent="0.3"/>
    <row r="333" s="1" customFormat="1" ht="14.25" customHeight="1" x14ac:dyDescent="0.3"/>
    <row r="334" s="1" customFormat="1" ht="14.25" customHeight="1" x14ac:dyDescent="0.3"/>
    <row r="335" s="1" customFormat="1" ht="14.25" customHeight="1" x14ac:dyDescent="0.3"/>
    <row r="336" s="1" customFormat="1" ht="14.25" customHeight="1" x14ac:dyDescent="0.3"/>
    <row r="337" s="1" customFormat="1" ht="14.25" customHeight="1" x14ac:dyDescent="0.3"/>
    <row r="338" s="1" customFormat="1" ht="14.25" customHeight="1" x14ac:dyDescent="0.3"/>
    <row r="339" s="1" customFormat="1" ht="14.25" customHeight="1" x14ac:dyDescent="0.3"/>
    <row r="340" s="1" customFormat="1" ht="14.25" customHeight="1" x14ac:dyDescent="0.3"/>
    <row r="341" s="1" customFormat="1" ht="14.25" customHeight="1" x14ac:dyDescent="0.3"/>
    <row r="342" s="1" customFormat="1" ht="14.25" customHeight="1" x14ac:dyDescent="0.3"/>
    <row r="343" s="1" customFormat="1" ht="14.25" customHeight="1" x14ac:dyDescent="0.3"/>
    <row r="344" s="1" customFormat="1" ht="14.25" customHeight="1" x14ac:dyDescent="0.3"/>
    <row r="345" s="1" customFormat="1" ht="14.25" customHeight="1" x14ac:dyDescent="0.3"/>
    <row r="346" s="1" customFormat="1" ht="14.25" customHeight="1" x14ac:dyDescent="0.3"/>
    <row r="347" s="1" customFormat="1" ht="14.25" customHeight="1" x14ac:dyDescent="0.3"/>
    <row r="348" s="1" customFormat="1" ht="14.25" customHeight="1" x14ac:dyDescent="0.3"/>
    <row r="349" s="1" customFormat="1" ht="14.25" customHeight="1" x14ac:dyDescent="0.3"/>
    <row r="350" s="1" customFormat="1" ht="14.25" customHeight="1" x14ac:dyDescent="0.3"/>
    <row r="351" s="1" customFormat="1" ht="14.25" customHeight="1" x14ac:dyDescent="0.3"/>
    <row r="352" s="1" customFormat="1" ht="14.25" customHeight="1" x14ac:dyDescent="0.3"/>
    <row r="353" s="1" customFormat="1" ht="14.25" customHeight="1" x14ac:dyDescent="0.3"/>
    <row r="354" s="1" customFormat="1" ht="14.25" customHeight="1" x14ac:dyDescent="0.3"/>
    <row r="355" s="1" customFormat="1" ht="14.25" customHeight="1" x14ac:dyDescent="0.3"/>
    <row r="356" s="1" customFormat="1" ht="14.25" customHeight="1" x14ac:dyDescent="0.3"/>
    <row r="357" s="1" customFormat="1" ht="14.25" customHeight="1" x14ac:dyDescent="0.3"/>
    <row r="358" s="1" customFormat="1" ht="14.25" customHeight="1" x14ac:dyDescent="0.3"/>
    <row r="359" s="1" customFormat="1" ht="14.25" customHeight="1" x14ac:dyDescent="0.3"/>
    <row r="360" s="1" customFormat="1" ht="14.25" customHeight="1" x14ac:dyDescent="0.3"/>
    <row r="361" s="1" customFormat="1" ht="14.25" customHeight="1" x14ac:dyDescent="0.3"/>
    <row r="362" s="1" customFormat="1" ht="14.25" customHeight="1" x14ac:dyDescent="0.3"/>
    <row r="363" s="1" customFormat="1" ht="14.25" customHeight="1" x14ac:dyDescent="0.3"/>
    <row r="364" s="1" customFormat="1" ht="14.25" customHeight="1" x14ac:dyDescent="0.3"/>
    <row r="365" s="1" customFormat="1" ht="14.25" customHeight="1" x14ac:dyDescent="0.3"/>
    <row r="366" s="1" customFormat="1" ht="14.25" customHeight="1" x14ac:dyDescent="0.3"/>
    <row r="367" s="1" customFormat="1" ht="14.25" customHeight="1" x14ac:dyDescent="0.3"/>
    <row r="368" s="1" customFormat="1" ht="14.25" customHeight="1" x14ac:dyDescent="0.3"/>
    <row r="369" s="1" customFormat="1" ht="14.25" customHeight="1" x14ac:dyDescent="0.3"/>
    <row r="370" s="1" customFormat="1" ht="14.25" customHeight="1" x14ac:dyDescent="0.3"/>
    <row r="371" s="1" customFormat="1" ht="14.25" customHeight="1" x14ac:dyDescent="0.3"/>
    <row r="372" s="1" customFormat="1" ht="14.25" customHeight="1" x14ac:dyDescent="0.3"/>
    <row r="373" s="1" customFormat="1" ht="14.25" customHeight="1" x14ac:dyDescent="0.3"/>
    <row r="374" s="1" customFormat="1" ht="14.25" customHeight="1" x14ac:dyDescent="0.3"/>
    <row r="375" s="1" customFormat="1" ht="14.25" customHeight="1" x14ac:dyDescent="0.3"/>
    <row r="376" s="1" customFormat="1" ht="14.25" customHeight="1" x14ac:dyDescent="0.3"/>
    <row r="377" s="1" customFormat="1" ht="14.25" customHeight="1" x14ac:dyDescent="0.3"/>
    <row r="378" s="1" customFormat="1" ht="14.25" customHeight="1" x14ac:dyDescent="0.3"/>
    <row r="379" s="1" customFormat="1" ht="14.25" customHeight="1" x14ac:dyDescent="0.3"/>
    <row r="380" s="1" customFormat="1" ht="14.25" customHeight="1" x14ac:dyDescent="0.3"/>
    <row r="381" s="1" customFormat="1" ht="14.25" customHeight="1" x14ac:dyDescent="0.3"/>
    <row r="382" s="1" customFormat="1" ht="14.25" customHeight="1" x14ac:dyDescent="0.3"/>
    <row r="383" s="1" customFormat="1" ht="14.25" customHeight="1" x14ac:dyDescent="0.3"/>
    <row r="384" s="1" customFormat="1" ht="14.25" customHeight="1" x14ac:dyDescent="0.3"/>
    <row r="385" s="1" customFormat="1" ht="14.25" customHeight="1" x14ac:dyDescent="0.3"/>
    <row r="386" s="1" customFormat="1" ht="14.25" customHeight="1" x14ac:dyDescent="0.3"/>
    <row r="387" s="1" customFormat="1" ht="14.25" customHeight="1" x14ac:dyDescent="0.3"/>
    <row r="388" s="1" customFormat="1" ht="14.25" customHeight="1" x14ac:dyDescent="0.3"/>
    <row r="389" s="1" customFormat="1" ht="14.25" customHeight="1" x14ac:dyDescent="0.3"/>
    <row r="390" s="1" customFormat="1" ht="14.25" customHeight="1" x14ac:dyDescent="0.3"/>
    <row r="391" s="1" customFormat="1" ht="14.25" customHeight="1" x14ac:dyDescent="0.3"/>
    <row r="392" s="1" customFormat="1" ht="14.25" customHeight="1" x14ac:dyDescent="0.3"/>
    <row r="393" s="1" customFormat="1" ht="14.25" customHeight="1" x14ac:dyDescent="0.3"/>
    <row r="394" s="1" customFormat="1" ht="14.25" customHeight="1" x14ac:dyDescent="0.3"/>
    <row r="395" s="1" customFormat="1" ht="14.25" customHeight="1" x14ac:dyDescent="0.3"/>
    <row r="396" s="1" customFormat="1" ht="14.25" customHeight="1" x14ac:dyDescent="0.3"/>
    <row r="397" s="1" customFormat="1" ht="14.25" customHeight="1" x14ac:dyDescent="0.3"/>
    <row r="398" s="1" customFormat="1" ht="14.25" customHeight="1" x14ac:dyDescent="0.3"/>
    <row r="399" s="1" customFormat="1" ht="14.25" customHeight="1" x14ac:dyDescent="0.3"/>
    <row r="400" s="1" customFormat="1" ht="14.25" customHeight="1" x14ac:dyDescent="0.3"/>
    <row r="401" s="1" customFormat="1" ht="14.25" customHeight="1" x14ac:dyDescent="0.3"/>
    <row r="402" s="1" customFormat="1" ht="14.25" customHeight="1" x14ac:dyDescent="0.3"/>
    <row r="403" s="1" customFormat="1" ht="14.25" customHeight="1" x14ac:dyDescent="0.3"/>
    <row r="404" s="1" customFormat="1" ht="14.25" customHeight="1" x14ac:dyDescent="0.3"/>
    <row r="405" s="1" customFormat="1" ht="14.25" customHeight="1" x14ac:dyDescent="0.3"/>
    <row r="406" s="1" customFormat="1" ht="14.25" customHeight="1" x14ac:dyDescent="0.3"/>
    <row r="407" s="1" customFormat="1" ht="14.25" customHeight="1" x14ac:dyDescent="0.3"/>
    <row r="408" s="1" customFormat="1" ht="14.25" customHeight="1" x14ac:dyDescent="0.3"/>
    <row r="409" s="1" customFormat="1" ht="14.25" customHeight="1" x14ac:dyDescent="0.3"/>
    <row r="410" s="1" customFormat="1" ht="14.25" customHeight="1" x14ac:dyDescent="0.3"/>
    <row r="411" s="1" customFormat="1" ht="14.25" customHeight="1" x14ac:dyDescent="0.3"/>
    <row r="412" s="1" customFormat="1" ht="14.25" customHeight="1" x14ac:dyDescent="0.3"/>
    <row r="413" s="1" customFormat="1" ht="14.25" customHeight="1" x14ac:dyDescent="0.3"/>
    <row r="414" s="1" customFormat="1" ht="14.25" customHeight="1" x14ac:dyDescent="0.3"/>
    <row r="415" s="1" customFormat="1" ht="14.25" customHeight="1" x14ac:dyDescent="0.3"/>
    <row r="416" s="1" customFormat="1" ht="14.25" customHeight="1" x14ac:dyDescent="0.3"/>
    <row r="417" s="1" customFormat="1" ht="14.25" customHeight="1" x14ac:dyDescent="0.3"/>
    <row r="418" s="1" customFormat="1" ht="14.25" customHeight="1" x14ac:dyDescent="0.3"/>
    <row r="419" s="1" customFormat="1" ht="14.25" customHeight="1" x14ac:dyDescent="0.3"/>
    <row r="420" s="1" customFormat="1" ht="14.25" customHeight="1" x14ac:dyDescent="0.3"/>
    <row r="421" s="1" customFormat="1" ht="14.25" customHeight="1" x14ac:dyDescent="0.3"/>
    <row r="422" s="1" customFormat="1" ht="14.25" customHeight="1" x14ac:dyDescent="0.3"/>
    <row r="423" s="1" customFormat="1" ht="14.25" customHeight="1" x14ac:dyDescent="0.3"/>
    <row r="424" s="1" customFormat="1" ht="14.25" customHeight="1" x14ac:dyDescent="0.3"/>
    <row r="425" s="1" customFormat="1" ht="14.25" customHeight="1" x14ac:dyDescent="0.3"/>
    <row r="426" s="1" customFormat="1" ht="14.25" customHeight="1" x14ac:dyDescent="0.3"/>
    <row r="427" s="1" customFormat="1" ht="14.25" customHeight="1" x14ac:dyDescent="0.3"/>
    <row r="428" s="1" customFormat="1" ht="14.25" customHeight="1" x14ac:dyDescent="0.3"/>
    <row r="429" s="1" customFormat="1" ht="14.25" customHeight="1" x14ac:dyDescent="0.3"/>
    <row r="430" s="1" customFormat="1" ht="14.25" customHeight="1" x14ac:dyDescent="0.3"/>
    <row r="431" s="1" customFormat="1" ht="14.25" customHeight="1" x14ac:dyDescent="0.3"/>
    <row r="432" s="1" customFormat="1" ht="14.25" customHeight="1" x14ac:dyDescent="0.3"/>
    <row r="433" s="1" customFormat="1" ht="14.25" customHeight="1" x14ac:dyDescent="0.3"/>
    <row r="434" s="1" customFormat="1" ht="14.25" customHeight="1" x14ac:dyDescent="0.3"/>
    <row r="435" s="1" customFormat="1" ht="14.25" customHeight="1" x14ac:dyDescent="0.3"/>
    <row r="436" s="1" customFormat="1" ht="14.25" customHeight="1" x14ac:dyDescent="0.3"/>
    <row r="437" s="1" customFormat="1" ht="14.25" customHeight="1" x14ac:dyDescent="0.3"/>
    <row r="438" s="1" customFormat="1" ht="14.25" customHeight="1" x14ac:dyDescent="0.3"/>
    <row r="439" s="1" customFormat="1" ht="14.25" customHeight="1" x14ac:dyDescent="0.3"/>
    <row r="440" s="1" customFormat="1" ht="14.25" customHeight="1" x14ac:dyDescent="0.3"/>
    <row r="441" s="1" customFormat="1" ht="14.25" customHeight="1" x14ac:dyDescent="0.3"/>
    <row r="442" s="1" customFormat="1" ht="14.25" customHeight="1" x14ac:dyDescent="0.3"/>
    <row r="443" s="1" customFormat="1" ht="14.25" customHeight="1" x14ac:dyDescent="0.3"/>
    <row r="444" s="1" customFormat="1" ht="14.25" customHeight="1" x14ac:dyDescent="0.3"/>
    <row r="445" s="1" customFormat="1" ht="14.25" customHeight="1" x14ac:dyDescent="0.3"/>
    <row r="446" s="1" customFormat="1" ht="14.25" customHeight="1" x14ac:dyDescent="0.3"/>
    <row r="447" s="1" customFormat="1" ht="14.25" customHeight="1" x14ac:dyDescent="0.3"/>
    <row r="448" s="1" customFormat="1" ht="14.25" customHeight="1" x14ac:dyDescent="0.3"/>
    <row r="449" s="1" customFormat="1" ht="14.25" customHeight="1" x14ac:dyDescent="0.3"/>
    <row r="450" s="1" customFormat="1" ht="14.25" customHeight="1" x14ac:dyDescent="0.3"/>
    <row r="451" s="1" customFormat="1" ht="14.25" customHeight="1" x14ac:dyDescent="0.3"/>
    <row r="452" s="1" customFormat="1" ht="14.25" customHeight="1" x14ac:dyDescent="0.3"/>
    <row r="453" s="1" customFormat="1" ht="14.25" customHeight="1" x14ac:dyDescent="0.3"/>
    <row r="454" s="1" customFormat="1" ht="14.25" customHeight="1" x14ac:dyDescent="0.3"/>
    <row r="455" s="1" customFormat="1" ht="14.25" customHeight="1" x14ac:dyDescent="0.3"/>
    <row r="456" s="1" customFormat="1" ht="14.25" customHeight="1" x14ac:dyDescent="0.3"/>
    <row r="457" s="1" customFormat="1" ht="14.25" customHeight="1" x14ac:dyDescent="0.3"/>
    <row r="458" s="1" customFormat="1" ht="14.25" customHeight="1" x14ac:dyDescent="0.3"/>
    <row r="459" s="1" customFormat="1" ht="14.25" customHeight="1" x14ac:dyDescent="0.3"/>
    <row r="460" s="1" customFormat="1" ht="14.25" customHeight="1" x14ac:dyDescent="0.3"/>
    <row r="461" s="1" customFormat="1" ht="14.25" customHeight="1" x14ac:dyDescent="0.3"/>
    <row r="462" s="1" customFormat="1" ht="14.25" customHeight="1" x14ac:dyDescent="0.3"/>
    <row r="463" s="1" customFormat="1" ht="14.25" customHeight="1" x14ac:dyDescent="0.3"/>
    <row r="464" s="1" customFormat="1" ht="14.25" customHeight="1" x14ac:dyDescent="0.3"/>
    <row r="465" s="1" customFormat="1" ht="14.25" customHeight="1" x14ac:dyDescent="0.3"/>
    <row r="466" s="1" customFormat="1" ht="14.25" customHeight="1" x14ac:dyDescent="0.3"/>
    <row r="467" s="1" customFormat="1" ht="14.25" customHeight="1" x14ac:dyDescent="0.3"/>
    <row r="468" s="1" customFormat="1" ht="14.25" customHeight="1" x14ac:dyDescent="0.3"/>
    <row r="469" s="1" customFormat="1" ht="14.25" customHeight="1" x14ac:dyDescent="0.3"/>
    <row r="470" s="1" customFormat="1" ht="14.25" customHeight="1" x14ac:dyDescent="0.3"/>
    <row r="471" s="1" customFormat="1" ht="14.25" customHeight="1" x14ac:dyDescent="0.3"/>
    <row r="472" s="1" customFormat="1" ht="14.25" customHeight="1" x14ac:dyDescent="0.3"/>
    <row r="473" s="1" customFormat="1" ht="14.25" customHeight="1" x14ac:dyDescent="0.3"/>
    <row r="474" s="1" customFormat="1" ht="14.25" customHeight="1" x14ac:dyDescent="0.3"/>
    <row r="475" s="1" customFormat="1" ht="14.25" customHeight="1" x14ac:dyDescent="0.3"/>
    <row r="476" s="1" customFormat="1" ht="14.25" customHeight="1" x14ac:dyDescent="0.3"/>
    <row r="477" s="1" customFormat="1" ht="14.25" customHeight="1" x14ac:dyDescent="0.3"/>
    <row r="478" s="1" customFormat="1" ht="14.25" customHeight="1" x14ac:dyDescent="0.3"/>
    <row r="479" s="1" customFormat="1" ht="14.25" customHeight="1" x14ac:dyDescent="0.3"/>
    <row r="480" s="1" customFormat="1" ht="14.25" customHeight="1" x14ac:dyDescent="0.3"/>
    <row r="481" s="1" customFormat="1" ht="14.25" customHeight="1" x14ac:dyDescent="0.3"/>
    <row r="482" s="1" customFormat="1" ht="14.25" customHeight="1" x14ac:dyDescent="0.3"/>
    <row r="483" s="1" customFormat="1" ht="14.25" customHeight="1" x14ac:dyDescent="0.3"/>
    <row r="484" s="1" customFormat="1" ht="14.25" customHeight="1" x14ac:dyDescent="0.3"/>
    <row r="485" s="1" customFormat="1" ht="14.25" customHeight="1" x14ac:dyDescent="0.3"/>
    <row r="486" s="1" customFormat="1" ht="14.25" customHeight="1" x14ac:dyDescent="0.3"/>
    <row r="487" s="1" customFormat="1" ht="14.25" customHeight="1" x14ac:dyDescent="0.3"/>
    <row r="488" s="1" customFormat="1" ht="14.25" customHeight="1" x14ac:dyDescent="0.3"/>
    <row r="489" s="1" customFormat="1" ht="14.25" customHeight="1" x14ac:dyDescent="0.3"/>
    <row r="490" s="1" customFormat="1" ht="14.25" customHeight="1" x14ac:dyDescent="0.3"/>
    <row r="491" s="1" customFormat="1" ht="14.25" customHeight="1" x14ac:dyDescent="0.3"/>
    <row r="492" s="1" customFormat="1" ht="14.25" customHeight="1" x14ac:dyDescent="0.3"/>
    <row r="493" s="1" customFormat="1" ht="14.25" customHeight="1" x14ac:dyDescent="0.3"/>
    <row r="494" s="1" customFormat="1" ht="14.25" customHeight="1" x14ac:dyDescent="0.3"/>
    <row r="495" s="1" customFormat="1" ht="14.25" customHeight="1" x14ac:dyDescent="0.3"/>
    <row r="496" s="1" customFormat="1" ht="14.25" customHeight="1" x14ac:dyDescent="0.3"/>
    <row r="497" s="1" customFormat="1" ht="14.25" customHeight="1" x14ac:dyDescent="0.3"/>
    <row r="498" s="1" customFormat="1" ht="14.25" customHeight="1" x14ac:dyDescent="0.3"/>
    <row r="499" s="1" customFormat="1" ht="14.25" customHeight="1" x14ac:dyDescent="0.3"/>
    <row r="500" s="1" customFormat="1" ht="14.25" customHeight="1" x14ac:dyDescent="0.3"/>
    <row r="501" s="1" customFormat="1" ht="14.25" customHeight="1" x14ac:dyDescent="0.3"/>
    <row r="502" s="1" customFormat="1" ht="14.25" customHeight="1" x14ac:dyDescent="0.3"/>
    <row r="503" s="1" customFormat="1" ht="14.25" customHeight="1" x14ac:dyDescent="0.3"/>
    <row r="504" s="1" customFormat="1" ht="14.25" customHeight="1" x14ac:dyDescent="0.3"/>
    <row r="505" s="1" customFormat="1" ht="14.25" customHeight="1" x14ac:dyDescent="0.3"/>
    <row r="506" s="1" customFormat="1" ht="14.25" customHeight="1" x14ac:dyDescent="0.3"/>
    <row r="507" s="1" customFormat="1" ht="14.25" customHeight="1" x14ac:dyDescent="0.3"/>
    <row r="508" s="1" customFormat="1" ht="14.25" customHeight="1" x14ac:dyDescent="0.3"/>
    <row r="509" s="1" customFormat="1" ht="14.25" customHeight="1" x14ac:dyDescent="0.3"/>
    <row r="510" s="1" customFormat="1" ht="14.25" customHeight="1" x14ac:dyDescent="0.3"/>
    <row r="511" s="1" customFormat="1" ht="14.25" customHeight="1" x14ac:dyDescent="0.3"/>
    <row r="512" s="1" customFormat="1" ht="14.25" customHeight="1" x14ac:dyDescent="0.3"/>
    <row r="513" s="1" customFormat="1" ht="14.25" customHeight="1" x14ac:dyDescent="0.3"/>
    <row r="514" s="1" customFormat="1" ht="14.25" customHeight="1" x14ac:dyDescent="0.3"/>
    <row r="515" s="1" customFormat="1" ht="14.25" customHeight="1" x14ac:dyDescent="0.3"/>
    <row r="516" s="1" customFormat="1" ht="14.25" customHeight="1" x14ac:dyDescent="0.3"/>
    <row r="517" s="1" customFormat="1" ht="14.25" customHeight="1" x14ac:dyDescent="0.3"/>
    <row r="518" s="1" customFormat="1" ht="14.25" customHeight="1" x14ac:dyDescent="0.3"/>
    <row r="519" s="1" customFormat="1" ht="14.25" customHeight="1" x14ac:dyDescent="0.3"/>
    <row r="520" s="1" customFormat="1" ht="14.25" customHeight="1" x14ac:dyDescent="0.3"/>
    <row r="521" s="1" customFormat="1" ht="14.25" customHeight="1" x14ac:dyDescent="0.3"/>
    <row r="522" s="1" customFormat="1" ht="14.25" customHeight="1" x14ac:dyDescent="0.3"/>
    <row r="523" s="1" customFormat="1" ht="14.25" customHeight="1" x14ac:dyDescent="0.3"/>
    <row r="524" s="1" customFormat="1" ht="14.25" customHeight="1" x14ac:dyDescent="0.3"/>
    <row r="525" s="1" customFormat="1" ht="14.25" customHeight="1" x14ac:dyDescent="0.3"/>
    <row r="526" s="1" customFormat="1" ht="14.25" customHeight="1" x14ac:dyDescent="0.3"/>
    <row r="527" s="1" customFormat="1" ht="14.25" customHeight="1" x14ac:dyDescent="0.3"/>
    <row r="528" s="1" customFormat="1" ht="14.25" customHeight="1" x14ac:dyDescent="0.3"/>
    <row r="529" s="1" customFormat="1" ht="14.25" customHeight="1" x14ac:dyDescent="0.3"/>
    <row r="530" s="1" customFormat="1" ht="14.25" customHeight="1" x14ac:dyDescent="0.3"/>
    <row r="531" s="1" customFormat="1" ht="14.25" customHeight="1" x14ac:dyDescent="0.3"/>
    <row r="532" s="1" customFormat="1" ht="14.25" customHeight="1" x14ac:dyDescent="0.3"/>
    <row r="533" s="1" customFormat="1" ht="14.25" customHeight="1" x14ac:dyDescent="0.3"/>
    <row r="534" s="1" customFormat="1" ht="14.25" customHeight="1" x14ac:dyDescent="0.3"/>
    <row r="535" s="1" customFormat="1" ht="14.25" customHeight="1" x14ac:dyDescent="0.3"/>
    <row r="536" s="1" customFormat="1" ht="14.25" customHeight="1" x14ac:dyDescent="0.3"/>
    <row r="537" s="1" customFormat="1" ht="14.25" customHeight="1" x14ac:dyDescent="0.3"/>
    <row r="538" s="1" customFormat="1" ht="14.25" customHeight="1" x14ac:dyDescent="0.3"/>
    <row r="539" s="1" customFormat="1" ht="14.25" customHeight="1" x14ac:dyDescent="0.3"/>
    <row r="540" s="1" customFormat="1" ht="14.25" customHeight="1" x14ac:dyDescent="0.3"/>
    <row r="541" s="1" customFormat="1" ht="14.25" customHeight="1" x14ac:dyDescent="0.3"/>
    <row r="542" s="1" customFormat="1" ht="14.25" customHeight="1" x14ac:dyDescent="0.3"/>
    <row r="543" s="1" customFormat="1" ht="14.25" customHeight="1" x14ac:dyDescent="0.3"/>
    <row r="544" s="1" customFormat="1" ht="14.25" customHeight="1" x14ac:dyDescent="0.3"/>
    <row r="545" s="1" customFormat="1" ht="14.25" customHeight="1" x14ac:dyDescent="0.3"/>
    <row r="546" s="1" customFormat="1" ht="14.25" customHeight="1" x14ac:dyDescent="0.3"/>
    <row r="547" s="1" customFormat="1" ht="14.25" customHeight="1" x14ac:dyDescent="0.3"/>
    <row r="548" s="1" customFormat="1" ht="14.25" customHeight="1" x14ac:dyDescent="0.3"/>
    <row r="549" s="1" customFormat="1" ht="14.25" customHeight="1" x14ac:dyDescent="0.3"/>
    <row r="550" s="1" customFormat="1" ht="14.25" customHeight="1" x14ac:dyDescent="0.3"/>
    <row r="551" s="1" customFormat="1" ht="14.25" customHeight="1" x14ac:dyDescent="0.3"/>
    <row r="552" s="1" customFormat="1" ht="14.25" customHeight="1" x14ac:dyDescent="0.3"/>
    <row r="553" s="1" customFormat="1" ht="14.25" customHeight="1" x14ac:dyDescent="0.3"/>
    <row r="554" s="1" customFormat="1" ht="14.25" customHeight="1" x14ac:dyDescent="0.3"/>
    <row r="555" s="1" customFormat="1" ht="14.25" customHeight="1" x14ac:dyDescent="0.3"/>
    <row r="556" s="1" customFormat="1" ht="14.25" customHeight="1" x14ac:dyDescent="0.3"/>
    <row r="557" s="1" customFormat="1" ht="14.25" customHeight="1" x14ac:dyDescent="0.3"/>
    <row r="558" s="1" customFormat="1" ht="14.25" customHeight="1" x14ac:dyDescent="0.3"/>
    <row r="559" s="1" customFormat="1" ht="14.25" customHeight="1" x14ac:dyDescent="0.3"/>
    <row r="560" s="1" customFormat="1" ht="14.25" customHeight="1" x14ac:dyDescent="0.3"/>
    <row r="561" s="1" customFormat="1" ht="14.25" customHeight="1" x14ac:dyDescent="0.3"/>
    <row r="562" s="1" customFormat="1" ht="14.25" customHeight="1" x14ac:dyDescent="0.3"/>
    <row r="563" s="1" customFormat="1" ht="14.25" customHeight="1" x14ac:dyDescent="0.3"/>
    <row r="564" s="1" customFormat="1" ht="14.25" customHeight="1" x14ac:dyDescent="0.3"/>
    <row r="565" s="1" customFormat="1" ht="14.25" customHeight="1" x14ac:dyDescent="0.3"/>
    <row r="566" s="1" customFormat="1" ht="14.25" customHeight="1" x14ac:dyDescent="0.3"/>
    <row r="567" s="1" customFormat="1" ht="14.25" customHeight="1" x14ac:dyDescent="0.3"/>
    <row r="568" s="1" customFormat="1" ht="14.25" customHeight="1" x14ac:dyDescent="0.3"/>
    <row r="569" s="1" customFormat="1" ht="14.25" customHeight="1" x14ac:dyDescent="0.3"/>
    <row r="570" s="1" customFormat="1" ht="14.25" customHeight="1" x14ac:dyDescent="0.3"/>
    <row r="571" s="1" customFormat="1" ht="14.25" customHeight="1" x14ac:dyDescent="0.3"/>
    <row r="572" s="1" customFormat="1" ht="14.25" customHeight="1" x14ac:dyDescent="0.3"/>
    <row r="573" s="1" customFormat="1" ht="14.25" customHeight="1" x14ac:dyDescent="0.3"/>
    <row r="574" s="1" customFormat="1" ht="14.25" customHeight="1" x14ac:dyDescent="0.3"/>
    <row r="575" s="1" customFormat="1" ht="14.25" customHeight="1" x14ac:dyDescent="0.3"/>
    <row r="576" s="1" customFormat="1" ht="14.25" customHeight="1" x14ac:dyDescent="0.3"/>
    <row r="577" s="1" customFormat="1" ht="14.25" customHeight="1" x14ac:dyDescent="0.3"/>
    <row r="578" s="1" customFormat="1" ht="14.25" customHeight="1" x14ac:dyDescent="0.3"/>
    <row r="579" s="1" customFormat="1" ht="14.25" customHeight="1" x14ac:dyDescent="0.3"/>
    <row r="580" s="1" customFormat="1" ht="14.25" customHeight="1" x14ac:dyDescent="0.3"/>
    <row r="581" s="1" customFormat="1" ht="14.25" customHeight="1" x14ac:dyDescent="0.3"/>
    <row r="582" s="1" customFormat="1" ht="14.25" customHeight="1" x14ac:dyDescent="0.3"/>
    <row r="583" s="1" customFormat="1" ht="14.25" customHeight="1" x14ac:dyDescent="0.3"/>
    <row r="584" s="1" customFormat="1" ht="14.25" customHeight="1" x14ac:dyDescent="0.3"/>
    <row r="585" s="1" customFormat="1" ht="14.25" customHeight="1" x14ac:dyDescent="0.3"/>
    <row r="586" s="1" customFormat="1" ht="14.25" customHeight="1" x14ac:dyDescent="0.3"/>
    <row r="587" s="1" customFormat="1" ht="14.25" customHeight="1" x14ac:dyDescent="0.3"/>
    <row r="588" s="1" customFormat="1" ht="14.25" customHeight="1" x14ac:dyDescent="0.3"/>
    <row r="589" s="1" customFormat="1" ht="14.25" customHeight="1" x14ac:dyDescent="0.3"/>
    <row r="590" s="1" customFormat="1" ht="14.25" customHeight="1" x14ac:dyDescent="0.3"/>
    <row r="591" s="1" customFormat="1" ht="14.25" customHeight="1" x14ac:dyDescent="0.3"/>
    <row r="592" s="1" customFormat="1" ht="14.25" customHeight="1" x14ac:dyDescent="0.3"/>
    <row r="593" s="1" customFormat="1" ht="14.25" customHeight="1" x14ac:dyDescent="0.3"/>
    <row r="594" s="1" customFormat="1" ht="14.25" customHeight="1" x14ac:dyDescent="0.3"/>
    <row r="595" s="1" customFormat="1" ht="14.25" customHeight="1" x14ac:dyDescent="0.3"/>
    <row r="596" s="1" customFormat="1" ht="14.25" customHeight="1" x14ac:dyDescent="0.3"/>
    <row r="597" s="1" customFormat="1" ht="14.25" customHeight="1" x14ac:dyDescent="0.3"/>
    <row r="598" s="1" customFormat="1" ht="14.25" customHeight="1" x14ac:dyDescent="0.3"/>
    <row r="599" s="1" customFormat="1" ht="14.25" customHeight="1" x14ac:dyDescent="0.3"/>
    <row r="600" s="1" customFormat="1" ht="14.25" customHeight="1" x14ac:dyDescent="0.3"/>
    <row r="601" s="1" customFormat="1" ht="14.25" customHeight="1" x14ac:dyDescent="0.3"/>
    <row r="602" s="1" customFormat="1" ht="14.25" customHeight="1" x14ac:dyDescent="0.3"/>
    <row r="603" s="1" customFormat="1" ht="14.25" customHeight="1" x14ac:dyDescent="0.3"/>
    <row r="604" s="1" customFormat="1" ht="14.25" customHeight="1" x14ac:dyDescent="0.3"/>
    <row r="605" s="1" customFormat="1" ht="14.25" customHeight="1" x14ac:dyDescent="0.3"/>
    <row r="606" s="1" customFormat="1" ht="14.25" customHeight="1" x14ac:dyDescent="0.3"/>
    <row r="607" s="1" customFormat="1" ht="14.25" customHeight="1" x14ac:dyDescent="0.3"/>
    <row r="608" s="1" customFormat="1" ht="14.25" customHeight="1" x14ac:dyDescent="0.3"/>
    <row r="609" s="1" customFormat="1" ht="14.25" customHeight="1" x14ac:dyDescent="0.3"/>
    <row r="610" s="1" customFormat="1" ht="14.25" customHeight="1" x14ac:dyDescent="0.3"/>
    <row r="611" s="1" customFormat="1" ht="14.25" customHeight="1" x14ac:dyDescent="0.3"/>
    <row r="612" s="1" customFormat="1" ht="14.25" customHeight="1" x14ac:dyDescent="0.3"/>
    <row r="613" s="1" customFormat="1" ht="14.25" customHeight="1" x14ac:dyDescent="0.3"/>
    <row r="614" s="1" customFormat="1" ht="14.25" customHeight="1" x14ac:dyDescent="0.3"/>
    <row r="615" s="1" customFormat="1" ht="14.25" customHeight="1" x14ac:dyDescent="0.3"/>
    <row r="616" s="1" customFormat="1" ht="14.25" customHeight="1" x14ac:dyDescent="0.3"/>
    <row r="617" s="1" customFormat="1" ht="14.25" customHeight="1" x14ac:dyDescent="0.3"/>
    <row r="618" s="1" customFormat="1" ht="14.25" customHeight="1" x14ac:dyDescent="0.3"/>
    <row r="619" s="1" customFormat="1" ht="14.25" customHeight="1" x14ac:dyDescent="0.3"/>
    <row r="620" s="1" customFormat="1" ht="14.25" customHeight="1" x14ac:dyDescent="0.3"/>
    <row r="621" s="1" customFormat="1" ht="14.25" customHeight="1" x14ac:dyDescent="0.3"/>
    <row r="622" s="1" customFormat="1" ht="14.25" customHeight="1" x14ac:dyDescent="0.3"/>
    <row r="623" s="1" customFormat="1" ht="14.25" customHeight="1" x14ac:dyDescent="0.3"/>
    <row r="624" s="1" customFormat="1" ht="14.25" customHeight="1" x14ac:dyDescent="0.3"/>
    <row r="625" s="1" customFormat="1" ht="14.25" customHeight="1" x14ac:dyDescent="0.3"/>
    <row r="626" s="1" customFormat="1" ht="14.25" customHeight="1" x14ac:dyDescent="0.3"/>
    <row r="627" s="1" customFormat="1" ht="14.25" customHeight="1" x14ac:dyDescent="0.3"/>
    <row r="628" s="1" customFormat="1" ht="14.25" customHeight="1" x14ac:dyDescent="0.3"/>
    <row r="629" s="1" customFormat="1" ht="14.25" customHeight="1" x14ac:dyDescent="0.3"/>
    <row r="630" s="1" customFormat="1" ht="14.25" customHeight="1" x14ac:dyDescent="0.3"/>
    <row r="631" s="1" customFormat="1" ht="14.25" customHeight="1" x14ac:dyDescent="0.3"/>
    <row r="632" s="1" customFormat="1" ht="14.25" customHeight="1" x14ac:dyDescent="0.3"/>
    <row r="633" s="1" customFormat="1" ht="14.25" customHeight="1" x14ac:dyDescent="0.3"/>
    <row r="634" s="1" customFormat="1" ht="14.25" customHeight="1" x14ac:dyDescent="0.3"/>
    <row r="635" s="1" customFormat="1" ht="14.25" customHeight="1" x14ac:dyDescent="0.3"/>
    <row r="636" s="1" customFormat="1" ht="14.25" customHeight="1" x14ac:dyDescent="0.3"/>
    <row r="637" s="1" customFormat="1" ht="14.25" customHeight="1" x14ac:dyDescent="0.3"/>
    <row r="638" s="1" customFormat="1" ht="14.25" customHeight="1" x14ac:dyDescent="0.3"/>
    <row r="639" s="1" customFormat="1" ht="14.25" customHeight="1" x14ac:dyDescent="0.3"/>
    <row r="640" s="1" customFormat="1" ht="14.25" customHeight="1" x14ac:dyDescent="0.3"/>
    <row r="641" s="1" customFormat="1" ht="14.25" customHeight="1" x14ac:dyDescent="0.3"/>
    <row r="642" s="1" customFormat="1" ht="14.25" customHeight="1" x14ac:dyDescent="0.3"/>
    <row r="643" s="1" customFormat="1" ht="14.25" customHeight="1" x14ac:dyDescent="0.3"/>
    <row r="644" s="1" customFormat="1" ht="14.25" customHeight="1" x14ac:dyDescent="0.3"/>
    <row r="645" s="1" customFormat="1" ht="14.25" customHeight="1" x14ac:dyDescent="0.3"/>
    <row r="646" s="1" customFormat="1" ht="14.25" customHeight="1" x14ac:dyDescent="0.3"/>
    <row r="647" s="1" customFormat="1" ht="14.25" customHeight="1" x14ac:dyDescent="0.3"/>
    <row r="648" s="1" customFormat="1" ht="14.25" customHeight="1" x14ac:dyDescent="0.3"/>
    <row r="649" s="1" customFormat="1" ht="14.25" customHeight="1" x14ac:dyDescent="0.3"/>
    <row r="650" s="1" customFormat="1" ht="14.25" customHeight="1" x14ac:dyDescent="0.3"/>
    <row r="651" s="1" customFormat="1" ht="14.25" customHeight="1" x14ac:dyDescent="0.3"/>
    <row r="652" s="1" customFormat="1" ht="14.25" customHeight="1" x14ac:dyDescent="0.3"/>
    <row r="653" s="1" customFormat="1" ht="14.25" customHeight="1" x14ac:dyDescent="0.3"/>
    <row r="654" s="1" customFormat="1" ht="14.25" customHeight="1" x14ac:dyDescent="0.3"/>
    <row r="655" s="1" customFormat="1" ht="14.25" customHeight="1" x14ac:dyDescent="0.3"/>
    <row r="656" s="1" customFormat="1" ht="14.25" customHeight="1" x14ac:dyDescent="0.3"/>
    <row r="657" s="1" customFormat="1" ht="14.25" customHeight="1" x14ac:dyDescent="0.3"/>
    <row r="658" s="1" customFormat="1" ht="14.25" customHeight="1" x14ac:dyDescent="0.3"/>
    <row r="659" s="1" customFormat="1" ht="14.25" customHeight="1" x14ac:dyDescent="0.3"/>
    <row r="660" s="1" customFormat="1" ht="14.25" customHeight="1" x14ac:dyDescent="0.3"/>
    <row r="661" s="1" customFormat="1" ht="14.25" customHeight="1" x14ac:dyDescent="0.3"/>
    <row r="662" s="1" customFormat="1" ht="14.25" customHeight="1" x14ac:dyDescent="0.3"/>
    <row r="663" s="1" customFormat="1" ht="14.25" customHeight="1" x14ac:dyDescent="0.3"/>
    <row r="664" s="1" customFormat="1" ht="14.25" customHeight="1" x14ac:dyDescent="0.3"/>
    <row r="665" s="1" customFormat="1" ht="14.25" customHeight="1" x14ac:dyDescent="0.3"/>
    <row r="666" s="1" customFormat="1" ht="14.25" customHeight="1" x14ac:dyDescent="0.3"/>
    <row r="667" s="1" customFormat="1" ht="14.25" customHeight="1" x14ac:dyDescent="0.3"/>
    <row r="668" s="1" customFormat="1" ht="14.25" customHeight="1" x14ac:dyDescent="0.3"/>
    <row r="669" s="1" customFormat="1" ht="14.25" customHeight="1" x14ac:dyDescent="0.3"/>
    <row r="670" s="1" customFormat="1" ht="14.25" customHeight="1" x14ac:dyDescent="0.3"/>
    <row r="671" s="1" customFormat="1" ht="14.25" customHeight="1" x14ac:dyDescent="0.3"/>
    <row r="672" s="1" customFormat="1" ht="14.25" customHeight="1" x14ac:dyDescent="0.3"/>
    <row r="673" s="1" customFormat="1" ht="14.25" customHeight="1" x14ac:dyDescent="0.3"/>
    <row r="674" s="1" customFormat="1" ht="14.25" customHeight="1" x14ac:dyDescent="0.3"/>
    <row r="675" s="1" customFormat="1" ht="14.25" customHeight="1" x14ac:dyDescent="0.3"/>
    <row r="676" s="1" customFormat="1" ht="14.25" customHeight="1" x14ac:dyDescent="0.3"/>
    <row r="677" s="1" customFormat="1" ht="14.25" customHeight="1" x14ac:dyDescent="0.3"/>
    <row r="678" s="1" customFormat="1" ht="14.25" customHeight="1" x14ac:dyDescent="0.3"/>
    <row r="679" s="1" customFormat="1" ht="14.25" customHeight="1" x14ac:dyDescent="0.3"/>
    <row r="680" s="1" customFormat="1" ht="14.25" customHeight="1" x14ac:dyDescent="0.3"/>
    <row r="681" s="1" customFormat="1" ht="14.25" customHeight="1" x14ac:dyDescent="0.3"/>
    <row r="682" s="1" customFormat="1" ht="14.25" customHeight="1" x14ac:dyDescent="0.3"/>
    <row r="683" s="1" customFormat="1" ht="14.25" customHeight="1" x14ac:dyDescent="0.3"/>
    <row r="684" s="1" customFormat="1" ht="14.25" customHeight="1" x14ac:dyDescent="0.3"/>
    <row r="685" s="1" customFormat="1" ht="14.25" customHeight="1" x14ac:dyDescent="0.3"/>
    <row r="686" s="1" customFormat="1" ht="14.25" customHeight="1" x14ac:dyDescent="0.3"/>
    <row r="687" s="1" customFormat="1" ht="14.25" customHeight="1" x14ac:dyDescent="0.3"/>
    <row r="688" s="1" customFormat="1" ht="14.25" customHeight="1" x14ac:dyDescent="0.3"/>
    <row r="689" s="1" customFormat="1" ht="14.25" customHeight="1" x14ac:dyDescent="0.3"/>
    <row r="690" s="1" customFormat="1" ht="14.25" customHeight="1" x14ac:dyDescent="0.3"/>
    <row r="691" s="1" customFormat="1" ht="14.25" customHeight="1" x14ac:dyDescent="0.3"/>
    <row r="692" s="1" customFormat="1" ht="14.25" customHeight="1" x14ac:dyDescent="0.3"/>
    <row r="693" s="1" customFormat="1" ht="14.25" customHeight="1" x14ac:dyDescent="0.3"/>
    <row r="694" s="1" customFormat="1" ht="14.25" customHeight="1" x14ac:dyDescent="0.3"/>
    <row r="695" s="1" customFormat="1" ht="14.25" customHeight="1" x14ac:dyDescent="0.3"/>
    <row r="696" s="1" customFormat="1" ht="14.25" customHeight="1" x14ac:dyDescent="0.3"/>
    <row r="697" s="1" customFormat="1" ht="14.25" customHeight="1" x14ac:dyDescent="0.3"/>
    <row r="698" s="1" customFormat="1" ht="14.25" customHeight="1" x14ac:dyDescent="0.3"/>
    <row r="699" s="1" customFormat="1" ht="14.25" customHeight="1" x14ac:dyDescent="0.3"/>
    <row r="700" s="1" customFormat="1" ht="14.25" customHeight="1" x14ac:dyDescent="0.3"/>
    <row r="701" s="1" customFormat="1" ht="14.25" customHeight="1" x14ac:dyDescent="0.3"/>
    <row r="702" s="1" customFormat="1" ht="14.25" customHeight="1" x14ac:dyDescent="0.3"/>
    <row r="703" s="1" customFormat="1" ht="14.25" customHeight="1" x14ac:dyDescent="0.3"/>
    <row r="704" s="1" customFormat="1" ht="14.25" customHeight="1" x14ac:dyDescent="0.3"/>
    <row r="705" s="1" customFormat="1" ht="14.25" customHeight="1" x14ac:dyDescent="0.3"/>
    <row r="706" s="1" customFormat="1" ht="14.25" customHeight="1" x14ac:dyDescent="0.3"/>
    <row r="707" s="1" customFormat="1" ht="14.25" customHeight="1" x14ac:dyDescent="0.3"/>
    <row r="708" s="1" customFormat="1" ht="14.25" customHeight="1" x14ac:dyDescent="0.3"/>
    <row r="709" s="1" customFormat="1" ht="14.25" customHeight="1" x14ac:dyDescent="0.3"/>
    <row r="710" s="1" customFormat="1" ht="14.25" customHeight="1" x14ac:dyDescent="0.3"/>
    <row r="711" s="1" customFormat="1" ht="14.25" customHeight="1" x14ac:dyDescent="0.3"/>
    <row r="712" s="1" customFormat="1" ht="14.25" customHeight="1" x14ac:dyDescent="0.3"/>
    <row r="713" s="1" customFormat="1" ht="14.25" customHeight="1" x14ac:dyDescent="0.3"/>
    <row r="714" s="1" customFormat="1" ht="14.25" customHeight="1" x14ac:dyDescent="0.3"/>
    <row r="715" s="1" customFormat="1" ht="14.25" customHeight="1" x14ac:dyDescent="0.3"/>
    <row r="716" s="1" customFormat="1" ht="14.25" customHeight="1" x14ac:dyDescent="0.3"/>
    <row r="717" s="1" customFormat="1" ht="14.25" customHeight="1" x14ac:dyDescent="0.3"/>
    <row r="718" s="1" customFormat="1" ht="14.25" customHeight="1" x14ac:dyDescent="0.3"/>
    <row r="719" s="1" customFormat="1" ht="14.25" customHeight="1" x14ac:dyDescent="0.3"/>
    <row r="720" s="1" customFormat="1" ht="14.25" customHeight="1" x14ac:dyDescent="0.3"/>
    <row r="721" s="1" customFormat="1" ht="14.25" customHeight="1" x14ac:dyDescent="0.3"/>
    <row r="722" s="1" customFormat="1" ht="14.25" customHeight="1" x14ac:dyDescent="0.3"/>
    <row r="723" s="1" customFormat="1" ht="14.25" customHeight="1" x14ac:dyDescent="0.3"/>
    <row r="724" s="1" customFormat="1" ht="14.25" customHeight="1" x14ac:dyDescent="0.3"/>
    <row r="725" s="1" customFormat="1" ht="14.25" customHeight="1" x14ac:dyDescent="0.3"/>
    <row r="726" s="1" customFormat="1" ht="14.25" customHeight="1" x14ac:dyDescent="0.3"/>
    <row r="727" s="1" customFormat="1" ht="14.25" customHeight="1" x14ac:dyDescent="0.3"/>
    <row r="728" s="1" customFormat="1" ht="14.25" customHeight="1" x14ac:dyDescent="0.3"/>
    <row r="729" s="1" customFormat="1" ht="14.25" customHeight="1" x14ac:dyDescent="0.3"/>
    <row r="730" s="1" customFormat="1" ht="14.25" customHeight="1" x14ac:dyDescent="0.3"/>
    <row r="731" s="1" customFormat="1" ht="14.25" customHeight="1" x14ac:dyDescent="0.3"/>
    <row r="732" s="1" customFormat="1" ht="14.25" customHeight="1" x14ac:dyDescent="0.3"/>
    <row r="733" s="1" customFormat="1" ht="14.25" customHeight="1" x14ac:dyDescent="0.3"/>
    <row r="734" s="1" customFormat="1" ht="14.25" customHeight="1" x14ac:dyDescent="0.3"/>
    <row r="735" s="1" customFormat="1" ht="14.25" customHeight="1" x14ac:dyDescent="0.3"/>
    <row r="736" s="1" customFormat="1" ht="14.25" customHeight="1" x14ac:dyDescent="0.3"/>
    <row r="737" s="1" customFormat="1" ht="14.25" customHeight="1" x14ac:dyDescent="0.3"/>
    <row r="738" s="1" customFormat="1" ht="14.25" customHeight="1" x14ac:dyDescent="0.3"/>
    <row r="739" s="1" customFormat="1" ht="14.25" customHeight="1" x14ac:dyDescent="0.3"/>
    <row r="740" s="1" customFormat="1" ht="14.25" customHeight="1" x14ac:dyDescent="0.3"/>
    <row r="741" s="1" customFormat="1" ht="14.25" customHeight="1" x14ac:dyDescent="0.3"/>
    <row r="742" s="1" customFormat="1" ht="14.25" customHeight="1" x14ac:dyDescent="0.3"/>
    <row r="743" s="1" customFormat="1" ht="14.25" customHeight="1" x14ac:dyDescent="0.3"/>
    <row r="744" s="1" customFormat="1" ht="14.25" customHeight="1" x14ac:dyDescent="0.3"/>
    <row r="745" s="1" customFormat="1" ht="14.25" customHeight="1" x14ac:dyDescent="0.3"/>
    <row r="746" s="1" customFormat="1" ht="14.25" customHeight="1" x14ac:dyDescent="0.3"/>
    <row r="747" s="1" customFormat="1" ht="14.25" customHeight="1" x14ac:dyDescent="0.3"/>
    <row r="748" s="1" customFormat="1" ht="14.25" customHeight="1" x14ac:dyDescent="0.3"/>
    <row r="749" s="1" customFormat="1" ht="14.25" customHeight="1" x14ac:dyDescent="0.3"/>
    <row r="750" s="1" customFormat="1" ht="14.25" customHeight="1" x14ac:dyDescent="0.3"/>
    <row r="751" s="1" customFormat="1" ht="14.25" customHeight="1" x14ac:dyDescent="0.3"/>
    <row r="752" s="1" customFormat="1" ht="14.25" customHeight="1" x14ac:dyDescent="0.3"/>
    <row r="753" s="1" customFormat="1" ht="14.25" customHeight="1" x14ac:dyDescent="0.3"/>
    <row r="754" s="1" customFormat="1" ht="14.25" customHeight="1" x14ac:dyDescent="0.3"/>
    <row r="755" s="1" customFormat="1" ht="14.25" customHeight="1" x14ac:dyDescent="0.3"/>
    <row r="756" s="1" customFormat="1" ht="14.25" customHeight="1" x14ac:dyDescent="0.3"/>
    <row r="757" s="1" customFormat="1" ht="14.25" customHeight="1" x14ac:dyDescent="0.3"/>
    <row r="758" s="1" customFormat="1" ht="14.25" customHeight="1" x14ac:dyDescent="0.3"/>
    <row r="759" s="1" customFormat="1" ht="14.25" customHeight="1" x14ac:dyDescent="0.3"/>
    <row r="760" s="1" customFormat="1" ht="14.25" customHeight="1" x14ac:dyDescent="0.3"/>
    <row r="761" s="1" customFormat="1" ht="14.25" customHeight="1" x14ac:dyDescent="0.3"/>
    <row r="762" s="1" customFormat="1" ht="14.25" customHeight="1" x14ac:dyDescent="0.3"/>
    <row r="763" s="1" customFormat="1" ht="14.25" customHeight="1" x14ac:dyDescent="0.3"/>
    <row r="764" s="1" customFormat="1" ht="14.25" customHeight="1" x14ac:dyDescent="0.3"/>
    <row r="765" s="1" customFormat="1" ht="14.25" customHeight="1" x14ac:dyDescent="0.3"/>
    <row r="766" s="1" customFormat="1" ht="14.25" customHeight="1" x14ac:dyDescent="0.3"/>
    <row r="767" s="1" customFormat="1" ht="14.25" customHeight="1" x14ac:dyDescent="0.3"/>
    <row r="768" s="1" customFormat="1" ht="14.25" customHeight="1" x14ac:dyDescent="0.3"/>
    <row r="769" s="1" customFormat="1" ht="14.25" customHeight="1" x14ac:dyDescent="0.3"/>
    <row r="770" s="1" customFormat="1" ht="14.25" customHeight="1" x14ac:dyDescent="0.3"/>
    <row r="771" s="1" customFormat="1" ht="14.25" customHeight="1" x14ac:dyDescent="0.3"/>
    <row r="772" s="1" customFormat="1" ht="14.25" customHeight="1" x14ac:dyDescent="0.3"/>
    <row r="773" s="1" customFormat="1" ht="14.25" customHeight="1" x14ac:dyDescent="0.3"/>
    <row r="774" s="1" customFormat="1" ht="14.25" customHeight="1" x14ac:dyDescent="0.3"/>
    <row r="775" s="1" customFormat="1" ht="14.25" customHeight="1" x14ac:dyDescent="0.3"/>
    <row r="776" s="1" customFormat="1" ht="14.25" customHeight="1" x14ac:dyDescent="0.3"/>
    <row r="777" s="1" customFormat="1" ht="14.25" customHeight="1" x14ac:dyDescent="0.3"/>
    <row r="778" s="1" customFormat="1" ht="14.25" customHeight="1" x14ac:dyDescent="0.3"/>
    <row r="779" s="1" customFormat="1" ht="14.25" customHeight="1" x14ac:dyDescent="0.3"/>
    <row r="780" s="1" customFormat="1" ht="14.25" customHeight="1" x14ac:dyDescent="0.3"/>
    <row r="781" s="1" customFormat="1" ht="14.25" customHeight="1" x14ac:dyDescent="0.3"/>
    <row r="782" s="1" customFormat="1" ht="14.25" customHeight="1" x14ac:dyDescent="0.3"/>
    <row r="783" s="1" customFormat="1" ht="14.25" customHeight="1" x14ac:dyDescent="0.3"/>
    <row r="784" s="1" customFormat="1" ht="14.25" customHeight="1" x14ac:dyDescent="0.3"/>
    <row r="785" s="1" customFormat="1" ht="14.25" customHeight="1" x14ac:dyDescent="0.3"/>
    <row r="786" s="1" customFormat="1" ht="14.25" customHeight="1" x14ac:dyDescent="0.3"/>
    <row r="787" s="1" customFormat="1" ht="14.25" customHeight="1" x14ac:dyDescent="0.3"/>
    <row r="788" s="1" customFormat="1" ht="14.25" customHeight="1" x14ac:dyDescent="0.3"/>
    <row r="789" s="1" customFormat="1" ht="14.25" customHeight="1" x14ac:dyDescent="0.3"/>
    <row r="790" s="1" customFormat="1" ht="14.25" customHeight="1" x14ac:dyDescent="0.3"/>
    <row r="791" s="1" customFormat="1" ht="14.25" customHeight="1" x14ac:dyDescent="0.3"/>
    <row r="792" s="1" customFormat="1" ht="14.25" customHeight="1" x14ac:dyDescent="0.3"/>
    <row r="793" s="1" customFormat="1" ht="14.25" customHeight="1" x14ac:dyDescent="0.3"/>
    <row r="794" s="1" customFormat="1" ht="14.25" customHeight="1" x14ac:dyDescent="0.3"/>
    <row r="795" s="1" customFormat="1" ht="14.25" customHeight="1" x14ac:dyDescent="0.3"/>
    <row r="796" s="1" customFormat="1" ht="14.25" customHeight="1" x14ac:dyDescent="0.3"/>
    <row r="797" s="1" customFormat="1" ht="14.25" customHeight="1" x14ac:dyDescent="0.3"/>
    <row r="798" s="1" customFormat="1" ht="14.25" customHeight="1" x14ac:dyDescent="0.3"/>
    <row r="799" s="1" customFormat="1" ht="14.25" customHeight="1" x14ac:dyDescent="0.3"/>
    <row r="800" s="1" customFormat="1" ht="14.25" customHeight="1" x14ac:dyDescent="0.3"/>
    <row r="801" s="1" customFormat="1" ht="14.25" customHeight="1" x14ac:dyDescent="0.3"/>
    <row r="802" s="1" customFormat="1" ht="14.25" customHeight="1" x14ac:dyDescent="0.3"/>
    <row r="803" s="1" customFormat="1" ht="14.25" customHeight="1" x14ac:dyDescent="0.3"/>
    <row r="804" s="1" customFormat="1" ht="14.25" customHeight="1" x14ac:dyDescent="0.3"/>
    <row r="805" s="1" customFormat="1" ht="14.25" customHeight="1" x14ac:dyDescent="0.3"/>
    <row r="806" s="1" customFormat="1" ht="14.25" customHeight="1" x14ac:dyDescent="0.3"/>
    <row r="807" s="1" customFormat="1" ht="14.25" customHeight="1" x14ac:dyDescent="0.3"/>
    <row r="808" s="1" customFormat="1" ht="14.25" customHeight="1" x14ac:dyDescent="0.3"/>
    <row r="809" s="1" customFormat="1" ht="14.25" customHeight="1" x14ac:dyDescent="0.3"/>
    <row r="810" s="1" customFormat="1" ht="14.25" customHeight="1" x14ac:dyDescent="0.3"/>
    <row r="811" s="1" customFormat="1" ht="14.25" customHeight="1" x14ac:dyDescent="0.3"/>
    <row r="812" s="1" customFormat="1" ht="14.25" customHeight="1" x14ac:dyDescent="0.3"/>
    <row r="813" s="1" customFormat="1" ht="14.25" customHeight="1" x14ac:dyDescent="0.3"/>
    <row r="814" s="1" customFormat="1" ht="14.25" customHeight="1" x14ac:dyDescent="0.3"/>
    <row r="815" s="1" customFormat="1" ht="14.25" customHeight="1" x14ac:dyDescent="0.3"/>
    <row r="816" s="1" customFormat="1" ht="14.25" customHeight="1" x14ac:dyDescent="0.3"/>
    <row r="817" s="1" customFormat="1" ht="14.25" customHeight="1" x14ac:dyDescent="0.3"/>
    <row r="818" s="1" customFormat="1" ht="14.25" customHeight="1" x14ac:dyDescent="0.3"/>
    <row r="819" s="1" customFormat="1" ht="14.25" customHeight="1" x14ac:dyDescent="0.3"/>
    <row r="820" s="1" customFormat="1" ht="14.25" customHeight="1" x14ac:dyDescent="0.3"/>
    <row r="821" s="1" customFormat="1" ht="14.25" customHeight="1" x14ac:dyDescent="0.3"/>
    <row r="822" s="1" customFormat="1" ht="14.25" customHeight="1" x14ac:dyDescent="0.3"/>
    <row r="823" s="1" customFormat="1" ht="14.25" customHeight="1" x14ac:dyDescent="0.3"/>
    <row r="824" s="1" customFormat="1" ht="14.25" customHeight="1" x14ac:dyDescent="0.3"/>
    <row r="825" s="1" customFormat="1" ht="14.25" customHeight="1" x14ac:dyDescent="0.3"/>
    <row r="826" s="1" customFormat="1" ht="14.25" customHeight="1" x14ac:dyDescent="0.3"/>
    <row r="827" s="1" customFormat="1" ht="14.25" customHeight="1" x14ac:dyDescent="0.3"/>
    <row r="828" s="1" customFormat="1" ht="14.25" customHeight="1" x14ac:dyDescent="0.3"/>
    <row r="829" s="1" customFormat="1" ht="14.25" customHeight="1" x14ac:dyDescent="0.3"/>
    <row r="830" s="1" customFormat="1" ht="14.25" customHeight="1" x14ac:dyDescent="0.3"/>
    <row r="831" s="1" customFormat="1" ht="14.25" customHeight="1" x14ac:dyDescent="0.3"/>
    <row r="832" s="1" customFormat="1" ht="14.25" customHeight="1" x14ac:dyDescent="0.3"/>
    <row r="833" s="1" customFormat="1" ht="14.25" customHeight="1" x14ac:dyDescent="0.3"/>
    <row r="834" s="1" customFormat="1" ht="14.25" customHeight="1" x14ac:dyDescent="0.3"/>
    <row r="835" s="1" customFormat="1" ht="14.25" customHeight="1" x14ac:dyDescent="0.3"/>
    <row r="836" s="1" customFormat="1" ht="14.25" customHeight="1" x14ac:dyDescent="0.3"/>
    <row r="837" s="1" customFormat="1" ht="14.25" customHeight="1" x14ac:dyDescent="0.3"/>
    <row r="838" s="1" customFormat="1" ht="14.25" customHeight="1" x14ac:dyDescent="0.3"/>
    <row r="839" s="1" customFormat="1" ht="14.25" customHeight="1" x14ac:dyDescent="0.3"/>
    <row r="840" s="1" customFormat="1" ht="14.25" customHeight="1" x14ac:dyDescent="0.3"/>
    <row r="841" s="1" customFormat="1" ht="14.25" customHeight="1" x14ac:dyDescent="0.3"/>
    <row r="842" s="1" customFormat="1" ht="14.25" customHeight="1" x14ac:dyDescent="0.3"/>
    <row r="843" s="1" customFormat="1" ht="14.25" customHeight="1" x14ac:dyDescent="0.3"/>
    <row r="844" s="1" customFormat="1" ht="14.25" customHeight="1" x14ac:dyDescent="0.3"/>
    <row r="845" s="1" customFormat="1" ht="14.25" customHeight="1" x14ac:dyDescent="0.3"/>
    <row r="846" s="1" customFormat="1" ht="14.25" customHeight="1" x14ac:dyDescent="0.3"/>
    <row r="847" s="1" customFormat="1" ht="14.25" customHeight="1" x14ac:dyDescent="0.3"/>
    <row r="848" s="1" customFormat="1" ht="14.25" customHeight="1" x14ac:dyDescent="0.3"/>
    <row r="849" s="1" customFormat="1" ht="14.25" customHeight="1" x14ac:dyDescent="0.3"/>
    <row r="850" s="1" customFormat="1" ht="14.25" customHeight="1" x14ac:dyDescent="0.3"/>
    <row r="851" s="1" customFormat="1" ht="14.25" customHeight="1" x14ac:dyDescent="0.3"/>
    <row r="852" s="1" customFormat="1" ht="14.25" customHeight="1" x14ac:dyDescent="0.3"/>
    <row r="853" s="1" customFormat="1" ht="14.25" customHeight="1" x14ac:dyDescent="0.3"/>
    <row r="854" s="1" customFormat="1" ht="14.25" customHeight="1" x14ac:dyDescent="0.3"/>
    <row r="855" s="1" customFormat="1" ht="14.25" customHeight="1" x14ac:dyDescent="0.3"/>
    <row r="856" s="1" customFormat="1" ht="14.25" customHeight="1" x14ac:dyDescent="0.3"/>
    <row r="857" s="1" customFormat="1" ht="14.25" customHeight="1" x14ac:dyDescent="0.3"/>
    <row r="858" s="1" customFormat="1" ht="14.25" customHeight="1" x14ac:dyDescent="0.3"/>
    <row r="859" s="1" customFormat="1" ht="14.25" customHeight="1" x14ac:dyDescent="0.3"/>
    <row r="860" s="1" customFormat="1" ht="14.25" customHeight="1" x14ac:dyDescent="0.3"/>
    <row r="861" s="1" customFormat="1" ht="14.25" customHeight="1" x14ac:dyDescent="0.3"/>
    <row r="862" s="1" customFormat="1" ht="14.25" customHeight="1" x14ac:dyDescent="0.3"/>
    <row r="863" s="1" customFormat="1" ht="14.25" customHeight="1" x14ac:dyDescent="0.3"/>
    <row r="864" s="1" customFormat="1" ht="14.25" customHeight="1" x14ac:dyDescent="0.3"/>
    <row r="865" s="1" customFormat="1" ht="14.25" customHeight="1" x14ac:dyDescent="0.3"/>
    <row r="866" s="1" customFormat="1" ht="14.25" customHeight="1" x14ac:dyDescent="0.3"/>
    <row r="867" s="1" customFormat="1" ht="14.25" customHeight="1" x14ac:dyDescent="0.3"/>
    <row r="868" s="1" customFormat="1" ht="14.25" customHeight="1" x14ac:dyDescent="0.3"/>
    <row r="869" s="1" customFormat="1" ht="14.25" customHeight="1" x14ac:dyDescent="0.3"/>
    <row r="870" s="1" customFormat="1" ht="14.25" customHeight="1" x14ac:dyDescent="0.3"/>
    <row r="871" s="1" customFormat="1" ht="14.25" customHeight="1" x14ac:dyDescent="0.3"/>
    <row r="872" s="1" customFormat="1" ht="14.25" customHeight="1" x14ac:dyDescent="0.3"/>
    <row r="873" s="1" customFormat="1" ht="14.25" customHeight="1" x14ac:dyDescent="0.3"/>
    <row r="874" s="1" customFormat="1" ht="14.25" customHeight="1" x14ac:dyDescent="0.3"/>
    <row r="875" s="1" customFormat="1" ht="14.25" customHeight="1" x14ac:dyDescent="0.3"/>
    <row r="876" s="1" customFormat="1" ht="14.25" customHeight="1" x14ac:dyDescent="0.3"/>
    <row r="877" s="1" customFormat="1" ht="14.25" customHeight="1" x14ac:dyDescent="0.3"/>
    <row r="878" s="1" customFormat="1" ht="14.25" customHeight="1" x14ac:dyDescent="0.3"/>
    <row r="879" s="1" customFormat="1" ht="14.25" customHeight="1" x14ac:dyDescent="0.3"/>
    <row r="880" s="1" customFormat="1" ht="14.25" customHeight="1" x14ac:dyDescent="0.3"/>
    <row r="881" s="1" customFormat="1" ht="14.25" customHeight="1" x14ac:dyDescent="0.3"/>
    <row r="882" s="1" customFormat="1" ht="14.25" customHeight="1" x14ac:dyDescent="0.3"/>
    <row r="883" s="1" customFormat="1" ht="14.25" customHeight="1" x14ac:dyDescent="0.3"/>
    <row r="884" s="1" customFormat="1" ht="14.25" customHeight="1" x14ac:dyDescent="0.3"/>
    <row r="885" s="1" customFormat="1" ht="14.25" customHeight="1" x14ac:dyDescent="0.3"/>
    <row r="886" s="1" customFormat="1" ht="14.25" customHeight="1" x14ac:dyDescent="0.3"/>
    <row r="887" s="1" customFormat="1" ht="14.25" customHeight="1" x14ac:dyDescent="0.3"/>
    <row r="888" s="1" customFormat="1" ht="14.25" customHeight="1" x14ac:dyDescent="0.3"/>
    <row r="889" s="1" customFormat="1" ht="14.25" customHeight="1" x14ac:dyDescent="0.3"/>
    <row r="890" s="1" customFormat="1" ht="14.25" customHeight="1" x14ac:dyDescent="0.3"/>
    <row r="891" s="1" customFormat="1" ht="14.25" customHeight="1" x14ac:dyDescent="0.3"/>
    <row r="892" s="1" customFormat="1" ht="14.25" customHeight="1" x14ac:dyDescent="0.3"/>
    <row r="893" s="1" customFormat="1" ht="14.25" customHeight="1" x14ac:dyDescent="0.3"/>
    <row r="894" s="1" customFormat="1" ht="14.25" customHeight="1" x14ac:dyDescent="0.3"/>
    <row r="895" s="1" customFormat="1" ht="14.25" customHeight="1" x14ac:dyDescent="0.3"/>
    <row r="896" s="1" customFormat="1" ht="14.25" customHeight="1" x14ac:dyDescent="0.3"/>
    <row r="897" s="1" customFormat="1" ht="14.25" customHeight="1" x14ac:dyDescent="0.3"/>
    <row r="898" s="1" customFormat="1" ht="14.25" customHeight="1" x14ac:dyDescent="0.3"/>
    <row r="899" s="1" customFormat="1" ht="14.25" customHeight="1" x14ac:dyDescent="0.3"/>
    <row r="900" s="1" customFormat="1" ht="14.25" customHeight="1" x14ac:dyDescent="0.3"/>
    <row r="901" s="1" customFormat="1" ht="14.25" customHeight="1" x14ac:dyDescent="0.3"/>
    <row r="902" s="1" customFormat="1" ht="14.25" customHeight="1" x14ac:dyDescent="0.3"/>
    <row r="903" s="1" customFormat="1" ht="14.25" customHeight="1" x14ac:dyDescent="0.3"/>
    <row r="904" s="1" customFormat="1" ht="14.25" customHeight="1" x14ac:dyDescent="0.3"/>
    <row r="905" s="1" customFormat="1" ht="14.25" customHeight="1" x14ac:dyDescent="0.3"/>
    <row r="906" s="1" customFormat="1" ht="14.25" customHeight="1" x14ac:dyDescent="0.3"/>
    <row r="907" s="1" customFormat="1" ht="14.25" customHeight="1" x14ac:dyDescent="0.3"/>
    <row r="908" s="1" customFormat="1" ht="14.25" customHeight="1" x14ac:dyDescent="0.3"/>
    <row r="909" s="1" customFormat="1" ht="14.25" customHeight="1" x14ac:dyDescent="0.3"/>
    <row r="910" s="1" customFormat="1" ht="14.25" customHeight="1" x14ac:dyDescent="0.3"/>
    <row r="911" s="1" customFormat="1" ht="14.25" customHeight="1" x14ac:dyDescent="0.3"/>
    <row r="912" s="1" customFormat="1" ht="14.25" customHeight="1" x14ac:dyDescent="0.3"/>
    <row r="913" s="1" customFormat="1" ht="14.25" customHeight="1" x14ac:dyDescent="0.3"/>
    <row r="914" s="1" customFormat="1" ht="14.25" customHeight="1" x14ac:dyDescent="0.3"/>
    <row r="915" s="1" customFormat="1" ht="14.25" customHeight="1" x14ac:dyDescent="0.3"/>
    <row r="916" s="1" customFormat="1" ht="14.25" customHeight="1" x14ac:dyDescent="0.3"/>
    <row r="917" s="1" customFormat="1" ht="14.25" customHeight="1" x14ac:dyDescent="0.3"/>
    <row r="918" s="1" customFormat="1" ht="14.25" customHeight="1" x14ac:dyDescent="0.3"/>
    <row r="919" s="1" customFormat="1" ht="14.25" customHeight="1" x14ac:dyDescent="0.3"/>
    <row r="920" s="1" customFormat="1" ht="14.25" customHeight="1" x14ac:dyDescent="0.3"/>
    <row r="921" s="1" customFormat="1" ht="14.25" customHeight="1" x14ac:dyDescent="0.3"/>
    <row r="922" s="1" customFormat="1" ht="14.25" customHeight="1" x14ac:dyDescent="0.3"/>
    <row r="923" s="1" customFormat="1" ht="14.25" customHeight="1" x14ac:dyDescent="0.3"/>
    <row r="924" s="1" customFormat="1" ht="14.25" customHeight="1" x14ac:dyDescent="0.3"/>
    <row r="925" s="1" customFormat="1" ht="14.25" customHeight="1" x14ac:dyDescent="0.3"/>
    <row r="926" s="1" customFormat="1" ht="14.25" customHeight="1" x14ac:dyDescent="0.3"/>
    <row r="927" s="1" customFormat="1" ht="14.25" customHeight="1" x14ac:dyDescent="0.3"/>
    <row r="928" s="1" customFormat="1" ht="14.25" customHeight="1" x14ac:dyDescent="0.3"/>
    <row r="929" s="1" customFormat="1" ht="14.25" customHeight="1" x14ac:dyDescent="0.3"/>
    <row r="930" s="1" customFormat="1" ht="14.25" customHeight="1" x14ac:dyDescent="0.3"/>
    <row r="931" s="1" customFormat="1" ht="14.25" customHeight="1" x14ac:dyDescent="0.3"/>
    <row r="932" s="1" customFormat="1" ht="14.25" customHeight="1" x14ac:dyDescent="0.3"/>
    <row r="933" s="1" customFormat="1" ht="14.25" customHeight="1" x14ac:dyDescent="0.3"/>
    <row r="934" s="1" customFormat="1" ht="14.25" customHeight="1" x14ac:dyDescent="0.3"/>
    <row r="935" s="1" customFormat="1" ht="14.25" customHeight="1" x14ac:dyDescent="0.3"/>
    <row r="936" s="1" customFormat="1" ht="14.25" customHeight="1" x14ac:dyDescent="0.3"/>
    <row r="937" s="1" customFormat="1" ht="14.25" customHeight="1" x14ac:dyDescent="0.3"/>
    <row r="938" s="1" customFormat="1" ht="14.25" customHeight="1" x14ac:dyDescent="0.3"/>
    <row r="939" s="1" customFormat="1" ht="14.25" customHeight="1" x14ac:dyDescent="0.3"/>
    <row r="940" s="1" customFormat="1" ht="14.25" customHeight="1" x14ac:dyDescent="0.3"/>
    <row r="941" s="1" customFormat="1" ht="14.25" customHeight="1" x14ac:dyDescent="0.3"/>
    <row r="942" s="1" customFormat="1" ht="14.25" customHeight="1" x14ac:dyDescent="0.3"/>
    <row r="943" s="1" customFormat="1" ht="14.25" customHeight="1" x14ac:dyDescent="0.3"/>
    <row r="944" s="1" customFormat="1" ht="14.25" customHeight="1" x14ac:dyDescent="0.3"/>
    <row r="945" s="1" customFormat="1" ht="14.25" customHeight="1" x14ac:dyDescent="0.3"/>
    <row r="946" s="1" customFormat="1" ht="14.25" customHeight="1" x14ac:dyDescent="0.3"/>
    <row r="947" s="1" customFormat="1" ht="14.25" customHeight="1" x14ac:dyDescent="0.3"/>
    <row r="948" s="1" customFormat="1" ht="14.25" customHeight="1" x14ac:dyDescent="0.3"/>
    <row r="949" s="1" customFormat="1" ht="14.25" customHeight="1" x14ac:dyDescent="0.3"/>
    <row r="950" s="1" customFormat="1" ht="14.25" customHeight="1" x14ac:dyDescent="0.3"/>
    <row r="951" s="1" customFormat="1" ht="14.25" customHeight="1" x14ac:dyDescent="0.3"/>
    <row r="952" s="1" customFormat="1" ht="14.25" customHeight="1" x14ac:dyDescent="0.3"/>
    <row r="953" s="1" customFormat="1" ht="14.25" customHeight="1" x14ac:dyDescent="0.3"/>
    <row r="954" s="1" customFormat="1" ht="14.25" customHeight="1" x14ac:dyDescent="0.3"/>
    <row r="955" s="1" customFormat="1" ht="14.25" customHeight="1" x14ac:dyDescent="0.3"/>
    <row r="956" s="1" customFormat="1" ht="14.25" customHeight="1" x14ac:dyDescent="0.3"/>
    <row r="957" s="1" customFormat="1" ht="14.25" customHeight="1" x14ac:dyDescent="0.3"/>
    <row r="958" s="1" customFormat="1" ht="14.25" customHeight="1" x14ac:dyDescent="0.3"/>
    <row r="959" s="1" customFormat="1" ht="14.25" customHeight="1" x14ac:dyDescent="0.3"/>
    <row r="960" s="1" customFormat="1" ht="14.25" customHeight="1" x14ac:dyDescent="0.3"/>
    <row r="961" s="1" customFormat="1" ht="14.25" customHeight="1" x14ac:dyDescent="0.3"/>
    <row r="962" s="1" customFormat="1" ht="14.25" customHeight="1" x14ac:dyDescent="0.3"/>
    <row r="963" s="1" customFormat="1" ht="14.25" customHeight="1" x14ac:dyDescent="0.3"/>
    <row r="964" s="1" customFormat="1" ht="14.25" customHeight="1" x14ac:dyDescent="0.3"/>
    <row r="965" s="1" customFormat="1" ht="14.25" customHeight="1" x14ac:dyDescent="0.3"/>
    <row r="966" s="1" customFormat="1" ht="14.25" customHeight="1" x14ac:dyDescent="0.3"/>
    <row r="967" s="1" customFormat="1" ht="14.25" customHeight="1" x14ac:dyDescent="0.3"/>
    <row r="968" s="1" customFormat="1" ht="14.25" customHeight="1" x14ac:dyDescent="0.3"/>
    <row r="969" s="1" customFormat="1" ht="14.25" customHeight="1" x14ac:dyDescent="0.3"/>
    <row r="970" s="1" customFormat="1" ht="14.25" customHeight="1" x14ac:dyDescent="0.3"/>
    <row r="971" s="1" customFormat="1" ht="14.25" customHeight="1" x14ac:dyDescent="0.3"/>
    <row r="972" s="1" customFormat="1" ht="14.25" customHeight="1" x14ac:dyDescent="0.3"/>
    <row r="973" s="1" customFormat="1" ht="14.25" customHeight="1" x14ac:dyDescent="0.3"/>
    <row r="974" s="1" customFormat="1" ht="14.25" customHeight="1" x14ac:dyDescent="0.3"/>
    <row r="975" s="1" customFormat="1" ht="14.25" customHeight="1" x14ac:dyDescent="0.3"/>
    <row r="976" s="1" customFormat="1" ht="14.25" customHeight="1" x14ac:dyDescent="0.3"/>
    <row r="977" s="1" customFormat="1" ht="14.25" customHeight="1" x14ac:dyDescent="0.3"/>
    <row r="978" s="1" customFormat="1" ht="14.25" customHeight="1" x14ac:dyDescent="0.3"/>
    <row r="979" s="1" customFormat="1" ht="14.25" customHeight="1" x14ac:dyDescent="0.3"/>
    <row r="980" s="1" customFormat="1" ht="14.25" customHeight="1" x14ac:dyDescent="0.3"/>
    <row r="981" s="1" customFormat="1" ht="14.25" customHeight="1" x14ac:dyDescent="0.3"/>
    <row r="982" s="1" customFormat="1" ht="14.25" customHeight="1" x14ac:dyDescent="0.3"/>
    <row r="983" s="1" customFormat="1" ht="14.25" customHeight="1" x14ac:dyDescent="0.3"/>
    <row r="984" s="1" customFormat="1" ht="14.25" customHeight="1" x14ac:dyDescent="0.3"/>
    <row r="985" s="1" customFormat="1" ht="14.25" customHeight="1" x14ac:dyDescent="0.3"/>
    <row r="986" s="1" customFormat="1" ht="14.25" customHeight="1" x14ac:dyDescent="0.3"/>
    <row r="987" s="1" customFormat="1" ht="14.25" customHeight="1" x14ac:dyDescent="0.3"/>
    <row r="988" s="1" customFormat="1" ht="14.25" customHeight="1" x14ac:dyDescent="0.3"/>
    <row r="989" s="1" customFormat="1" ht="14.25" customHeight="1" x14ac:dyDescent="0.3"/>
    <row r="990" s="1" customFormat="1" ht="14.25" customHeight="1" x14ac:dyDescent="0.3"/>
    <row r="991" s="1" customFormat="1" ht="14.25" customHeight="1" x14ac:dyDescent="0.3"/>
    <row r="992" s="1" customFormat="1" ht="14.25" customHeight="1" x14ac:dyDescent="0.3"/>
    <row r="993" s="1" customFormat="1" ht="14.25" customHeight="1" x14ac:dyDescent="0.3"/>
    <row r="994" s="1" customFormat="1" ht="14.25" customHeight="1" x14ac:dyDescent="0.3"/>
    <row r="995" s="1" customFormat="1" ht="14.25" customHeight="1" x14ac:dyDescent="0.3"/>
    <row r="996" s="1" customFormat="1" ht="14.25" customHeight="1" x14ac:dyDescent="0.3"/>
    <row r="997" s="1" customFormat="1" ht="14.25" customHeight="1" x14ac:dyDescent="0.3"/>
    <row r="998" s="1" customFormat="1" ht="14.25" customHeight="1" x14ac:dyDescent="0.3"/>
    <row r="999" s="1" customFormat="1" ht="14.25" customHeight="1" x14ac:dyDescent="0.3"/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744B2-5FA4-4B46-AF8E-7A0E107B0D31}">
  <dimension ref="A1:M999"/>
  <sheetViews>
    <sheetView workbookViewId="0">
      <selection activeCell="E3" sqref="E3"/>
    </sheetView>
  </sheetViews>
  <sheetFormatPr baseColWidth="10" defaultColWidth="12.6328125" defaultRowHeight="15" customHeight="1" x14ac:dyDescent="0.3"/>
  <cols>
    <col min="1" max="1" width="15.7265625" style="1" customWidth="1"/>
    <col min="2" max="7" width="10.6328125" style="1" customWidth="1"/>
    <col min="8" max="8" width="11.36328125" style="1" customWidth="1"/>
    <col min="9" max="25" width="10.6328125" style="1" customWidth="1"/>
    <col min="26" max="16384" width="12.6328125" style="1"/>
  </cols>
  <sheetData>
    <row r="1" spans="1:13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4.25" customHeight="1" x14ac:dyDescent="0.3">
      <c r="A2" s="1" t="s">
        <v>12</v>
      </c>
      <c r="B2" s="1" t="s">
        <v>13</v>
      </c>
      <c r="C2" s="1">
        <v>1</v>
      </c>
      <c r="H2" s="2" t="s">
        <v>14</v>
      </c>
      <c r="I2" s="3">
        <f t="shared" ref="I2:L2" si="0">SUM(C22+C37+C55+C65+C66+C96+C105+C113+C128+C146+C150)</f>
        <v>9</v>
      </c>
      <c r="J2" s="3">
        <f t="shared" si="0"/>
        <v>0</v>
      </c>
      <c r="K2" s="3">
        <f t="shared" si="0"/>
        <v>1</v>
      </c>
      <c r="L2" s="3">
        <f t="shared" si="0"/>
        <v>1</v>
      </c>
      <c r="M2" s="3">
        <f t="shared" ref="M2:M13" si="1">SUM(I2:L2)</f>
        <v>11</v>
      </c>
    </row>
    <row r="3" spans="1:13" ht="14.25" customHeight="1" x14ac:dyDescent="0.3">
      <c r="A3" s="1" t="s">
        <v>15</v>
      </c>
      <c r="B3" s="1" t="s">
        <v>16</v>
      </c>
      <c r="C3" s="1">
        <v>1</v>
      </c>
      <c r="H3" s="2" t="s">
        <v>17</v>
      </c>
      <c r="I3" s="3">
        <f t="shared" ref="I3:L3" si="2">SUM(C6+C32+C50+C52+C58+C69+C76+C94+C115+C122+C123+C152)</f>
        <v>12</v>
      </c>
      <c r="J3" s="3">
        <f t="shared" si="2"/>
        <v>0</v>
      </c>
      <c r="K3" s="3">
        <f t="shared" si="2"/>
        <v>0</v>
      </c>
      <c r="L3" s="3">
        <f t="shared" si="2"/>
        <v>0</v>
      </c>
      <c r="M3" s="3">
        <f t="shared" si="1"/>
        <v>12</v>
      </c>
    </row>
    <row r="4" spans="1:13" ht="14.25" customHeight="1" x14ac:dyDescent="0.3">
      <c r="A4" s="1" t="s">
        <v>18</v>
      </c>
      <c r="B4" s="1" t="s">
        <v>13</v>
      </c>
      <c r="C4" s="1">
        <v>1</v>
      </c>
      <c r="H4" s="2" t="s">
        <v>19</v>
      </c>
      <c r="I4" s="3">
        <f t="shared" ref="I4:L4" si="3">SUM(C26+C14+C27+C62+C68+C124+C138+C142+C153+C155)</f>
        <v>10</v>
      </c>
      <c r="J4" s="3">
        <f t="shared" si="3"/>
        <v>0</v>
      </c>
      <c r="K4" s="3">
        <f t="shared" si="3"/>
        <v>0</v>
      </c>
      <c r="L4" s="3">
        <f t="shared" si="3"/>
        <v>0</v>
      </c>
      <c r="M4" s="3">
        <f t="shared" si="1"/>
        <v>10</v>
      </c>
    </row>
    <row r="5" spans="1:13" ht="14.25" customHeight="1" x14ac:dyDescent="0.3">
      <c r="A5" s="1" t="s">
        <v>20</v>
      </c>
      <c r="B5" s="1" t="s">
        <v>21</v>
      </c>
      <c r="C5" s="1">
        <v>1</v>
      </c>
      <c r="H5" s="2" t="s">
        <v>22</v>
      </c>
      <c r="I5" s="3">
        <f t="shared" ref="I5:L5" si="4">SUM(C5+C36+C56+C63+C73+C85+C87+C95+C135)</f>
        <v>8</v>
      </c>
      <c r="J5" s="3">
        <f t="shared" si="4"/>
        <v>0</v>
      </c>
      <c r="K5" s="3">
        <f t="shared" si="4"/>
        <v>0</v>
      </c>
      <c r="L5" s="3">
        <f t="shared" si="4"/>
        <v>1</v>
      </c>
      <c r="M5" s="3">
        <f t="shared" si="1"/>
        <v>9</v>
      </c>
    </row>
    <row r="6" spans="1:13" ht="14.25" customHeight="1" x14ac:dyDescent="0.3">
      <c r="A6" s="1" t="s">
        <v>23</v>
      </c>
      <c r="B6" s="1" t="s">
        <v>24</v>
      </c>
      <c r="C6" s="1">
        <v>1</v>
      </c>
      <c r="H6" s="2" t="s">
        <v>25</v>
      </c>
      <c r="I6" s="3">
        <f t="shared" ref="I6:L6" si="5">SUM(C12+C15+C18+C28+C41+C59+C78+C64+C82+C83+C86+C106+C119+C143+C148+C154)</f>
        <v>16</v>
      </c>
      <c r="J6" s="3">
        <f t="shared" si="5"/>
        <v>0</v>
      </c>
      <c r="K6" s="3">
        <f t="shared" si="5"/>
        <v>0</v>
      </c>
      <c r="L6" s="3">
        <f t="shared" si="5"/>
        <v>0</v>
      </c>
      <c r="M6" s="3">
        <f t="shared" si="1"/>
        <v>16</v>
      </c>
    </row>
    <row r="7" spans="1:13" ht="14.25" customHeight="1" x14ac:dyDescent="0.3">
      <c r="A7" s="1" t="s">
        <v>26</v>
      </c>
      <c r="B7" s="1" t="s">
        <v>27</v>
      </c>
      <c r="D7" s="1">
        <v>1</v>
      </c>
      <c r="H7" s="2" t="s">
        <v>28</v>
      </c>
      <c r="I7" s="3">
        <f t="shared" ref="I7:L7" si="6">SUM(C3+C20+C46+C49+C54+C89+C90+C102+C112+C114+C129+C141)</f>
        <v>11</v>
      </c>
      <c r="J7" s="3">
        <f t="shared" si="6"/>
        <v>0</v>
      </c>
      <c r="K7" s="3">
        <f t="shared" si="6"/>
        <v>1</v>
      </c>
      <c r="L7" s="3">
        <f t="shared" si="6"/>
        <v>0</v>
      </c>
      <c r="M7" s="3">
        <f t="shared" si="1"/>
        <v>12</v>
      </c>
    </row>
    <row r="8" spans="1:13" ht="14.25" customHeight="1" x14ac:dyDescent="0.3">
      <c r="A8" s="1" t="s">
        <v>29</v>
      </c>
      <c r="B8" s="1" t="s">
        <v>30</v>
      </c>
      <c r="E8" s="1">
        <v>1</v>
      </c>
      <c r="H8" s="2" t="s">
        <v>27</v>
      </c>
      <c r="I8" s="3">
        <f t="shared" ref="I8:L8" si="7">SUM(C7+C30+C29+C44+C51+C60+C72+C79+C101+C99+C107+C111+C117+C140+C144)</f>
        <v>3</v>
      </c>
      <c r="J8" s="3">
        <f t="shared" si="7"/>
        <v>12</v>
      </c>
      <c r="K8" s="3">
        <f t="shared" si="7"/>
        <v>0</v>
      </c>
      <c r="L8" s="3">
        <f t="shared" si="7"/>
        <v>0</v>
      </c>
      <c r="M8" s="3">
        <f t="shared" si="1"/>
        <v>15</v>
      </c>
    </row>
    <row r="9" spans="1:13" ht="14.25" customHeight="1" x14ac:dyDescent="0.3">
      <c r="A9" s="1" t="s">
        <v>31</v>
      </c>
      <c r="B9" s="1" t="s">
        <v>13</v>
      </c>
      <c r="C9" s="1">
        <v>1</v>
      </c>
      <c r="H9" s="2" t="s">
        <v>13</v>
      </c>
      <c r="I9" s="3">
        <f t="shared" ref="I9:J9" si="8">SUM(C4+C9+C17+C19+C2+C48+C92+C120+C126+C127+C130+C133+C151)</f>
        <v>7</v>
      </c>
      <c r="J9" s="3">
        <f t="shared" si="8"/>
        <v>5</v>
      </c>
      <c r="K9" s="3">
        <f>SUM(D4+D9+D17+D19+D2+D48+D92+D120+D126+D127+D130+D133+D151)</f>
        <v>5</v>
      </c>
      <c r="L9" s="3">
        <f>SUM(F4+F9+F17+F19+F2+F48+F92+F120+F126+F127+F130+F133+F151)</f>
        <v>0</v>
      </c>
      <c r="M9" s="3">
        <f t="shared" si="1"/>
        <v>17</v>
      </c>
    </row>
    <row r="10" spans="1:13" ht="14.25" customHeight="1" x14ac:dyDescent="0.3">
      <c r="A10" s="1" t="s">
        <v>32</v>
      </c>
      <c r="B10" s="1" t="s">
        <v>33</v>
      </c>
      <c r="C10" s="1">
        <v>1</v>
      </c>
      <c r="H10" s="2" t="s">
        <v>30</v>
      </c>
      <c r="I10" s="3">
        <f t="shared" ref="I10:L10" si="9">SUM(C8+C13+C16+C25+C31+C35+C43+C45+C70+C71+C75+C81+C88+C93+C98+C100+C104+C118+C136+C137+C156)</f>
        <v>1</v>
      </c>
      <c r="J10" s="3">
        <f t="shared" si="9"/>
        <v>5</v>
      </c>
      <c r="K10" s="3">
        <f t="shared" si="9"/>
        <v>15</v>
      </c>
      <c r="L10" s="3">
        <f t="shared" si="9"/>
        <v>0</v>
      </c>
      <c r="M10" s="3">
        <f t="shared" si="1"/>
        <v>21</v>
      </c>
    </row>
    <row r="11" spans="1:13" ht="14.25" customHeight="1" x14ac:dyDescent="0.3">
      <c r="A11" s="1" t="s">
        <v>34</v>
      </c>
      <c r="B11" s="1" t="s">
        <v>33</v>
      </c>
      <c r="C11" s="1">
        <v>1</v>
      </c>
      <c r="H11" s="2" t="s">
        <v>35</v>
      </c>
      <c r="I11" s="3">
        <f t="shared" ref="I11:L11" si="10">SUM(C38+C42+C47+C53+C74+C77+C80+C91+C97+C103+C108+C116+C131+C145+C147)</f>
        <v>1</v>
      </c>
      <c r="J11" s="3">
        <f t="shared" si="10"/>
        <v>3</v>
      </c>
      <c r="K11" s="3">
        <f t="shared" si="10"/>
        <v>11</v>
      </c>
      <c r="L11" s="3">
        <f t="shared" si="10"/>
        <v>0</v>
      </c>
      <c r="M11" s="3">
        <f t="shared" si="1"/>
        <v>15</v>
      </c>
    </row>
    <row r="12" spans="1:13" ht="14.25" customHeight="1" x14ac:dyDescent="0.3">
      <c r="A12" s="1" t="s">
        <v>36</v>
      </c>
      <c r="B12" s="1" t="s">
        <v>37</v>
      </c>
      <c r="C12" s="1">
        <v>1</v>
      </c>
      <c r="H12" s="2" t="s">
        <v>38</v>
      </c>
      <c r="I12" s="3">
        <f t="shared" ref="I12:L12" si="11">SUM(C21+C24+C34+C40+C67+C84+C132)</f>
        <v>3</v>
      </c>
      <c r="J12" s="3">
        <f t="shared" si="11"/>
        <v>2</v>
      </c>
      <c r="K12" s="3">
        <f t="shared" si="11"/>
        <v>2</v>
      </c>
      <c r="L12" s="3">
        <f t="shared" si="11"/>
        <v>0</v>
      </c>
      <c r="M12" s="3">
        <f t="shared" si="1"/>
        <v>7</v>
      </c>
    </row>
    <row r="13" spans="1:13" ht="14.25" customHeight="1" x14ac:dyDescent="0.3">
      <c r="A13" s="1" t="s">
        <v>39</v>
      </c>
      <c r="B13" s="1" t="s">
        <v>30</v>
      </c>
      <c r="E13" s="1">
        <v>1</v>
      </c>
      <c r="H13" s="2" t="s">
        <v>33</v>
      </c>
      <c r="I13" s="3">
        <f t="shared" ref="I13:L13" si="12">SUM(C10+C11+C57+C125+C149)</f>
        <v>5</v>
      </c>
      <c r="J13" s="3">
        <f t="shared" si="12"/>
        <v>0</v>
      </c>
      <c r="K13" s="3">
        <f t="shared" si="12"/>
        <v>0</v>
      </c>
      <c r="L13" s="3">
        <f t="shared" si="12"/>
        <v>0</v>
      </c>
      <c r="M13" s="3">
        <f t="shared" si="1"/>
        <v>5</v>
      </c>
    </row>
    <row r="14" spans="1:13" ht="14.25" customHeight="1" x14ac:dyDescent="0.3">
      <c r="A14" s="1" t="s">
        <v>40</v>
      </c>
      <c r="B14" s="1" t="s">
        <v>19</v>
      </c>
      <c r="C14" s="1">
        <v>1</v>
      </c>
      <c r="I14" s="4"/>
      <c r="J14" s="4"/>
      <c r="K14" s="4"/>
      <c r="L14" s="4"/>
    </row>
    <row r="15" spans="1:13" ht="14.25" customHeight="1" x14ac:dyDescent="0.3">
      <c r="A15" s="1" t="s">
        <v>41</v>
      </c>
      <c r="B15" s="1" t="s">
        <v>42</v>
      </c>
      <c r="C15" s="1">
        <v>1</v>
      </c>
      <c r="I15" s="4"/>
      <c r="J15" s="4"/>
      <c r="K15" s="4"/>
      <c r="L15" s="4"/>
    </row>
    <row r="16" spans="1:13" ht="14.25" customHeight="1" x14ac:dyDescent="0.3">
      <c r="A16" s="1" t="s">
        <v>43</v>
      </c>
      <c r="B16" s="1" t="s">
        <v>30</v>
      </c>
      <c r="E16" s="1">
        <v>1</v>
      </c>
      <c r="I16" s="4"/>
      <c r="J16" s="4"/>
      <c r="K16" s="4"/>
      <c r="L16" s="4"/>
    </row>
    <row r="17" spans="1:12" ht="14.25" customHeight="1" x14ac:dyDescent="0.3">
      <c r="A17" s="1" t="s">
        <v>44</v>
      </c>
      <c r="B17" s="1" t="s">
        <v>13</v>
      </c>
      <c r="D17" s="1">
        <v>1</v>
      </c>
      <c r="I17" s="4"/>
      <c r="J17" s="4"/>
      <c r="K17" s="4"/>
      <c r="L17" s="4"/>
    </row>
    <row r="18" spans="1:12" ht="14.25" customHeight="1" x14ac:dyDescent="0.3">
      <c r="A18" s="1" t="s">
        <v>45</v>
      </c>
      <c r="B18" s="1" t="s">
        <v>37</v>
      </c>
      <c r="C18" s="1">
        <v>1</v>
      </c>
      <c r="I18" s="4"/>
      <c r="J18" s="4"/>
      <c r="K18" s="4"/>
      <c r="L18" s="4"/>
    </row>
    <row r="19" spans="1:12" ht="14.25" customHeight="1" x14ac:dyDescent="0.3">
      <c r="A19" s="1" t="s">
        <v>46</v>
      </c>
      <c r="B19" s="1" t="s">
        <v>13</v>
      </c>
      <c r="C19" s="1">
        <v>1</v>
      </c>
    </row>
    <row r="20" spans="1:12" ht="14.25" customHeight="1" x14ac:dyDescent="0.3">
      <c r="A20" s="1" t="s">
        <v>47</v>
      </c>
      <c r="B20" s="1" t="s">
        <v>16</v>
      </c>
      <c r="C20" s="1">
        <v>1</v>
      </c>
    </row>
    <row r="21" spans="1:12" ht="14.25" customHeight="1" x14ac:dyDescent="0.3">
      <c r="A21" s="1" t="s">
        <v>48</v>
      </c>
      <c r="B21" s="1" t="s">
        <v>38</v>
      </c>
      <c r="C21" s="1">
        <v>1</v>
      </c>
    </row>
    <row r="22" spans="1:12" ht="14.25" customHeight="1" x14ac:dyDescent="0.3">
      <c r="A22" s="1" t="s">
        <v>49</v>
      </c>
      <c r="B22" s="1" t="s">
        <v>14</v>
      </c>
      <c r="C22" s="1">
        <v>1</v>
      </c>
    </row>
    <row r="23" spans="1:12" ht="14.25" customHeight="1" x14ac:dyDescent="0.3">
      <c r="A23" s="1" t="s">
        <v>50</v>
      </c>
      <c r="B23" s="1" t="s">
        <v>13</v>
      </c>
      <c r="D23" s="1">
        <v>1</v>
      </c>
    </row>
    <row r="24" spans="1:12" ht="14.25" customHeight="1" x14ac:dyDescent="0.3">
      <c r="A24" s="1" t="s">
        <v>51</v>
      </c>
      <c r="B24" s="1" t="s">
        <v>38</v>
      </c>
      <c r="E24" s="1">
        <v>1</v>
      </c>
    </row>
    <row r="25" spans="1:12" ht="14.25" customHeight="1" x14ac:dyDescent="0.3">
      <c r="A25" s="1" t="s">
        <v>52</v>
      </c>
      <c r="B25" s="1" t="s">
        <v>30</v>
      </c>
      <c r="D25" s="1">
        <v>1</v>
      </c>
    </row>
    <row r="26" spans="1:12" ht="14.25" customHeight="1" x14ac:dyDescent="0.3">
      <c r="A26" s="1" t="s">
        <v>53</v>
      </c>
      <c r="B26" s="1" t="s">
        <v>19</v>
      </c>
      <c r="C26" s="1">
        <v>1</v>
      </c>
    </row>
    <row r="27" spans="1:12" ht="14.25" customHeight="1" x14ac:dyDescent="0.3">
      <c r="A27" s="1" t="s">
        <v>54</v>
      </c>
      <c r="B27" s="1" t="s">
        <v>19</v>
      </c>
      <c r="C27" s="1">
        <v>1</v>
      </c>
    </row>
    <row r="28" spans="1:12" ht="14.25" customHeight="1" x14ac:dyDescent="0.3">
      <c r="A28" s="1" t="s">
        <v>55</v>
      </c>
      <c r="B28" s="1" t="s">
        <v>37</v>
      </c>
      <c r="C28" s="1">
        <v>1</v>
      </c>
    </row>
    <row r="29" spans="1:12" ht="14.25" customHeight="1" x14ac:dyDescent="0.3">
      <c r="A29" s="1" t="s">
        <v>56</v>
      </c>
      <c r="B29" s="1" t="s">
        <v>27</v>
      </c>
      <c r="D29" s="1">
        <v>1</v>
      </c>
    </row>
    <row r="30" spans="1:12" ht="14.25" customHeight="1" x14ac:dyDescent="0.3">
      <c r="A30" s="1" t="s">
        <v>57</v>
      </c>
      <c r="B30" s="1" t="s">
        <v>27</v>
      </c>
      <c r="D30" s="1">
        <v>1</v>
      </c>
    </row>
    <row r="31" spans="1:12" ht="14.25" customHeight="1" x14ac:dyDescent="0.3">
      <c r="A31" s="1" t="s">
        <v>58</v>
      </c>
      <c r="B31" s="1" t="s">
        <v>30</v>
      </c>
      <c r="D31" s="1">
        <v>1</v>
      </c>
    </row>
    <row r="32" spans="1:12" ht="14.25" customHeight="1" x14ac:dyDescent="0.3">
      <c r="A32" s="1" t="s">
        <v>59</v>
      </c>
      <c r="B32" s="1" t="s">
        <v>24</v>
      </c>
      <c r="C32" s="1">
        <v>1</v>
      </c>
    </row>
    <row r="33" spans="1:12" ht="14.25" customHeight="1" x14ac:dyDescent="0.3">
      <c r="A33" s="1" t="s">
        <v>60</v>
      </c>
      <c r="B33" s="1" t="s">
        <v>27</v>
      </c>
      <c r="D33" s="1">
        <v>1</v>
      </c>
    </row>
    <row r="34" spans="1:12" ht="14.25" customHeight="1" x14ac:dyDescent="0.3">
      <c r="A34" s="1" t="s">
        <v>61</v>
      </c>
      <c r="B34" s="1" t="s">
        <v>38</v>
      </c>
      <c r="D34" s="1">
        <v>1</v>
      </c>
    </row>
    <row r="35" spans="1:12" ht="14.25" customHeight="1" x14ac:dyDescent="0.3">
      <c r="A35" s="1" t="s">
        <v>62</v>
      </c>
      <c r="B35" s="1" t="s">
        <v>30</v>
      </c>
      <c r="E35" s="1">
        <v>1</v>
      </c>
    </row>
    <row r="36" spans="1:12" ht="14.25" customHeight="1" x14ac:dyDescent="0.3">
      <c r="A36" s="1" t="s">
        <v>63</v>
      </c>
      <c r="B36" s="1" t="s">
        <v>21</v>
      </c>
      <c r="C36" s="1">
        <v>1</v>
      </c>
    </row>
    <row r="37" spans="1:12" ht="14.25" customHeight="1" x14ac:dyDescent="0.3">
      <c r="A37" s="1" t="s">
        <v>64</v>
      </c>
      <c r="B37" s="1" t="s">
        <v>14</v>
      </c>
      <c r="E37" s="1">
        <v>1</v>
      </c>
    </row>
    <row r="38" spans="1:12" ht="14.25" customHeight="1" x14ac:dyDescent="0.3">
      <c r="A38" s="1" t="s">
        <v>65</v>
      </c>
      <c r="B38" s="1" t="s">
        <v>66</v>
      </c>
      <c r="E38" s="1">
        <v>1</v>
      </c>
    </row>
    <row r="39" spans="1:12" ht="14.25" customHeight="1" x14ac:dyDescent="0.3">
      <c r="A39" s="1" t="s">
        <v>67</v>
      </c>
      <c r="B39" s="1" t="s">
        <v>16</v>
      </c>
      <c r="C39" s="1">
        <v>1</v>
      </c>
    </row>
    <row r="40" spans="1:12" ht="14.25" customHeight="1" x14ac:dyDescent="0.3">
      <c r="A40" s="1" t="s">
        <v>68</v>
      </c>
      <c r="B40" s="1" t="s">
        <v>38</v>
      </c>
      <c r="C40" s="1">
        <v>1</v>
      </c>
    </row>
    <row r="41" spans="1:12" ht="14.25" customHeight="1" x14ac:dyDescent="0.3">
      <c r="A41" s="1" t="s">
        <v>69</v>
      </c>
      <c r="B41" s="1" t="s">
        <v>37</v>
      </c>
      <c r="C41" s="1">
        <v>1</v>
      </c>
    </row>
    <row r="42" spans="1:12" ht="14.25" customHeight="1" x14ac:dyDescent="0.3">
      <c r="A42" s="1" t="s">
        <v>70</v>
      </c>
      <c r="B42" s="1" t="s">
        <v>66</v>
      </c>
      <c r="E42" s="1">
        <v>1</v>
      </c>
    </row>
    <row r="43" spans="1:12" ht="14.25" customHeight="1" x14ac:dyDescent="0.3">
      <c r="A43" s="1" t="s">
        <v>71</v>
      </c>
      <c r="B43" s="1" t="s">
        <v>30</v>
      </c>
      <c r="E43" s="1">
        <v>1</v>
      </c>
    </row>
    <row r="44" spans="1:12" ht="14.25" customHeight="1" x14ac:dyDescent="0.3">
      <c r="A44" s="1" t="s">
        <v>72</v>
      </c>
      <c r="B44" s="1" t="s">
        <v>27</v>
      </c>
      <c r="D44" s="1">
        <v>1</v>
      </c>
    </row>
    <row r="45" spans="1:12" ht="14.25" customHeight="1" x14ac:dyDescent="0.3">
      <c r="A45" s="1" t="s">
        <v>73</v>
      </c>
      <c r="B45" s="1" t="s">
        <v>30</v>
      </c>
      <c r="E45" s="1">
        <v>1</v>
      </c>
      <c r="H45" s="1" t="s">
        <v>6</v>
      </c>
      <c r="I45" s="1" t="s">
        <v>7</v>
      </c>
      <c r="J45" s="1" t="s">
        <v>8</v>
      </c>
      <c r="K45" s="1" t="s">
        <v>9</v>
      </c>
      <c r="L45" s="1" t="s">
        <v>10</v>
      </c>
    </row>
    <row r="46" spans="1:12" ht="14.25" customHeight="1" x14ac:dyDescent="0.3">
      <c r="A46" s="1" t="s">
        <v>74</v>
      </c>
      <c r="B46" s="1" t="s">
        <v>16</v>
      </c>
      <c r="C46" s="1">
        <v>1</v>
      </c>
      <c r="H46" s="2" t="s">
        <v>14</v>
      </c>
      <c r="I46" s="4">
        <f t="shared" ref="I46:I57" si="13">I2/M2</f>
        <v>0.81818181818181823</v>
      </c>
      <c r="J46" s="4">
        <f t="shared" ref="J46:J57" si="14">J2/M2</f>
        <v>0</v>
      </c>
      <c r="K46" s="4">
        <f t="shared" ref="K46:K57" si="15">K2/M2</f>
        <v>9.0909090909090912E-2</v>
      </c>
      <c r="L46" s="4">
        <f t="shared" ref="L46:L57" si="16">L2/M2</f>
        <v>9.0909090909090912E-2</v>
      </c>
    </row>
    <row r="47" spans="1:12" ht="14.25" customHeight="1" x14ac:dyDescent="0.3">
      <c r="A47" s="1" t="s">
        <v>75</v>
      </c>
      <c r="B47" s="1" t="s">
        <v>66</v>
      </c>
      <c r="E47" s="1">
        <v>1</v>
      </c>
      <c r="H47" s="2" t="s">
        <v>17</v>
      </c>
      <c r="I47" s="4">
        <f t="shared" si="13"/>
        <v>1</v>
      </c>
      <c r="J47" s="4">
        <f t="shared" si="14"/>
        <v>0</v>
      </c>
      <c r="K47" s="4">
        <f t="shared" si="15"/>
        <v>0</v>
      </c>
      <c r="L47" s="4">
        <f t="shared" si="16"/>
        <v>0</v>
      </c>
    </row>
    <row r="48" spans="1:12" ht="14.25" customHeight="1" x14ac:dyDescent="0.3">
      <c r="A48" s="1" t="s">
        <v>76</v>
      </c>
      <c r="B48" s="1" t="s">
        <v>13</v>
      </c>
      <c r="C48" s="1">
        <v>1</v>
      </c>
      <c r="H48" s="2" t="s">
        <v>19</v>
      </c>
      <c r="I48" s="4">
        <f t="shared" si="13"/>
        <v>1</v>
      </c>
      <c r="J48" s="4">
        <f t="shared" si="14"/>
        <v>0</v>
      </c>
      <c r="K48" s="4">
        <f t="shared" si="15"/>
        <v>0</v>
      </c>
      <c r="L48" s="4">
        <f t="shared" si="16"/>
        <v>0</v>
      </c>
    </row>
    <row r="49" spans="1:12" ht="14.25" customHeight="1" x14ac:dyDescent="0.3">
      <c r="A49" s="1" t="s">
        <v>77</v>
      </c>
      <c r="B49" s="1" t="s">
        <v>16</v>
      </c>
      <c r="C49" s="1">
        <v>1</v>
      </c>
      <c r="H49" s="2" t="s">
        <v>22</v>
      </c>
      <c r="I49" s="4">
        <f t="shared" si="13"/>
        <v>0.88888888888888884</v>
      </c>
      <c r="J49" s="4">
        <f t="shared" si="14"/>
        <v>0</v>
      </c>
      <c r="K49" s="4">
        <f t="shared" si="15"/>
        <v>0</v>
      </c>
      <c r="L49" s="4">
        <f t="shared" si="16"/>
        <v>0.1111111111111111</v>
      </c>
    </row>
    <row r="50" spans="1:12" ht="14.25" customHeight="1" x14ac:dyDescent="0.3">
      <c r="A50" s="1" t="s">
        <v>78</v>
      </c>
      <c r="B50" s="1" t="s">
        <v>24</v>
      </c>
      <c r="C50" s="1">
        <v>1</v>
      </c>
      <c r="H50" s="2" t="s">
        <v>25</v>
      </c>
      <c r="I50" s="4">
        <f t="shared" si="13"/>
        <v>1</v>
      </c>
      <c r="J50" s="4">
        <f t="shared" si="14"/>
        <v>0</v>
      </c>
      <c r="K50" s="4">
        <f t="shared" si="15"/>
        <v>0</v>
      </c>
      <c r="L50" s="4">
        <f t="shared" si="16"/>
        <v>0</v>
      </c>
    </row>
    <row r="51" spans="1:12" ht="14.25" customHeight="1" x14ac:dyDescent="0.3">
      <c r="A51" s="1" t="s">
        <v>79</v>
      </c>
      <c r="B51" s="1" t="s">
        <v>27</v>
      </c>
      <c r="D51" s="1">
        <v>1</v>
      </c>
      <c r="H51" s="2" t="s">
        <v>28</v>
      </c>
      <c r="I51" s="4">
        <f t="shared" si="13"/>
        <v>0.91666666666666663</v>
      </c>
      <c r="J51" s="4">
        <f t="shared" si="14"/>
        <v>0</v>
      </c>
      <c r="K51" s="4">
        <f t="shared" si="15"/>
        <v>8.3333333333333329E-2</v>
      </c>
      <c r="L51" s="4">
        <f t="shared" si="16"/>
        <v>0</v>
      </c>
    </row>
    <row r="52" spans="1:12" ht="14.25" customHeight="1" x14ac:dyDescent="0.3">
      <c r="A52" s="1" t="s">
        <v>80</v>
      </c>
      <c r="B52" s="1" t="s">
        <v>24</v>
      </c>
      <c r="C52" s="1">
        <v>1</v>
      </c>
      <c r="H52" s="2" t="s">
        <v>27</v>
      </c>
      <c r="I52" s="4">
        <f t="shared" si="13"/>
        <v>0.2</v>
      </c>
      <c r="J52" s="4">
        <f t="shared" si="14"/>
        <v>0.8</v>
      </c>
      <c r="K52" s="4">
        <f t="shared" si="15"/>
        <v>0</v>
      </c>
      <c r="L52" s="4">
        <f t="shared" si="16"/>
        <v>0</v>
      </c>
    </row>
    <row r="53" spans="1:12" ht="14.25" customHeight="1" x14ac:dyDescent="0.3">
      <c r="A53" s="1" t="s">
        <v>81</v>
      </c>
      <c r="B53" s="1" t="s">
        <v>66</v>
      </c>
      <c r="E53" s="1">
        <v>1</v>
      </c>
      <c r="H53" s="2" t="s">
        <v>13</v>
      </c>
      <c r="I53" s="4">
        <f t="shared" si="13"/>
        <v>0.41176470588235292</v>
      </c>
      <c r="J53" s="4">
        <f t="shared" si="14"/>
        <v>0.29411764705882354</v>
      </c>
      <c r="K53" s="4">
        <f t="shared" si="15"/>
        <v>0.29411764705882354</v>
      </c>
      <c r="L53" s="4">
        <f t="shared" si="16"/>
        <v>0</v>
      </c>
    </row>
    <row r="54" spans="1:12" ht="14.25" customHeight="1" x14ac:dyDescent="0.3">
      <c r="A54" s="1" t="s">
        <v>82</v>
      </c>
      <c r="B54" s="1" t="s">
        <v>16</v>
      </c>
      <c r="C54" s="1">
        <v>1</v>
      </c>
      <c r="H54" s="2" t="s">
        <v>30</v>
      </c>
      <c r="I54" s="4">
        <f t="shared" si="13"/>
        <v>4.7619047619047616E-2</v>
      </c>
      <c r="J54" s="4">
        <f t="shared" si="14"/>
        <v>0.23809523809523808</v>
      </c>
      <c r="K54" s="4">
        <f t="shared" si="15"/>
        <v>0.7142857142857143</v>
      </c>
      <c r="L54" s="4">
        <f t="shared" si="16"/>
        <v>0</v>
      </c>
    </row>
    <row r="55" spans="1:12" ht="14.25" customHeight="1" x14ac:dyDescent="0.3">
      <c r="A55" s="1" t="s">
        <v>83</v>
      </c>
      <c r="B55" s="1" t="s">
        <v>14</v>
      </c>
      <c r="C55" s="1">
        <v>1</v>
      </c>
      <c r="H55" s="2" t="s">
        <v>35</v>
      </c>
      <c r="I55" s="4">
        <f t="shared" si="13"/>
        <v>6.6666666666666666E-2</v>
      </c>
      <c r="J55" s="4">
        <f t="shared" si="14"/>
        <v>0.2</v>
      </c>
      <c r="K55" s="4">
        <f t="shared" si="15"/>
        <v>0.73333333333333328</v>
      </c>
      <c r="L55" s="4">
        <f t="shared" si="16"/>
        <v>0</v>
      </c>
    </row>
    <row r="56" spans="1:12" ht="14.25" customHeight="1" x14ac:dyDescent="0.3">
      <c r="A56" s="1" t="s">
        <v>84</v>
      </c>
      <c r="B56" s="1" t="s">
        <v>21</v>
      </c>
      <c r="C56" s="1">
        <v>1</v>
      </c>
      <c r="H56" s="2" t="s">
        <v>38</v>
      </c>
      <c r="I56" s="4">
        <f t="shared" si="13"/>
        <v>0.42857142857142855</v>
      </c>
      <c r="J56" s="4">
        <f t="shared" si="14"/>
        <v>0.2857142857142857</v>
      </c>
      <c r="K56" s="4">
        <f t="shared" si="15"/>
        <v>0.2857142857142857</v>
      </c>
      <c r="L56" s="4">
        <f t="shared" si="16"/>
        <v>0</v>
      </c>
    </row>
    <row r="57" spans="1:12" ht="14.25" customHeight="1" x14ac:dyDescent="0.3">
      <c r="A57" s="1" t="s">
        <v>85</v>
      </c>
      <c r="B57" s="1" t="s">
        <v>33</v>
      </c>
      <c r="C57" s="1">
        <v>1</v>
      </c>
      <c r="H57" s="2" t="s">
        <v>33</v>
      </c>
      <c r="I57" s="4">
        <f t="shared" si="13"/>
        <v>1</v>
      </c>
      <c r="J57" s="4">
        <f t="shared" si="14"/>
        <v>0</v>
      </c>
      <c r="K57" s="4">
        <f t="shared" si="15"/>
        <v>0</v>
      </c>
      <c r="L57" s="4">
        <f t="shared" si="16"/>
        <v>0</v>
      </c>
    </row>
    <row r="58" spans="1:12" ht="14.25" customHeight="1" x14ac:dyDescent="0.3">
      <c r="A58" s="1" t="s">
        <v>86</v>
      </c>
      <c r="B58" s="1" t="s">
        <v>24</v>
      </c>
      <c r="C58" s="1">
        <v>1</v>
      </c>
    </row>
    <row r="59" spans="1:12" ht="14.25" customHeight="1" x14ac:dyDescent="0.3">
      <c r="A59" s="1" t="s">
        <v>87</v>
      </c>
      <c r="B59" s="1" t="s">
        <v>37</v>
      </c>
      <c r="C59" s="1">
        <v>1</v>
      </c>
    </row>
    <row r="60" spans="1:12" ht="14.25" customHeight="1" x14ac:dyDescent="0.3">
      <c r="A60" s="1" t="s">
        <v>88</v>
      </c>
      <c r="B60" s="1" t="s">
        <v>27</v>
      </c>
      <c r="C60" s="1">
        <v>1</v>
      </c>
    </row>
    <row r="61" spans="1:12" ht="14.25" customHeight="1" x14ac:dyDescent="0.3">
      <c r="A61" s="1" t="s">
        <v>89</v>
      </c>
      <c r="B61" s="1" t="s">
        <v>13</v>
      </c>
      <c r="C61" s="1">
        <v>1</v>
      </c>
    </row>
    <row r="62" spans="1:12" ht="14.25" customHeight="1" x14ac:dyDescent="0.3">
      <c r="A62" s="1" t="s">
        <v>90</v>
      </c>
      <c r="B62" s="1" t="s">
        <v>19</v>
      </c>
      <c r="C62" s="1">
        <v>1</v>
      </c>
    </row>
    <row r="63" spans="1:12" ht="14.25" customHeight="1" x14ac:dyDescent="0.3">
      <c r="A63" s="1" t="s">
        <v>91</v>
      </c>
      <c r="B63" s="1" t="s">
        <v>21</v>
      </c>
      <c r="F63" s="1">
        <v>1</v>
      </c>
    </row>
    <row r="64" spans="1:12" ht="14.25" customHeight="1" x14ac:dyDescent="0.3">
      <c r="A64" s="1" t="s">
        <v>92</v>
      </c>
      <c r="B64" s="1" t="s">
        <v>42</v>
      </c>
      <c r="C64" s="1">
        <v>1</v>
      </c>
    </row>
    <row r="65" spans="1:5" ht="14.25" customHeight="1" x14ac:dyDescent="0.3">
      <c r="A65" s="1" t="s">
        <v>93</v>
      </c>
      <c r="B65" s="1" t="s">
        <v>14</v>
      </c>
      <c r="C65" s="1">
        <v>1</v>
      </c>
    </row>
    <row r="66" spans="1:5" ht="14.25" customHeight="1" x14ac:dyDescent="0.3">
      <c r="A66" s="1" t="s">
        <v>94</v>
      </c>
      <c r="B66" s="1" t="s">
        <v>14</v>
      </c>
      <c r="C66" s="1">
        <v>1</v>
      </c>
    </row>
    <row r="67" spans="1:5" ht="14.25" customHeight="1" x14ac:dyDescent="0.3">
      <c r="A67" s="1" t="s">
        <v>95</v>
      </c>
      <c r="B67" s="1" t="s">
        <v>38</v>
      </c>
      <c r="D67" s="1">
        <v>1</v>
      </c>
    </row>
    <row r="68" spans="1:5" ht="14.25" customHeight="1" x14ac:dyDescent="0.3">
      <c r="A68" s="1" t="s">
        <v>96</v>
      </c>
      <c r="B68" s="1" t="s">
        <v>19</v>
      </c>
      <c r="C68" s="1">
        <v>1</v>
      </c>
    </row>
    <row r="69" spans="1:5" ht="14.25" customHeight="1" x14ac:dyDescent="0.3">
      <c r="A69" s="1" t="s">
        <v>97</v>
      </c>
      <c r="B69" s="1" t="s">
        <v>24</v>
      </c>
      <c r="C69" s="1">
        <v>1</v>
      </c>
    </row>
    <row r="70" spans="1:5" ht="14.25" customHeight="1" x14ac:dyDescent="0.3">
      <c r="A70" s="1" t="s">
        <v>98</v>
      </c>
      <c r="B70" s="1" t="s">
        <v>30</v>
      </c>
      <c r="D70" s="1">
        <v>1</v>
      </c>
    </row>
    <row r="71" spans="1:5" ht="14.25" customHeight="1" x14ac:dyDescent="0.3">
      <c r="A71" s="1" t="s">
        <v>99</v>
      </c>
      <c r="B71" s="1" t="s">
        <v>30</v>
      </c>
      <c r="D71" s="1">
        <v>1</v>
      </c>
    </row>
    <row r="72" spans="1:5" ht="14.25" customHeight="1" x14ac:dyDescent="0.3">
      <c r="A72" s="1" t="s">
        <v>100</v>
      </c>
      <c r="B72" s="1" t="s">
        <v>27</v>
      </c>
      <c r="D72" s="1">
        <v>1</v>
      </c>
    </row>
    <row r="73" spans="1:5" ht="14.25" customHeight="1" x14ac:dyDescent="0.3">
      <c r="A73" s="1" t="s">
        <v>101</v>
      </c>
      <c r="B73" s="1" t="s">
        <v>21</v>
      </c>
      <c r="C73" s="1">
        <v>1</v>
      </c>
    </row>
    <row r="74" spans="1:5" ht="14.25" customHeight="1" x14ac:dyDescent="0.3">
      <c r="A74" s="1" t="s">
        <v>102</v>
      </c>
      <c r="B74" s="1" t="s">
        <v>66</v>
      </c>
      <c r="E74" s="1">
        <v>1</v>
      </c>
    </row>
    <row r="75" spans="1:5" ht="14.25" customHeight="1" x14ac:dyDescent="0.3">
      <c r="A75" s="1" t="s">
        <v>103</v>
      </c>
      <c r="B75" s="1" t="s">
        <v>30</v>
      </c>
      <c r="E75" s="1">
        <v>1</v>
      </c>
    </row>
    <row r="76" spans="1:5" ht="14.25" customHeight="1" x14ac:dyDescent="0.3">
      <c r="A76" s="1" t="s">
        <v>104</v>
      </c>
      <c r="B76" s="1" t="s">
        <v>24</v>
      </c>
      <c r="C76" s="1">
        <v>1</v>
      </c>
    </row>
    <row r="77" spans="1:5" ht="14.25" customHeight="1" x14ac:dyDescent="0.3">
      <c r="A77" s="1" t="s">
        <v>105</v>
      </c>
      <c r="B77" s="1" t="s">
        <v>66</v>
      </c>
      <c r="E77" s="1">
        <v>1</v>
      </c>
    </row>
    <row r="78" spans="1:5" ht="14.25" customHeight="1" x14ac:dyDescent="0.3">
      <c r="A78" s="1" t="s">
        <v>106</v>
      </c>
      <c r="B78" s="1" t="s">
        <v>42</v>
      </c>
      <c r="C78" s="1">
        <v>1</v>
      </c>
    </row>
    <row r="79" spans="1:5" ht="14.25" customHeight="1" x14ac:dyDescent="0.3">
      <c r="A79" s="1" t="s">
        <v>107</v>
      </c>
      <c r="B79" s="1" t="s">
        <v>27</v>
      </c>
      <c r="D79" s="1">
        <v>1</v>
      </c>
    </row>
    <row r="80" spans="1:5" ht="14.25" customHeight="1" x14ac:dyDescent="0.3">
      <c r="A80" s="1" t="s">
        <v>108</v>
      </c>
      <c r="B80" s="1" t="s">
        <v>66</v>
      </c>
      <c r="E80" s="1">
        <v>1</v>
      </c>
    </row>
    <row r="81" spans="1:5" ht="14.25" customHeight="1" x14ac:dyDescent="0.3">
      <c r="A81" s="1" t="s">
        <v>109</v>
      </c>
      <c r="B81" s="1" t="s">
        <v>30</v>
      </c>
      <c r="E81" s="1">
        <v>1</v>
      </c>
    </row>
    <row r="82" spans="1:5" ht="14.25" customHeight="1" x14ac:dyDescent="0.3">
      <c r="A82" s="1" t="s">
        <v>110</v>
      </c>
      <c r="B82" s="1" t="s">
        <v>37</v>
      </c>
      <c r="C82" s="1">
        <v>1</v>
      </c>
    </row>
    <row r="83" spans="1:5" ht="14.25" customHeight="1" x14ac:dyDescent="0.3">
      <c r="A83" s="1" t="s">
        <v>111</v>
      </c>
      <c r="B83" s="1" t="s">
        <v>37</v>
      </c>
      <c r="C83" s="1">
        <v>1</v>
      </c>
    </row>
    <row r="84" spans="1:5" ht="14.25" customHeight="1" x14ac:dyDescent="0.3">
      <c r="A84" s="1" t="s">
        <v>112</v>
      </c>
      <c r="B84" s="1" t="s">
        <v>38</v>
      </c>
      <c r="C84" s="1">
        <v>1</v>
      </c>
    </row>
    <row r="85" spans="1:5" ht="14.25" customHeight="1" x14ac:dyDescent="0.3">
      <c r="A85" s="1" t="s">
        <v>113</v>
      </c>
      <c r="B85" s="1" t="s">
        <v>21</v>
      </c>
      <c r="C85" s="1">
        <v>1</v>
      </c>
    </row>
    <row r="86" spans="1:5" ht="14.25" customHeight="1" x14ac:dyDescent="0.3">
      <c r="A86" s="1" t="s">
        <v>114</v>
      </c>
      <c r="B86" s="1" t="s">
        <v>42</v>
      </c>
      <c r="C86" s="1">
        <v>1</v>
      </c>
    </row>
    <row r="87" spans="1:5" ht="14.25" customHeight="1" x14ac:dyDescent="0.3">
      <c r="A87" s="1" t="s">
        <v>115</v>
      </c>
      <c r="B87" s="1" t="s">
        <v>21</v>
      </c>
      <c r="C87" s="1">
        <v>1</v>
      </c>
    </row>
    <row r="88" spans="1:5" ht="14.25" customHeight="1" x14ac:dyDescent="0.3">
      <c r="A88" s="1" t="s">
        <v>116</v>
      </c>
      <c r="B88" s="1" t="s">
        <v>30</v>
      </c>
      <c r="D88" s="1">
        <v>1</v>
      </c>
    </row>
    <row r="89" spans="1:5" ht="14.25" customHeight="1" x14ac:dyDescent="0.3">
      <c r="A89" s="1" t="s">
        <v>117</v>
      </c>
      <c r="B89" s="1" t="s">
        <v>16</v>
      </c>
      <c r="C89" s="1">
        <v>1</v>
      </c>
    </row>
    <row r="90" spans="1:5" ht="14.25" customHeight="1" x14ac:dyDescent="0.3">
      <c r="A90" s="1" t="s">
        <v>118</v>
      </c>
      <c r="B90" s="1" t="s">
        <v>16</v>
      </c>
      <c r="E90" s="1">
        <v>1</v>
      </c>
    </row>
    <row r="91" spans="1:5" ht="14.25" customHeight="1" x14ac:dyDescent="0.3">
      <c r="A91" s="1" t="s">
        <v>119</v>
      </c>
      <c r="B91" s="1" t="s">
        <v>66</v>
      </c>
      <c r="D91" s="1">
        <v>1</v>
      </c>
    </row>
    <row r="92" spans="1:5" ht="14.25" customHeight="1" x14ac:dyDescent="0.3">
      <c r="A92" s="1" t="s">
        <v>120</v>
      </c>
      <c r="B92" s="1" t="s">
        <v>13</v>
      </c>
      <c r="E92" s="1">
        <v>1</v>
      </c>
    </row>
    <row r="93" spans="1:5" ht="14.25" customHeight="1" x14ac:dyDescent="0.3">
      <c r="A93" s="1" t="s">
        <v>121</v>
      </c>
      <c r="B93" s="1" t="s">
        <v>30</v>
      </c>
      <c r="E93" s="1">
        <v>1</v>
      </c>
    </row>
    <row r="94" spans="1:5" ht="14.25" customHeight="1" x14ac:dyDescent="0.3">
      <c r="A94" s="1" t="s">
        <v>122</v>
      </c>
      <c r="B94" s="1" t="s">
        <v>24</v>
      </c>
      <c r="C94" s="1">
        <v>1</v>
      </c>
    </row>
    <row r="95" spans="1:5" ht="14.25" customHeight="1" x14ac:dyDescent="0.3">
      <c r="A95" s="1" t="s">
        <v>123</v>
      </c>
      <c r="B95" s="1" t="s">
        <v>21</v>
      </c>
      <c r="C95" s="1">
        <v>1</v>
      </c>
    </row>
    <row r="96" spans="1:5" ht="14.25" customHeight="1" x14ac:dyDescent="0.3">
      <c r="A96" s="1" t="s">
        <v>124</v>
      </c>
      <c r="B96" s="1" t="s">
        <v>14</v>
      </c>
      <c r="C96" s="1">
        <v>1</v>
      </c>
    </row>
    <row r="97" spans="1:5" ht="14.25" customHeight="1" x14ac:dyDescent="0.3">
      <c r="A97" s="1" t="s">
        <v>125</v>
      </c>
      <c r="B97" s="1" t="s">
        <v>66</v>
      </c>
      <c r="E97" s="1">
        <v>1</v>
      </c>
    </row>
    <row r="98" spans="1:5" ht="14.25" customHeight="1" x14ac:dyDescent="0.3">
      <c r="A98" s="1" t="s">
        <v>126</v>
      </c>
      <c r="B98" s="1" t="s">
        <v>30</v>
      </c>
      <c r="E98" s="1">
        <v>1</v>
      </c>
    </row>
    <row r="99" spans="1:5" ht="14.25" customHeight="1" x14ac:dyDescent="0.3">
      <c r="A99" s="1" t="s">
        <v>127</v>
      </c>
      <c r="B99" s="1" t="s">
        <v>27</v>
      </c>
      <c r="D99" s="1">
        <v>1</v>
      </c>
    </row>
    <row r="100" spans="1:5" ht="14.25" customHeight="1" x14ac:dyDescent="0.3">
      <c r="A100" s="1" t="s">
        <v>128</v>
      </c>
      <c r="B100" s="1" t="s">
        <v>30</v>
      </c>
      <c r="E100" s="1">
        <v>1</v>
      </c>
    </row>
    <row r="101" spans="1:5" ht="14.25" customHeight="1" x14ac:dyDescent="0.3">
      <c r="A101" s="1" t="s">
        <v>129</v>
      </c>
      <c r="B101" s="1" t="s">
        <v>27</v>
      </c>
      <c r="D101" s="1">
        <v>1</v>
      </c>
    </row>
    <row r="102" spans="1:5" ht="14.25" customHeight="1" x14ac:dyDescent="0.3">
      <c r="A102" s="1" t="s">
        <v>130</v>
      </c>
      <c r="B102" s="1" t="s">
        <v>16</v>
      </c>
      <c r="C102" s="1">
        <v>1</v>
      </c>
    </row>
    <row r="103" spans="1:5" ht="14.25" customHeight="1" x14ac:dyDescent="0.3">
      <c r="A103" s="1" t="s">
        <v>131</v>
      </c>
      <c r="B103" s="1" t="s">
        <v>66</v>
      </c>
      <c r="E103" s="1">
        <v>1</v>
      </c>
    </row>
    <row r="104" spans="1:5" ht="14.25" customHeight="1" x14ac:dyDescent="0.3">
      <c r="A104" s="1" t="s">
        <v>132</v>
      </c>
      <c r="B104" s="1" t="s">
        <v>30</v>
      </c>
      <c r="E104" s="1">
        <v>1</v>
      </c>
    </row>
    <row r="105" spans="1:5" ht="14.25" customHeight="1" x14ac:dyDescent="0.3">
      <c r="A105" s="1" t="s">
        <v>133</v>
      </c>
      <c r="B105" s="1" t="s">
        <v>14</v>
      </c>
      <c r="C105" s="1">
        <v>1</v>
      </c>
    </row>
    <row r="106" spans="1:5" ht="14.25" customHeight="1" x14ac:dyDescent="0.3">
      <c r="A106" s="1" t="s">
        <v>134</v>
      </c>
      <c r="B106" s="1" t="s">
        <v>42</v>
      </c>
      <c r="C106" s="1">
        <v>1</v>
      </c>
    </row>
    <row r="107" spans="1:5" ht="14.25" customHeight="1" x14ac:dyDescent="0.3">
      <c r="A107" s="1" t="s">
        <v>135</v>
      </c>
      <c r="B107" s="1" t="s">
        <v>27</v>
      </c>
      <c r="D107" s="1">
        <v>1</v>
      </c>
    </row>
    <row r="108" spans="1:5" ht="14.25" customHeight="1" x14ac:dyDescent="0.3">
      <c r="A108" s="1" t="s">
        <v>136</v>
      </c>
      <c r="B108" s="1" t="s">
        <v>66</v>
      </c>
      <c r="E108" s="1">
        <v>1</v>
      </c>
    </row>
    <row r="109" spans="1:5" ht="14.25" customHeight="1" x14ac:dyDescent="0.3">
      <c r="A109" s="1" t="s">
        <v>137</v>
      </c>
      <c r="B109" s="1" t="s">
        <v>13</v>
      </c>
      <c r="C109" s="1">
        <v>1</v>
      </c>
    </row>
    <row r="110" spans="1:5" ht="14.25" customHeight="1" x14ac:dyDescent="0.3">
      <c r="A110" s="1" t="s">
        <v>138</v>
      </c>
      <c r="B110" s="1" t="s">
        <v>42</v>
      </c>
      <c r="C110" s="1">
        <v>1</v>
      </c>
    </row>
    <row r="111" spans="1:5" ht="14.25" customHeight="1" x14ac:dyDescent="0.3">
      <c r="A111" s="1" t="s">
        <v>139</v>
      </c>
      <c r="B111" s="1" t="s">
        <v>27</v>
      </c>
      <c r="C111" s="1">
        <v>1</v>
      </c>
    </row>
    <row r="112" spans="1:5" ht="14.25" customHeight="1" x14ac:dyDescent="0.3">
      <c r="A112" s="1" t="s">
        <v>140</v>
      </c>
      <c r="B112" s="1" t="s">
        <v>16</v>
      </c>
      <c r="C112" s="1">
        <v>1</v>
      </c>
    </row>
    <row r="113" spans="1:6" ht="14.25" customHeight="1" x14ac:dyDescent="0.3">
      <c r="A113" s="1" t="s">
        <v>141</v>
      </c>
      <c r="B113" s="1" t="s">
        <v>14</v>
      </c>
      <c r="C113" s="1">
        <v>1</v>
      </c>
    </row>
    <row r="114" spans="1:6" ht="14.25" customHeight="1" x14ac:dyDescent="0.3">
      <c r="A114" s="1" t="s">
        <v>142</v>
      </c>
      <c r="B114" s="1" t="s">
        <v>16</v>
      </c>
      <c r="C114" s="1">
        <v>1</v>
      </c>
    </row>
    <row r="115" spans="1:6" ht="14.25" customHeight="1" x14ac:dyDescent="0.3">
      <c r="A115" s="1" t="s">
        <v>143</v>
      </c>
      <c r="B115" s="1" t="s">
        <v>24</v>
      </c>
      <c r="C115" s="1">
        <v>1</v>
      </c>
    </row>
    <row r="116" spans="1:6" ht="14.25" customHeight="1" x14ac:dyDescent="0.3">
      <c r="A116" s="1" t="s">
        <v>144</v>
      </c>
      <c r="B116" s="1" t="s">
        <v>66</v>
      </c>
      <c r="D116" s="1">
        <v>1</v>
      </c>
    </row>
    <row r="117" spans="1:6" ht="14.25" customHeight="1" x14ac:dyDescent="0.3">
      <c r="A117" s="1" t="s">
        <v>145</v>
      </c>
      <c r="B117" s="1" t="s">
        <v>27</v>
      </c>
      <c r="C117" s="1">
        <v>1</v>
      </c>
    </row>
    <row r="118" spans="1:6" ht="14.25" customHeight="1" x14ac:dyDescent="0.3">
      <c r="A118" s="1" t="s">
        <v>146</v>
      </c>
      <c r="B118" s="1" t="s">
        <v>30</v>
      </c>
      <c r="C118" s="1">
        <v>1</v>
      </c>
    </row>
    <row r="119" spans="1:6" ht="14.25" customHeight="1" x14ac:dyDescent="0.3">
      <c r="A119" s="1" t="s">
        <v>147</v>
      </c>
      <c r="B119" s="1" t="s">
        <v>42</v>
      </c>
      <c r="C119" s="1">
        <v>1</v>
      </c>
    </row>
    <row r="120" spans="1:6" ht="14.25" customHeight="1" x14ac:dyDescent="0.3">
      <c r="A120" s="1" t="s">
        <v>148</v>
      </c>
      <c r="B120" s="1" t="s">
        <v>13</v>
      </c>
      <c r="C120" s="1">
        <v>1</v>
      </c>
    </row>
    <row r="121" spans="1:6" ht="14.25" customHeight="1" x14ac:dyDescent="0.3">
      <c r="A121" s="1" t="s">
        <v>149</v>
      </c>
      <c r="B121" s="1" t="s">
        <v>150</v>
      </c>
      <c r="F121" s="1">
        <v>1</v>
      </c>
    </row>
    <row r="122" spans="1:6" ht="14.25" customHeight="1" x14ac:dyDescent="0.3">
      <c r="A122" s="1" t="s">
        <v>151</v>
      </c>
      <c r="B122" s="1" t="s">
        <v>24</v>
      </c>
      <c r="C122" s="1">
        <v>1</v>
      </c>
    </row>
    <row r="123" spans="1:6" ht="14.25" customHeight="1" x14ac:dyDescent="0.3">
      <c r="A123" s="1" t="s">
        <v>152</v>
      </c>
      <c r="B123" s="1" t="s">
        <v>24</v>
      </c>
      <c r="C123" s="1">
        <v>1</v>
      </c>
    </row>
    <row r="124" spans="1:6" ht="14.25" customHeight="1" x14ac:dyDescent="0.3">
      <c r="A124" s="1" t="s">
        <v>153</v>
      </c>
      <c r="B124" s="1" t="s">
        <v>19</v>
      </c>
      <c r="C124" s="1">
        <v>1</v>
      </c>
    </row>
    <row r="125" spans="1:6" ht="14.25" customHeight="1" x14ac:dyDescent="0.3">
      <c r="A125" s="1" t="s">
        <v>154</v>
      </c>
      <c r="B125" s="1" t="s">
        <v>33</v>
      </c>
      <c r="C125" s="1">
        <v>1</v>
      </c>
    </row>
    <row r="126" spans="1:6" ht="14.25" customHeight="1" x14ac:dyDescent="0.3">
      <c r="A126" s="1" t="s">
        <v>155</v>
      </c>
      <c r="B126" s="1" t="s">
        <v>13</v>
      </c>
      <c r="D126" s="1">
        <v>1</v>
      </c>
    </row>
    <row r="127" spans="1:6" ht="14.25" customHeight="1" x14ac:dyDescent="0.3">
      <c r="A127" s="1" t="s">
        <v>156</v>
      </c>
      <c r="B127" s="1" t="s">
        <v>13</v>
      </c>
      <c r="C127" s="1">
        <v>1</v>
      </c>
    </row>
    <row r="128" spans="1:6" ht="14.25" customHeight="1" x14ac:dyDescent="0.3">
      <c r="A128" s="1" t="s">
        <v>157</v>
      </c>
      <c r="B128" s="1" t="s">
        <v>14</v>
      </c>
      <c r="F128" s="1">
        <v>1</v>
      </c>
    </row>
    <row r="129" spans="1:5" ht="14.25" customHeight="1" x14ac:dyDescent="0.3">
      <c r="A129" s="1" t="s">
        <v>158</v>
      </c>
      <c r="B129" s="1" t="s">
        <v>16</v>
      </c>
      <c r="C129" s="1">
        <v>1</v>
      </c>
    </row>
    <row r="130" spans="1:5" ht="14.25" customHeight="1" x14ac:dyDescent="0.3">
      <c r="A130" s="1" t="s">
        <v>159</v>
      </c>
      <c r="B130" s="1" t="s">
        <v>13</v>
      </c>
      <c r="D130" s="1">
        <v>1</v>
      </c>
    </row>
    <row r="131" spans="1:5" ht="14.25" customHeight="1" x14ac:dyDescent="0.3">
      <c r="A131" s="1" t="s">
        <v>160</v>
      </c>
      <c r="B131" s="1" t="s">
        <v>66</v>
      </c>
      <c r="C131" s="1">
        <v>1</v>
      </c>
    </row>
    <row r="132" spans="1:5" ht="14.25" customHeight="1" x14ac:dyDescent="0.3">
      <c r="A132" s="1" t="s">
        <v>161</v>
      </c>
      <c r="B132" s="1" t="s">
        <v>38</v>
      </c>
      <c r="E132" s="1">
        <v>1</v>
      </c>
    </row>
    <row r="133" spans="1:5" ht="14.25" customHeight="1" x14ac:dyDescent="0.3">
      <c r="A133" s="1" t="s">
        <v>162</v>
      </c>
      <c r="B133" s="1" t="s">
        <v>13</v>
      </c>
      <c r="D133" s="1">
        <v>1</v>
      </c>
    </row>
    <row r="134" spans="1:5" ht="14.25" customHeight="1" x14ac:dyDescent="0.3">
      <c r="A134" s="1" t="s">
        <v>163</v>
      </c>
      <c r="B134" s="1" t="s">
        <v>66</v>
      </c>
      <c r="D134" s="1">
        <v>1</v>
      </c>
    </row>
    <row r="135" spans="1:5" ht="14.25" customHeight="1" x14ac:dyDescent="0.3">
      <c r="A135" s="1" t="s">
        <v>164</v>
      </c>
      <c r="B135" s="1" t="s">
        <v>21</v>
      </c>
      <c r="C135" s="1">
        <v>1</v>
      </c>
    </row>
    <row r="136" spans="1:5" ht="14.25" customHeight="1" x14ac:dyDescent="0.3">
      <c r="A136" s="1" t="s">
        <v>165</v>
      </c>
      <c r="B136" s="1" t="s">
        <v>30</v>
      </c>
      <c r="E136" s="1">
        <v>1</v>
      </c>
    </row>
    <row r="137" spans="1:5" ht="14.25" customHeight="1" x14ac:dyDescent="0.3">
      <c r="A137" s="1" t="s">
        <v>166</v>
      </c>
      <c r="B137" s="1" t="s">
        <v>30</v>
      </c>
      <c r="E137" s="1">
        <v>1</v>
      </c>
    </row>
    <row r="138" spans="1:5" ht="14.25" customHeight="1" x14ac:dyDescent="0.3">
      <c r="A138" s="1" t="s">
        <v>167</v>
      </c>
      <c r="B138" s="1" t="s">
        <v>19</v>
      </c>
      <c r="C138" s="1">
        <v>1</v>
      </c>
    </row>
    <row r="139" spans="1:5" ht="14.25" customHeight="1" x14ac:dyDescent="0.3">
      <c r="A139" s="1" t="s">
        <v>168</v>
      </c>
      <c r="B139" s="1" t="s">
        <v>13</v>
      </c>
      <c r="C139" s="1">
        <v>1</v>
      </c>
    </row>
    <row r="140" spans="1:5" ht="14.25" customHeight="1" x14ac:dyDescent="0.3">
      <c r="A140" s="1" t="s">
        <v>169</v>
      </c>
      <c r="B140" s="1" t="s">
        <v>27</v>
      </c>
      <c r="D140" s="1">
        <v>1</v>
      </c>
    </row>
    <row r="141" spans="1:5" ht="14.25" customHeight="1" x14ac:dyDescent="0.3">
      <c r="A141" s="1" t="s">
        <v>170</v>
      </c>
      <c r="B141" s="1" t="s">
        <v>16</v>
      </c>
      <c r="C141" s="1">
        <v>1</v>
      </c>
    </row>
    <row r="142" spans="1:5" ht="14.25" customHeight="1" x14ac:dyDescent="0.3">
      <c r="A142" s="1" t="s">
        <v>171</v>
      </c>
      <c r="B142" s="1" t="s">
        <v>19</v>
      </c>
      <c r="C142" s="1">
        <v>1</v>
      </c>
    </row>
    <row r="143" spans="1:5" ht="14.25" customHeight="1" x14ac:dyDescent="0.3">
      <c r="A143" s="1" t="s">
        <v>172</v>
      </c>
      <c r="B143" s="1" t="s">
        <v>37</v>
      </c>
      <c r="C143" s="1">
        <v>1</v>
      </c>
    </row>
    <row r="144" spans="1:5" ht="14.25" customHeight="1" x14ac:dyDescent="0.3">
      <c r="A144" s="1" t="s">
        <v>173</v>
      </c>
      <c r="B144" s="1" t="s">
        <v>27</v>
      </c>
      <c r="D144" s="1">
        <v>1</v>
      </c>
    </row>
    <row r="145" spans="1:5" ht="14.25" customHeight="1" x14ac:dyDescent="0.3">
      <c r="A145" s="1" t="s">
        <v>174</v>
      </c>
      <c r="B145" s="1" t="s">
        <v>66</v>
      </c>
      <c r="D145" s="1">
        <v>1</v>
      </c>
    </row>
    <row r="146" spans="1:5" ht="14.25" customHeight="1" x14ac:dyDescent="0.3">
      <c r="A146" s="1" t="s">
        <v>175</v>
      </c>
      <c r="B146" s="1" t="s">
        <v>14</v>
      </c>
      <c r="C146" s="1">
        <v>1</v>
      </c>
    </row>
    <row r="147" spans="1:5" ht="14.25" customHeight="1" x14ac:dyDescent="0.3">
      <c r="A147" s="1" t="s">
        <v>176</v>
      </c>
      <c r="B147" s="1" t="s">
        <v>66</v>
      </c>
      <c r="E147" s="1">
        <v>1</v>
      </c>
    </row>
    <row r="148" spans="1:5" ht="14.25" customHeight="1" x14ac:dyDescent="0.3">
      <c r="A148" s="1" t="s">
        <v>177</v>
      </c>
      <c r="B148" s="1" t="s">
        <v>42</v>
      </c>
      <c r="C148" s="1">
        <v>1</v>
      </c>
    </row>
    <row r="149" spans="1:5" ht="14.25" customHeight="1" x14ac:dyDescent="0.3">
      <c r="A149" s="1" t="s">
        <v>178</v>
      </c>
      <c r="B149" s="1" t="s">
        <v>33</v>
      </c>
      <c r="C149" s="1">
        <v>1</v>
      </c>
    </row>
    <row r="150" spans="1:5" ht="14.25" customHeight="1" x14ac:dyDescent="0.3">
      <c r="A150" s="1" t="s">
        <v>179</v>
      </c>
      <c r="B150" s="1" t="s">
        <v>14</v>
      </c>
      <c r="C150" s="1">
        <v>1</v>
      </c>
    </row>
    <row r="151" spans="1:5" ht="14.25" customHeight="1" x14ac:dyDescent="0.3">
      <c r="A151" s="1" t="s">
        <v>180</v>
      </c>
      <c r="B151" s="1" t="s">
        <v>13</v>
      </c>
      <c r="D151" s="1">
        <v>1</v>
      </c>
    </row>
    <row r="152" spans="1:5" ht="14.25" customHeight="1" x14ac:dyDescent="0.3">
      <c r="A152" s="1" t="s">
        <v>181</v>
      </c>
      <c r="B152" s="1" t="s">
        <v>24</v>
      </c>
      <c r="C152" s="1">
        <v>1</v>
      </c>
    </row>
    <row r="153" spans="1:5" ht="14.25" customHeight="1" x14ac:dyDescent="0.3">
      <c r="A153" s="1" t="s">
        <v>182</v>
      </c>
      <c r="B153" s="1" t="s">
        <v>19</v>
      </c>
      <c r="C153" s="1">
        <v>1</v>
      </c>
    </row>
    <row r="154" spans="1:5" ht="14.25" customHeight="1" x14ac:dyDescent="0.3">
      <c r="A154" s="1" t="s">
        <v>183</v>
      </c>
      <c r="B154" s="1" t="s">
        <v>42</v>
      </c>
      <c r="C154" s="1">
        <v>1</v>
      </c>
    </row>
    <row r="155" spans="1:5" ht="14.25" customHeight="1" x14ac:dyDescent="0.3">
      <c r="A155" s="1" t="s">
        <v>184</v>
      </c>
      <c r="B155" s="1" t="s">
        <v>19</v>
      </c>
      <c r="C155" s="1">
        <v>1</v>
      </c>
    </row>
    <row r="156" spans="1:5" ht="14.25" customHeight="1" x14ac:dyDescent="0.3">
      <c r="A156" s="1" t="s">
        <v>185</v>
      </c>
      <c r="B156" s="1" t="s">
        <v>30</v>
      </c>
      <c r="E156" s="1">
        <v>1</v>
      </c>
    </row>
    <row r="157" spans="1:5" ht="14.25" customHeight="1" x14ac:dyDescent="0.3"/>
    <row r="158" spans="1:5" ht="14.25" customHeight="1" x14ac:dyDescent="0.3"/>
    <row r="159" spans="1:5" ht="14.25" customHeight="1" x14ac:dyDescent="0.3"/>
    <row r="160" spans="1:5" ht="14.25" customHeight="1" x14ac:dyDescent="0.3"/>
    <row r="161" s="1" customFormat="1" ht="14.25" customHeight="1" x14ac:dyDescent="0.3"/>
    <row r="162" s="1" customFormat="1" ht="14.25" customHeight="1" x14ac:dyDescent="0.3"/>
    <row r="163" s="1" customFormat="1" ht="14.25" customHeight="1" x14ac:dyDescent="0.3"/>
    <row r="164" s="1" customFormat="1" ht="14.25" customHeight="1" x14ac:dyDescent="0.3"/>
    <row r="165" s="1" customFormat="1" ht="14.25" customHeight="1" x14ac:dyDescent="0.3"/>
    <row r="166" s="1" customFormat="1" ht="14.25" customHeight="1" x14ac:dyDescent="0.3"/>
    <row r="167" s="1" customFormat="1" ht="14.25" customHeight="1" x14ac:dyDescent="0.3"/>
    <row r="168" s="1" customFormat="1" ht="14.25" customHeight="1" x14ac:dyDescent="0.3"/>
    <row r="169" s="1" customFormat="1" ht="14.25" customHeight="1" x14ac:dyDescent="0.3"/>
    <row r="170" s="1" customFormat="1" ht="14.25" customHeight="1" x14ac:dyDescent="0.3"/>
    <row r="171" s="1" customFormat="1" ht="14.25" customHeight="1" x14ac:dyDescent="0.3"/>
    <row r="172" s="1" customFormat="1" ht="14.25" customHeight="1" x14ac:dyDescent="0.3"/>
    <row r="173" s="1" customFormat="1" ht="14.25" customHeight="1" x14ac:dyDescent="0.3"/>
    <row r="174" s="1" customFormat="1" ht="14.25" customHeight="1" x14ac:dyDescent="0.3"/>
    <row r="175" s="1" customFormat="1" ht="14.25" customHeight="1" x14ac:dyDescent="0.3"/>
    <row r="176" s="1" customFormat="1" ht="14.25" customHeight="1" x14ac:dyDescent="0.3"/>
    <row r="177" s="1" customFormat="1" ht="14.25" customHeight="1" x14ac:dyDescent="0.3"/>
    <row r="178" s="1" customFormat="1" ht="14.25" customHeight="1" x14ac:dyDescent="0.3"/>
    <row r="179" s="1" customFormat="1" ht="14.25" customHeight="1" x14ac:dyDescent="0.3"/>
    <row r="180" s="1" customFormat="1" ht="14.25" customHeight="1" x14ac:dyDescent="0.3"/>
    <row r="181" s="1" customFormat="1" ht="14.25" customHeight="1" x14ac:dyDescent="0.3"/>
    <row r="182" s="1" customFormat="1" ht="14.25" customHeight="1" x14ac:dyDescent="0.3"/>
    <row r="183" s="1" customFormat="1" ht="14.25" customHeight="1" x14ac:dyDescent="0.3"/>
    <row r="184" s="1" customFormat="1" ht="14.25" customHeight="1" x14ac:dyDescent="0.3"/>
    <row r="185" s="1" customFormat="1" ht="14.25" customHeight="1" x14ac:dyDescent="0.3"/>
    <row r="186" s="1" customFormat="1" ht="14.25" customHeight="1" x14ac:dyDescent="0.3"/>
    <row r="187" s="1" customFormat="1" ht="14.25" customHeight="1" x14ac:dyDescent="0.3"/>
    <row r="188" s="1" customFormat="1" ht="14.25" customHeight="1" x14ac:dyDescent="0.3"/>
    <row r="189" s="1" customFormat="1" ht="14.25" customHeight="1" x14ac:dyDescent="0.3"/>
    <row r="190" s="1" customFormat="1" ht="14.25" customHeight="1" x14ac:dyDescent="0.3"/>
    <row r="191" s="1" customFormat="1" ht="14.25" customHeight="1" x14ac:dyDescent="0.3"/>
    <row r="192" s="1" customFormat="1" ht="14.25" customHeight="1" x14ac:dyDescent="0.3"/>
    <row r="193" s="1" customFormat="1" ht="14.25" customHeight="1" x14ac:dyDescent="0.3"/>
    <row r="194" s="1" customFormat="1" ht="14.25" customHeight="1" x14ac:dyDescent="0.3"/>
    <row r="195" s="1" customFormat="1" ht="14.25" customHeight="1" x14ac:dyDescent="0.3"/>
    <row r="196" s="1" customFormat="1" ht="14.25" customHeight="1" x14ac:dyDescent="0.3"/>
    <row r="197" s="1" customFormat="1" ht="14.25" customHeight="1" x14ac:dyDescent="0.3"/>
    <row r="198" s="1" customFormat="1" ht="14.25" customHeight="1" x14ac:dyDescent="0.3"/>
    <row r="199" s="1" customFormat="1" ht="14.25" customHeight="1" x14ac:dyDescent="0.3"/>
    <row r="200" s="1" customFormat="1" ht="14.25" customHeight="1" x14ac:dyDescent="0.3"/>
    <row r="201" s="1" customFormat="1" ht="14.25" customHeight="1" x14ac:dyDescent="0.3"/>
    <row r="202" s="1" customFormat="1" ht="14.25" customHeight="1" x14ac:dyDescent="0.3"/>
    <row r="203" s="1" customFormat="1" ht="14.25" customHeight="1" x14ac:dyDescent="0.3"/>
    <row r="204" s="1" customFormat="1" ht="14.25" customHeight="1" x14ac:dyDescent="0.3"/>
    <row r="205" s="1" customFormat="1" ht="14.25" customHeight="1" x14ac:dyDescent="0.3"/>
    <row r="206" s="1" customFormat="1" ht="14.25" customHeight="1" x14ac:dyDescent="0.3"/>
    <row r="207" s="1" customFormat="1" ht="14.25" customHeight="1" x14ac:dyDescent="0.3"/>
    <row r="208" s="1" customFormat="1" ht="14.25" customHeight="1" x14ac:dyDescent="0.3"/>
    <row r="209" s="1" customFormat="1" ht="14.25" customHeight="1" x14ac:dyDescent="0.3"/>
    <row r="210" s="1" customFormat="1" ht="14.25" customHeight="1" x14ac:dyDescent="0.3"/>
    <row r="211" s="1" customFormat="1" ht="14.25" customHeight="1" x14ac:dyDescent="0.3"/>
    <row r="212" s="1" customFormat="1" ht="14.25" customHeight="1" x14ac:dyDescent="0.3"/>
    <row r="213" s="1" customFormat="1" ht="14.25" customHeight="1" x14ac:dyDescent="0.3"/>
    <row r="214" s="1" customFormat="1" ht="14.25" customHeight="1" x14ac:dyDescent="0.3"/>
    <row r="215" s="1" customFormat="1" ht="14.25" customHeight="1" x14ac:dyDescent="0.3"/>
    <row r="216" s="1" customFormat="1" ht="14.25" customHeight="1" x14ac:dyDescent="0.3"/>
    <row r="217" s="1" customFormat="1" ht="14.25" customHeight="1" x14ac:dyDescent="0.3"/>
    <row r="218" s="1" customFormat="1" ht="14.25" customHeight="1" x14ac:dyDescent="0.3"/>
    <row r="219" s="1" customFormat="1" ht="14.25" customHeight="1" x14ac:dyDescent="0.3"/>
    <row r="220" s="1" customFormat="1" ht="14.25" customHeight="1" x14ac:dyDescent="0.3"/>
    <row r="221" s="1" customFormat="1" ht="14.25" customHeight="1" x14ac:dyDescent="0.3"/>
    <row r="222" s="1" customFormat="1" ht="14.25" customHeight="1" x14ac:dyDescent="0.3"/>
    <row r="223" s="1" customFormat="1" ht="14.25" customHeight="1" x14ac:dyDescent="0.3"/>
    <row r="224" s="1" customFormat="1" ht="14.25" customHeight="1" x14ac:dyDescent="0.3"/>
    <row r="225" s="1" customFormat="1" ht="14.25" customHeight="1" x14ac:dyDescent="0.3"/>
    <row r="226" s="1" customFormat="1" ht="14.25" customHeight="1" x14ac:dyDescent="0.3"/>
    <row r="227" s="1" customFormat="1" ht="14.25" customHeight="1" x14ac:dyDescent="0.3"/>
    <row r="228" s="1" customFormat="1" ht="14.25" customHeight="1" x14ac:dyDescent="0.3"/>
    <row r="229" s="1" customFormat="1" ht="14.25" customHeight="1" x14ac:dyDescent="0.3"/>
    <row r="230" s="1" customFormat="1" ht="14.25" customHeight="1" x14ac:dyDescent="0.3"/>
    <row r="231" s="1" customFormat="1" ht="14.25" customHeight="1" x14ac:dyDescent="0.3"/>
    <row r="232" s="1" customFormat="1" ht="14.25" customHeight="1" x14ac:dyDescent="0.3"/>
    <row r="233" s="1" customFormat="1" ht="14.25" customHeight="1" x14ac:dyDescent="0.3"/>
    <row r="234" s="1" customFormat="1" ht="14.25" customHeight="1" x14ac:dyDescent="0.3"/>
    <row r="235" s="1" customFormat="1" ht="14.25" customHeight="1" x14ac:dyDescent="0.3"/>
    <row r="236" s="1" customFormat="1" ht="14.25" customHeight="1" x14ac:dyDescent="0.3"/>
    <row r="237" s="1" customFormat="1" ht="14.25" customHeight="1" x14ac:dyDescent="0.3"/>
    <row r="238" s="1" customFormat="1" ht="14.25" customHeight="1" x14ac:dyDescent="0.3"/>
    <row r="239" s="1" customFormat="1" ht="14.25" customHeight="1" x14ac:dyDescent="0.3"/>
    <row r="240" s="1" customFormat="1" ht="14.25" customHeight="1" x14ac:dyDescent="0.3"/>
    <row r="241" s="1" customFormat="1" ht="14.25" customHeight="1" x14ac:dyDescent="0.3"/>
    <row r="242" s="1" customFormat="1" ht="14.25" customHeight="1" x14ac:dyDescent="0.3"/>
    <row r="243" s="1" customFormat="1" ht="14.25" customHeight="1" x14ac:dyDescent="0.3"/>
    <row r="244" s="1" customFormat="1" ht="14.25" customHeight="1" x14ac:dyDescent="0.3"/>
    <row r="245" s="1" customFormat="1" ht="14.25" customHeight="1" x14ac:dyDescent="0.3"/>
    <row r="246" s="1" customFormat="1" ht="14.25" customHeight="1" x14ac:dyDescent="0.3"/>
    <row r="247" s="1" customFormat="1" ht="14.25" customHeight="1" x14ac:dyDescent="0.3"/>
    <row r="248" s="1" customFormat="1" ht="14.25" customHeight="1" x14ac:dyDescent="0.3"/>
    <row r="249" s="1" customFormat="1" ht="14.25" customHeight="1" x14ac:dyDescent="0.3"/>
    <row r="250" s="1" customFormat="1" ht="14.25" customHeight="1" x14ac:dyDescent="0.3"/>
    <row r="251" s="1" customFormat="1" ht="14.25" customHeight="1" x14ac:dyDescent="0.3"/>
    <row r="252" s="1" customFormat="1" ht="14.25" customHeight="1" x14ac:dyDescent="0.3"/>
    <row r="253" s="1" customFormat="1" ht="14.25" customHeight="1" x14ac:dyDescent="0.3"/>
    <row r="254" s="1" customFormat="1" ht="14.25" customHeight="1" x14ac:dyDescent="0.3"/>
    <row r="255" s="1" customFormat="1" ht="14.25" customHeight="1" x14ac:dyDescent="0.3"/>
    <row r="256" s="1" customFormat="1" ht="14.25" customHeight="1" x14ac:dyDescent="0.3"/>
    <row r="257" s="1" customFormat="1" ht="14.25" customHeight="1" x14ac:dyDescent="0.3"/>
    <row r="258" s="1" customFormat="1" ht="14.25" customHeight="1" x14ac:dyDescent="0.3"/>
    <row r="259" s="1" customFormat="1" ht="14.25" customHeight="1" x14ac:dyDescent="0.3"/>
    <row r="260" s="1" customFormat="1" ht="14.25" customHeight="1" x14ac:dyDescent="0.3"/>
    <row r="261" s="1" customFormat="1" ht="14.25" customHeight="1" x14ac:dyDescent="0.3"/>
    <row r="262" s="1" customFormat="1" ht="14.25" customHeight="1" x14ac:dyDescent="0.3"/>
    <row r="263" s="1" customFormat="1" ht="14.25" customHeight="1" x14ac:dyDescent="0.3"/>
    <row r="264" s="1" customFormat="1" ht="14.25" customHeight="1" x14ac:dyDescent="0.3"/>
    <row r="265" s="1" customFormat="1" ht="14.25" customHeight="1" x14ac:dyDescent="0.3"/>
    <row r="266" s="1" customFormat="1" ht="14.25" customHeight="1" x14ac:dyDescent="0.3"/>
    <row r="267" s="1" customFormat="1" ht="14.25" customHeight="1" x14ac:dyDescent="0.3"/>
    <row r="268" s="1" customFormat="1" ht="14.25" customHeight="1" x14ac:dyDescent="0.3"/>
    <row r="269" s="1" customFormat="1" ht="14.25" customHeight="1" x14ac:dyDescent="0.3"/>
    <row r="270" s="1" customFormat="1" ht="14.25" customHeight="1" x14ac:dyDescent="0.3"/>
    <row r="271" s="1" customFormat="1" ht="14.25" customHeight="1" x14ac:dyDescent="0.3"/>
    <row r="272" s="1" customFormat="1" ht="14.25" customHeight="1" x14ac:dyDescent="0.3"/>
    <row r="273" s="1" customFormat="1" ht="14.25" customHeight="1" x14ac:dyDescent="0.3"/>
    <row r="274" s="1" customFormat="1" ht="14.25" customHeight="1" x14ac:dyDescent="0.3"/>
    <row r="275" s="1" customFormat="1" ht="14.25" customHeight="1" x14ac:dyDescent="0.3"/>
    <row r="276" s="1" customFormat="1" ht="14.25" customHeight="1" x14ac:dyDescent="0.3"/>
    <row r="277" s="1" customFormat="1" ht="14.25" customHeight="1" x14ac:dyDescent="0.3"/>
    <row r="278" s="1" customFormat="1" ht="14.25" customHeight="1" x14ac:dyDescent="0.3"/>
    <row r="279" s="1" customFormat="1" ht="14.25" customHeight="1" x14ac:dyDescent="0.3"/>
    <row r="280" s="1" customFormat="1" ht="14.25" customHeight="1" x14ac:dyDescent="0.3"/>
    <row r="281" s="1" customFormat="1" ht="14.25" customHeight="1" x14ac:dyDescent="0.3"/>
    <row r="282" s="1" customFormat="1" ht="14.25" customHeight="1" x14ac:dyDescent="0.3"/>
    <row r="283" s="1" customFormat="1" ht="14.25" customHeight="1" x14ac:dyDescent="0.3"/>
    <row r="284" s="1" customFormat="1" ht="14.25" customHeight="1" x14ac:dyDescent="0.3"/>
    <row r="285" s="1" customFormat="1" ht="14.25" customHeight="1" x14ac:dyDescent="0.3"/>
    <row r="286" s="1" customFormat="1" ht="14.25" customHeight="1" x14ac:dyDescent="0.3"/>
    <row r="287" s="1" customFormat="1" ht="14.25" customHeight="1" x14ac:dyDescent="0.3"/>
    <row r="288" s="1" customFormat="1" ht="14.25" customHeight="1" x14ac:dyDescent="0.3"/>
    <row r="289" s="1" customFormat="1" ht="14.25" customHeight="1" x14ac:dyDescent="0.3"/>
    <row r="290" s="1" customFormat="1" ht="14.25" customHeight="1" x14ac:dyDescent="0.3"/>
    <row r="291" s="1" customFormat="1" ht="14.25" customHeight="1" x14ac:dyDescent="0.3"/>
    <row r="292" s="1" customFormat="1" ht="14.25" customHeight="1" x14ac:dyDescent="0.3"/>
    <row r="293" s="1" customFormat="1" ht="14.25" customHeight="1" x14ac:dyDescent="0.3"/>
    <row r="294" s="1" customFormat="1" ht="14.25" customHeight="1" x14ac:dyDescent="0.3"/>
    <row r="295" s="1" customFormat="1" ht="14.25" customHeight="1" x14ac:dyDescent="0.3"/>
    <row r="296" s="1" customFormat="1" ht="14.25" customHeight="1" x14ac:dyDescent="0.3"/>
    <row r="297" s="1" customFormat="1" ht="14.25" customHeight="1" x14ac:dyDescent="0.3"/>
    <row r="298" s="1" customFormat="1" ht="14.25" customHeight="1" x14ac:dyDescent="0.3"/>
    <row r="299" s="1" customFormat="1" ht="14.25" customHeight="1" x14ac:dyDescent="0.3"/>
    <row r="300" s="1" customFormat="1" ht="14.25" customHeight="1" x14ac:dyDescent="0.3"/>
    <row r="301" s="1" customFormat="1" ht="14.25" customHeight="1" x14ac:dyDescent="0.3"/>
    <row r="302" s="1" customFormat="1" ht="14.25" customHeight="1" x14ac:dyDescent="0.3"/>
    <row r="303" s="1" customFormat="1" ht="14.25" customHeight="1" x14ac:dyDescent="0.3"/>
    <row r="304" s="1" customFormat="1" ht="14.25" customHeight="1" x14ac:dyDescent="0.3"/>
    <row r="305" s="1" customFormat="1" ht="14.25" customHeight="1" x14ac:dyDescent="0.3"/>
    <row r="306" s="1" customFormat="1" ht="14.25" customHeight="1" x14ac:dyDescent="0.3"/>
    <row r="307" s="1" customFormat="1" ht="14.25" customHeight="1" x14ac:dyDescent="0.3"/>
    <row r="308" s="1" customFormat="1" ht="14.25" customHeight="1" x14ac:dyDescent="0.3"/>
    <row r="309" s="1" customFormat="1" ht="14.25" customHeight="1" x14ac:dyDescent="0.3"/>
    <row r="310" s="1" customFormat="1" ht="14.25" customHeight="1" x14ac:dyDescent="0.3"/>
    <row r="311" s="1" customFormat="1" ht="14.25" customHeight="1" x14ac:dyDescent="0.3"/>
    <row r="312" s="1" customFormat="1" ht="14.25" customHeight="1" x14ac:dyDescent="0.3"/>
    <row r="313" s="1" customFormat="1" ht="14.25" customHeight="1" x14ac:dyDescent="0.3"/>
    <row r="314" s="1" customFormat="1" ht="14.25" customHeight="1" x14ac:dyDescent="0.3"/>
    <row r="315" s="1" customFormat="1" ht="14.25" customHeight="1" x14ac:dyDescent="0.3"/>
    <row r="316" s="1" customFormat="1" ht="14.25" customHeight="1" x14ac:dyDescent="0.3"/>
    <row r="317" s="1" customFormat="1" ht="14.25" customHeight="1" x14ac:dyDescent="0.3"/>
    <row r="318" s="1" customFormat="1" ht="14.25" customHeight="1" x14ac:dyDescent="0.3"/>
    <row r="319" s="1" customFormat="1" ht="14.25" customHeight="1" x14ac:dyDescent="0.3"/>
    <row r="320" s="1" customFormat="1" ht="14.25" customHeight="1" x14ac:dyDescent="0.3"/>
    <row r="321" s="1" customFormat="1" ht="14.25" customHeight="1" x14ac:dyDescent="0.3"/>
    <row r="322" s="1" customFormat="1" ht="14.25" customHeight="1" x14ac:dyDescent="0.3"/>
    <row r="323" s="1" customFormat="1" ht="14.25" customHeight="1" x14ac:dyDescent="0.3"/>
    <row r="324" s="1" customFormat="1" ht="14.25" customHeight="1" x14ac:dyDescent="0.3"/>
    <row r="325" s="1" customFormat="1" ht="14.25" customHeight="1" x14ac:dyDescent="0.3"/>
    <row r="326" s="1" customFormat="1" ht="14.25" customHeight="1" x14ac:dyDescent="0.3"/>
    <row r="327" s="1" customFormat="1" ht="14.25" customHeight="1" x14ac:dyDescent="0.3"/>
    <row r="328" s="1" customFormat="1" ht="14.25" customHeight="1" x14ac:dyDescent="0.3"/>
    <row r="329" s="1" customFormat="1" ht="14.25" customHeight="1" x14ac:dyDescent="0.3"/>
    <row r="330" s="1" customFormat="1" ht="14.25" customHeight="1" x14ac:dyDescent="0.3"/>
    <row r="331" s="1" customFormat="1" ht="14.25" customHeight="1" x14ac:dyDescent="0.3"/>
    <row r="332" s="1" customFormat="1" ht="14.25" customHeight="1" x14ac:dyDescent="0.3"/>
    <row r="333" s="1" customFormat="1" ht="14.25" customHeight="1" x14ac:dyDescent="0.3"/>
    <row r="334" s="1" customFormat="1" ht="14.25" customHeight="1" x14ac:dyDescent="0.3"/>
    <row r="335" s="1" customFormat="1" ht="14.25" customHeight="1" x14ac:dyDescent="0.3"/>
    <row r="336" s="1" customFormat="1" ht="14.25" customHeight="1" x14ac:dyDescent="0.3"/>
    <row r="337" s="1" customFormat="1" ht="14.25" customHeight="1" x14ac:dyDescent="0.3"/>
    <row r="338" s="1" customFormat="1" ht="14.25" customHeight="1" x14ac:dyDescent="0.3"/>
    <row r="339" s="1" customFormat="1" ht="14.25" customHeight="1" x14ac:dyDescent="0.3"/>
    <row r="340" s="1" customFormat="1" ht="14.25" customHeight="1" x14ac:dyDescent="0.3"/>
    <row r="341" s="1" customFormat="1" ht="14.25" customHeight="1" x14ac:dyDescent="0.3"/>
    <row r="342" s="1" customFormat="1" ht="14.25" customHeight="1" x14ac:dyDescent="0.3"/>
    <row r="343" s="1" customFormat="1" ht="14.25" customHeight="1" x14ac:dyDescent="0.3"/>
    <row r="344" s="1" customFormat="1" ht="14.25" customHeight="1" x14ac:dyDescent="0.3"/>
    <row r="345" s="1" customFormat="1" ht="14.25" customHeight="1" x14ac:dyDescent="0.3"/>
    <row r="346" s="1" customFormat="1" ht="14.25" customHeight="1" x14ac:dyDescent="0.3"/>
    <row r="347" s="1" customFormat="1" ht="14.25" customHeight="1" x14ac:dyDescent="0.3"/>
    <row r="348" s="1" customFormat="1" ht="14.25" customHeight="1" x14ac:dyDescent="0.3"/>
    <row r="349" s="1" customFormat="1" ht="14.25" customHeight="1" x14ac:dyDescent="0.3"/>
    <row r="350" s="1" customFormat="1" ht="14.25" customHeight="1" x14ac:dyDescent="0.3"/>
    <row r="351" s="1" customFormat="1" ht="14.25" customHeight="1" x14ac:dyDescent="0.3"/>
    <row r="352" s="1" customFormat="1" ht="14.25" customHeight="1" x14ac:dyDescent="0.3"/>
    <row r="353" s="1" customFormat="1" ht="14.25" customHeight="1" x14ac:dyDescent="0.3"/>
    <row r="354" s="1" customFormat="1" ht="14.25" customHeight="1" x14ac:dyDescent="0.3"/>
    <row r="355" s="1" customFormat="1" ht="14.25" customHeight="1" x14ac:dyDescent="0.3"/>
    <row r="356" s="1" customFormat="1" ht="14.25" customHeight="1" x14ac:dyDescent="0.3"/>
    <row r="357" s="1" customFormat="1" ht="14.25" customHeight="1" x14ac:dyDescent="0.3"/>
    <row r="358" s="1" customFormat="1" ht="14.25" customHeight="1" x14ac:dyDescent="0.3"/>
    <row r="359" s="1" customFormat="1" ht="14.25" customHeight="1" x14ac:dyDescent="0.3"/>
    <row r="360" s="1" customFormat="1" ht="14.25" customHeight="1" x14ac:dyDescent="0.3"/>
    <row r="361" s="1" customFormat="1" ht="14.25" customHeight="1" x14ac:dyDescent="0.3"/>
    <row r="362" s="1" customFormat="1" ht="14.25" customHeight="1" x14ac:dyDescent="0.3"/>
    <row r="363" s="1" customFormat="1" ht="14.25" customHeight="1" x14ac:dyDescent="0.3"/>
    <row r="364" s="1" customFormat="1" ht="14.25" customHeight="1" x14ac:dyDescent="0.3"/>
    <row r="365" s="1" customFormat="1" ht="14.25" customHeight="1" x14ac:dyDescent="0.3"/>
    <row r="366" s="1" customFormat="1" ht="14.25" customHeight="1" x14ac:dyDescent="0.3"/>
    <row r="367" s="1" customFormat="1" ht="14.25" customHeight="1" x14ac:dyDescent="0.3"/>
    <row r="368" s="1" customFormat="1" ht="14.25" customHeight="1" x14ac:dyDescent="0.3"/>
    <row r="369" s="1" customFormat="1" ht="14.25" customHeight="1" x14ac:dyDescent="0.3"/>
    <row r="370" s="1" customFormat="1" ht="14.25" customHeight="1" x14ac:dyDescent="0.3"/>
    <row r="371" s="1" customFormat="1" ht="14.25" customHeight="1" x14ac:dyDescent="0.3"/>
    <row r="372" s="1" customFormat="1" ht="14.25" customHeight="1" x14ac:dyDescent="0.3"/>
    <row r="373" s="1" customFormat="1" ht="14.25" customHeight="1" x14ac:dyDescent="0.3"/>
    <row r="374" s="1" customFormat="1" ht="14.25" customHeight="1" x14ac:dyDescent="0.3"/>
    <row r="375" s="1" customFormat="1" ht="14.25" customHeight="1" x14ac:dyDescent="0.3"/>
    <row r="376" s="1" customFormat="1" ht="14.25" customHeight="1" x14ac:dyDescent="0.3"/>
    <row r="377" s="1" customFormat="1" ht="14.25" customHeight="1" x14ac:dyDescent="0.3"/>
    <row r="378" s="1" customFormat="1" ht="14.25" customHeight="1" x14ac:dyDescent="0.3"/>
    <row r="379" s="1" customFormat="1" ht="14.25" customHeight="1" x14ac:dyDescent="0.3"/>
    <row r="380" s="1" customFormat="1" ht="14.25" customHeight="1" x14ac:dyDescent="0.3"/>
    <row r="381" s="1" customFormat="1" ht="14.25" customHeight="1" x14ac:dyDescent="0.3"/>
    <row r="382" s="1" customFormat="1" ht="14.25" customHeight="1" x14ac:dyDescent="0.3"/>
    <row r="383" s="1" customFormat="1" ht="14.25" customHeight="1" x14ac:dyDescent="0.3"/>
    <row r="384" s="1" customFormat="1" ht="14.25" customHeight="1" x14ac:dyDescent="0.3"/>
    <row r="385" s="1" customFormat="1" ht="14.25" customHeight="1" x14ac:dyDescent="0.3"/>
    <row r="386" s="1" customFormat="1" ht="14.25" customHeight="1" x14ac:dyDescent="0.3"/>
    <row r="387" s="1" customFormat="1" ht="14.25" customHeight="1" x14ac:dyDescent="0.3"/>
    <row r="388" s="1" customFormat="1" ht="14.25" customHeight="1" x14ac:dyDescent="0.3"/>
    <row r="389" s="1" customFormat="1" ht="14.25" customHeight="1" x14ac:dyDescent="0.3"/>
    <row r="390" s="1" customFormat="1" ht="14.25" customHeight="1" x14ac:dyDescent="0.3"/>
    <row r="391" s="1" customFormat="1" ht="14.25" customHeight="1" x14ac:dyDescent="0.3"/>
    <row r="392" s="1" customFormat="1" ht="14.25" customHeight="1" x14ac:dyDescent="0.3"/>
    <row r="393" s="1" customFormat="1" ht="14.25" customHeight="1" x14ac:dyDescent="0.3"/>
    <row r="394" s="1" customFormat="1" ht="14.25" customHeight="1" x14ac:dyDescent="0.3"/>
    <row r="395" s="1" customFormat="1" ht="14.25" customHeight="1" x14ac:dyDescent="0.3"/>
    <row r="396" s="1" customFormat="1" ht="14.25" customHeight="1" x14ac:dyDescent="0.3"/>
    <row r="397" s="1" customFormat="1" ht="14.25" customHeight="1" x14ac:dyDescent="0.3"/>
    <row r="398" s="1" customFormat="1" ht="14.25" customHeight="1" x14ac:dyDescent="0.3"/>
    <row r="399" s="1" customFormat="1" ht="14.25" customHeight="1" x14ac:dyDescent="0.3"/>
    <row r="400" s="1" customFormat="1" ht="14.25" customHeight="1" x14ac:dyDescent="0.3"/>
    <row r="401" s="1" customFormat="1" ht="14.25" customHeight="1" x14ac:dyDescent="0.3"/>
    <row r="402" s="1" customFormat="1" ht="14.25" customHeight="1" x14ac:dyDescent="0.3"/>
    <row r="403" s="1" customFormat="1" ht="14.25" customHeight="1" x14ac:dyDescent="0.3"/>
    <row r="404" s="1" customFormat="1" ht="14.25" customHeight="1" x14ac:dyDescent="0.3"/>
    <row r="405" s="1" customFormat="1" ht="14.25" customHeight="1" x14ac:dyDescent="0.3"/>
    <row r="406" s="1" customFormat="1" ht="14.25" customHeight="1" x14ac:dyDescent="0.3"/>
    <row r="407" s="1" customFormat="1" ht="14.25" customHeight="1" x14ac:dyDescent="0.3"/>
    <row r="408" s="1" customFormat="1" ht="14.25" customHeight="1" x14ac:dyDescent="0.3"/>
    <row r="409" s="1" customFormat="1" ht="14.25" customHeight="1" x14ac:dyDescent="0.3"/>
    <row r="410" s="1" customFormat="1" ht="14.25" customHeight="1" x14ac:dyDescent="0.3"/>
    <row r="411" s="1" customFormat="1" ht="14.25" customHeight="1" x14ac:dyDescent="0.3"/>
    <row r="412" s="1" customFormat="1" ht="14.25" customHeight="1" x14ac:dyDescent="0.3"/>
    <row r="413" s="1" customFormat="1" ht="14.25" customHeight="1" x14ac:dyDescent="0.3"/>
    <row r="414" s="1" customFormat="1" ht="14.25" customHeight="1" x14ac:dyDescent="0.3"/>
    <row r="415" s="1" customFormat="1" ht="14.25" customHeight="1" x14ac:dyDescent="0.3"/>
    <row r="416" s="1" customFormat="1" ht="14.25" customHeight="1" x14ac:dyDescent="0.3"/>
    <row r="417" s="1" customFormat="1" ht="14.25" customHeight="1" x14ac:dyDescent="0.3"/>
    <row r="418" s="1" customFormat="1" ht="14.25" customHeight="1" x14ac:dyDescent="0.3"/>
    <row r="419" s="1" customFormat="1" ht="14.25" customHeight="1" x14ac:dyDescent="0.3"/>
    <row r="420" s="1" customFormat="1" ht="14.25" customHeight="1" x14ac:dyDescent="0.3"/>
    <row r="421" s="1" customFormat="1" ht="14.25" customHeight="1" x14ac:dyDescent="0.3"/>
    <row r="422" s="1" customFormat="1" ht="14.25" customHeight="1" x14ac:dyDescent="0.3"/>
    <row r="423" s="1" customFormat="1" ht="14.25" customHeight="1" x14ac:dyDescent="0.3"/>
    <row r="424" s="1" customFormat="1" ht="14.25" customHeight="1" x14ac:dyDescent="0.3"/>
    <row r="425" s="1" customFormat="1" ht="14.25" customHeight="1" x14ac:dyDescent="0.3"/>
    <row r="426" s="1" customFormat="1" ht="14.25" customHeight="1" x14ac:dyDescent="0.3"/>
    <row r="427" s="1" customFormat="1" ht="14.25" customHeight="1" x14ac:dyDescent="0.3"/>
    <row r="428" s="1" customFormat="1" ht="14.25" customHeight="1" x14ac:dyDescent="0.3"/>
    <row r="429" s="1" customFormat="1" ht="14.25" customHeight="1" x14ac:dyDescent="0.3"/>
    <row r="430" s="1" customFormat="1" ht="14.25" customHeight="1" x14ac:dyDescent="0.3"/>
    <row r="431" s="1" customFormat="1" ht="14.25" customHeight="1" x14ac:dyDescent="0.3"/>
    <row r="432" s="1" customFormat="1" ht="14.25" customHeight="1" x14ac:dyDescent="0.3"/>
    <row r="433" s="1" customFormat="1" ht="14.25" customHeight="1" x14ac:dyDescent="0.3"/>
    <row r="434" s="1" customFormat="1" ht="14.25" customHeight="1" x14ac:dyDescent="0.3"/>
    <row r="435" s="1" customFormat="1" ht="14.25" customHeight="1" x14ac:dyDescent="0.3"/>
    <row r="436" s="1" customFormat="1" ht="14.25" customHeight="1" x14ac:dyDescent="0.3"/>
    <row r="437" s="1" customFormat="1" ht="14.25" customHeight="1" x14ac:dyDescent="0.3"/>
    <row r="438" s="1" customFormat="1" ht="14.25" customHeight="1" x14ac:dyDescent="0.3"/>
    <row r="439" s="1" customFormat="1" ht="14.25" customHeight="1" x14ac:dyDescent="0.3"/>
    <row r="440" s="1" customFormat="1" ht="14.25" customHeight="1" x14ac:dyDescent="0.3"/>
    <row r="441" s="1" customFormat="1" ht="14.25" customHeight="1" x14ac:dyDescent="0.3"/>
    <row r="442" s="1" customFormat="1" ht="14.25" customHeight="1" x14ac:dyDescent="0.3"/>
    <row r="443" s="1" customFormat="1" ht="14.25" customHeight="1" x14ac:dyDescent="0.3"/>
    <row r="444" s="1" customFormat="1" ht="14.25" customHeight="1" x14ac:dyDescent="0.3"/>
    <row r="445" s="1" customFormat="1" ht="14.25" customHeight="1" x14ac:dyDescent="0.3"/>
    <row r="446" s="1" customFormat="1" ht="14.25" customHeight="1" x14ac:dyDescent="0.3"/>
    <row r="447" s="1" customFormat="1" ht="14.25" customHeight="1" x14ac:dyDescent="0.3"/>
    <row r="448" s="1" customFormat="1" ht="14.25" customHeight="1" x14ac:dyDescent="0.3"/>
    <row r="449" s="1" customFormat="1" ht="14.25" customHeight="1" x14ac:dyDescent="0.3"/>
    <row r="450" s="1" customFormat="1" ht="14.25" customHeight="1" x14ac:dyDescent="0.3"/>
    <row r="451" s="1" customFormat="1" ht="14.25" customHeight="1" x14ac:dyDescent="0.3"/>
    <row r="452" s="1" customFormat="1" ht="14.25" customHeight="1" x14ac:dyDescent="0.3"/>
    <row r="453" s="1" customFormat="1" ht="14.25" customHeight="1" x14ac:dyDescent="0.3"/>
    <row r="454" s="1" customFormat="1" ht="14.25" customHeight="1" x14ac:dyDescent="0.3"/>
    <row r="455" s="1" customFormat="1" ht="14.25" customHeight="1" x14ac:dyDescent="0.3"/>
    <row r="456" s="1" customFormat="1" ht="14.25" customHeight="1" x14ac:dyDescent="0.3"/>
    <row r="457" s="1" customFormat="1" ht="14.25" customHeight="1" x14ac:dyDescent="0.3"/>
    <row r="458" s="1" customFormat="1" ht="14.25" customHeight="1" x14ac:dyDescent="0.3"/>
    <row r="459" s="1" customFormat="1" ht="14.25" customHeight="1" x14ac:dyDescent="0.3"/>
    <row r="460" s="1" customFormat="1" ht="14.25" customHeight="1" x14ac:dyDescent="0.3"/>
    <row r="461" s="1" customFormat="1" ht="14.25" customHeight="1" x14ac:dyDescent="0.3"/>
    <row r="462" s="1" customFormat="1" ht="14.25" customHeight="1" x14ac:dyDescent="0.3"/>
    <row r="463" s="1" customFormat="1" ht="14.25" customHeight="1" x14ac:dyDescent="0.3"/>
    <row r="464" s="1" customFormat="1" ht="14.25" customHeight="1" x14ac:dyDescent="0.3"/>
    <row r="465" s="1" customFormat="1" ht="14.25" customHeight="1" x14ac:dyDescent="0.3"/>
    <row r="466" s="1" customFormat="1" ht="14.25" customHeight="1" x14ac:dyDescent="0.3"/>
    <row r="467" s="1" customFormat="1" ht="14.25" customHeight="1" x14ac:dyDescent="0.3"/>
    <row r="468" s="1" customFormat="1" ht="14.25" customHeight="1" x14ac:dyDescent="0.3"/>
    <row r="469" s="1" customFormat="1" ht="14.25" customHeight="1" x14ac:dyDescent="0.3"/>
    <row r="470" s="1" customFormat="1" ht="14.25" customHeight="1" x14ac:dyDescent="0.3"/>
    <row r="471" s="1" customFormat="1" ht="14.25" customHeight="1" x14ac:dyDescent="0.3"/>
    <row r="472" s="1" customFormat="1" ht="14.25" customHeight="1" x14ac:dyDescent="0.3"/>
    <row r="473" s="1" customFormat="1" ht="14.25" customHeight="1" x14ac:dyDescent="0.3"/>
    <row r="474" s="1" customFormat="1" ht="14.25" customHeight="1" x14ac:dyDescent="0.3"/>
    <row r="475" s="1" customFormat="1" ht="14.25" customHeight="1" x14ac:dyDescent="0.3"/>
    <row r="476" s="1" customFormat="1" ht="14.25" customHeight="1" x14ac:dyDescent="0.3"/>
    <row r="477" s="1" customFormat="1" ht="14.25" customHeight="1" x14ac:dyDescent="0.3"/>
    <row r="478" s="1" customFormat="1" ht="14.25" customHeight="1" x14ac:dyDescent="0.3"/>
    <row r="479" s="1" customFormat="1" ht="14.25" customHeight="1" x14ac:dyDescent="0.3"/>
    <row r="480" s="1" customFormat="1" ht="14.25" customHeight="1" x14ac:dyDescent="0.3"/>
    <row r="481" s="1" customFormat="1" ht="14.25" customHeight="1" x14ac:dyDescent="0.3"/>
    <row r="482" s="1" customFormat="1" ht="14.25" customHeight="1" x14ac:dyDescent="0.3"/>
    <row r="483" s="1" customFormat="1" ht="14.25" customHeight="1" x14ac:dyDescent="0.3"/>
    <row r="484" s="1" customFormat="1" ht="14.25" customHeight="1" x14ac:dyDescent="0.3"/>
    <row r="485" s="1" customFormat="1" ht="14.25" customHeight="1" x14ac:dyDescent="0.3"/>
    <row r="486" s="1" customFormat="1" ht="14.25" customHeight="1" x14ac:dyDescent="0.3"/>
    <row r="487" s="1" customFormat="1" ht="14.25" customHeight="1" x14ac:dyDescent="0.3"/>
    <row r="488" s="1" customFormat="1" ht="14.25" customHeight="1" x14ac:dyDescent="0.3"/>
    <row r="489" s="1" customFormat="1" ht="14.25" customHeight="1" x14ac:dyDescent="0.3"/>
    <row r="490" s="1" customFormat="1" ht="14.25" customHeight="1" x14ac:dyDescent="0.3"/>
    <row r="491" s="1" customFormat="1" ht="14.25" customHeight="1" x14ac:dyDescent="0.3"/>
    <row r="492" s="1" customFormat="1" ht="14.25" customHeight="1" x14ac:dyDescent="0.3"/>
    <row r="493" s="1" customFormat="1" ht="14.25" customHeight="1" x14ac:dyDescent="0.3"/>
    <row r="494" s="1" customFormat="1" ht="14.25" customHeight="1" x14ac:dyDescent="0.3"/>
    <row r="495" s="1" customFormat="1" ht="14.25" customHeight="1" x14ac:dyDescent="0.3"/>
    <row r="496" s="1" customFormat="1" ht="14.25" customHeight="1" x14ac:dyDescent="0.3"/>
    <row r="497" s="1" customFormat="1" ht="14.25" customHeight="1" x14ac:dyDescent="0.3"/>
    <row r="498" s="1" customFormat="1" ht="14.25" customHeight="1" x14ac:dyDescent="0.3"/>
    <row r="499" s="1" customFormat="1" ht="14.25" customHeight="1" x14ac:dyDescent="0.3"/>
    <row r="500" s="1" customFormat="1" ht="14.25" customHeight="1" x14ac:dyDescent="0.3"/>
    <row r="501" s="1" customFormat="1" ht="14.25" customHeight="1" x14ac:dyDescent="0.3"/>
    <row r="502" s="1" customFormat="1" ht="14.25" customHeight="1" x14ac:dyDescent="0.3"/>
    <row r="503" s="1" customFormat="1" ht="14.25" customHeight="1" x14ac:dyDescent="0.3"/>
    <row r="504" s="1" customFormat="1" ht="14.25" customHeight="1" x14ac:dyDescent="0.3"/>
    <row r="505" s="1" customFormat="1" ht="14.25" customHeight="1" x14ac:dyDescent="0.3"/>
    <row r="506" s="1" customFormat="1" ht="14.25" customHeight="1" x14ac:dyDescent="0.3"/>
    <row r="507" s="1" customFormat="1" ht="14.25" customHeight="1" x14ac:dyDescent="0.3"/>
    <row r="508" s="1" customFormat="1" ht="14.25" customHeight="1" x14ac:dyDescent="0.3"/>
    <row r="509" s="1" customFormat="1" ht="14.25" customHeight="1" x14ac:dyDescent="0.3"/>
    <row r="510" s="1" customFormat="1" ht="14.25" customHeight="1" x14ac:dyDescent="0.3"/>
    <row r="511" s="1" customFormat="1" ht="14.25" customHeight="1" x14ac:dyDescent="0.3"/>
    <row r="512" s="1" customFormat="1" ht="14.25" customHeight="1" x14ac:dyDescent="0.3"/>
    <row r="513" s="1" customFormat="1" ht="14.25" customHeight="1" x14ac:dyDescent="0.3"/>
    <row r="514" s="1" customFormat="1" ht="14.25" customHeight="1" x14ac:dyDescent="0.3"/>
    <row r="515" s="1" customFormat="1" ht="14.25" customHeight="1" x14ac:dyDescent="0.3"/>
    <row r="516" s="1" customFormat="1" ht="14.25" customHeight="1" x14ac:dyDescent="0.3"/>
    <row r="517" s="1" customFormat="1" ht="14.25" customHeight="1" x14ac:dyDescent="0.3"/>
    <row r="518" s="1" customFormat="1" ht="14.25" customHeight="1" x14ac:dyDescent="0.3"/>
    <row r="519" s="1" customFormat="1" ht="14.25" customHeight="1" x14ac:dyDescent="0.3"/>
    <row r="520" s="1" customFormat="1" ht="14.25" customHeight="1" x14ac:dyDescent="0.3"/>
    <row r="521" s="1" customFormat="1" ht="14.25" customHeight="1" x14ac:dyDescent="0.3"/>
    <row r="522" s="1" customFormat="1" ht="14.25" customHeight="1" x14ac:dyDescent="0.3"/>
    <row r="523" s="1" customFormat="1" ht="14.25" customHeight="1" x14ac:dyDescent="0.3"/>
    <row r="524" s="1" customFormat="1" ht="14.25" customHeight="1" x14ac:dyDescent="0.3"/>
    <row r="525" s="1" customFormat="1" ht="14.25" customHeight="1" x14ac:dyDescent="0.3"/>
    <row r="526" s="1" customFormat="1" ht="14.25" customHeight="1" x14ac:dyDescent="0.3"/>
    <row r="527" s="1" customFormat="1" ht="14.25" customHeight="1" x14ac:dyDescent="0.3"/>
    <row r="528" s="1" customFormat="1" ht="14.25" customHeight="1" x14ac:dyDescent="0.3"/>
    <row r="529" s="1" customFormat="1" ht="14.25" customHeight="1" x14ac:dyDescent="0.3"/>
    <row r="530" s="1" customFormat="1" ht="14.25" customHeight="1" x14ac:dyDescent="0.3"/>
    <row r="531" s="1" customFormat="1" ht="14.25" customHeight="1" x14ac:dyDescent="0.3"/>
    <row r="532" s="1" customFormat="1" ht="14.25" customHeight="1" x14ac:dyDescent="0.3"/>
    <row r="533" s="1" customFormat="1" ht="14.25" customHeight="1" x14ac:dyDescent="0.3"/>
    <row r="534" s="1" customFormat="1" ht="14.25" customHeight="1" x14ac:dyDescent="0.3"/>
    <row r="535" s="1" customFormat="1" ht="14.25" customHeight="1" x14ac:dyDescent="0.3"/>
    <row r="536" s="1" customFormat="1" ht="14.25" customHeight="1" x14ac:dyDescent="0.3"/>
    <row r="537" s="1" customFormat="1" ht="14.25" customHeight="1" x14ac:dyDescent="0.3"/>
    <row r="538" s="1" customFormat="1" ht="14.25" customHeight="1" x14ac:dyDescent="0.3"/>
    <row r="539" s="1" customFormat="1" ht="14.25" customHeight="1" x14ac:dyDescent="0.3"/>
    <row r="540" s="1" customFormat="1" ht="14.25" customHeight="1" x14ac:dyDescent="0.3"/>
    <row r="541" s="1" customFormat="1" ht="14.25" customHeight="1" x14ac:dyDescent="0.3"/>
    <row r="542" s="1" customFormat="1" ht="14.25" customHeight="1" x14ac:dyDescent="0.3"/>
    <row r="543" s="1" customFormat="1" ht="14.25" customHeight="1" x14ac:dyDescent="0.3"/>
    <row r="544" s="1" customFormat="1" ht="14.25" customHeight="1" x14ac:dyDescent="0.3"/>
    <row r="545" s="1" customFormat="1" ht="14.25" customHeight="1" x14ac:dyDescent="0.3"/>
    <row r="546" s="1" customFormat="1" ht="14.25" customHeight="1" x14ac:dyDescent="0.3"/>
    <row r="547" s="1" customFormat="1" ht="14.25" customHeight="1" x14ac:dyDescent="0.3"/>
    <row r="548" s="1" customFormat="1" ht="14.25" customHeight="1" x14ac:dyDescent="0.3"/>
    <row r="549" s="1" customFormat="1" ht="14.25" customHeight="1" x14ac:dyDescent="0.3"/>
    <row r="550" s="1" customFormat="1" ht="14.25" customHeight="1" x14ac:dyDescent="0.3"/>
    <row r="551" s="1" customFormat="1" ht="14.25" customHeight="1" x14ac:dyDescent="0.3"/>
    <row r="552" s="1" customFormat="1" ht="14.25" customHeight="1" x14ac:dyDescent="0.3"/>
    <row r="553" s="1" customFormat="1" ht="14.25" customHeight="1" x14ac:dyDescent="0.3"/>
    <row r="554" s="1" customFormat="1" ht="14.25" customHeight="1" x14ac:dyDescent="0.3"/>
    <row r="555" s="1" customFormat="1" ht="14.25" customHeight="1" x14ac:dyDescent="0.3"/>
    <row r="556" s="1" customFormat="1" ht="14.25" customHeight="1" x14ac:dyDescent="0.3"/>
    <row r="557" s="1" customFormat="1" ht="14.25" customHeight="1" x14ac:dyDescent="0.3"/>
    <row r="558" s="1" customFormat="1" ht="14.25" customHeight="1" x14ac:dyDescent="0.3"/>
    <row r="559" s="1" customFormat="1" ht="14.25" customHeight="1" x14ac:dyDescent="0.3"/>
    <row r="560" s="1" customFormat="1" ht="14.25" customHeight="1" x14ac:dyDescent="0.3"/>
    <row r="561" s="1" customFormat="1" ht="14.25" customHeight="1" x14ac:dyDescent="0.3"/>
    <row r="562" s="1" customFormat="1" ht="14.25" customHeight="1" x14ac:dyDescent="0.3"/>
    <row r="563" s="1" customFormat="1" ht="14.25" customHeight="1" x14ac:dyDescent="0.3"/>
    <row r="564" s="1" customFormat="1" ht="14.25" customHeight="1" x14ac:dyDescent="0.3"/>
    <row r="565" s="1" customFormat="1" ht="14.25" customHeight="1" x14ac:dyDescent="0.3"/>
    <row r="566" s="1" customFormat="1" ht="14.25" customHeight="1" x14ac:dyDescent="0.3"/>
    <row r="567" s="1" customFormat="1" ht="14.25" customHeight="1" x14ac:dyDescent="0.3"/>
    <row r="568" s="1" customFormat="1" ht="14.25" customHeight="1" x14ac:dyDescent="0.3"/>
    <row r="569" s="1" customFormat="1" ht="14.25" customHeight="1" x14ac:dyDescent="0.3"/>
    <row r="570" s="1" customFormat="1" ht="14.25" customHeight="1" x14ac:dyDescent="0.3"/>
    <row r="571" s="1" customFormat="1" ht="14.25" customHeight="1" x14ac:dyDescent="0.3"/>
    <row r="572" s="1" customFormat="1" ht="14.25" customHeight="1" x14ac:dyDescent="0.3"/>
    <row r="573" s="1" customFormat="1" ht="14.25" customHeight="1" x14ac:dyDescent="0.3"/>
    <row r="574" s="1" customFormat="1" ht="14.25" customHeight="1" x14ac:dyDescent="0.3"/>
    <row r="575" s="1" customFormat="1" ht="14.25" customHeight="1" x14ac:dyDescent="0.3"/>
    <row r="576" s="1" customFormat="1" ht="14.25" customHeight="1" x14ac:dyDescent="0.3"/>
    <row r="577" s="1" customFormat="1" ht="14.25" customHeight="1" x14ac:dyDescent="0.3"/>
    <row r="578" s="1" customFormat="1" ht="14.25" customHeight="1" x14ac:dyDescent="0.3"/>
    <row r="579" s="1" customFormat="1" ht="14.25" customHeight="1" x14ac:dyDescent="0.3"/>
    <row r="580" s="1" customFormat="1" ht="14.25" customHeight="1" x14ac:dyDescent="0.3"/>
    <row r="581" s="1" customFormat="1" ht="14.25" customHeight="1" x14ac:dyDescent="0.3"/>
    <row r="582" s="1" customFormat="1" ht="14.25" customHeight="1" x14ac:dyDescent="0.3"/>
    <row r="583" s="1" customFormat="1" ht="14.25" customHeight="1" x14ac:dyDescent="0.3"/>
    <row r="584" s="1" customFormat="1" ht="14.25" customHeight="1" x14ac:dyDescent="0.3"/>
    <row r="585" s="1" customFormat="1" ht="14.25" customHeight="1" x14ac:dyDescent="0.3"/>
    <row r="586" s="1" customFormat="1" ht="14.25" customHeight="1" x14ac:dyDescent="0.3"/>
    <row r="587" s="1" customFormat="1" ht="14.25" customHeight="1" x14ac:dyDescent="0.3"/>
    <row r="588" s="1" customFormat="1" ht="14.25" customHeight="1" x14ac:dyDescent="0.3"/>
    <row r="589" s="1" customFormat="1" ht="14.25" customHeight="1" x14ac:dyDescent="0.3"/>
    <row r="590" s="1" customFormat="1" ht="14.25" customHeight="1" x14ac:dyDescent="0.3"/>
    <row r="591" s="1" customFormat="1" ht="14.25" customHeight="1" x14ac:dyDescent="0.3"/>
    <row r="592" s="1" customFormat="1" ht="14.25" customHeight="1" x14ac:dyDescent="0.3"/>
    <row r="593" s="1" customFormat="1" ht="14.25" customHeight="1" x14ac:dyDescent="0.3"/>
    <row r="594" s="1" customFormat="1" ht="14.25" customHeight="1" x14ac:dyDescent="0.3"/>
    <row r="595" s="1" customFormat="1" ht="14.25" customHeight="1" x14ac:dyDescent="0.3"/>
    <row r="596" s="1" customFormat="1" ht="14.25" customHeight="1" x14ac:dyDescent="0.3"/>
    <row r="597" s="1" customFormat="1" ht="14.25" customHeight="1" x14ac:dyDescent="0.3"/>
    <row r="598" s="1" customFormat="1" ht="14.25" customHeight="1" x14ac:dyDescent="0.3"/>
    <row r="599" s="1" customFormat="1" ht="14.25" customHeight="1" x14ac:dyDescent="0.3"/>
    <row r="600" s="1" customFormat="1" ht="14.25" customHeight="1" x14ac:dyDescent="0.3"/>
    <row r="601" s="1" customFormat="1" ht="14.25" customHeight="1" x14ac:dyDescent="0.3"/>
    <row r="602" s="1" customFormat="1" ht="14.25" customHeight="1" x14ac:dyDescent="0.3"/>
    <row r="603" s="1" customFormat="1" ht="14.25" customHeight="1" x14ac:dyDescent="0.3"/>
    <row r="604" s="1" customFormat="1" ht="14.25" customHeight="1" x14ac:dyDescent="0.3"/>
    <row r="605" s="1" customFormat="1" ht="14.25" customHeight="1" x14ac:dyDescent="0.3"/>
    <row r="606" s="1" customFormat="1" ht="14.25" customHeight="1" x14ac:dyDescent="0.3"/>
    <row r="607" s="1" customFormat="1" ht="14.25" customHeight="1" x14ac:dyDescent="0.3"/>
    <row r="608" s="1" customFormat="1" ht="14.25" customHeight="1" x14ac:dyDescent="0.3"/>
    <row r="609" s="1" customFormat="1" ht="14.25" customHeight="1" x14ac:dyDescent="0.3"/>
    <row r="610" s="1" customFormat="1" ht="14.25" customHeight="1" x14ac:dyDescent="0.3"/>
    <row r="611" s="1" customFormat="1" ht="14.25" customHeight="1" x14ac:dyDescent="0.3"/>
    <row r="612" s="1" customFormat="1" ht="14.25" customHeight="1" x14ac:dyDescent="0.3"/>
    <row r="613" s="1" customFormat="1" ht="14.25" customHeight="1" x14ac:dyDescent="0.3"/>
    <row r="614" s="1" customFormat="1" ht="14.25" customHeight="1" x14ac:dyDescent="0.3"/>
    <row r="615" s="1" customFormat="1" ht="14.25" customHeight="1" x14ac:dyDescent="0.3"/>
    <row r="616" s="1" customFormat="1" ht="14.25" customHeight="1" x14ac:dyDescent="0.3"/>
    <row r="617" s="1" customFormat="1" ht="14.25" customHeight="1" x14ac:dyDescent="0.3"/>
    <row r="618" s="1" customFormat="1" ht="14.25" customHeight="1" x14ac:dyDescent="0.3"/>
    <row r="619" s="1" customFormat="1" ht="14.25" customHeight="1" x14ac:dyDescent="0.3"/>
    <row r="620" s="1" customFormat="1" ht="14.25" customHeight="1" x14ac:dyDescent="0.3"/>
    <row r="621" s="1" customFormat="1" ht="14.25" customHeight="1" x14ac:dyDescent="0.3"/>
    <row r="622" s="1" customFormat="1" ht="14.25" customHeight="1" x14ac:dyDescent="0.3"/>
    <row r="623" s="1" customFormat="1" ht="14.25" customHeight="1" x14ac:dyDescent="0.3"/>
    <row r="624" s="1" customFormat="1" ht="14.25" customHeight="1" x14ac:dyDescent="0.3"/>
    <row r="625" s="1" customFormat="1" ht="14.25" customHeight="1" x14ac:dyDescent="0.3"/>
    <row r="626" s="1" customFormat="1" ht="14.25" customHeight="1" x14ac:dyDescent="0.3"/>
    <row r="627" s="1" customFormat="1" ht="14.25" customHeight="1" x14ac:dyDescent="0.3"/>
    <row r="628" s="1" customFormat="1" ht="14.25" customHeight="1" x14ac:dyDescent="0.3"/>
    <row r="629" s="1" customFormat="1" ht="14.25" customHeight="1" x14ac:dyDescent="0.3"/>
    <row r="630" s="1" customFormat="1" ht="14.25" customHeight="1" x14ac:dyDescent="0.3"/>
    <row r="631" s="1" customFormat="1" ht="14.25" customHeight="1" x14ac:dyDescent="0.3"/>
    <row r="632" s="1" customFormat="1" ht="14.25" customHeight="1" x14ac:dyDescent="0.3"/>
    <row r="633" s="1" customFormat="1" ht="14.25" customHeight="1" x14ac:dyDescent="0.3"/>
    <row r="634" s="1" customFormat="1" ht="14.25" customHeight="1" x14ac:dyDescent="0.3"/>
    <row r="635" s="1" customFormat="1" ht="14.25" customHeight="1" x14ac:dyDescent="0.3"/>
    <row r="636" s="1" customFormat="1" ht="14.25" customHeight="1" x14ac:dyDescent="0.3"/>
    <row r="637" s="1" customFormat="1" ht="14.25" customHeight="1" x14ac:dyDescent="0.3"/>
    <row r="638" s="1" customFormat="1" ht="14.25" customHeight="1" x14ac:dyDescent="0.3"/>
    <row r="639" s="1" customFormat="1" ht="14.25" customHeight="1" x14ac:dyDescent="0.3"/>
    <row r="640" s="1" customFormat="1" ht="14.25" customHeight="1" x14ac:dyDescent="0.3"/>
    <row r="641" s="1" customFormat="1" ht="14.25" customHeight="1" x14ac:dyDescent="0.3"/>
    <row r="642" s="1" customFormat="1" ht="14.25" customHeight="1" x14ac:dyDescent="0.3"/>
    <row r="643" s="1" customFormat="1" ht="14.25" customHeight="1" x14ac:dyDescent="0.3"/>
    <row r="644" s="1" customFormat="1" ht="14.25" customHeight="1" x14ac:dyDescent="0.3"/>
    <row r="645" s="1" customFormat="1" ht="14.25" customHeight="1" x14ac:dyDescent="0.3"/>
    <row r="646" s="1" customFormat="1" ht="14.25" customHeight="1" x14ac:dyDescent="0.3"/>
    <row r="647" s="1" customFormat="1" ht="14.25" customHeight="1" x14ac:dyDescent="0.3"/>
    <row r="648" s="1" customFormat="1" ht="14.25" customHeight="1" x14ac:dyDescent="0.3"/>
    <row r="649" s="1" customFormat="1" ht="14.25" customHeight="1" x14ac:dyDescent="0.3"/>
    <row r="650" s="1" customFormat="1" ht="14.25" customHeight="1" x14ac:dyDescent="0.3"/>
    <row r="651" s="1" customFormat="1" ht="14.25" customHeight="1" x14ac:dyDescent="0.3"/>
    <row r="652" s="1" customFormat="1" ht="14.25" customHeight="1" x14ac:dyDescent="0.3"/>
    <row r="653" s="1" customFormat="1" ht="14.25" customHeight="1" x14ac:dyDescent="0.3"/>
    <row r="654" s="1" customFormat="1" ht="14.25" customHeight="1" x14ac:dyDescent="0.3"/>
    <row r="655" s="1" customFormat="1" ht="14.25" customHeight="1" x14ac:dyDescent="0.3"/>
    <row r="656" s="1" customFormat="1" ht="14.25" customHeight="1" x14ac:dyDescent="0.3"/>
    <row r="657" s="1" customFormat="1" ht="14.25" customHeight="1" x14ac:dyDescent="0.3"/>
    <row r="658" s="1" customFormat="1" ht="14.25" customHeight="1" x14ac:dyDescent="0.3"/>
    <row r="659" s="1" customFormat="1" ht="14.25" customHeight="1" x14ac:dyDescent="0.3"/>
    <row r="660" s="1" customFormat="1" ht="14.25" customHeight="1" x14ac:dyDescent="0.3"/>
    <row r="661" s="1" customFormat="1" ht="14.25" customHeight="1" x14ac:dyDescent="0.3"/>
    <row r="662" s="1" customFormat="1" ht="14.25" customHeight="1" x14ac:dyDescent="0.3"/>
    <row r="663" s="1" customFormat="1" ht="14.25" customHeight="1" x14ac:dyDescent="0.3"/>
    <row r="664" s="1" customFormat="1" ht="14.25" customHeight="1" x14ac:dyDescent="0.3"/>
    <row r="665" s="1" customFormat="1" ht="14.25" customHeight="1" x14ac:dyDescent="0.3"/>
    <row r="666" s="1" customFormat="1" ht="14.25" customHeight="1" x14ac:dyDescent="0.3"/>
    <row r="667" s="1" customFormat="1" ht="14.25" customHeight="1" x14ac:dyDescent="0.3"/>
    <row r="668" s="1" customFormat="1" ht="14.25" customHeight="1" x14ac:dyDescent="0.3"/>
    <row r="669" s="1" customFormat="1" ht="14.25" customHeight="1" x14ac:dyDescent="0.3"/>
    <row r="670" s="1" customFormat="1" ht="14.25" customHeight="1" x14ac:dyDescent="0.3"/>
    <row r="671" s="1" customFormat="1" ht="14.25" customHeight="1" x14ac:dyDescent="0.3"/>
    <row r="672" s="1" customFormat="1" ht="14.25" customHeight="1" x14ac:dyDescent="0.3"/>
    <row r="673" s="1" customFormat="1" ht="14.25" customHeight="1" x14ac:dyDescent="0.3"/>
    <row r="674" s="1" customFormat="1" ht="14.25" customHeight="1" x14ac:dyDescent="0.3"/>
    <row r="675" s="1" customFormat="1" ht="14.25" customHeight="1" x14ac:dyDescent="0.3"/>
    <row r="676" s="1" customFormat="1" ht="14.25" customHeight="1" x14ac:dyDescent="0.3"/>
    <row r="677" s="1" customFormat="1" ht="14.25" customHeight="1" x14ac:dyDescent="0.3"/>
    <row r="678" s="1" customFormat="1" ht="14.25" customHeight="1" x14ac:dyDescent="0.3"/>
    <row r="679" s="1" customFormat="1" ht="14.25" customHeight="1" x14ac:dyDescent="0.3"/>
    <row r="680" s="1" customFormat="1" ht="14.25" customHeight="1" x14ac:dyDescent="0.3"/>
    <row r="681" s="1" customFormat="1" ht="14.25" customHeight="1" x14ac:dyDescent="0.3"/>
    <row r="682" s="1" customFormat="1" ht="14.25" customHeight="1" x14ac:dyDescent="0.3"/>
    <row r="683" s="1" customFormat="1" ht="14.25" customHeight="1" x14ac:dyDescent="0.3"/>
    <row r="684" s="1" customFormat="1" ht="14.25" customHeight="1" x14ac:dyDescent="0.3"/>
    <row r="685" s="1" customFormat="1" ht="14.25" customHeight="1" x14ac:dyDescent="0.3"/>
    <row r="686" s="1" customFormat="1" ht="14.25" customHeight="1" x14ac:dyDescent="0.3"/>
    <row r="687" s="1" customFormat="1" ht="14.25" customHeight="1" x14ac:dyDescent="0.3"/>
    <row r="688" s="1" customFormat="1" ht="14.25" customHeight="1" x14ac:dyDescent="0.3"/>
    <row r="689" s="1" customFormat="1" ht="14.25" customHeight="1" x14ac:dyDescent="0.3"/>
    <row r="690" s="1" customFormat="1" ht="14.25" customHeight="1" x14ac:dyDescent="0.3"/>
    <row r="691" s="1" customFormat="1" ht="14.25" customHeight="1" x14ac:dyDescent="0.3"/>
    <row r="692" s="1" customFormat="1" ht="14.25" customHeight="1" x14ac:dyDescent="0.3"/>
    <row r="693" s="1" customFormat="1" ht="14.25" customHeight="1" x14ac:dyDescent="0.3"/>
    <row r="694" s="1" customFormat="1" ht="14.25" customHeight="1" x14ac:dyDescent="0.3"/>
    <row r="695" s="1" customFormat="1" ht="14.25" customHeight="1" x14ac:dyDescent="0.3"/>
    <row r="696" s="1" customFormat="1" ht="14.25" customHeight="1" x14ac:dyDescent="0.3"/>
    <row r="697" s="1" customFormat="1" ht="14.25" customHeight="1" x14ac:dyDescent="0.3"/>
    <row r="698" s="1" customFormat="1" ht="14.25" customHeight="1" x14ac:dyDescent="0.3"/>
    <row r="699" s="1" customFormat="1" ht="14.25" customHeight="1" x14ac:dyDescent="0.3"/>
    <row r="700" s="1" customFormat="1" ht="14.25" customHeight="1" x14ac:dyDescent="0.3"/>
    <row r="701" s="1" customFormat="1" ht="14.25" customHeight="1" x14ac:dyDescent="0.3"/>
    <row r="702" s="1" customFormat="1" ht="14.25" customHeight="1" x14ac:dyDescent="0.3"/>
    <row r="703" s="1" customFormat="1" ht="14.25" customHeight="1" x14ac:dyDescent="0.3"/>
    <row r="704" s="1" customFormat="1" ht="14.25" customHeight="1" x14ac:dyDescent="0.3"/>
    <row r="705" s="1" customFormat="1" ht="14.25" customHeight="1" x14ac:dyDescent="0.3"/>
    <row r="706" s="1" customFormat="1" ht="14.25" customHeight="1" x14ac:dyDescent="0.3"/>
    <row r="707" s="1" customFormat="1" ht="14.25" customHeight="1" x14ac:dyDescent="0.3"/>
    <row r="708" s="1" customFormat="1" ht="14.25" customHeight="1" x14ac:dyDescent="0.3"/>
    <row r="709" s="1" customFormat="1" ht="14.25" customHeight="1" x14ac:dyDescent="0.3"/>
    <row r="710" s="1" customFormat="1" ht="14.25" customHeight="1" x14ac:dyDescent="0.3"/>
    <row r="711" s="1" customFormat="1" ht="14.25" customHeight="1" x14ac:dyDescent="0.3"/>
    <row r="712" s="1" customFormat="1" ht="14.25" customHeight="1" x14ac:dyDescent="0.3"/>
    <row r="713" s="1" customFormat="1" ht="14.25" customHeight="1" x14ac:dyDescent="0.3"/>
    <row r="714" s="1" customFormat="1" ht="14.25" customHeight="1" x14ac:dyDescent="0.3"/>
    <row r="715" s="1" customFormat="1" ht="14.25" customHeight="1" x14ac:dyDescent="0.3"/>
    <row r="716" s="1" customFormat="1" ht="14.25" customHeight="1" x14ac:dyDescent="0.3"/>
    <row r="717" s="1" customFormat="1" ht="14.25" customHeight="1" x14ac:dyDescent="0.3"/>
    <row r="718" s="1" customFormat="1" ht="14.25" customHeight="1" x14ac:dyDescent="0.3"/>
    <row r="719" s="1" customFormat="1" ht="14.25" customHeight="1" x14ac:dyDescent="0.3"/>
    <row r="720" s="1" customFormat="1" ht="14.25" customHeight="1" x14ac:dyDescent="0.3"/>
    <row r="721" s="1" customFormat="1" ht="14.25" customHeight="1" x14ac:dyDescent="0.3"/>
    <row r="722" s="1" customFormat="1" ht="14.25" customHeight="1" x14ac:dyDescent="0.3"/>
    <row r="723" s="1" customFormat="1" ht="14.25" customHeight="1" x14ac:dyDescent="0.3"/>
    <row r="724" s="1" customFormat="1" ht="14.25" customHeight="1" x14ac:dyDescent="0.3"/>
    <row r="725" s="1" customFormat="1" ht="14.25" customHeight="1" x14ac:dyDescent="0.3"/>
    <row r="726" s="1" customFormat="1" ht="14.25" customHeight="1" x14ac:dyDescent="0.3"/>
    <row r="727" s="1" customFormat="1" ht="14.25" customHeight="1" x14ac:dyDescent="0.3"/>
    <row r="728" s="1" customFormat="1" ht="14.25" customHeight="1" x14ac:dyDescent="0.3"/>
    <row r="729" s="1" customFormat="1" ht="14.25" customHeight="1" x14ac:dyDescent="0.3"/>
    <row r="730" s="1" customFormat="1" ht="14.25" customHeight="1" x14ac:dyDescent="0.3"/>
    <row r="731" s="1" customFormat="1" ht="14.25" customHeight="1" x14ac:dyDescent="0.3"/>
    <row r="732" s="1" customFormat="1" ht="14.25" customHeight="1" x14ac:dyDescent="0.3"/>
    <row r="733" s="1" customFormat="1" ht="14.25" customHeight="1" x14ac:dyDescent="0.3"/>
    <row r="734" s="1" customFormat="1" ht="14.25" customHeight="1" x14ac:dyDescent="0.3"/>
    <row r="735" s="1" customFormat="1" ht="14.25" customHeight="1" x14ac:dyDescent="0.3"/>
    <row r="736" s="1" customFormat="1" ht="14.25" customHeight="1" x14ac:dyDescent="0.3"/>
    <row r="737" s="1" customFormat="1" ht="14.25" customHeight="1" x14ac:dyDescent="0.3"/>
    <row r="738" s="1" customFormat="1" ht="14.25" customHeight="1" x14ac:dyDescent="0.3"/>
    <row r="739" s="1" customFormat="1" ht="14.25" customHeight="1" x14ac:dyDescent="0.3"/>
    <row r="740" s="1" customFormat="1" ht="14.25" customHeight="1" x14ac:dyDescent="0.3"/>
    <row r="741" s="1" customFormat="1" ht="14.25" customHeight="1" x14ac:dyDescent="0.3"/>
    <row r="742" s="1" customFormat="1" ht="14.25" customHeight="1" x14ac:dyDescent="0.3"/>
    <row r="743" s="1" customFormat="1" ht="14.25" customHeight="1" x14ac:dyDescent="0.3"/>
    <row r="744" s="1" customFormat="1" ht="14.25" customHeight="1" x14ac:dyDescent="0.3"/>
    <row r="745" s="1" customFormat="1" ht="14.25" customHeight="1" x14ac:dyDescent="0.3"/>
    <row r="746" s="1" customFormat="1" ht="14.25" customHeight="1" x14ac:dyDescent="0.3"/>
    <row r="747" s="1" customFormat="1" ht="14.25" customHeight="1" x14ac:dyDescent="0.3"/>
    <row r="748" s="1" customFormat="1" ht="14.25" customHeight="1" x14ac:dyDescent="0.3"/>
    <row r="749" s="1" customFormat="1" ht="14.25" customHeight="1" x14ac:dyDescent="0.3"/>
    <row r="750" s="1" customFormat="1" ht="14.25" customHeight="1" x14ac:dyDescent="0.3"/>
    <row r="751" s="1" customFormat="1" ht="14.25" customHeight="1" x14ac:dyDescent="0.3"/>
    <row r="752" s="1" customFormat="1" ht="14.25" customHeight="1" x14ac:dyDescent="0.3"/>
    <row r="753" s="1" customFormat="1" ht="14.25" customHeight="1" x14ac:dyDescent="0.3"/>
    <row r="754" s="1" customFormat="1" ht="14.25" customHeight="1" x14ac:dyDescent="0.3"/>
    <row r="755" s="1" customFormat="1" ht="14.25" customHeight="1" x14ac:dyDescent="0.3"/>
    <row r="756" s="1" customFormat="1" ht="14.25" customHeight="1" x14ac:dyDescent="0.3"/>
    <row r="757" s="1" customFormat="1" ht="14.25" customHeight="1" x14ac:dyDescent="0.3"/>
    <row r="758" s="1" customFormat="1" ht="14.25" customHeight="1" x14ac:dyDescent="0.3"/>
    <row r="759" s="1" customFormat="1" ht="14.25" customHeight="1" x14ac:dyDescent="0.3"/>
    <row r="760" s="1" customFormat="1" ht="14.25" customHeight="1" x14ac:dyDescent="0.3"/>
    <row r="761" s="1" customFormat="1" ht="14.25" customHeight="1" x14ac:dyDescent="0.3"/>
    <row r="762" s="1" customFormat="1" ht="14.25" customHeight="1" x14ac:dyDescent="0.3"/>
    <row r="763" s="1" customFormat="1" ht="14.25" customHeight="1" x14ac:dyDescent="0.3"/>
    <row r="764" s="1" customFormat="1" ht="14.25" customHeight="1" x14ac:dyDescent="0.3"/>
    <row r="765" s="1" customFormat="1" ht="14.25" customHeight="1" x14ac:dyDescent="0.3"/>
    <row r="766" s="1" customFormat="1" ht="14.25" customHeight="1" x14ac:dyDescent="0.3"/>
    <row r="767" s="1" customFormat="1" ht="14.25" customHeight="1" x14ac:dyDescent="0.3"/>
    <row r="768" s="1" customFormat="1" ht="14.25" customHeight="1" x14ac:dyDescent="0.3"/>
    <row r="769" s="1" customFormat="1" ht="14.25" customHeight="1" x14ac:dyDescent="0.3"/>
    <row r="770" s="1" customFormat="1" ht="14.25" customHeight="1" x14ac:dyDescent="0.3"/>
    <row r="771" s="1" customFormat="1" ht="14.25" customHeight="1" x14ac:dyDescent="0.3"/>
    <row r="772" s="1" customFormat="1" ht="14.25" customHeight="1" x14ac:dyDescent="0.3"/>
    <row r="773" s="1" customFormat="1" ht="14.25" customHeight="1" x14ac:dyDescent="0.3"/>
    <row r="774" s="1" customFormat="1" ht="14.25" customHeight="1" x14ac:dyDescent="0.3"/>
    <row r="775" s="1" customFormat="1" ht="14.25" customHeight="1" x14ac:dyDescent="0.3"/>
    <row r="776" s="1" customFormat="1" ht="14.25" customHeight="1" x14ac:dyDescent="0.3"/>
    <row r="777" s="1" customFormat="1" ht="14.25" customHeight="1" x14ac:dyDescent="0.3"/>
    <row r="778" s="1" customFormat="1" ht="14.25" customHeight="1" x14ac:dyDescent="0.3"/>
    <row r="779" s="1" customFormat="1" ht="14.25" customHeight="1" x14ac:dyDescent="0.3"/>
    <row r="780" s="1" customFormat="1" ht="14.25" customHeight="1" x14ac:dyDescent="0.3"/>
    <row r="781" s="1" customFormat="1" ht="14.25" customHeight="1" x14ac:dyDescent="0.3"/>
    <row r="782" s="1" customFormat="1" ht="14.25" customHeight="1" x14ac:dyDescent="0.3"/>
    <row r="783" s="1" customFormat="1" ht="14.25" customHeight="1" x14ac:dyDescent="0.3"/>
    <row r="784" s="1" customFormat="1" ht="14.25" customHeight="1" x14ac:dyDescent="0.3"/>
    <row r="785" s="1" customFormat="1" ht="14.25" customHeight="1" x14ac:dyDescent="0.3"/>
    <row r="786" s="1" customFormat="1" ht="14.25" customHeight="1" x14ac:dyDescent="0.3"/>
    <row r="787" s="1" customFormat="1" ht="14.25" customHeight="1" x14ac:dyDescent="0.3"/>
    <row r="788" s="1" customFormat="1" ht="14.25" customHeight="1" x14ac:dyDescent="0.3"/>
    <row r="789" s="1" customFormat="1" ht="14.25" customHeight="1" x14ac:dyDescent="0.3"/>
    <row r="790" s="1" customFormat="1" ht="14.25" customHeight="1" x14ac:dyDescent="0.3"/>
    <row r="791" s="1" customFormat="1" ht="14.25" customHeight="1" x14ac:dyDescent="0.3"/>
    <row r="792" s="1" customFormat="1" ht="14.25" customHeight="1" x14ac:dyDescent="0.3"/>
    <row r="793" s="1" customFormat="1" ht="14.25" customHeight="1" x14ac:dyDescent="0.3"/>
    <row r="794" s="1" customFormat="1" ht="14.25" customHeight="1" x14ac:dyDescent="0.3"/>
    <row r="795" s="1" customFormat="1" ht="14.25" customHeight="1" x14ac:dyDescent="0.3"/>
    <row r="796" s="1" customFormat="1" ht="14.25" customHeight="1" x14ac:dyDescent="0.3"/>
    <row r="797" s="1" customFormat="1" ht="14.25" customHeight="1" x14ac:dyDescent="0.3"/>
    <row r="798" s="1" customFormat="1" ht="14.25" customHeight="1" x14ac:dyDescent="0.3"/>
    <row r="799" s="1" customFormat="1" ht="14.25" customHeight="1" x14ac:dyDescent="0.3"/>
    <row r="800" s="1" customFormat="1" ht="14.25" customHeight="1" x14ac:dyDescent="0.3"/>
    <row r="801" s="1" customFormat="1" ht="14.25" customHeight="1" x14ac:dyDescent="0.3"/>
    <row r="802" s="1" customFormat="1" ht="14.25" customHeight="1" x14ac:dyDescent="0.3"/>
    <row r="803" s="1" customFormat="1" ht="14.25" customHeight="1" x14ac:dyDescent="0.3"/>
    <row r="804" s="1" customFormat="1" ht="14.25" customHeight="1" x14ac:dyDescent="0.3"/>
    <row r="805" s="1" customFormat="1" ht="14.25" customHeight="1" x14ac:dyDescent="0.3"/>
    <row r="806" s="1" customFormat="1" ht="14.25" customHeight="1" x14ac:dyDescent="0.3"/>
    <row r="807" s="1" customFormat="1" ht="14.25" customHeight="1" x14ac:dyDescent="0.3"/>
    <row r="808" s="1" customFormat="1" ht="14.25" customHeight="1" x14ac:dyDescent="0.3"/>
    <row r="809" s="1" customFormat="1" ht="14.25" customHeight="1" x14ac:dyDescent="0.3"/>
    <row r="810" s="1" customFormat="1" ht="14.25" customHeight="1" x14ac:dyDescent="0.3"/>
    <row r="811" s="1" customFormat="1" ht="14.25" customHeight="1" x14ac:dyDescent="0.3"/>
    <row r="812" s="1" customFormat="1" ht="14.25" customHeight="1" x14ac:dyDescent="0.3"/>
    <row r="813" s="1" customFormat="1" ht="14.25" customHeight="1" x14ac:dyDescent="0.3"/>
    <row r="814" s="1" customFormat="1" ht="14.25" customHeight="1" x14ac:dyDescent="0.3"/>
    <row r="815" s="1" customFormat="1" ht="14.25" customHeight="1" x14ac:dyDescent="0.3"/>
    <row r="816" s="1" customFormat="1" ht="14.25" customHeight="1" x14ac:dyDescent="0.3"/>
    <row r="817" s="1" customFormat="1" ht="14.25" customHeight="1" x14ac:dyDescent="0.3"/>
    <row r="818" s="1" customFormat="1" ht="14.25" customHeight="1" x14ac:dyDescent="0.3"/>
    <row r="819" s="1" customFormat="1" ht="14.25" customHeight="1" x14ac:dyDescent="0.3"/>
    <row r="820" s="1" customFormat="1" ht="14.25" customHeight="1" x14ac:dyDescent="0.3"/>
    <row r="821" s="1" customFormat="1" ht="14.25" customHeight="1" x14ac:dyDescent="0.3"/>
    <row r="822" s="1" customFormat="1" ht="14.25" customHeight="1" x14ac:dyDescent="0.3"/>
    <row r="823" s="1" customFormat="1" ht="14.25" customHeight="1" x14ac:dyDescent="0.3"/>
    <row r="824" s="1" customFormat="1" ht="14.25" customHeight="1" x14ac:dyDescent="0.3"/>
    <row r="825" s="1" customFormat="1" ht="14.25" customHeight="1" x14ac:dyDescent="0.3"/>
    <row r="826" s="1" customFormat="1" ht="14.25" customHeight="1" x14ac:dyDescent="0.3"/>
    <row r="827" s="1" customFormat="1" ht="14.25" customHeight="1" x14ac:dyDescent="0.3"/>
    <row r="828" s="1" customFormat="1" ht="14.25" customHeight="1" x14ac:dyDescent="0.3"/>
    <row r="829" s="1" customFormat="1" ht="14.25" customHeight="1" x14ac:dyDescent="0.3"/>
    <row r="830" s="1" customFormat="1" ht="14.25" customHeight="1" x14ac:dyDescent="0.3"/>
    <row r="831" s="1" customFormat="1" ht="14.25" customHeight="1" x14ac:dyDescent="0.3"/>
    <row r="832" s="1" customFormat="1" ht="14.25" customHeight="1" x14ac:dyDescent="0.3"/>
    <row r="833" s="1" customFormat="1" ht="14.25" customHeight="1" x14ac:dyDescent="0.3"/>
    <row r="834" s="1" customFormat="1" ht="14.25" customHeight="1" x14ac:dyDescent="0.3"/>
    <row r="835" s="1" customFormat="1" ht="14.25" customHeight="1" x14ac:dyDescent="0.3"/>
    <row r="836" s="1" customFormat="1" ht="14.25" customHeight="1" x14ac:dyDescent="0.3"/>
    <row r="837" s="1" customFormat="1" ht="14.25" customHeight="1" x14ac:dyDescent="0.3"/>
    <row r="838" s="1" customFormat="1" ht="14.25" customHeight="1" x14ac:dyDescent="0.3"/>
    <row r="839" s="1" customFormat="1" ht="14.25" customHeight="1" x14ac:dyDescent="0.3"/>
    <row r="840" s="1" customFormat="1" ht="14.25" customHeight="1" x14ac:dyDescent="0.3"/>
    <row r="841" s="1" customFormat="1" ht="14.25" customHeight="1" x14ac:dyDescent="0.3"/>
    <row r="842" s="1" customFormat="1" ht="14.25" customHeight="1" x14ac:dyDescent="0.3"/>
    <row r="843" s="1" customFormat="1" ht="14.25" customHeight="1" x14ac:dyDescent="0.3"/>
    <row r="844" s="1" customFormat="1" ht="14.25" customHeight="1" x14ac:dyDescent="0.3"/>
    <row r="845" s="1" customFormat="1" ht="14.25" customHeight="1" x14ac:dyDescent="0.3"/>
    <row r="846" s="1" customFormat="1" ht="14.25" customHeight="1" x14ac:dyDescent="0.3"/>
    <row r="847" s="1" customFormat="1" ht="14.25" customHeight="1" x14ac:dyDescent="0.3"/>
    <row r="848" s="1" customFormat="1" ht="14.25" customHeight="1" x14ac:dyDescent="0.3"/>
    <row r="849" s="1" customFormat="1" ht="14.25" customHeight="1" x14ac:dyDescent="0.3"/>
    <row r="850" s="1" customFormat="1" ht="14.25" customHeight="1" x14ac:dyDescent="0.3"/>
    <row r="851" s="1" customFormat="1" ht="14.25" customHeight="1" x14ac:dyDescent="0.3"/>
    <row r="852" s="1" customFormat="1" ht="14.25" customHeight="1" x14ac:dyDescent="0.3"/>
    <row r="853" s="1" customFormat="1" ht="14.25" customHeight="1" x14ac:dyDescent="0.3"/>
    <row r="854" s="1" customFormat="1" ht="14.25" customHeight="1" x14ac:dyDescent="0.3"/>
    <row r="855" s="1" customFormat="1" ht="14.25" customHeight="1" x14ac:dyDescent="0.3"/>
    <row r="856" s="1" customFormat="1" ht="14.25" customHeight="1" x14ac:dyDescent="0.3"/>
    <row r="857" s="1" customFormat="1" ht="14.25" customHeight="1" x14ac:dyDescent="0.3"/>
    <row r="858" s="1" customFormat="1" ht="14.25" customHeight="1" x14ac:dyDescent="0.3"/>
    <row r="859" s="1" customFormat="1" ht="14.25" customHeight="1" x14ac:dyDescent="0.3"/>
    <row r="860" s="1" customFormat="1" ht="14.25" customHeight="1" x14ac:dyDescent="0.3"/>
    <row r="861" s="1" customFormat="1" ht="14.25" customHeight="1" x14ac:dyDescent="0.3"/>
    <row r="862" s="1" customFormat="1" ht="14.25" customHeight="1" x14ac:dyDescent="0.3"/>
    <row r="863" s="1" customFormat="1" ht="14.25" customHeight="1" x14ac:dyDescent="0.3"/>
    <row r="864" s="1" customFormat="1" ht="14.25" customHeight="1" x14ac:dyDescent="0.3"/>
    <row r="865" s="1" customFormat="1" ht="14.25" customHeight="1" x14ac:dyDescent="0.3"/>
    <row r="866" s="1" customFormat="1" ht="14.25" customHeight="1" x14ac:dyDescent="0.3"/>
    <row r="867" s="1" customFormat="1" ht="14.25" customHeight="1" x14ac:dyDescent="0.3"/>
    <row r="868" s="1" customFormat="1" ht="14.25" customHeight="1" x14ac:dyDescent="0.3"/>
    <row r="869" s="1" customFormat="1" ht="14.25" customHeight="1" x14ac:dyDescent="0.3"/>
    <row r="870" s="1" customFormat="1" ht="14.25" customHeight="1" x14ac:dyDescent="0.3"/>
    <row r="871" s="1" customFormat="1" ht="14.25" customHeight="1" x14ac:dyDescent="0.3"/>
    <row r="872" s="1" customFormat="1" ht="14.25" customHeight="1" x14ac:dyDescent="0.3"/>
    <row r="873" s="1" customFormat="1" ht="14.25" customHeight="1" x14ac:dyDescent="0.3"/>
    <row r="874" s="1" customFormat="1" ht="14.25" customHeight="1" x14ac:dyDescent="0.3"/>
    <row r="875" s="1" customFormat="1" ht="14.25" customHeight="1" x14ac:dyDescent="0.3"/>
    <row r="876" s="1" customFormat="1" ht="14.25" customHeight="1" x14ac:dyDescent="0.3"/>
    <row r="877" s="1" customFormat="1" ht="14.25" customHeight="1" x14ac:dyDescent="0.3"/>
    <row r="878" s="1" customFormat="1" ht="14.25" customHeight="1" x14ac:dyDescent="0.3"/>
    <row r="879" s="1" customFormat="1" ht="14.25" customHeight="1" x14ac:dyDescent="0.3"/>
    <row r="880" s="1" customFormat="1" ht="14.25" customHeight="1" x14ac:dyDescent="0.3"/>
    <row r="881" s="1" customFormat="1" ht="14.25" customHeight="1" x14ac:dyDescent="0.3"/>
    <row r="882" s="1" customFormat="1" ht="14.25" customHeight="1" x14ac:dyDescent="0.3"/>
    <row r="883" s="1" customFormat="1" ht="14.25" customHeight="1" x14ac:dyDescent="0.3"/>
    <row r="884" s="1" customFormat="1" ht="14.25" customHeight="1" x14ac:dyDescent="0.3"/>
    <row r="885" s="1" customFormat="1" ht="14.25" customHeight="1" x14ac:dyDescent="0.3"/>
    <row r="886" s="1" customFormat="1" ht="14.25" customHeight="1" x14ac:dyDescent="0.3"/>
    <row r="887" s="1" customFormat="1" ht="14.25" customHeight="1" x14ac:dyDescent="0.3"/>
    <row r="888" s="1" customFormat="1" ht="14.25" customHeight="1" x14ac:dyDescent="0.3"/>
    <row r="889" s="1" customFormat="1" ht="14.25" customHeight="1" x14ac:dyDescent="0.3"/>
    <row r="890" s="1" customFormat="1" ht="14.25" customHeight="1" x14ac:dyDescent="0.3"/>
    <row r="891" s="1" customFormat="1" ht="14.25" customHeight="1" x14ac:dyDescent="0.3"/>
    <row r="892" s="1" customFormat="1" ht="14.25" customHeight="1" x14ac:dyDescent="0.3"/>
    <row r="893" s="1" customFormat="1" ht="14.25" customHeight="1" x14ac:dyDescent="0.3"/>
    <row r="894" s="1" customFormat="1" ht="14.25" customHeight="1" x14ac:dyDescent="0.3"/>
    <row r="895" s="1" customFormat="1" ht="14.25" customHeight="1" x14ac:dyDescent="0.3"/>
    <row r="896" s="1" customFormat="1" ht="14.25" customHeight="1" x14ac:dyDescent="0.3"/>
    <row r="897" s="1" customFormat="1" ht="14.25" customHeight="1" x14ac:dyDescent="0.3"/>
    <row r="898" s="1" customFormat="1" ht="14.25" customHeight="1" x14ac:dyDescent="0.3"/>
    <row r="899" s="1" customFormat="1" ht="14.25" customHeight="1" x14ac:dyDescent="0.3"/>
    <row r="900" s="1" customFormat="1" ht="14.25" customHeight="1" x14ac:dyDescent="0.3"/>
    <row r="901" s="1" customFormat="1" ht="14.25" customHeight="1" x14ac:dyDescent="0.3"/>
    <row r="902" s="1" customFormat="1" ht="14.25" customHeight="1" x14ac:dyDescent="0.3"/>
    <row r="903" s="1" customFormat="1" ht="14.25" customHeight="1" x14ac:dyDescent="0.3"/>
    <row r="904" s="1" customFormat="1" ht="14.25" customHeight="1" x14ac:dyDescent="0.3"/>
    <row r="905" s="1" customFormat="1" ht="14.25" customHeight="1" x14ac:dyDescent="0.3"/>
    <row r="906" s="1" customFormat="1" ht="14.25" customHeight="1" x14ac:dyDescent="0.3"/>
    <row r="907" s="1" customFormat="1" ht="14.25" customHeight="1" x14ac:dyDescent="0.3"/>
    <row r="908" s="1" customFormat="1" ht="14.25" customHeight="1" x14ac:dyDescent="0.3"/>
    <row r="909" s="1" customFormat="1" ht="14.25" customHeight="1" x14ac:dyDescent="0.3"/>
    <row r="910" s="1" customFormat="1" ht="14.25" customHeight="1" x14ac:dyDescent="0.3"/>
    <row r="911" s="1" customFormat="1" ht="14.25" customHeight="1" x14ac:dyDescent="0.3"/>
    <row r="912" s="1" customFormat="1" ht="14.25" customHeight="1" x14ac:dyDescent="0.3"/>
    <row r="913" s="1" customFormat="1" ht="14.25" customHeight="1" x14ac:dyDescent="0.3"/>
    <row r="914" s="1" customFormat="1" ht="14.25" customHeight="1" x14ac:dyDescent="0.3"/>
    <row r="915" s="1" customFormat="1" ht="14.25" customHeight="1" x14ac:dyDescent="0.3"/>
    <row r="916" s="1" customFormat="1" ht="14.25" customHeight="1" x14ac:dyDescent="0.3"/>
    <row r="917" s="1" customFormat="1" ht="14.25" customHeight="1" x14ac:dyDescent="0.3"/>
    <row r="918" s="1" customFormat="1" ht="14.25" customHeight="1" x14ac:dyDescent="0.3"/>
    <row r="919" s="1" customFormat="1" ht="14.25" customHeight="1" x14ac:dyDescent="0.3"/>
    <row r="920" s="1" customFormat="1" ht="14.25" customHeight="1" x14ac:dyDescent="0.3"/>
    <row r="921" s="1" customFormat="1" ht="14.25" customHeight="1" x14ac:dyDescent="0.3"/>
    <row r="922" s="1" customFormat="1" ht="14.25" customHeight="1" x14ac:dyDescent="0.3"/>
    <row r="923" s="1" customFormat="1" ht="14.25" customHeight="1" x14ac:dyDescent="0.3"/>
    <row r="924" s="1" customFormat="1" ht="14.25" customHeight="1" x14ac:dyDescent="0.3"/>
    <row r="925" s="1" customFormat="1" ht="14.25" customHeight="1" x14ac:dyDescent="0.3"/>
    <row r="926" s="1" customFormat="1" ht="14.25" customHeight="1" x14ac:dyDescent="0.3"/>
    <row r="927" s="1" customFormat="1" ht="14.25" customHeight="1" x14ac:dyDescent="0.3"/>
    <row r="928" s="1" customFormat="1" ht="14.25" customHeight="1" x14ac:dyDescent="0.3"/>
    <row r="929" s="1" customFormat="1" ht="14.25" customHeight="1" x14ac:dyDescent="0.3"/>
    <row r="930" s="1" customFormat="1" ht="14.25" customHeight="1" x14ac:dyDescent="0.3"/>
    <row r="931" s="1" customFormat="1" ht="14.25" customHeight="1" x14ac:dyDescent="0.3"/>
    <row r="932" s="1" customFormat="1" ht="14.25" customHeight="1" x14ac:dyDescent="0.3"/>
    <row r="933" s="1" customFormat="1" ht="14.25" customHeight="1" x14ac:dyDescent="0.3"/>
    <row r="934" s="1" customFormat="1" ht="14.25" customHeight="1" x14ac:dyDescent="0.3"/>
    <row r="935" s="1" customFormat="1" ht="14.25" customHeight="1" x14ac:dyDescent="0.3"/>
    <row r="936" s="1" customFormat="1" ht="14.25" customHeight="1" x14ac:dyDescent="0.3"/>
    <row r="937" s="1" customFormat="1" ht="14.25" customHeight="1" x14ac:dyDescent="0.3"/>
    <row r="938" s="1" customFormat="1" ht="14.25" customHeight="1" x14ac:dyDescent="0.3"/>
    <row r="939" s="1" customFormat="1" ht="14.25" customHeight="1" x14ac:dyDescent="0.3"/>
    <row r="940" s="1" customFormat="1" ht="14.25" customHeight="1" x14ac:dyDescent="0.3"/>
    <row r="941" s="1" customFormat="1" ht="14.25" customHeight="1" x14ac:dyDescent="0.3"/>
    <row r="942" s="1" customFormat="1" ht="14.25" customHeight="1" x14ac:dyDescent="0.3"/>
    <row r="943" s="1" customFormat="1" ht="14.25" customHeight="1" x14ac:dyDescent="0.3"/>
    <row r="944" s="1" customFormat="1" ht="14.25" customHeight="1" x14ac:dyDescent="0.3"/>
    <row r="945" s="1" customFormat="1" ht="14.25" customHeight="1" x14ac:dyDescent="0.3"/>
    <row r="946" s="1" customFormat="1" ht="14.25" customHeight="1" x14ac:dyDescent="0.3"/>
    <row r="947" s="1" customFormat="1" ht="14.25" customHeight="1" x14ac:dyDescent="0.3"/>
    <row r="948" s="1" customFormat="1" ht="14.25" customHeight="1" x14ac:dyDescent="0.3"/>
    <row r="949" s="1" customFormat="1" ht="14.25" customHeight="1" x14ac:dyDescent="0.3"/>
    <row r="950" s="1" customFormat="1" ht="14.25" customHeight="1" x14ac:dyDescent="0.3"/>
    <row r="951" s="1" customFormat="1" ht="14.25" customHeight="1" x14ac:dyDescent="0.3"/>
    <row r="952" s="1" customFormat="1" ht="14.25" customHeight="1" x14ac:dyDescent="0.3"/>
    <row r="953" s="1" customFormat="1" ht="14.25" customHeight="1" x14ac:dyDescent="0.3"/>
    <row r="954" s="1" customFormat="1" ht="14.25" customHeight="1" x14ac:dyDescent="0.3"/>
    <row r="955" s="1" customFormat="1" ht="14.25" customHeight="1" x14ac:dyDescent="0.3"/>
    <row r="956" s="1" customFormat="1" ht="14.25" customHeight="1" x14ac:dyDescent="0.3"/>
    <row r="957" s="1" customFormat="1" ht="14.25" customHeight="1" x14ac:dyDescent="0.3"/>
    <row r="958" s="1" customFormat="1" ht="14.25" customHeight="1" x14ac:dyDescent="0.3"/>
    <row r="959" s="1" customFormat="1" ht="14.25" customHeight="1" x14ac:dyDescent="0.3"/>
    <row r="960" s="1" customFormat="1" ht="14.25" customHeight="1" x14ac:dyDescent="0.3"/>
    <row r="961" s="1" customFormat="1" ht="14.25" customHeight="1" x14ac:dyDescent="0.3"/>
    <row r="962" s="1" customFormat="1" ht="14.25" customHeight="1" x14ac:dyDescent="0.3"/>
    <row r="963" s="1" customFormat="1" ht="14.25" customHeight="1" x14ac:dyDescent="0.3"/>
    <row r="964" s="1" customFormat="1" ht="14.25" customHeight="1" x14ac:dyDescent="0.3"/>
    <row r="965" s="1" customFormat="1" ht="14.25" customHeight="1" x14ac:dyDescent="0.3"/>
    <row r="966" s="1" customFormat="1" ht="14.25" customHeight="1" x14ac:dyDescent="0.3"/>
    <row r="967" s="1" customFormat="1" ht="14.25" customHeight="1" x14ac:dyDescent="0.3"/>
    <row r="968" s="1" customFormat="1" ht="14.25" customHeight="1" x14ac:dyDescent="0.3"/>
    <row r="969" s="1" customFormat="1" ht="14.25" customHeight="1" x14ac:dyDescent="0.3"/>
    <row r="970" s="1" customFormat="1" ht="14.25" customHeight="1" x14ac:dyDescent="0.3"/>
    <row r="971" s="1" customFormat="1" ht="14.25" customHeight="1" x14ac:dyDescent="0.3"/>
    <row r="972" s="1" customFormat="1" ht="14.25" customHeight="1" x14ac:dyDescent="0.3"/>
    <row r="973" s="1" customFormat="1" ht="14.25" customHeight="1" x14ac:dyDescent="0.3"/>
    <row r="974" s="1" customFormat="1" ht="14.25" customHeight="1" x14ac:dyDescent="0.3"/>
    <row r="975" s="1" customFormat="1" ht="14.25" customHeight="1" x14ac:dyDescent="0.3"/>
    <row r="976" s="1" customFormat="1" ht="14.25" customHeight="1" x14ac:dyDescent="0.3"/>
    <row r="977" s="1" customFormat="1" ht="14.25" customHeight="1" x14ac:dyDescent="0.3"/>
    <row r="978" s="1" customFormat="1" ht="14.25" customHeight="1" x14ac:dyDescent="0.3"/>
    <row r="979" s="1" customFormat="1" ht="14.25" customHeight="1" x14ac:dyDescent="0.3"/>
    <row r="980" s="1" customFormat="1" ht="14.25" customHeight="1" x14ac:dyDescent="0.3"/>
    <row r="981" s="1" customFormat="1" ht="14.25" customHeight="1" x14ac:dyDescent="0.3"/>
    <row r="982" s="1" customFormat="1" ht="14.25" customHeight="1" x14ac:dyDescent="0.3"/>
    <row r="983" s="1" customFormat="1" ht="14.25" customHeight="1" x14ac:dyDescent="0.3"/>
    <row r="984" s="1" customFormat="1" ht="14.25" customHeight="1" x14ac:dyDescent="0.3"/>
    <row r="985" s="1" customFormat="1" ht="14.25" customHeight="1" x14ac:dyDescent="0.3"/>
    <row r="986" s="1" customFormat="1" ht="14.25" customHeight="1" x14ac:dyDescent="0.3"/>
    <row r="987" s="1" customFormat="1" ht="14.25" customHeight="1" x14ac:dyDescent="0.3"/>
    <row r="988" s="1" customFormat="1" ht="14.25" customHeight="1" x14ac:dyDescent="0.3"/>
    <row r="989" s="1" customFormat="1" ht="14.25" customHeight="1" x14ac:dyDescent="0.3"/>
    <row r="990" s="1" customFormat="1" ht="14.25" customHeight="1" x14ac:dyDescent="0.3"/>
    <row r="991" s="1" customFormat="1" ht="14.25" customHeight="1" x14ac:dyDescent="0.3"/>
    <row r="992" s="1" customFormat="1" ht="14.25" customHeight="1" x14ac:dyDescent="0.3"/>
    <row r="993" s="1" customFormat="1" ht="14.25" customHeight="1" x14ac:dyDescent="0.3"/>
    <row r="994" s="1" customFormat="1" ht="14.25" customHeight="1" x14ac:dyDescent="0.3"/>
    <row r="995" s="1" customFormat="1" ht="14.25" customHeight="1" x14ac:dyDescent="0.3"/>
    <row r="996" s="1" customFormat="1" ht="14.25" customHeight="1" x14ac:dyDescent="0.3"/>
    <row r="997" s="1" customFormat="1" ht="14.25" customHeight="1" x14ac:dyDescent="0.3"/>
    <row r="998" s="1" customFormat="1" ht="14.25" customHeight="1" x14ac:dyDescent="0.3"/>
    <row r="999" s="1" customFormat="1" ht="14.25" customHeight="1" x14ac:dyDescent="0.3"/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CB679-3BCC-44F9-A319-3752E26CDCFC}">
  <dimension ref="A1:M999"/>
  <sheetViews>
    <sheetView workbookViewId="0">
      <selection sqref="A1:XFD1048576"/>
    </sheetView>
  </sheetViews>
  <sheetFormatPr baseColWidth="10" defaultColWidth="12.6328125" defaultRowHeight="15" customHeight="1" x14ac:dyDescent="0.3"/>
  <cols>
    <col min="1" max="1" width="15.7265625" style="1" customWidth="1"/>
    <col min="2" max="7" width="10.6328125" style="1" customWidth="1"/>
    <col min="8" max="8" width="11.36328125" style="1" customWidth="1"/>
    <col min="9" max="25" width="10.6328125" style="1" customWidth="1"/>
    <col min="26" max="16384" width="12.6328125" style="1"/>
  </cols>
  <sheetData>
    <row r="1" spans="1:13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4.25" customHeight="1" x14ac:dyDescent="0.3">
      <c r="A2" s="1" t="s">
        <v>12</v>
      </c>
      <c r="B2" s="1" t="s">
        <v>13</v>
      </c>
      <c r="C2" s="1">
        <v>1</v>
      </c>
      <c r="H2" s="2" t="s">
        <v>14</v>
      </c>
      <c r="I2" s="3">
        <f t="shared" ref="I2:L2" si="0">SUM(C22+C37+C55+C65+C66+C96+C105+C113+C128+C146+C150)</f>
        <v>11</v>
      </c>
      <c r="J2" s="3">
        <f t="shared" si="0"/>
        <v>0</v>
      </c>
      <c r="K2" s="3">
        <f t="shared" si="0"/>
        <v>0</v>
      </c>
      <c r="L2" s="3">
        <f t="shared" si="0"/>
        <v>0</v>
      </c>
      <c r="M2" s="3">
        <f t="shared" ref="M2:M13" si="1">SUM(I2:L2)</f>
        <v>11</v>
      </c>
    </row>
    <row r="3" spans="1:13" ht="14.25" customHeight="1" x14ac:dyDescent="0.3">
      <c r="A3" s="1" t="s">
        <v>15</v>
      </c>
      <c r="B3" s="1" t="s">
        <v>16</v>
      </c>
      <c r="C3" s="1">
        <v>1</v>
      </c>
      <c r="H3" s="2" t="s">
        <v>17</v>
      </c>
      <c r="I3" s="3">
        <f t="shared" ref="I3:L3" si="2">SUM(C6+C32+C50+C52+C58+C69+C76+C94+C115+C122+C123+C152)</f>
        <v>12</v>
      </c>
      <c r="J3" s="3">
        <f t="shared" si="2"/>
        <v>0</v>
      </c>
      <c r="K3" s="3">
        <f t="shared" si="2"/>
        <v>0</v>
      </c>
      <c r="L3" s="3">
        <f t="shared" si="2"/>
        <v>0</v>
      </c>
      <c r="M3" s="3">
        <f t="shared" si="1"/>
        <v>12</v>
      </c>
    </row>
    <row r="4" spans="1:13" ht="14.25" customHeight="1" x14ac:dyDescent="0.3">
      <c r="A4" s="1" t="s">
        <v>18</v>
      </c>
      <c r="B4" s="1" t="s">
        <v>13</v>
      </c>
      <c r="C4" s="1">
        <v>1</v>
      </c>
      <c r="H4" s="2" t="s">
        <v>19</v>
      </c>
      <c r="I4" s="3">
        <f t="shared" ref="I4:L4" si="3">SUM(C26+C14+C27+C62+C68+C124+C138+C142+C153+C155)</f>
        <v>10</v>
      </c>
      <c r="J4" s="3">
        <f t="shared" si="3"/>
        <v>0</v>
      </c>
      <c r="K4" s="3">
        <f t="shared" si="3"/>
        <v>0</v>
      </c>
      <c r="L4" s="3">
        <f t="shared" si="3"/>
        <v>0</v>
      </c>
      <c r="M4" s="3">
        <f t="shared" si="1"/>
        <v>10</v>
      </c>
    </row>
    <row r="5" spans="1:13" ht="14.25" customHeight="1" x14ac:dyDescent="0.3">
      <c r="A5" s="1" t="s">
        <v>20</v>
      </c>
      <c r="B5" s="1" t="s">
        <v>21</v>
      </c>
      <c r="C5" s="1">
        <v>1</v>
      </c>
      <c r="H5" s="2" t="s">
        <v>22</v>
      </c>
      <c r="I5" s="3">
        <f t="shared" ref="I5:L5" si="4">SUM(C5+C36+C56+C63+C73+C85+C87+C95+C135)</f>
        <v>8</v>
      </c>
      <c r="J5" s="3">
        <f t="shared" si="4"/>
        <v>0</v>
      </c>
      <c r="K5" s="3">
        <f t="shared" si="4"/>
        <v>0</v>
      </c>
      <c r="L5" s="3">
        <f t="shared" si="4"/>
        <v>1</v>
      </c>
      <c r="M5" s="3">
        <f t="shared" si="1"/>
        <v>9</v>
      </c>
    </row>
    <row r="6" spans="1:13" ht="14.25" customHeight="1" x14ac:dyDescent="0.3">
      <c r="A6" s="1" t="s">
        <v>23</v>
      </c>
      <c r="B6" s="1" t="s">
        <v>24</v>
      </c>
      <c r="C6" s="1">
        <v>1</v>
      </c>
      <c r="H6" s="2" t="s">
        <v>25</v>
      </c>
      <c r="I6" s="3">
        <f t="shared" ref="I6:L6" si="5">SUM(C12+C15+C18+C28+C41+C59+C78+C64+C82+C83+C86+C106+C119+C143+C148+C154)</f>
        <v>16</v>
      </c>
      <c r="J6" s="3">
        <f t="shared" si="5"/>
        <v>0</v>
      </c>
      <c r="K6" s="3">
        <f t="shared" si="5"/>
        <v>0</v>
      </c>
      <c r="L6" s="3">
        <f t="shared" si="5"/>
        <v>0</v>
      </c>
      <c r="M6" s="3">
        <f t="shared" si="1"/>
        <v>16</v>
      </c>
    </row>
    <row r="7" spans="1:13" ht="14.25" customHeight="1" x14ac:dyDescent="0.3">
      <c r="A7" s="1" t="s">
        <v>26</v>
      </c>
      <c r="B7" s="1" t="s">
        <v>27</v>
      </c>
      <c r="C7" s="1">
        <v>1</v>
      </c>
      <c r="H7" s="2" t="s">
        <v>28</v>
      </c>
      <c r="I7" s="3">
        <f t="shared" ref="I7:L7" si="6">SUM(C3+C20+C46+C49+C54+C89+C90+C102+C112+C114+C129+C141)</f>
        <v>8</v>
      </c>
      <c r="J7" s="3">
        <f t="shared" si="6"/>
        <v>0</v>
      </c>
      <c r="K7" s="3">
        <f t="shared" si="6"/>
        <v>4</v>
      </c>
      <c r="L7" s="3">
        <f t="shared" si="6"/>
        <v>0</v>
      </c>
      <c r="M7" s="3">
        <f t="shared" si="1"/>
        <v>12</v>
      </c>
    </row>
    <row r="8" spans="1:13" ht="14.25" customHeight="1" x14ac:dyDescent="0.3">
      <c r="A8" s="1" t="s">
        <v>29</v>
      </c>
      <c r="B8" s="1" t="s">
        <v>30</v>
      </c>
      <c r="D8" s="1">
        <v>1</v>
      </c>
      <c r="H8" s="2" t="s">
        <v>27</v>
      </c>
      <c r="I8" s="3">
        <f t="shared" ref="I8:L8" si="7">SUM(C7+C30+C29+C44+C51+C60+C72+C79+C101+C99+C107+C111+C117+C140+C144)</f>
        <v>13</v>
      </c>
      <c r="J8" s="3">
        <f t="shared" si="7"/>
        <v>0</v>
      </c>
      <c r="K8" s="3">
        <f t="shared" si="7"/>
        <v>2</v>
      </c>
      <c r="L8" s="3">
        <f t="shared" si="7"/>
        <v>0</v>
      </c>
      <c r="M8" s="3">
        <f t="shared" si="1"/>
        <v>15</v>
      </c>
    </row>
    <row r="9" spans="1:13" ht="14.25" customHeight="1" x14ac:dyDescent="0.3">
      <c r="A9" s="1" t="s">
        <v>31</v>
      </c>
      <c r="B9" s="1" t="s">
        <v>13</v>
      </c>
      <c r="C9" s="1">
        <v>1</v>
      </c>
      <c r="H9" s="2" t="s">
        <v>13</v>
      </c>
      <c r="I9" s="3">
        <f t="shared" ref="I9:J9" si="8">SUM(C4+C9+C17+C19+C2+C48+C92+C120+C126+C127+C130+C133+C151)</f>
        <v>13</v>
      </c>
      <c r="J9" s="3">
        <f t="shared" si="8"/>
        <v>0</v>
      </c>
      <c r="K9" s="3">
        <f>SUM(D4+D9+D17+D19+D2+D48+D92+D120+D126+D127+D130+D133+D151)</f>
        <v>0</v>
      </c>
      <c r="L9" s="3">
        <f>SUM(F4+F9+F17+F19+F2+F48+F92+F120+F126+F127+F130+F133+F151)</f>
        <v>0</v>
      </c>
      <c r="M9" s="3">
        <f t="shared" si="1"/>
        <v>13</v>
      </c>
    </row>
    <row r="10" spans="1:13" ht="14.25" customHeight="1" x14ac:dyDescent="0.3">
      <c r="A10" s="1" t="s">
        <v>32</v>
      </c>
      <c r="B10" s="1" t="s">
        <v>33</v>
      </c>
      <c r="C10" s="1">
        <v>1</v>
      </c>
      <c r="H10" s="2" t="s">
        <v>30</v>
      </c>
      <c r="I10" s="3">
        <f t="shared" ref="I10:L10" si="9">SUM(C8+C13+C16+C25+C31+C35+C43+C45+C70+C71+C75+C81+C88+C93+C98+C100+C104+C118+C136+C137+C156)</f>
        <v>0</v>
      </c>
      <c r="J10" s="3">
        <f t="shared" si="9"/>
        <v>19</v>
      </c>
      <c r="K10" s="3">
        <f t="shared" si="9"/>
        <v>2</v>
      </c>
      <c r="L10" s="3">
        <f t="shared" si="9"/>
        <v>0</v>
      </c>
      <c r="M10" s="3">
        <f t="shared" si="1"/>
        <v>21</v>
      </c>
    </row>
    <row r="11" spans="1:13" ht="14.25" customHeight="1" x14ac:dyDescent="0.3">
      <c r="A11" s="1" t="s">
        <v>34</v>
      </c>
      <c r="B11" s="1" t="s">
        <v>33</v>
      </c>
      <c r="C11" s="1">
        <v>1</v>
      </c>
      <c r="H11" s="2" t="s">
        <v>35</v>
      </c>
      <c r="I11" s="3">
        <f t="shared" ref="I11:L11" si="10">SUM(C38+C42+C47+C53+C74+C77+C80+C91+C97+C103+C108+C116+C131+C145+C147)</f>
        <v>0</v>
      </c>
      <c r="J11" s="3">
        <f t="shared" si="10"/>
        <v>9</v>
      </c>
      <c r="K11" s="3">
        <f t="shared" si="10"/>
        <v>6</v>
      </c>
      <c r="L11" s="3">
        <f t="shared" si="10"/>
        <v>0</v>
      </c>
      <c r="M11" s="3">
        <f t="shared" si="1"/>
        <v>15</v>
      </c>
    </row>
    <row r="12" spans="1:13" ht="14.25" customHeight="1" x14ac:dyDescent="0.3">
      <c r="A12" s="1" t="s">
        <v>36</v>
      </c>
      <c r="B12" s="1" t="s">
        <v>37</v>
      </c>
      <c r="C12" s="1">
        <v>1</v>
      </c>
      <c r="H12" s="2" t="s">
        <v>38</v>
      </c>
      <c r="I12" s="3">
        <f t="shared" ref="I12:L12" si="11">SUM(C21+C24+C34+C40+C67+C84+C132)</f>
        <v>2</v>
      </c>
      <c r="J12" s="3">
        <f t="shared" si="11"/>
        <v>4</v>
      </c>
      <c r="K12" s="3">
        <f t="shared" si="11"/>
        <v>1</v>
      </c>
      <c r="L12" s="3">
        <f t="shared" si="11"/>
        <v>0</v>
      </c>
      <c r="M12" s="3">
        <f t="shared" si="1"/>
        <v>7</v>
      </c>
    </row>
    <row r="13" spans="1:13" ht="14.25" customHeight="1" x14ac:dyDescent="0.3">
      <c r="A13" s="1" t="s">
        <v>39</v>
      </c>
      <c r="B13" s="1" t="s">
        <v>30</v>
      </c>
      <c r="D13" s="1">
        <v>1</v>
      </c>
      <c r="H13" s="2" t="s">
        <v>33</v>
      </c>
      <c r="I13" s="3">
        <f t="shared" ref="I13:L13" si="12">SUM(C10+C11+C57+C125+C149)</f>
        <v>4</v>
      </c>
      <c r="J13" s="3">
        <f t="shared" si="12"/>
        <v>1</v>
      </c>
      <c r="K13" s="3">
        <f t="shared" si="12"/>
        <v>0</v>
      </c>
      <c r="L13" s="3">
        <f t="shared" si="12"/>
        <v>0</v>
      </c>
      <c r="M13" s="3">
        <f t="shared" si="1"/>
        <v>5</v>
      </c>
    </row>
    <row r="14" spans="1:13" ht="14.25" customHeight="1" x14ac:dyDescent="0.3">
      <c r="A14" s="1" t="s">
        <v>40</v>
      </c>
      <c r="B14" s="1" t="s">
        <v>19</v>
      </c>
      <c r="C14" s="1">
        <v>1</v>
      </c>
      <c r="I14" s="4"/>
      <c r="J14" s="4"/>
      <c r="K14" s="4"/>
      <c r="L14" s="4"/>
    </row>
    <row r="15" spans="1:13" ht="14.25" customHeight="1" x14ac:dyDescent="0.3">
      <c r="A15" s="1" t="s">
        <v>41</v>
      </c>
      <c r="B15" s="1" t="s">
        <v>42</v>
      </c>
      <c r="C15" s="1">
        <v>1</v>
      </c>
      <c r="I15" s="4"/>
      <c r="J15" s="4"/>
      <c r="K15" s="4"/>
      <c r="L15" s="4"/>
    </row>
    <row r="16" spans="1:13" ht="14.25" customHeight="1" x14ac:dyDescent="0.3">
      <c r="A16" s="1" t="s">
        <v>43</v>
      </c>
      <c r="B16" s="1" t="s">
        <v>30</v>
      </c>
      <c r="D16" s="1">
        <v>1</v>
      </c>
      <c r="I16" s="4"/>
      <c r="J16" s="4"/>
      <c r="K16" s="4"/>
      <c r="L16" s="4"/>
    </row>
    <row r="17" spans="1:12" ht="14.25" customHeight="1" x14ac:dyDescent="0.3">
      <c r="A17" s="1" t="s">
        <v>44</v>
      </c>
      <c r="B17" s="1" t="s">
        <v>13</v>
      </c>
      <c r="C17" s="1">
        <v>1</v>
      </c>
      <c r="I17" s="4"/>
      <c r="J17" s="4"/>
      <c r="K17" s="4"/>
      <c r="L17" s="4"/>
    </row>
    <row r="18" spans="1:12" ht="14.25" customHeight="1" x14ac:dyDescent="0.3">
      <c r="A18" s="1" t="s">
        <v>45</v>
      </c>
      <c r="B18" s="1" t="s">
        <v>37</v>
      </c>
      <c r="C18" s="1">
        <v>1</v>
      </c>
      <c r="I18" s="4"/>
      <c r="J18" s="4"/>
      <c r="K18" s="4"/>
      <c r="L18" s="4"/>
    </row>
    <row r="19" spans="1:12" ht="14.25" customHeight="1" x14ac:dyDescent="0.3">
      <c r="A19" s="1" t="s">
        <v>46</v>
      </c>
      <c r="B19" s="1" t="s">
        <v>13</v>
      </c>
      <c r="C19" s="1">
        <v>1</v>
      </c>
    </row>
    <row r="20" spans="1:12" ht="14.25" customHeight="1" x14ac:dyDescent="0.3">
      <c r="A20" s="1" t="s">
        <v>47</v>
      </c>
      <c r="B20" s="1" t="s">
        <v>16</v>
      </c>
      <c r="C20" s="1">
        <v>1</v>
      </c>
    </row>
    <row r="21" spans="1:12" ht="14.25" customHeight="1" x14ac:dyDescent="0.3">
      <c r="A21" s="1" t="s">
        <v>48</v>
      </c>
      <c r="B21" s="1" t="s">
        <v>38</v>
      </c>
      <c r="C21" s="1">
        <v>1</v>
      </c>
    </row>
    <row r="22" spans="1:12" ht="14.25" customHeight="1" x14ac:dyDescent="0.3">
      <c r="A22" s="1" t="s">
        <v>49</v>
      </c>
      <c r="B22" s="1" t="s">
        <v>14</v>
      </c>
      <c r="C22" s="1">
        <v>1</v>
      </c>
    </row>
    <row r="23" spans="1:12" ht="14.25" customHeight="1" x14ac:dyDescent="0.3">
      <c r="A23" s="1" t="s">
        <v>50</v>
      </c>
      <c r="B23" s="1" t="s">
        <v>13</v>
      </c>
      <c r="C23" s="1">
        <v>1</v>
      </c>
    </row>
    <row r="24" spans="1:12" ht="14.25" customHeight="1" x14ac:dyDescent="0.3">
      <c r="A24" s="1" t="s">
        <v>51</v>
      </c>
      <c r="B24" s="1" t="s">
        <v>38</v>
      </c>
      <c r="D24" s="1">
        <v>1</v>
      </c>
    </row>
    <row r="25" spans="1:12" ht="14.25" customHeight="1" x14ac:dyDescent="0.3">
      <c r="A25" s="1" t="s">
        <v>52</v>
      </c>
      <c r="B25" s="1" t="s">
        <v>30</v>
      </c>
      <c r="D25" s="1">
        <v>1</v>
      </c>
    </row>
    <row r="26" spans="1:12" ht="14.25" customHeight="1" x14ac:dyDescent="0.3">
      <c r="A26" s="1" t="s">
        <v>53</v>
      </c>
      <c r="B26" s="1" t="s">
        <v>19</v>
      </c>
      <c r="C26" s="1">
        <v>1</v>
      </c>
    </row>
    <row r="27" spans="1:12" ht="14.25" customHeight="1" x14ac:dyDescent="0.3">
      <c r="A27" s="1" t="s">
        <v>54</v>
      </c>
      <c r="B27" s="1" t="s">
        <v>19</v>
      </c>
      <c r="C27" s="1">
        <v>1</v>
      </c>
    </row>
    <row r="28" spans="1:12" ht="14.25" customHeight="1" x14ac:dyDescent="0.3">
      <c r="A28" s="1" t="s">
        <v>55</v>
      </c>
      <c r="B28" s="1" t="s">
        <v>37</v>
      </c>
      <c r="C28" s="1">
        <v>1</v>
      </c>
    </row>
    <row r="29" spans="1:12" ht="14.25" customHeight="1" x14ac:dyDescent="0.3">
      <c r="A29" s="1" t="s">
        <v>56</v>
      </c>
      <c r="B29" s="1" t="s">
        <v>27</v>
      </c>
      <c r="C29" s="1">
        <v>1</v>
      </c>
    </row>
    <row r="30" spans="1:12" ht="14.25" customHeight="1" x14ac:dyDescent="0.3">
      <c r="A30" s="1" t="s">
        <v>57</v>
      </c>
      <c r="B30" s="1" t="s">
        <v>27</v>
      </c>
      <c r="C30" s="1">
        <v>1</v>
      </c>
    </row>
    <row r="31" spans="1:12" ht="14.25" customHeight="1" x14ac:dyDescent="0.3">
      <c r="A31" s="1" t="s">
        <v>58</v>
      </c>
      <c r="B31" s="1" t="s">
        <v>30</v>
      </c>
      <c r="D31" s="1">
        <v>1</v>
      </c>
    </row>
    <row r="32" spans="1:12" ht="14.25" customHeight="1" x14ac:dyDescent="0.3">
      <c r="A32" s="1" t="s">
        <v>59</v>
      </c>
      <c r="B32" s="1" t="s">
        <v>24</v>
      </c>
      <c r="C32" s="1">
        <v>1</v>
      </c>
    </row>
    <row r="33" spans="1:12" ht="14.25" customHeight="1" x14ac:dyDescent="0.3">
      <c r="A33" s="1" t="s">
        <v>60</v>
      </c>
      <c r="B33" s="1" t="s">
        <v>27</v>
      </c>
      <c r="C33" s="1">
        <v>1</v>
      </c>
    </row>
    <row r="34" spans="1:12" ht="14.25" customHeight="1" x14ac:dyDescent="0.3">
      <c r="A34" s="1" t="s">
        <v>61</v>
      </c>
      <c r="B34" s="1" t="s">
        <v>38</v>
      </c>
      <c r="D34" s="1">
        <v>1</v>
      </c>
    </row>
    <row r="35" spans="1:12" ht="14.25" customHeight="1" x14ac:dyDescent="0.3">
      <c r="A35" s="1" t="s">
        <v>62</v>
      </c>
      <c r="B35" s="1" t="s">
        <v>30</v>
      </c>
      <c r="E35" s="1">
        <v>1</v>
      </c>
    </row>
    <row r="36" spans="1:12" ht="14.25" customHeight="1" x14ac:dyDescent="0.3">
      <c r="A36" s="1" t="s">
        <v>63</v>
      </c>
      <c r="B36" s="1" t="s">
        <v>21</v>
      </c>
      <c r="C36" s="1">
        <v>1</v>
      </c>
    </row>
    <row r="37" spans="1:12" ht="14.25" customHeight="1" x14ac:dyDescent="0.3">
      <c r="A37" s="1" t="s">
        <v>64</v>
      </c>
      <c r="B37" s="1" t="s">
        <v>14</v>
      </c>
      <c r="C37" s="1">
        <v>1</v>
      </c>
    </row>
    <row r="38" spans="1:12" ht="14.25" customHeight="1" x14ac:dyDescent="0.3">
      <c r="A38" s="1" t="s">
        <v>65</v>
      </c>
      <c r="B38" s="1" t="s">
        <v>66</v>
      </c>
      <c r="E38" s="1">
        <v>1</v>
      </c>
    </row>
    <row r="39" spans="1:12" ht="14.25" customHeight="1" x14ac:dyDescent="0.3">
      <c r="A39" s="1" t="s">
        <v>67</v>
      </c>
      <c r="B39" s="1" t="s">
        <v>16</v>
      </c>
      <c r="E39" s="1">
        <v>1</v>
      </c>
    </row>
    <row r="40" spans="1:12" ht="14.25" customHeight="1" x14ac:dyDescent="0.3">
      <c r="A40" s="1" t="s">
        <v>68</v>
      </c>
      <c r="B40" s="1" t="s">
        <v>38</v>
      </c>
      <c r="C40" s="1">
        <v>1</v>
      </c>
    </row>
    <row r="41" spans="1:12" ht="14.25" customHeight="1" x14ac:dyDescent="0.3">
      <c r="A41" s="1" t="s">
        <v>69</v>
      </c>
      <c r="B41" s="1" t="s">
        <v>37</v>
      </c>
      <c r="C41" s="1">
        <v>1</v>
      </c>
    </row>
    <row r="42" spans="1:12" ht="14.25" customHeight="1" x14ac:dyDescent="0.3">
      <c r="A42" s="1" t="s">
        <v>70</v>
      </c>
      <c r="B42" s="1" t="s">
        <v>66</v>
      </c>
      <c r="D42" s="1">
        <v>1</v>
      </c>
    </row>
    <row r="43" spans="1:12" ht="14.25" customHeight="1" x14ac:dyDescent="0.3">
      <c r="A43" s="1" t="s">
        <v>71</v>
      </c>
      <c r="B43" s="1" t="s">
        <v>30</v>
      </c>
      <c r="D43" s="1">
        <v>1</v>
      </c>
    </row>
    <row r="44" spans="1:12" ht="14.25" customHeight="1" x14ac:dyDescent="0.3">
      <c r="A44" s="1" t="s">
        <v>72</v>
      </c>
      <c r="B44" s="1" t="s">
        <v>27</v>
      </c>
      <c r="C44" s="1">
        <v>1</v>
      </c>
    </row>
    <row r="45" spans="1:12" ht="14.25" customHeight="1" x14ac:dyDescent="0.3">
      <c r="A45" s="1" t="s">
        <v>73</v>
      </c>
      <c r="B45" s="1" t="s">
        <v>30</v>
      </c>
      <c r="D45" s="1">
        <v>1</v>
      </c>
      <c r="H45" s="1" t="s">
        <v>6</v>
      </c>
      <c r="I45" s="1" t="s">
        <v>7</v>
      </c>
      <c r="J45" s="1" t="s">
        <v>8</v>
      </c>
      <c r="K45" s="1" t="s">
        <v>9</v>
      </c>
      <c r="L45" s="1" t="s">
        <v>10</v>
      </c>
    </row>
    <row r="46" spans="1:12" ht="14.25" customHeight="1" x14ac:dyDescent="0.3">
      <c r="A46" s="1" t="s">
        <v>74</v>
      </c>
      <c r="B46" s="1" t="s">
        <v>16</v>
      </c>
      <c r="E46" s="1">
        <v>1</v>
      </c>
      <c r="H46" s="2" t="s">
        <v>14</v>
      </c>
      <c r="I46" s="4">
        <f t="shared" ref="I46:I57" si="13">I2/M2</f>
        <v>1</v>
      </c>
      <c r="J46" s="4">
        <f t="shared" ref="J46:J57" si="14">J2/M2</f>
        <v>0</v>
      </c>
      <c r="K46" s="4">
        <f t="shared" ref="K46:K57" si="15">K2/M2</f>
        <v>0</v>
      </c>
      <c r="L46" s="4">
        <f t="shared" ref="L46:L57" si="16">L2/M2</f>
        <v>0</v>
      </c>
    </row>
    <row r="47" spans="1:12" ht="14.25" customHeight="1" x14ac:dyDescent="0.3">
      <c r="A47" s="1" t="s">
        <v>75</v>
      </c>
      <c r="B47" s="1" t="s">
        <v>66</v>
      </c>
      <c r="D47" s="1">
        <v>1</v>
      </c>
      <c r="H47" s="2" t="s">
        <v>17</v>
      </c>
      <c r="I47" s="4">
        <f t="shared" si="13"/>
        <v>1</v>
      </c>
      <c r="J47" s="4">
        <f t="shared" si="14"/>
        <v>0</v>
      </c>
      <c r="K47" s="4">
        <f t="shared" si="15"/>
        <v>0</v>
      </c>
      <c r="L47" s="4">
        <f t="shared" si="16"/>
        <v>0</v>
      </c>
    </row>
    <row r="48" spans="1:12" ht="14.25" customHeight="1" x14ac:dyDescent="0.3">
      <c r="A48" s="1" t="s">
        <v>76</v>
      </c>
      <c r="B48" s="1" t="s">
        <v>13</v>
      </c>
      <c r="C48" s="1">
        <v>1</v>
      </c>
      <c r="H48" s="2" t="s">
        <v>19</v>
      </c>
      <c r="I48" s="4">
        <f t="shared" si="13"/>
        <v>1</v>
      </c>
      <c r="J48" s="4">
        <f t="shared" si="14"/>
        <v>0</v>
      </c>
      <c r="K48" s="4">
        <f t="shared" si="15"/>
        <v>0</v>
      </c>
      <c r="L48" s="4">
        <f t="shared" si="16"/>
        <v>0</v>
      </c>
    </row>
    <row r="49" spans="1:12" ht="14.25" customHeight="1" x14ac:dyDescent="0.3">
      <c r="A49" s="1" t="s">
        <v>77</v>
      </c>
      <c r="B49" s="1" t="s">
        <v>16</v>
      </c>
      <c r="C49" s="1">
        <v>1</v>
      </c>
      <c r="H49" s="2" t="s">
        <v>22</v>
      </c>
      <c r="I49" s="4">
        <f t="shared" si="13"/>
        <v>0.88888888888888884</v>
      </c>
      <c r="J49" s="4">
        <f t="shared" si="14"/>
        <v>0</v>
      </c>
      <c r="K49" s="4">
        <f t="shared" si="15"/>
        <v>0</v>
      </c>
      <c r="L49" s="4">
        <f t="shared" si="16"/>
        <v>0.1111111111111111</v>
      </c>
    </row>
    <row r="50" spans="1:12" ht="14.25" customHeight="1" x14ac:dyDescent="0.3">
      <c r="A50" s="1" t="s">
        <v>78</v>
      </c>
      <c r="B50" s="1" t="s">
        <v>24</v>
      </c>
      <c r="C50" s="1">
        <v>1</v>
      </c>
      <c r="H50" s="2" t="s">
        <v>25</v>
      </c>
      <c r="I50" s="4">
        <f t="shared" si="13"/>
        <v>1</v>
      </c>
      <c r="J50" s="4">
        <f t="shared" si="14"/>
        <v>0</v>
      </c>
      <c r="K50" s="4">
        <f t="shared" si="15"/>
        <v>0</v>
      </c>
      <c r="L50" s="4">
        <f t="shared" si="16"/>
        <v>0</v>
      </c>
    </row>
    <row r="51" spans="1:12" ht="14.25" customHeight="1" x14ac:dyDescent="0.3">
      <c r="A51" s="1" t="s">
        <v>79</v>
      </c>
      <c r="B51" s="1" t="s">
        <v>27</v>
      </c>
      <c r="E51" s="1">
        <v>1</v>
      </c>
      <c r="H51" s="2" t="s">
        <v>28</v>
      </c>
      <c r="I51" s="4">
        <f t="shared" si="13"/>
        <v>0.66666666666666663</v>
      </c>
      <c r="J51" s="4">
        <f t="shared" si="14"/>
        <v>0</v>
      </c>
      <c r="K51" s="4">
        <f t="shared" si="15"/>
        <v>0.33333333333333331</v>
      </c>
      <c r="L51" s="4">
        <f t="shared" si="16"/>
        <v>0</v>
      </c>
    </row>
    <row r="52" spans="1:12" ht="14.25" customHeight="1" x14ac:dyDescent="0.3">
      <c r="A52" s="1" t="s">
        <v>80</v>
      </c>
      <c r="B52" s="1" t="s">
        <v>24</v>
      </c>
      <c r="C52" s="1">
        <v>1</v>
      </c>
      <c r="H52" s="2" t="s">
        <v>27</v>
      </c>
      <c r="I52" s="4">
        <f t="shared" si="13"/>
        <v>0.8666666666666667</v>
      </c>
      <c r="J52" s="4">
        <f t="shared" si="14"/>
        <v>0</v>
      </c>
      <c r="K52" s="4">
        <f t="shared" si="15"/>
        <v>0.13333333333333333</v>
      </c>
      <c r="L52" s="4">
        <f t="shared" si="16"/>
        <v>0</v>
      </c>
    </row>
    <row r="53" spans="1:12" ht="14.25" customHeight="1" x14ac:dyDescent="0.3">
      <c r="A53" s="1" t="s">
        <v>81</v>
      </c>
      <c r="B53" s="1" t="s">
        <v>66</v>
      </c>
      <c r="D53" s="1">
        <v>1</v>
      </c>
      <c r="H53" s="2" t="s">
        <v>13</v>
      </c>
      <c r="I53" s="4">
        <f t="shared" si="13"/>
        <v>1</v>
      </c>
      <c r="J53" s="4">
        <f t="shared" si="14"/>
        <v>0</v>
      </c>
      <c r="K53" s="4">
        <f t="shared" si="15"/>
        <v>0</v>
      </c>
      <c r="L53" s="4">
        <f t="shared" si="16"/>
        <v>0</v>
      </c>
    </row>
    <row r="54" spans="1:12" ht="14.25" customHeight="1" x14ac:dyDescent="0.3">
      <c r="A54" s="1" t="s">
        <v>82</v>
      </c>
      <c r="B54" s="1" t="s">
        <v>16</v>
      </c>
      <c r="C54" s="1">
        <v>1</v>
      </c>
      <c r="H54" s="2" t="s">
        <v>30</v>
      </c>
      <c r="I54" s="4">
        <f t="shared" si="13"/>
        <v>0</v>
      </c>
      <c r="J54" s="4">
        <f t="shared" si="14"/>
        <v>0.90476190476190477</v>
      </c>
      <c r="K54" s="4">
        <f t="shared" si="15"/>
        <v>9.5238095238095233E-2</v>
      </c>
      <c r="L54" s="4">
        <f t="shared" si="16"/>
        <v>0</v>
      </c>
    </row>
    <row r="55" spans="1:12" ht="14.25" customHeight="1" x14ac:dyDescent="0.3">
      <c r="A55" s="1" t="s">
        <v>83</v>
      </c>
      <c r="B55" s="1" t="s">
        <v>14</v>
      </c>
      <c r="C55" s="1">
        <v>1</v>
      </c>
      <c r="H55" s="2" t="s">
        <v>35</v>
      </c>
      <c r="I55" s="4">
        <f t="shared" si="13"/>
        <v>0</v>
      </c>
      <c r="J55" s="4">
        <f t="shared" si="14"/>
        <v>0.6</v>
      </c>
      <c r="K55" s="4">
        <f t="shared" si="15"/>
        <v>0.4</v>
      </c>
      <c r="L55" s="4">
        <f t="shared" si="16"/>
        <v>0</v>
      </c>
    </row>
    <row r="56" spans="1:12" ht="14.25" customHeight="1" x14ac:dyDescent="0.3">
      <c r="A56" s="1" t="s">
        <v>84</v>
      </c>
      <c r="B56" s="1" t="s">
        <v>21</v>
      </c>
      <c r="C56" s="1">
        <v>1</v>
      </c>
      <c r="H56" s="2" t="s">
        <v>38</v>
      </c>
      <c r="I56" s="4">
        <f t="shared" si="13"/>
        <v>0.2857142857142857</v>
      </c>
      <c r="J56" s="4">
        <f t="shared" si="14"/>
        <v>0.5714285714285714</v>
      </c>
      <c r="K56" s="4">
        <f t="shared" si="15"/>
        <v>0.14285714285714285</v>
      </c>
      <c r="L56" s="4">
        <f t="shared" si="16"/>
        <v>0</v>
      </c>
    </row>
    <row r="57" spans="1:12" ht="14.25" customHeight="1" x14ac:dyDescent="0.3">
      <c r="A57" s="1" t="s">
        <v>85</v>
      </c>
      <c r="B57" s="1" t="s">
        <v>33</v>
      </c>
      <c r="D57" s="1">
        <v>1</v>
      </c>
      <c r="H57" s="2" t="s">
        <v>33</v>
      </c>
      <c r="I57" s="4">
        <f t="shared" si="13"/>
        <v>0.8</v>
      </c>
      <c r="J57" s="4">
        <f t="shared" si="14"/>
        <v>0.2</v>
      </c>
      <c r="K57" s="4">
        <f t="shared" si="15"/>
        <v>0</v>
      </c>
      <c r="L57" s="4">
        <f t="shared" si="16"/>
        <v>0</v>
      </c>
    </row>
    <row r="58" spans="1:12" ht="14.25" customHeight="1" x14ac:dyDescent="0.3">
      <c r="A58" s="1" t="s">
        <v>86</v>
      </c>
      <c r="B58" s="1" t="s">
        <v>24</v>
      </c>
      <c r="C58" s="1">
        <v>1</v>
      </c>
    </row>
    <row r="59" spans="1:12" ht="14.25" customHeight="1" x14ac:dyDescent="0.3">
      <c r="A59" s="1" t="s">
        <v>87</v>
      </c>
      <c r="B59" s="1" t="s">
        <v>37</v>
      </c>
      <c r="C59" s="1">
        <v>1</v>
      </c>
    </row>
    <row r="60" spans="1:12" ht="14.25" customHeight="1" x14ac:dyDescent="0.3">
      <c r="A60" s="1" t="s">
        <v>88</v>
      </c>
      <c r="B60" s="1" t="s">
        <v>27</v>
      </c>
      <c r="C60" s="1">
        <v>1</v>
      </c>
    </row>
    <row r="61" spans="1:12" ht="14.25" customHeight="1" x14ac:dyDescent="0.3">
      <c r="A61" s="1" t="s">
        <v>89</v>
      </c>
      <c r="B61" s="1" t="s">
        <v>13</v>
      </c>
      <c r="C61" s="1">
        <v>1</v>
      </c>
    </row>
    <row r="62" spans="1:12" ht="14.25" customHeight="1" x14ac:dyDescent="0.3">
      <c r="A62" s="1" t="s">
        <v>90</v>
      </c>
      <c r="B62" s="1" t="s">
        <v>19</v>
      </c>
      <c r="C62" s="1">
        <v>1</v>
      </c>
    </row>
    <row r="63" spans="1:12" ht="14.25" customHeight="1" x14ac:dyDescent="0.3">
      <c r="A63" s="1" t="s">
        <v>91</v>
      </c>
      <c r="B63" s="1" t="s">
        <v>21</v>
      </c>
      <c r="F63" s="1">
        <v>1</v>
      </c>
    </row>
    <row r="64" spans="1:12" ht="14.25" customHeight="1" x14ac:dyDescent="0.3">
      <c r="A64" s="1" t="s">
        <v>92</v>
      </c>
      <c r="B64" s="1" t="s">
        <v>42</v>
      </c>
      <c r="C64" s="1">
        <v>1</v>
      </c>
    </row>
    <row r="65" spans="1:5" ht="14.25" customHeight="1" x14ac:dyDescent="0.3">
      <c r="A65" s="1" t="s">
        <v>93</v>
      </c>
      <c r="B65" s="1" t="s">
        <v>14</v>
      </c>
      <c r="C65" s="1">
        <v>1</v>
      </c>
    </row>
    <row r="66" spans="1:5" ht="14.25" customHeight="1" x14ac:dyDescent="0.3">
      <c r="A66" s="1" t="s">
        <v>94</v>
      </c>
      <c r="B66" s="1" t="s">
        <v>14</v>
      </c>
      <c r="C66" s="1">
        <v>1</v>
      </c>
    </row>
    <row r="67" spans="1:5" ht="14.25" customHeight="1" x14ac:dyDescent="0.3">
      <c r="A67" s="1" t="s">
        <v>95</v>
      </c>
      <c r="B67" s="1" t="s">
        <v>38</v>
      </c>
      <c r="D67" s="1">
        <v>1</v>
      </c>
    </row>
    <row r="68" spans="1:5" ht="14.25" customHeight="1" x14ac:dyDescent="0.3">
      <c r="A68" s="1" t="s">
        <v>96</v>
      </c>
      <c r="B68" s="1" t="s">
        <v>19</v>
      </c>
      <c r="C68" s="1">
        <v>1</v>
      </c>
    </row>
    <row r="69" spans="1:5" ht="14.25" customHeight="1" x14ac:dyDescent="0.3">
      <c r="A69" s="1" t="s">
        <v>97</v>
      </c>
      <c r="B69" s="1" t="s">
        <v>24</v>
      </c>
      <c r="C69" s="1">
        <v>1</v>
      </c>
    </row>
    <row r="70" spans="1:5" ht="14.25" customHeight="1" x14ac:dyDescent="0.3">
      <c r="A70" s="1" t="s">
        <v>98</v>
      </c>
      <c r="B70" s="1" t="s">
        <v>30</v>
      </c>
      <c r="D70" s="1">
        <v>1</v>
      </c>
    </row>
    <row r="71" spans="1:5" ht="14.25" customHeight="1" x14ac:dyDescent="0.3">
      <c r="A71" s="1" t="s">
        <v>99</v>
      </c>
      <c r="B71" s="1" t="s">
        <v>30</v>
      </c>
      <c r="D71" s="1">
        <v>1</v>
      </c>
    </row>
    <row r="72" spans="1:5" ht="14.25" customHeight="1" x14ac:dyDescent="0.3">
      <c r="A72" s="1" t="s">
        <v>100</v>
      </c>
      <c r="B72" s="1" t="s">
        <v>27</v>
      </c>
      <c r="E72" s="1">
        <v>1</v>
      </c>
    </row>
    <row r="73" spans="1:5" ht="14.25" customHeight="1" x14ac:dyDescent="0.3">
      <c r="A73" s="1" t="s">
        <v>101</v>
      </c>
      <c r="B73" s="1" t="s">
        <v>21</v>
      </c>
      <c r="C73" s="1">
        <v>1</v>
      </c>
    </row>
    <row r="74" spans="1:5" ht="14.25" customHeight="1" x14ac:dyDescent="0.3">
      <c r="A74" s="1" t="s">
        <v>102</v>
      </c>
      <c r="B74" s="1" t="s">
        <v>66</v>
      </c>
      <c r="D74" s="1">
        <v>1</v>
      </c>
    </row>
    <row r="75" spans="1:5" ht="14.25" customHeight="1" x14ac:dyDescent="0.3">
      <c r="A75" s="1" t="s">
        <v>103</v>
      </c>
      <c r="B75" s="1" t="s">
        <v>30</v>
      </c>
      <c r="D75" s="1">
        <v>1</v>
      </c>
    </row>
    <row r="76" spans="1:5" ht="14.25" customHeight="1" x14ac:dyDescent="0.3">
      <c r="A76" s="1" t="s">
        <v>104</v>
      </c>
      <c r="B76" s="1" t="s">
        <v>24</v>
      </c>
      <c r="C76" s="1">
        <v>1</v>
      </c>
    </row>
    <row r="77" spans="1:5" ht="14.25" customHeight="1" x14ac:dyDescent="0.3">
      <c r="A77" s="1" t="s">
        <v>105</v>
      </c>
      <c r="B77" s="1" t="s">
        <v>66</v>
      </c>
      <c r="E77" s="1">
        <v>1</v>
      </c>
    </row>
    <row r="78" spans="1:5" ht="14.25" customHeight="1" x14ac:dyDescent="0.3">
      <c r="A78" s="1" t="s">
        <v>106</v>
      </c>
      <c r="B78" s="1" t="s">
        <v>42</v>
      </c>
      <c r="C78" s="1">
        <v>1</v>
      </c>
    </row>
    <row r="79" spans="1:5" ht="14.25" customHeight="1" x14ac:dyDescent="0.3">
      <c r="A79" s="1" t="s">
        <v>107</v>
      </c>
      <c r="B79" s="1" t="s">
        <v>27</v>
      </c>
      <c r="C79" s="1">
        <v>1</v>
      </c>
    </row>
    <row r="80" spans="1:5" ht="14.25" customHeight="1" x14ac:dyDescent="0.3">
      <c r="A80" s="1" t="s">
        <v>108</v>
      </c>
      <c r="B80" s="1" t="s">
        <v>66</v>
      </c>
      <c r="D80" s="1">
        <v>1</v>
      </c>
    </row>
    <row r="81" spans="1:5" ht="14.25" customHeight="1" x14ac:dyDescent="0.3">
      <c r="A81" s="1" t="s">
        <v>109</v>
      </c>
      <c r="B81" s="1" t="s">
        <v>30</v>
      </c>
      <c r="D81" s="1">
        <v>1</v>
      </c>
    </row>
    <row r="82" spans="1:5" ht="14.25" customHeight="1" x14ac:dyDescent="0.3">
      <c r="A82" s="1" t="s">
        <v>110</v>
      </c>
      <c r="B82" s="1" t="s">
        <v>37</v>
      </c>
      <c r="C82" s="1">
        <v>1</v>
      </c>
    </row>
    <row r="83" spans="1:5" ht="14.25" customHeight="1" x14ac:dyDescent="0.3">
      <c r="A83" s="1" t="s">
        <v>111</v>
      </c>
      <c r="B83" s="1" t="s">
        <v>37</v>
      </c>
      <c r="C83" s="1">
        <v>1</v>
      </c>
    </row>
    <row r="84" spans="1:5" ht="14.25" customHeight="1" x14ac:dyDescent="0.3">
      <c r="A84" s="1" t="s">
        <v>112</v>
      </c>
      <c r="B84" s="1" t="s">
        <v>38</v>
      </c>
      <c r="D84" s="1">
        <v>1</v>
      </c>
    </row>
    <row r="85" spans="1:5" ht="14.25" customHeight="1" x14ac:dyDescent="0.3">
      <c r="A85" s="1" t="s">
        <v>113</v>
      </c>
      <c r="B85" s="1" t="s">
        <v>21</v>
      </c>
      <c r="C85" s="1">
        <v>1</v>
      </c>
    </row>
    <row r="86" spans="1:5" ht="14.25" customHeight="1" x14ac:dyDescent="0.3">
      <c r="A86" s="1" t="s">
        <v>114</v>
      </c>
      <c r="B86" s="1" t="s">
        <v>42</v>
      </c>
      <c r="C86" s="1">
        <v>1</v>
      </c>
    </row>
    <row r="87" spans="1:5" ht="14.25" customHeight="1" x14ac:dyDescent="0.3">
      <c r="A87" s="1" t="s">
        <v>115</v>
      </c>
      <c r="B87" s="1" t="s">
        <v>21</v>
      </c>
      <c r="C87" s="1">
        <v>1</v>
      </c>
    </row>
    <row r="88" spans="1:5" ht="14.25" customHeight="1" x14ac:dyDescent="0.3">
      <c r="A88" s="1" t="s">
        <v>116</v>
      </c>
      <c r="B88" s="1" t="s">
        <v>30</v>
      </c>
      <c r="D88" s="1">
        <v>1</v>
      </c>
    </row>
    <row r="89" spans="1:5" ht="14.25" customHeight="1" x14ac:dyDescent="0.3">
      <c r="A89" s="1" t="s">
        <v>117</v>
      </c>
      <c r="B89" s="1" t="s">
        <v>16</v>
      </c>
      <c r="C89" s="1">
        <v>1</v>
      </c>
    </row>
    <row r="90" spans="1:5" ht="14.25" customHeight="1" x14ac:dyDescent="0.3">
      <c r="A90" s="1" t="s">
        <v>118</v>
      </c>
      <c r="B90" s="1" t="s">
        <v>16</v>
      </c>
      <c r="E90" s="1">
        <v>1</v>
      </c>
    </row>
    <row r="91" spans="1:5" ht="14.25" customHeight="1" x14ac:dyDescent="0.3">
      <c r="A91" s="1" t="s">
        <v>119</v>
      </c>
      <c r="B91" s="1" t="s">
        <v>66</v>
      </c>
      <c r="D91" s="1">
        <v>1</v>
      </c>
    </row>
    <row r="92" spans="1:5" ht="14.25" customHeight="1" x14ac:dyDescent="0.3">
      <c r="A92" s="1" t="s">
        <v>120</v>
      </c>
      <c r="B92" s="1" t="s">
        <v>13</v>
      </c>
      <c r="C92" s="1">
        <v>1</v>
      </c>
    </row>
    <row r="93" spans="1:5" ht="14.25" customHeight="1" x14ac:dyDescent="0.3">
      <c r="A93" s="1" t="s">
        <v>121</v>
      </c>
      <c r="B93" s="1" t="s">
        <v>30</v>
      </c>
      <c r="D93" s="1">
        <v>1</v>
      </c>
    </row>
    <row r="94" spans="1:5" ht="14.25" customHeight="1" x14ac:dyDescent="0.3">
      <c r="A94" s="1" t="s">
        <v>122</v>
      </c>
      <c r="B94" s="1" t="s">
        <v>24</v>
      </c>
      <c r="C94" s="1">
        <v>1</v>
      </c>
    </row>
    <row r="95" spans="1:5" ht="14.25" customHeight="1" x14ac:dyDescent="0.3">
      <c r="A95" s="1" t="s">
        <v>123</v>
      </c>
      <c r="B95" s="1" t="s">
        <v>21</v>
      </c>
      <c r="C95" s="1">
        <v>1</v>
      </c>
    </row>
    <row r="96" spans="1:5" ht="14.25" customHeight="1" x14ac:dyDescent="0.3">
      <c r="A96" s="1" t="s">
        <v>124</v>
      </c>
      <c r="B96" s="1" t="s">
        <v>14</v>
      </c>
      <c r="C96" s="1">
        <v>1</v>
      </c>
    </row>
    <row r="97" spans="1:5" ht="14.25" customHeight="1" x14ac:dyDescent="0.3">
      <c r="A97" s="1" t="s">
        <v>125</v>
      </c>
      <c r="B97" s="1" t="s">
        <v>66</v>
      </c>
      <c r="E97" s="1">
        <v>1</v>
      </c>
    </row>
    <row r="98" spans="1:5" ht="14.25" customHeight="1" x14ac:dyDescent="0.3">
      <c r="A98" s="1" t="s">
        <v>126</v>
      </c>
      <c r="B98" s="1" t="s">
        <v>30</v>
      </c>
      <c r="D98" s="1">
        <v>1</v>
      </c>
    </row>
    <row r="99" spans="1:5" ht="14.25" customHeight="1" x14ac:dyDescent="0.3">
      <c r="A99" s="1" t="s">
        <v>127</v>
      </c>
      <c r="B99" s="1" t="s">
        <v>27</v>
      </c>
      <c r="C99" s="1">
        <v>1</v>
      </c>
    </row>
    <row r="100" spans="1:5" ht="14.25" customHeight="1" x14ac:dyDescent="0.3">
      <c r="A100" s="1" t="s">
        <v>128</v>
      </c>
      <c r="B100" s="1" t="s">
        <v>30</v>
      </c>
      <c r="D100" s="1">
        <v>1</v>
      </c>
    </row>
    <row r="101" spans="1:5" ht="14.25" customHeight="1" x14ac:dyDescent="0.3">
      <c r="A101" s="1" t="s">
        <v>129</v>
      </c>
      <c r="B101" s="1" t="s">
        <v>27</v>
      </c>
      <c r="C101" s="1">
        <v>1</v>
      </c>
    </row>
    <row r="102" spans="1:5" ht="14.25" customHeight="1" x14ac:dyDescent="0.3">
      <c r="A102" s="1" t="s">
        <v>130</v>
      </c>
      <c r="B102" s="1" t="s">
        <v>16</v>
      </c>
      <c r="C102" s="1">
        <v>1</v>
      </c>
    </row>
    <row r="103" spans="1:5" ht="14.25" customHeight="1" x14ac:dyDescent="0.3">
      <c r="A103" s="1" t="s">
        <v>131</v>
      </c>
      <c r="B103" s="1" t="s">
        <v>66</v>
      </c>
      <c r="E103" s="1">
        <v>1</v>
      </c>
    </row>
    <row r="104" spans="1:5" ht="14.25" customHeight="1" x14ac:dyDescent="0.3">
      <c r="A104" s="1" t="s">
        <v>132</v>
      </c>
      <c r="B104" s="1" t="s">
        <v>30</v>
      </c>
      <c r="D104" s="1">
        <v>1</v>
      </c>
    </row>
    <row r="105" spans="1:5" ht="14.25" customHeight="1" x14ac:dyDescent="0.3">
      <c r="A105" s="1" t="s">
        <v>133</v>
      </c>
      <c r="B105" s="1" t="s">
        <v>14</v>
      </c>
      <c r="C105" s="1">
        <v>1</v>
      </c>
    </row>
    <row r="106" spans="1:5" ht="14.25" customHeight="1" x14ac:dyDescent="0.3">
      <c r="A106" s="1" t="s">
        <v>134</v>
      </c>
      <c r="B106" s="1" t="s">
        <v>42</v>
      </c>
      <c r="C106" s="1">
        <v>1</v>
      </c>
    </row>
    <row r="107" spans="1:5" ht="14.25" customHeight="1" x14ac:dyDescent="0.3">
      <c r="A107" s="1" t="s">
        <v>135</v>
      </c>
      <c r="B107" s="1" t="s">
        <v>27</v>
      </c>
      <c r="C107" s="1">
        <v>1</v>
      </c>
    </row>
    <row r="108" spans="1:5" ht="14.25" customHeight="1" x14ac:dyDescent="0.3">
      <c r="A108" s="1" t="s">
        <v>136</v>
      </c>
      <c r="B108" s="1" t="s">
        <v>66</v>
      </c>
      <c r="D108" s="1">
        <v>1</v>
      </c>
    </row>
    <row r="109" spans="1:5" ht="14.25" customHeight="1" x14ac:dyDescent="0.3">
      <c r="A109" s="1" t="s">
        <v>137</v>
      </c>
      <c r="B109" s="1" t="s">
        <v>13</v>
      </c>
      <c r="C109" s="1">
        <v>1</v>
      </c>
    </row>
    <row r="110" spans="1:5" ht="14.25" customHeight="1" x14ac:dyDescent="0.3">
      <c r="A110" s="1" t="s">
        <v>138</v>
      </c>
      <c r="B110" s="1" t="s">
        <v>42</v>
      </c>
      <c r="C110" s="1">
        <v>1</v>
      </c>
    </row>
    <row r="111" spans="1:5" ht="14.25" customHeight="1" x14ac:dyDescent="0.3">
      <c r="A111" s="1" t="s">
        <v>139</v>
      </c>
      <c r="B111" s="1" t="s">
        <v>27</v>
      </c>
      <c r="C111" s="1">
        <v>1</v>
      </c>
    </row>
    <row r="112" spans="1:5" ht="14.25" customHeight="1" x14ac:dyDescent="0.3">
      <c r="A112" s="1" t="s">
        <v>140</v>
      </c>
      <c r="B112" s="1" t="s">
        <v>16</v>
      </c>
      <c r="E112" s="1">
        <v>1</v>
      </c>
    </row>
    <row r="113" spans="1:6" ht="14.25" customHeight="1" x14ac:dyDescent="0.3">
      <c r="A113" s="1" t="s">
        <v>141</v>
      </c>
      <c r="B113" s="1" t="s">
        <v>14</v>
      </c>
      <c r="C113" s="1">
        <v>1</v>
      </c>
    </row>
    <row r="114" spans="1:6" ht="14.25" customHeight="1" x14ac:dyDescent="0.3">
      <c r="A114" s="1" t="s">
        <v>142</v>
      </c>
      <c r="B114" s="1" t="s">
        <v>16</v>
      </c>
      <c r="E114" s="1">
        <v>1</v>
      </c>
    </row>
    <row r="115" spans="1:6" ht="14.25" customHeight="1" x14ac:dyDescent="0.3">
      <c r="A115" s="1" t="s">
        <v>143</v>
      </c>
      <c r="B115" s="1" t="s">
        <v>24</v>
      </c>
      <c r="C115" s="1">
        <v>1</v>
      </c>
    </row>
    <row r="116" spans="1:6" ht="14.25" customHeight="1" x14ac:dyDescent="0.3">
      <c r="A116" s="1" t="s">
        <v>144</v>
      </c>
      <c r="B116" s="1" t="s">
        <v>66</v>
      </c>
      <c r="D116" s="1">
        <v>1</v>
      </c>
    </row>
    <row r="117" spans="1:6" ht="14.25" customHeight="1" x14ac:dyDescent="0.3">
      <c r="A117" s="1" t="s">
        <v>145</v>
      </c>
      <c r="B117" s="1" t="s">
        <v>27</v>
      </c>
      <c r="C117" s="1">
        <v>1</v>
      </c>
    </row>
    <row r="118" spans="1:6" ht="14.25" customHeight="1" x14ac:dyDescent="0.3">
      <c r="A118" s="1" t="s">
        <v>146</v>
      </c>
      <c r="B118" s="1" t="s">
        <v>30</v>
      </c>
      <c r="D118" s="1">
        <v>1</v>
      </c>
    </row>
    <row r="119" spans="1:6" ht="14.25" customHeight="1" x14ac:dyDescent="0.3">
      <c r="A119" s="1" t="s">
        <v>147</v>
      </c>
      <c r="B119" s="1" t="s">
        <v>42</v>
      </c>
      <c r="C119" s="1">
        <v>1</v>
      </c>
    </row>
    <row r="120" spans="1:6" ht="14.25" customHeight="1" x14ac:dyDescent="0.3">
      <c r="A120" s="1" t="s">
        <v>148</v>
      </c>
      <c r="B120" s="1" t="s">
        <v>13</v>
      </c>
      <c r="C120" s="1">
        <v>1</v>
      </c>
    </row>
    <row r="121" spans="1:6" ht="14.25" customHeight="1" x14ac:dyDescent="0.3">
      <c r="A121" s="1" t="s">
        <v>149</v>
      </c>
      <c r="B121" s="1" t="s">
        <v>150</v>
      </c>
      <c r="F121" s="1">
        <v>1</v>
      </c>
    </row>
    <row r="122" spans="1:6" ht="14.25" customHeight="1" x14ac:dyDescent="0.3">
      <c r="A122" s="1" t="s">
        <v>151</v>
      </c>
      <c r="B122" s="1" t="s">
        <v>24</v>
      </c>
      <c r="C122" s="1">
        <v>1</v>
      </c>
    </row>
    <row r="123" spans="1:6" ht="14.25" customHeight="1" x14ac:dyDescent="0.3">
      <c r="A123" s="1" t="s">
        <v>152</v>
      </c>
      <c r="B123" s="1" t="s">
        <v>24</v>
      </c>
      <c r="C123" s="1">
        <v>1</v>
      </c>
    </row>
    <row r="124" spans="1:6" ht="14.25" customHeight="1" x14ac:dyDescent="0.3">
      <c r="A124" s="1" t="s">
        <v>153</v>
      </c>
      <c r="B124" s="1" t="s">
        <v>19</v>
      </c>
      <c r="C124" s="1">
        <v>1</v>
      </c>
    </row>
    <row r="125" spans="1:6" ht="14.25" customHeight="1" x14ac:dyDescent="0.3">
      <c r="A125" s="1" t="s">
        <v>154</v>
      </c>
      <c r="B125" s="1" t="s">
        <v>33</v>
      </c>
      <c r="C125" s="1">
        <v>1</v>
      </c>
    </row>
    <row r="126" spans="1:6" ht="14.25" customHeight="1" x14ac:dyDescent="0.3">
      <c r="A126" s="1" t="s">
        <v>155</v>
      </c>
      <c r="B126" s="1" t="s">
        <v>13</v>
      </c>
      <c r="C126" s="1">
        <v>1</v>
      </c>
    </row>
    <row r="127" spans="1:6" ht="14.25" customHeight="1" x14ac:dyDescent="0.3">
      <c r="A127" s="1" t="s">
        <v>156</v>
      </c>
      <c r="B127" s="1" t="s">
        <v>13</v>
      </c>
      <c r="C127" s="1">
        <v>1</v>
      </c>
    </row>
    <row r="128" spans="1:6" ht="14.25" customHeight="1" x14ac:dyDescent="0.3">
      <c r="A128" s="1" t="s">
        <v>157</v>
      </c>
      <c r="B128" s="1" t="s">
        <v>14</v>
      </c>
      <c r="C128" s="1">
        <v>1</v>
      </c>
    </row>
    <row r="129" spans="1:5" ht="14.25" customHeight="1" x14ac:dyDescent="0.3">
      <c r="A129" s="1" t="s">
        <v>158</v>
      </c>
      <c r="B129" s="1" t="s">
        <v>16</v>
      </c>
      <c r="C129" s="1">
        <v>1</v>
      </c>
    </row>
    <row r="130" spans="1:5" ht="14.25" customHeight="1" x14ac:dyDescent="0.3">
      <c r="A130" s="1" t="s">
        <v>159</v>
      </c>
      <c r="B130" s="1" t="s">
        <v>13</v>
      </c>
      <c r="C130" s="1">
        <v>1</v>
      </c>
    </row>
    <row r="131" spans="1:5" ht="14.25" customHeight="1" x14ac:dyDescent="0.3">
      <c r="A131" s="1" t="s">
        <v>160</v>
      </c>
      <c r="B131" s="1" t="s">
        <v>66</v>
      </c>
      <c r="E131" s="1">
        <v>1</v>
      </c>
    </row>
    <row r="132" spans="1:5" ht="14.25" customHeight="1" x14ac:dyDescent="0.3">
      <c r="A132" s="1" t="s">
        <v>161</v>
      </c>
      <c r="B132" s="1" t="s">
        <v>38</v>
      </c>
      <c r="E132" s="1">
        <v>1</v>
      </c>
    </row>
    <row r="133" spans="1:5" ht="14.25" customHeight="1" x14ac:dyDescent="0.3">
      <c r="A133" s="1" t="s">
        <v>162</v>
      </c>
      <c r="B133" s="1" t="s">
        <v>13</v>
      </c>
      <c r="C133" s="1">
        <v>1</v>
      </c>
    </row>
    <row r="134" spans="1:5" ht="14.25" customHeight="1" x14ac:dyDescent="0.3">
      <c r="A134" s="1" t="s">
        <v>163</v>
      </c>
      <c r="B134" s="1" t="s">
        <v>66</v>
      </c>
      <c r="D134" s="1">
        <v>1</v>
      </c>
    </row>
    <row r="135" spans="1:5" ht="14.25" customHeight="1" x14ac:dyDescent="0.3">
      <c r="A135" s="1" t="s">
        <v>164</v>
      </c>
      <c r="B135" s="1" t="s">
        <v>21</v>
      </c>
      <c r="C135" s="1">
        <v>1</v>
      </c>
    </row>
    <row r="136" spans="1:5" ht="14.25" customHeight="1" x14ac:dyDescent="0.3">
      <c r="A136" s="1" t="s">
        <v>165</v>
      </c>
      <c r="B136" s="1" t="s">
        <v>30</v>
      </c>
      <c r="D136" s="1">
        <v>1</v>
      </c>
    </row>
    <row r="137" spans="1:5" ht="14.25" customHeight="1" x14ac:dyDescent="0.3">
      <c r="A137" s="1" t="s">
        <v>166</v>
      </c>
      <c r="B137" s="1" t="s">
        <v>30</v>
      </c>
      <c r="D137" s="1">
        <v>1</v>
      </c>
    </row>
    <row r="138" spans="1:5" ht="14.25" customHeight="1" x14ac:dyDescent="0.3">
      <c r="A138" s="1" t="s">
        <v>167</v>
      </c>
      <c r="B138" s="1" t="s">
        <v>19</v>
      </c>
      <c r="C138" s="1">
        <v>1</v>
      </c>
    </row>
    <row r="139" spans="1:5" ht="14.25" customHeight="1" x14ac:dyDescent="0.3">
      <c r="A139" s="1" t="s">
        <v>168</v>
      </c>
      <c r="B139" s="1" t="s">
        <v>13</v>
      </c>
      <c r="C139" s="1">
        <v>1</v>
      </c>
    </row>
    <row r="140" spans="1:5" ht="14.25" customHeight="1" x14ac:dyDescent="0.3">
      <c r="A140" s="1" t="s">
        <v>169</v>
      </c>
      <c r="B140" s="1" t="s">
        <v>27</v>
      </c>
      <c r="C140" s="1">
        <v>1</v>
      </c>
    </row>
    <row r="141" spans="1:5" ht="14.25" customHeight="1" x14ac:dyDescent="0.3">
      <c r="A141" s="1" t="s">
        <v>170</v>
      </c>
      <c r="B141" s="1" t="s">
        <v>16</v>
      </c>
      <c r="C141" s="1">
        <v>1</v>
      </c>
    </row>
    <row r="142" spans="1:5" ht="14.25" customHeight="1" x14ac:dyDescent="0.3">
      <c r="A142" s="1" t="s">
        <v>171</v>
      </c>
      <c r="B142" s="1" t="s">
        <v>19</v>
      </c>
      <c r="C142" s="1">
        <v>1</v>
      </c>
    </row>
    <row r="143" spans="1:5" ht="14.25" customHeight="1" x14ac:dyDescent="0.3">
      <c r="A143" s="1" t="s">
        <v>172</v>
      </c>
      <c r="B143" s="1" t="s">
        <v>37</v>
      </c>
      <c r="C143" s="1">
        <v>1</v>
      </c>
    </row>
    <row r="144" spans="1:5" ht="14.25" customHeight="1" x14ac:dyDescent="0.3">
      <c r="A144" s="1" t="s">
        <v>173</v>
      </c>
      <c r="B144" s="1" t="s">
        <v>27</v>
      </c>
      <c r="C144" s="1">
        <v>1</v>
      </c>
    </row>
    <row r="145" spans="1:5" ht="14.25" customHeight="1" x14ac:dyDescent="0.3">
      <c r="A145" s="1" t="s">
        <v>174</v>
      </c>
      <c r="B145" s="1" t="s">
        <v>66</v>
      </c>
      <c r="D145" s="1">
        <v>1</v>
      </c>
    </row>
    <row r="146" spans="1:5" ht="14.25" customHeight="1" x14ac:dyDescent="0.3">
      <c r="A146" s="1" t="s">
        <v>175</v>
      </c>
      <c r="B146" s="1" t="s">
        <v>14</v>
      </c>
      <c r="C146" s="1">
        <v>1</v>
      </c>
    </row>
    <row r="147" spans="1:5" ht="14.25" customHeight="1" x14ac:dyDescent="0.3">
      <c r="A147" s="1" t="s">
        <v>176</v>
      </c>
      <c r="B147" s="1" t="s">
        <v>66</v>
      </c>
      <c r="E147" s="1">
        <v>1</v>
      </c>
    </row>
    <row r="148" spans="1:5" ht="14.25" customHeight="1" x14ac:dyDescent="0.3">
      <c r="A148" s="1" t="s">
        <v>177</v>
      </c>
      <c r="B148" s="1" t="s">
        <v>42</v>
      </c>
      <c r="C148" s="1">
        <v>1</v>
      </c>
    </row>
    <row r="149" spans="1:5" ht="14.25" customHeight="1" x14ac:dyDescent="0.3">
      <c r="A149" s="1" t="s">
        <v>178</v>
      </c>
      <c r="B149" s="1" t="s">
        <v>33</v>
      </c>
      <c r="C149" s="1">
        <v>1</v>
      </c>
    </row>
    <row r="150" spans="1:5" ht="14.25" customHeight="1" x14ac:dyDescent="0.3">
      <c r="A150" s="1" t="s">
        <v>179</v>
      </c>
      <c r="B150" s="1" t="s">
        <v>14</v>
      </c>
      <c r="C150" s="1">
        <v>1</v>
      </c>
    </row>
    <row r="151" spans="1:5" ht="14.25" customHeight="1" x14ac:dyDescent="0.3">
      <c r="A151" s="1" t="s">
        <v>180</v>
      </c>
      <c r="B151" s="1" t="s">
        <v>13</v>
      </c>
      <c r="C151" s="1">
        <v>1</v>
      </c>
    </row>
    <row r="152" spans="1:5" ht="14.25" customHeight="1" x14ac:dyDescent="0.3">
      <c r="A152" s="1" t="s">
        <v>181</v>
      </c>
      <c r="B152" s="1" t="s">
        <v>24</v>
      </c>
      <c r="C152" s="1">
        <v>1</v>
      </c>
    </row>
    <row r="153" spans="1:5" ht="14.25" customHeight="1" x14ac:dyDescent="0.3">
      <c r="A153" s="1" t="s">
        <v>182</v>
      </c>
      <c r="B153" s="1" t="s">
        <v>19</v>
      </c>
      <c r="C153" s="1">
        <v>1</v>
      </c>
    </row>
    <row r="154" spans="1:5" ht="14.25" customHeight="1" x14ac:dyDescent="0.3">
      <c r="A154" s="1" t="s">
        <v>183</v>
      </c>
      <c r="B154" s="1" t="s">
        <v>42</v>
      </c>
      <c r="C154" s="1">
        <v>1</v>
      </c>
    </row>
    <row r="155" spans="1:5" ht="14.25" customHeight="1" x14ac:dyDescent="0.3">
      <c r="A155" s="1" t="s">
        <v>184</v>
      </c>
      <c r="B155" s="1" t="s">
        <v>19</v>
      </c>
      <c r="C155" s="1">
        <v>1</v>
      </c>
    </row>
    <row r="156" spans="1:5" ht="14.25" customHeight="1" x14ac:dyDescent="0.3">
      <c r="A156" s="1" t="s">
        <v>185</v>
      </c>
      <c r="B156" s="1" t="s">
        <v>30</v>
      </c>
      <c r="E156" s="1">
        <v>1</v>
      </c>
    </row>
    <row r="157" spans="1:5" ht="14.25" customHeight="1" x14ac:dyDescent="0.3"/>
    <row r="158" spans="1:5" ht="14.25" customHeight="1" x14ac:dyDescent="0.3"/>
    <row r="159" spans="1:5" ht="14.25" customHeight="1" x14ac:dyDescent="0.3"/>
    <row r="160" spans="1:5" ht="14.25" customHeight="1" x14ac:dyDescent="0.3"/>
    <row r="161" s="1" customFormat="1" ht="14.25" customHeight="1" x14ac:dyDescent="0.3"/>
    <row r="162" s="1" customFormat="1" ht="14.25" customHeight="1" x14ac:dyDescent="0.3"/>
    <row r="163" s="1" customFormat="1" ht="14.25" customHeight="1" x14ac:dyDescent="0.3"/>
    <row r="164" s="1" customFormat="1" ht="14.25" customHeight="1" x14ac:dyDescent="0.3"/>
    <row r="165" s="1" customFormat="1" ht="14.25" customHeight="1" x14ac:dyDescent="0.3"/>
    <row r="166" s="1" customFormat="1" ht="14.25" customHeight="1" x14ac:dyDescent="0.3"/>
    <row r="167" s="1" customFormat="1" ht="14.25" customHeight="1" x14ac:dyDescent="0.3"/>
    <row r="168" s="1" customFormat="1" ht="14.25" customHeight="1" x14ac:dyDescent="0.3"/>
    <row r="169" s="1" customFormat="1" ht="14.25" customHeight="1" x14ac:dyDescent="0.3"/>
    <row r="170" s="1" customFormat="1" ht="14.25" customHeight="1" x14ac:dyDescent="0.3"/>
    <row r="171" s="1" customFormat="1" ht="14.25" customHeight="1" x14ac:dyDescent="0.3"/>
    <row r="172" s="1" customFormat="1" ht="14.25" customHeight="1" x14ac:dyDescent="0.3"/>
    <row r="173" s="1" customFormat="1" ht="14.25" customHeight="1" x14ac:dyDescent="0.3"/>
    <row r="174" s="1" customFormat="1" ht="14.25" customHeight="1" x14ac:dyDescent="0.3"/>
    <row r="175" s="1" customFormat="1" ht="14.25" customHeight="1" x14ac:dyDescent="0.3"/>
    <row r="176" s="1" customFormat="1" ht="14.25" customHeight="1" x14ac:dyDescent="0.3"/>
    <row r="177" s="1" customFormat="1" ht="14.25" customHeight="1" x14ac:dyDescent="0.3"/>
    <row r="178" s="1" customFormat="1" ht="14.25" customHeight="1" x14ac:dyDescent="0.3"/>
    <row r="179" s="1" customFormat="1" ht="14.25" customHeight="1" x14ac:dyDescent="0.3"/>
    <row r="180" s="1" customFormat="1" ht="14.25" customHeight="1" x14ac:dyDescent="0.3"/>
    <row r="181" s="1" customFormat="1" ht="14.25" customHeight="1" x14ac:dyDescent="0.3"/>
    <row r="182" s="1" customFormat="1" ht="14.25" customHeight="1" x14ac:dyDescent="0.3"/>
    <row r="183" s="1" customFormat="1" ht="14.25" customHeight="1" x14ac:dyDescent="0.3"/>
    <row r="184" s="1" customFormat="1" ht="14.25" customHeight="1" x14ac:dyDescent="0.3"/>
    <row r="185" s="1" customFormat="1" ht="14.25" customHeight="1" x14ac:dyDescent="0.3"/>
    <row r="186" s="1" customFormat="1" ht="14.25" customHeight="1" x14ac:dyDescent="0.3"/>
    <row r="187" s="1" customFormat="1" ht="14.25" customHeight="1" x14ac:dyDescent="0.3"/>
    <row r="188" s="1" customFormat="1" ht="14.25" customHeight="1" x14ac:dyDescent="0.3"/>
    <row r="189" s="1" customFormat="1" ht="14.25" customHeight="1" x14ac:dyDescent="0.3"/>
    <row r="190" s="1" customFormat="1" ht="14.25" customHeight="1" x14ac:dyDescent="0.3"/>
    <row r="191" s="1" customFormat="1" ht="14.25" customHeight="1" x14ac:dyDescent="0.3"/>
    <row r="192" s="1" customFormat="1" ht="14.25" customHeight="1" x14ac:dyDescent="0.3"/>
    <row r="193" s="1" customFormat="1" ht="14.25" customHeight="1" x14ac:dyDescent="0.3"/>
    <row r="194" s="1" customFormat="1" ht="14.25" customHeight="1" x14ac:dyDescent="0.3"/>
    <row r="195" s="1" customFormat="1" ht="14.25" customHeight="1" x14ac:dyDescent="0.3"/>
    <row r="196" s="1" customFormat="1" ht="14.25" customHeight="1" x14ac:dyDescent="0.3"/>
    <row r="197" s="1" customFormat="1" ht="14.25" customHeight="1" x14ac:dyDescent="0.3"/>
    <row r="198" s="1" customFormat="1" ht="14.25" customHeight="1" x14ac:dyDescent="0.3"/>
    <row r="199" s="1" customFormat="1" ht="14.25" customHeight="1" x14ac:dyDescent="0.3"/>
    <row r="200" s="1" customFormat="1" ht="14.25" customHeight="1" x14ac:dyDescent="0.3"/>
    <row r="201" s="1" customFormat="1" ht="14.25" customHeight="1" x14ac:dyDescent="0.3"/>
    <row r="202" s="1" customFormat="1" ht="14.25" customHeight="1" x14ac:dyDescent="0.3"/>
    <row r="203" s="1" customFormat="1" ht="14.25" customHeight="1" x14ac:dyDescent="0.3"/>
    <row r="204" s="1" customFormat="1" ht="14.25" customHeight="1" x14ac:dyDescent="0.3"/>
    <row r="205" s="1" customFormat="1" ht="14.25" customHeight="1" x14ac:dyDescent="0.3"/>
    <row r="206" s="1" customFormat="1" ht="14.25" customHeight="1" x14ac:dyDescent="0.3"/>
    <row r="207" s="1" customFormat="1" ht="14.25" customHeight="1" x14ac:dyDescent="0.3"/>
    <row r="208" s="1" customFormat="1" ht="14.25" customHeight="1" x14ac:dyDescent="0.3"/>
    <row r="209" s="1" customFormat="1" ht="14.25" customHeight="1" x14ac:dyDescent="0.3"/>
    <row r="210" s="1" customFormat="1" ht="14.25" customHeight="1" x14ac:dyDescent="0.3"/>
    <row r="211" s="1" customFormat="1" ht="14.25" customHeight="1" x14ac:dyDescent="0.3"/>
    <row r="212" s="1" customFormat="1" ht="14.25" customHeight="1" x14ac:dyDescent="0.3"/>
    <row r="213" s="1" customFormat="1" ht="14.25" customHeight="1" x14ac:dyDescent="0.3"/>
    <row r="214" s="1" customFormat="1" ht="14.25" customHeight="1" x14ac:dyDescent="0.3"/>
    <row r="215" s="1" customFormat="1" ht="14.25" customHeight="1" x14ac:dyDescent="0.3"/>
    <row r="216" s="1" customFormat="1" ht="14.25" customHeight="1" x14ac:dyDescent="0.3"/>
    <row r="217" s="1" customFormat="1" ht="14.25" customHeight="1" x14ac:dyDescent="0.3"/>
    <row r="218" s="1" customFormat="1" ht="14.25" customHeight="1" x14ac:dyDescent="0.3"/>
    <row r="219" s="1" customFormat="1" ht="14.25" customHeight="1" x14ac:dyDescent="0.3"/>
    <row r="220" s="1" customFormat="1" ht="14.25" customHeight="1" x14ac:dyDescent="0.3"/>
    <row r="221" s="1" customFormat="1" ht="14.25" customHeight="1" x14ac:dyDescent="0.3"/>
    <row r="222" s="1" customFormat="1" ht="14.25" customHeight="1" x14ac:dyDescent="0.3"/>
    <row r="223" s="1" customFormat="1" ht="14.25" customHeight="1" x14ac:dyDescent="0.3"/>
    <row r="224" s="1" customFormat="1" ht="14.25" customHeight="1" x14ac:dyDescent="0.3"/>
    <row r="225" s="1" customFormat="1" ht="14.25" customHeight="1" x14ac:dyDescent="0.3"/>
    <row r="226" s="1" customFormat="1" ht="14.25" customHeight="1" x14ac:dyDescent="0.3"/>
    <row r="227" s="1" customFormat="1" ht="14.25" customHeight="1" x14ac:dyDescent="0.3"/>
    <row r="228" s="1" customFormat="1" ht="14.25" customHeight="1" x14ac:dyDescent="0.3"/>
    <row r="229" s="1" customFormat="1" ht="14.25" customHeight="1" x14ac:dyDescent="0.3"/>
    <row r="230" s="1" customFormat="1" ht="14.25" customHeight="1" x14ac:dyDescent="0.3"/>
    <row r="231" s="1" customFormat="1" ht="14.25" customHeight="1" x14ac:dyDescent="0.3"/>
    <row r="232" s="1" customFormat="1" ht="14.25" customHeight="1" x14ac:dyDescent="0.3"/>
    <row r="233" s="1" customFormat="1" ht="14.25" customHeight="1" x14ac:dyDescent="0.3"/>
    <row r="234" s="1" customFormat="1" ht="14.25" customHeight="1" x14ac:dyDescent="0.3"/>
    <row r="235" s="1" customFormat="1" ht="14.25" customHeight="1" x14ac:dyDescent="0.3"/>
    <row r="236" s="1" customFormat="1" ht="14.25" customHeight="1" x14ac:dyDescent="0.3"/>
    <row r="237" s="1" customFormat="1" ht="14.25" customHeight="1" x14ac:dyDescent="0.3"/>
    <row r="238" s="1" customFormat="1" ht="14.25" customHeight="1" x14ac:dyDescent="0.3"/>
    <row r="239" s="1" customFormat="1" ht="14.25" customHeight="1" x14ac:dyDescent="0.3"/>
    <row r="240" s="1" customFormat="1" ht="14.25" customHeight="1" x14ac:dyDescent="0.3"/>
    <row r="241" s="1" customFormat="1" ht="14.25" customHeight="1" x14ac:dyDescent="0.3"/>
    <row r="242" s="1" customFormat="1" ht="14.25" customHeight="1" x14ac:dyDescent="0.3"/>
    <row r="243" s="1" customFormat="1" ht="14.25" customHeight="1" x14ac:dyDescent="0.3"/>
    <row r="244" s="1" customFormat="1" ht="14.25" customHeight="1" x14ac:dyDescent="0.3"/>
    <row r="245" s="1" customFormat="1" ht="14.25" customHeight="1" x14ac:dyDescent="0.3"/>
    <row r="246" s="1" customFormat="1" ht="14.25" customHeight="1" x14ac:dyDescent="0.3"/>
    <row r="247" s="1" customFormat="1" ht="14.25" customHeight="1" x14ac:dyDescent="0.3"/>
    <row r="248" s="1" customFormat="1" ht="14.25" customHeight="1" x14ac:dyDescent="0.3"/>
    <row r="249" s="1" customFormat="1" ht="14.25" customHeight="1" x14ac:dyDescent="0.3"/>
    <row r="250" s="1" customFormat="1" ht="14.25" customHeight="1" x14ac:dyDescent="0.3"/>
    <row r="251" s="1" customFormat="1" ht="14.25" customHeight="1" x14ac:dyDescent="0.3"/>
    <row r="252" s="1" customFormat="1" ht="14.25" customHeight="1" x14ac:dyDescent="0.3"/>
    <row r="253" s="1" customFormat="1" ht="14.25" customHeight="1" x14ac:dyDescent="0.3"/>
    <row r="254" s="1" customFormat="1" ht="14.25" customHeight="1" x14ac:dyDescent="0.3"/>
    <row r="255" s="1" customFormat="1" ht="14.25" customHeight="1" x14ac:dyDescent="0.3"/>
    <row r="256" s="1" customFormat="1" ht="14.25" customHeight="1" x14ac:dyDescent="0.3"/>
    <row r="257" s="1" customFormat="1" ht="14.25" customHeight="1" x14ac:dyDescent="0.3"/>
    <row r="258" s="1" customFormat="1" ht="14.25" customHeight="1" x14ac:dyDescent="0.3"/>
    <row r="259" s="1" customFormat="1" ht="14.25" customHeight="1" x14ac:dyDescent="0.3"/>
    <row r="260" s="1" customFormat="1" ht="14.25" customHeight="1" x14ac:dyDescent="0.3"/>
    <row r="261" s="1" customFormat="1" ht="14.25" customHeight="1" x14ac:dyDescent="0.3"/>
    <row r="262" s="1" customFormat="1" ht="14.25" customHeight="1" x14ac:dyDescent="0.3"/>
    <row r="263" s="1" customFormat="1" ht="14.25" customHeight="1" x14ac:dyDescent="0.3"/>
    <row r="264" s="1" customFormat="1" ht="14.25" customHeight="1" x14ac:dyDescent="0.3"/>
    <row r="265" s="1" customFormat="1" ht="14.25" customHeight="1" x14ac:dyDescent="0.3"/>
    <row r="266" s="1" customFormat="1" ht="14.25" customHeight="1" x14ac:dyDescent="0.3"/>
    <row r="267" s="1" customFormat="1" ht="14.25" customHeight="1" x14ac:dyDescent="0.3"/>
    <row r="268" s="1" customFormat="1" ht="14.25" customHeight="1" x14ac:dyDescent="0.3"/>
    <row r="269" s="1" customFormat="1" ht="14.25" customHeight="1" x14ac:dyDescent="0.3"/>
    <row r="270" s="1" customFormat="1" ht="14.25" customHeight="1" x14ac:dyDescent="0.3"/>
    <row r="271" s="1" customFormat="1" ht="14.25" customHeight="1" x14ac:dyDescent="0.3"/>
    <row r="272" s="1" customFormat="1" ht="14.25" customHeight="1" x14ac:dyDescent="0.3"/>
    <row r="273" s="1" customFormat="1" ht="14.25" customHeight="1" x14ac:dyDescent="0.3"/>
    <row r="274" s="1" customFormat="1" ht="14.25" customHeight="1" x14ac:dyDescent="0.3"/>
    <row r="275" s="1" customFormat="1" ht="14.25" customHeight="1" x14ac:dyDescent="0.3"/>
    <row r="276" s="1" customFormat="1" ht="14.25" customHeight="1" x14ac:dyDescent="0.3"/>
    <row r="277" s="1" customFormat="1" ht="14.25" customHeight="1" x14ac:dyDescent="0.3"/>
    <row r="278" s="1" customFormat="1" ht="14.25" customHeight="1" x14ac:dyDescent="0.3"/>
    <row r="279" s="1" customFormat="1" ht="14.25" customHeight="1" x14ac:dyDescent="0.3"/>
    <row r="280" s="1" customFormat="1" ht="14.25" customHeight="1" x14ac:dyDescent="0.3"/>
    <row r="281" s="1" customFormat="1" ht="14.25" customHeight="1" x14ac:dyDescent="0.3"/>
    <row r="282" s="1" customFormat="1" ht="14.25" customHeight="1" x14ac:dyDescent="0.3"/>
    <row r="283" s="1" customFormat="1" ht="14.25" customHeight="1" x14ac:dyDescent="0.3"/>
    <row r="284" s="1" customFormat="1" ht="14.25" customHeight="1" x14ac:dyDescent="0.3"/>
    <row r="285" s="1" customFormat="1" ht="14.25" customHeight="1" x14ac:dyDescent="0.3"/>
    <row r="286" s="1" customFormat="1" ht="14.25" customHeight="1" x14ac:dyDescent="0.3"/>
    <row r="287" s="1" customFormat="1" ht="14.25" customHeight="1" x14ac:dyDescent="0.3"/>
    <row r="288" s="1" customFormat="1" ht="14.25" customHeight="1" x14ac:dyDescent="0.3"/>
    <row r="289" s="1" customFormat="1" ht="14.25" customHeight="1" x14ac:dyDescent="0.3"/>
    <row r="290" s="1" customFormat="1" ht="14.25" customHeight="1" x14ac:dyDescent="0.3"/>
    <row r="291" s="1" customFormat="1" ht="14.25" customHeight="1" x14ac:dyDescent="0.3"/>
    <row r="292" s="1" customFormat="1" ht="14.25" customHeight="1" x14ac:dyDescent="0.3"/>
    <row r="293" s="1" customFormat="1" ht="14.25" customHeight="1" x14ac:dyDescent="0.3"/>
    <row r="294" s="1" customFormat="1" ht="14.25" customHeight="1" x14ac:dyDescent="0.3"/>
    <row r="295" s="1" customFormat="1" ht="14.25" customHeight="1" x14ac:dyDescent="0.3"/>
    <row r="296" s="1" customFormat="1" ht="14.25" customHeight="1" x14ac:dyDescent="0.3"/>
    <row r="297" s="1" customFormat="1" ht="14.25" customHeight="1" x14ac:dyDescent="0.3"/>
    <row r="298" s="1" customFormat="1" ht="14.25" customHeight="1" x14ac:dyDescent="0.3"/>
    <row r="299" s="1" customFormat="1" ht="14.25" customHeight="1" x14ac:dyDescent="0.3"/>
    <row r="300" s="1" customFormat="1" ht="14.25" customHeight="1" x14ac:dyDescent="0.3"/>
    <row r="301" s="1" customFormat="1" ht="14.25" customHeight="1" x14ac:dyDescent="0.3"/>
    <row r="302" s="1" customFormat="1" ht="14.25" customHeight="1" x14ac:dyDescent="0.3"/>
    <row r="303" s="1" customFormat="1" ht="14.25" customHeight="1" x14ac:dyDescent="0.3"/>
    <row r="304" s="1" customFormat="1" ht="14.25" customHeight="1" x14ac:dyDescent="0.3"/>
    <row r="305" s="1" customFormat="1" ht="14.25" customHeight="1" x14ac:dyDescent="0.3"/>
    <row r="306" s="1" customFormat="1" ht="14.25" customHeight="1" x14ac:dyDescent="0.3"/>
    <row r="307" s="1" customFormat="1" ht="14.25" customHeight="1" x14ac:dyDescent="0.3"/>
    <row r="308" s="1" customFormat="1" ht="14.25" customHeight="1" x14ac:dyDescent="0.3"/>
    <row r="309" s="1" customFormat="1" ht="14.25" customHeight="1" x14ac:dyDescent="0.3"/>
    <row r="310" s="1" customFormat="1" ht="14.25" customHeight="1" x14ac:dyDescent="0.3"/>
    <row r="311" s="1" customFormat="1" ht="14.25" customHeight="1" x14ac:dyDescent="0.3"/>
    <row r="312" s="1" customFormat="1" ht="14.25" customHeight="1" x14ac:dyDescent="0.3"/>
    <row r="313" s="1" customFormat="1" ht="14.25" customHeight="1" x14ac:dyDescent="0.3"/>
    <row r="314" s="1" customFormat="1" ht="14.25" customHeight="1" x14ac:dyDescent="0.3"/>
    <row r="315" s="1" customFormat="1" ht="14.25" customHeight="1" x14ac:dyDescent="0.3"/>
    <row r="316" s="1" customFormat="1" ht="14.25" customHeight="1" x14ac:dyDescent="0.3"/>
    <row r="317" s="1" customFormat="1" ht="14.25" customHeight="1" x14ac:dyDescent="0.3"/>
    <row r="318" s="1" customFormat="1" ht="14.25" customHeight="1" x14ac:dyDescent="0.3"/>
    <row r="319" s="1" customFormat="1" ht="14.25" customHeight="1" x14ac:dyDescent="0.3"/>
    <row r="320" s="1" customFormat="1" ht="14.25" customHeight="1" x14ac:dyDescent="0.3"/>
    <row r="321" s="1" customFormat="1" ht="14.25" customHeight="1" x14ac:dyDescent="0.3"/>
    <row r="322" s="1" customFormat="1" ht="14.25" customHeight="1" x14ac:dyDescent="0.3"/>
    <row r="323" s="1" customFormat="1" ht="14.25" customHeight="1" x14ac:dyDescent="0.3"/>
    <row r="324" s="1" customFormat="1" ht="14.25" customHeight="1" x14ac:dyDescent="0.3"/>
    <row r="325" s="1" customFormat="1" ht="14.25" customHeight="1" x14ac:dyDescent="0.3"/>
    <row r="326" s="1" customFormat="1" ht="14.25" customHeight="1" x14ac:dyDescent="0.3"/>
    <row r="327" s="1" customFormat="1" ht="14.25" customHeight="1" x14ac:dyDescent="0.3"/>
    <row r="328" s="1" customFormat="1" ht="14.25" customHeight="1" x14ac:dyDescent="0.3"/>
    <row r="329" s="1" customFormat="1" ht="14.25" customHeight="1" x14ac:dyDescent="0.3"/>
    <row r="330" s="1" customFormat="1" ht="14.25" customHeight="1" x14ac:dyDescent="0.3"/>
    <row r="331" s="1" customFormat="1" ht="14.25" customHeight="1" x14ac:dyDescent="0.3"/>
    <row r="332" s="1" customFormat="1" ht="14.25" customHeight="1" x14ac:dyDescent="0.3"/>
    <row r="333" s="1" customFormat="1" ht="14.25" customHeight="1" x14ac:dyDescent="0.3"/>
    <row r="334" s="1" customFormat="1" ht="14.25" customHeight="1" x14ac:dyDescent="0.3"/>
    <row r="335" s="1" customFormat="1" ht="14.25" customHeight="1" x14ac:dyDescent="0.3"/>
    <row r="336" s="1" customFormat="1" ht="14.25" customHeight="1" x14ac:dyDescent="0.3"/>
    <row r="337" s="1" customFormat="1" ht="14.25" customHeight="1" x14ac:dyDescent="0.3"/>
    <row r="338" s="1" customFormat="1" ht="14.25" customHeight="1" x14ac:dyDescent="0.3"/>
    <row r="339" s="1" customFormat="1" ht="14.25" customHeight="1" x14ac:dyDescent="0.3"/>
    <row r="340" s="1" customFormat="1" ht="14.25" customHeight="1" x14ac:dyDescent="0.3"/>
    <row r="341" s="1" customFormat="1" ht="14.25" customHeight="1" x14ac:dyDescent="0.3"/>
    <row r="342" s="1" customFormat="1" ht="14.25" customHeight="1" x14ac:dyDescent="0.3"/>
    <row r="343" s="1" customFormat="1" ht="14.25" customHeight="1" x14ac:dyDescent="0.3"/>
    <row r="344" s="1" customFormat="1" ht="14.25" customHeight="1" x14ac:dyDescent="0.3"/>
    <row r="345" s="1" customFormat="1" ht="14.25" customHeight="1" x14ac:dyDescent="0.3"/>
    <row r="346" s="1" customFormat="1" ht="14.25" customHeight="1" x14ac:dyDescent="0.3"/>
    <row r="347" s="1" customFormat="1" ht="14.25" customHeight="1" x14ac:dyDescent="0.3"/>
    <row r="348" s="1" customFormat="1" ht="14.25" customHeight="1" x14ac:dyDescent="0.3"/>
    <row r="349" s="1" customFormat="1" ht="14.25" customHeight="1" x14ac:dyDescent="0.3"/>
    <row r="350" s="1" customFormat="1" ht="14.25" customHeight="1" x14ac:dyDescent="0.3"/>
    <row r="351" s="1" customFormat="1" ht="14.25" customHeight="1" x14ac:dyDescent="0.3"/>
    <row r="352" s="1" customFormat="1" ht="14.25" customHeight="1" x14ac:dyDescent="0.3"/>
    <row r="353" s="1" customFormat="1" ht="14.25" customHeight="1" x14ac:dyDescent="0.3"/>
    <row r="354" s="1" customFormat="1" ht="14.25" customHeight="1" x14ac:dyDescent="0.3"/>
    <row r="355" s="1" customFormat="1" ht="14.25" customHeight="1" x14ac:dyDescent="0.3"/>
    <row r="356" s="1" customFormat="1" ht="14.25" customHeight="1" x14ac:dyDescent="0.3"/>
    <row r="357" s="1" customFormat="1" ht="14.25" customHeight="1" x14ac:dyDescent="0.3"/>
    <row r="358" s="1" customFormat="1" ht="14.25" customHeight="1" x14ac:dyDescent="0.3"/>
    <row r="359" s="1" customFormat="1" ht="14.25" customHeight="1" x14ac:dyDescent="0.3"/>
    <row r="360" s="1" customFormat="1" ht="14.25" customHeight="1" x14ac:dyDescent="0.3"/>
    <row r="361" s="1" customFormat="1" ht="14.25" customHeight="1" x14ac:dyDescent="0.3"/>
    <row r="362" s="1" customFormat="1" ht="14.25" customHeight="1" x14ac:dyDescent="0.3"/>
    <row r="363" s="1" customFormat="1" ht="14.25" customHeight="1" x14ac:dyDescent="0.3"/>
    <row r="364" s="1" customFormat="1" ht="14.25" customHeight="1" x14ac:dyDescent="0.3"/>
    <row r="365" s="1" customFormat="1" ht="14.25" customHeight="1" x14ac:dyDescent="0.3"/>
    <row r="366" s="1" customFormat="1" ht="14.25" customHeight="1" x14ac:dyDescent="0.3"/>
    <row r="367" s="1" customFormat="1" ht="14.25" customHeight="1" x14ac:dyDescent="0.3"/>
    <row r="368" s="1" customFormat="1" ht="14.25" customHeight="1" x14ac:dyDescent="0.3"/>
    <row r="369" s="1" customFormat="1" ht="14.25" customHeight="1" x14ac:dyDescent="0.3"/>
    <row r="370" s="1" customFormat="1" ht="14.25" customHeight="1" x14ac:dyDescent="0.3"/>
    <row r="371" s="1" customFormat="1" ht="14.25" customHeight="1" x14ac:dyDescent="0.3"/>
    <row r="372" s="1" customFormat="1" ht="14.25" customHeight="1" x14ac:dyDescent="0.3"/>
    <row r="373" s="1" customFormat="1" ht="14.25" customHeight="1" x14ac:dyDescent="0.3"/>
    <row r="374" s="1" customFormat="1" ht="14.25" customHeight="1" x14ac:dyDescent="0.3"/>
    <row r="375" s="1" customFormat="1" ht="14.25" customHeight="1" x14ac:dyDescent="0.3"/>
    <row r="376" s="1" customFormat="1" ht="14.25" customHeight="1" x14ac:dyDescent="0.3"/>
    <row r="377" s="1" customFormat="1" ht="14.25" customHeight="1" x14ac:dyDescent="0.3"/>
    <row r="378" s="1" customFormat="1" ht="14.25" customHeight="1" x14ac:dyDescent="0.3"/>
    <row r="379" s="1" customFormat="1" ht="14.25" customHeight="1" x14ac:dyDescent="0.3"/>
    <row r="380" s="1" customFormat="1" ht="14.25" customHeight="1" x14ac:dyDescent="0.3"/>
    <row r="381" s="1" customFormat="1" ht="14.25" customHeight="1" x14ac:dyDescent="0.3"/>
    <row r="382" s="1" customFormat="1" ht="14.25" customHeight="1" x14ac:dyDescent="0.3"/>
    <row r="383" s="1" customFormat="1" ht="14.25" customHeight="1" x14ac:dyDescent="0.3"/>
    <row r="384" s="1" customFormat="1" ht="14.25" customHeight="1" x14ac:dyDescent="0.3"/>
    <row r="385" s="1" customFormat="1" ht="14.25" customHeight="1" x14ac:dyDescent="0.3"/>
    <row r="386" s="1" customFormat="1" ht="14.25" customHeight="1" x14ac:dyDescent="0.3"/>
    <row r="387" s="1" customFormat="1" ht="14.25" customHeight="1" x14ac:dyDescent="0.3"/>
    <row r="388" s="1" customFormat="1" ht="14.25" customHeight="1" x14ac:dyDescent="0.3"/>
    <row r="389" s="1" customFormat="1" ht="14.25" customHeight="1" x14ac:dyDescent="0.3"/>
    <row r="390" s="1" customFormat="1" ht="14.25" customHeight="1" x14ac:dyDescent="0.3"/>
    <row r="391" s="1" customFormat="1" ht="14.25" customHeight="1" x14ac:dyDescent="0.3"/>
    <row r="392" s="1" customFormat="1" ht="14.25" customHeight="1" x14ac:dyDescent="0.3"/>
    <row r="393" s="1" customFormat="1" ht="14.25" customHeight="1" x14ac:dyDescent="0.3"/>
    <row r="394" s="1" customFormat="1" ht="14.25" customHeight="1" x14ac:dyDescent="0.3"/>
    <row r="395" s="1" customFormat="1" ht="14.25" customHeight="1" x14ac:dyDescent="0.3"/>
    <row r="396" s="1" customFormat="1" ht="14.25" customHeight="1" x14ac:dyDescent="0.3"/>
    <row r="397" s="1" customFormat="1" ht="14.25" customHeight="1" x14ac:dyDescent="0.3"/>
    <row r="398" s="1" customFormat="1" ht="14.25" customHeight="1" x14ac:dyDescent="0.3"/>
    <row r="399" s="1" customFormat="1" ht="14.25" customHeight="1" x14ac:dyDescent="0.3"/>
    <row r="400" s="1" customFormat="1" ht="14.25" customHeight="1" x14ac:dyDescent="0.3"/>
    <row r="401" s="1" customFormat="1" ht="14.25" customHeight="1" x14ac:dyDescent="0.3"/>
    <row r="402" s="1" customFormat="1" ht="14.25" customHeight="1" x14ac:dyDescent="0.3"/>
    <row r="403" s="1" customFormat="1" ht="14.25" customHeight="1" x14ac:dyDescent="0.3"/>
    <row r="404" s="1" customFormat="1" ht="14.25" customHeight="1" x14ac:dyDescent="0.3"/>
    <row r="405" s="1" customFormat="1" ht="14.25" customHeight="1" x14ac:dyDescent="0.3"/>
    <row r="406" s="1" customFormat="1" ht="14.25" customHeight="1" x14ac:dyDescent="0.3"/>
    <row r="407" s="1" customFormat="1" ht="14.25" customHeight="1" x14ac:dyDescent="0.3"/>
    <row r="408" s="1" customFormat="1" ht="14.25" customHeight="1" x14ac:dyDescent="0.3"/>
    <row r="409" s="1" customFormat="1" ht="14.25" customHeight="1" x14ac:dyDescent="0.3"/>
    <row r="410" s="1" customFormat="1" ht="14.25" customHeight="1" x14ac:dyDescent="0.3"/>
    <row r="411" s="1" customFormat="1" ht="14.25" customHeight="1" x14ac:dyDescent="0.3"/>
    <row r="412" s="1" customFormat="1" ht="14.25" customHeight="1" x14ac:dyDescent="0.3"/>
    <row r="413" s="1" customFormat="1" ht="14.25" customHeight="1" x14ac:dyDescent="0.3"/>
    <row r="414" s="1" customFormat="1" ht="14.25" customHeight="1" x14ac:dyDescent="0.3"/>
    <row r="415" s="1" customFormat="1" ht="14.25" customHeight="1" x14ac:dyDescent="0.3"/>
    <row r="416" s="1" customFormat="1" ht="14.25" customHeight="1" x14ac:dyDescent="0.3"/>
    <row r="417" s="1" customFormat="1" ht="14.25" customHeight="1" x14ac:dyDescent="0.3"/>
    <row r="418" s="1" customFormat="1" ht="14.25" customHeight="1" x14ac:dyDescent="0.3"/>
    <row r="419" s="1" customFormat="1" ht="14.25" customHeight="1" x14ac:dyDescent="0.3"/>
    <row r="420" s="1" customFormat="1" ht="14.25" customHeight="1" x14ac:dyDescent="0.3"/>
    <row r="421" s="1" customFormat="1" ht="14.25" customHeight="1" x14ac:dyDescent="0.3"/>
    <row r="422" s="1" customFormat="1" ht="14.25" customHeight="1" x14ac:dyDescent="0.3"/>
    <row r="423" s="1" customFormat="1" ht="14.25" customHeight="1" x14ac:dyDescent="0.3"/>
    <row r="424" s="1" customFormat="1" ht="14.25" customHeight="1" x14ac:dyDescent="0.3"/>
    <row r="425" s="1" customFormat="1" ht="14.25" customHeight="1" x14ac:dyDescent="0.3"/>
    <row r="426" s="1" customFormat="1" ht="14.25" customHeight="1" x14ac:dyDescent="0.3"/>
    <row r="427" s="1" customFormat="1" ht="14.25" customHeight="1" x14ac:dyDescent="0.3"/>
    <row r="428" s="1" customFormat="1" ht="14.25" customHeight="1" x14ac:dyDescent="0.3"/>
    <row r="429" s="1" customFormat="1" ht="14.25" customHeight="1" x14ac:dyDescent="0.3"/>
    <row r="430" s="1" customFormat="1" ht="14.25" customHeight="1" x14ac:dyDescent="0.3"/>
    <row r="431" s="1" customFormat="1" ht="14.25" customHeight="1" x14ac:dyDescent="0.3"/>
    <row r="432" s="1" customFormat="1" ht="14.25" customHeight="1" x14ac:dyDescent="0.3"/>
    <row r="433" s="1" customFormat="1" ht="14.25" customHeight="1" x14ac:dyDescent="0.3"/>
    <row r="434" s="1" customFormat="1" ht="14.25" customHeight="1" x14ac:dyDescent="0.3"/>
    <row r="435" s="1" customFormat="1" ht="14.25" customHeight="1" x14ac:dyDescent="0.3"/>
    <row r="436" s="1" customFormat="1" ht="14.25" customHeight="1" x14ac:dyDescent="0.3"/>
    <row r="437" s="1" customFormat="1" ht="14.25" customHeight="1" x14ac:dyDescent="0.3"/>
    <row r="438" s="1" customFormat="1" ht="14.25" customHeight="1" x14ac:dyDescent="0.3"/>
    <row r="439" s="1" customFormat="1" ht="14.25" customHeight="1" x14ac:dyDescent="0.3"/>
    <row r="440" s="1" customFormat="1" ht="14.25" customHeight="1" x14ac:dyDescent="0.3"/>
    <row r="441" s="1" customFormat="1" ht="14.25" customHeight="1" x14ac:dyDescent="0.3"/>
    <row r="442" s="1" customFormat="1" ht="14.25" customHeight="1" x14ac:dyDescent="0.3"/>
    <row r="443" s="1" customFormat="1" ht="14.25" customHeight="1" x14ac:dyDescent="0.3"/>
    <row r="444" s="1" customFormat="1" ht="14.25" customHeight="1" x14ac:dyDescent="0.3"/>
    <row r="445" s="1" customFormat="1" ht="14.25" customHeight="1" x14ac:dyDescent="0.3"/>
    <row r="446" s="1" customFormat="1" ht="14.25" customHeight="1" x14ac:dyDescent="0.3"/>
    <row r="447" s="1" customFormat="1" ht="14.25" customHeight="1" x14ac:dyDescent="0.3"/>
    <row r="448" s="1" customFormat="1" ht="14.25" customHeight="1" x14ac:dyDescent="0.3"/>
    <row r="449" s="1" customFormat="1" ht="14.25" customHeight="1" x14ac:dyDescent="0.3"/>
    <row r="450" s="1" customFormat="1" ht="14.25" customHeight="1" x14ac:dyDescent="0.3"/>
    <row r="451" s="1" customFormat="1" ht="14.25" customHeight="1" x14ac:dyDescent="0.3"/>
    <row r="452" s="1" customFormat="1" ht="14.25" customHeight="1" x14ac:dyDescent="0.3"/>
    <row r="453" s="1" customFormat="1" ht="14.25" customHeight="1" x14ac:dyDescent="0.3"/>
    <row r="454" s="1" customFormat="1" ht="14.25" customHeight="1" x14ac:dyDescent="0.3"/>
    <row r="455" s="1" customFormat="1" ht="14.25" customHeight="1" x14ac:dyDescent="0.3"/>
    <row r="456" s="1" customFormat="1" ht="14.25" customHeight="1" x14ac:dyDescent="0.3"/>
    <row r="457" s="1" customFormat="1" ht="14.25" customHeight="1" x14ac:dyDescent="0.3"/>
    <row r="458" s="1" customFormat="1" ht="14.25" customHeight="1" x14ac:dyDescent="0.3"/>
    <row r="459" s="1" customFormat="1" ht="14.25" customHeight="1" x14ac:dyDescent="0.3"/>
    <row r="460" s="1" customFormat="1" ht="14.25" customHeight="1" x14ac:dyDescent="0.3"/>
    <row r="461" s="1" customFormat="1" ht="14.25" customHeight="1" x14ac:dyDescent="0.3"/>
    <row r="462" s="1" customFormat="1" ht="14.25" customHeight="1" x14ac:dyDescent="0.3"/>
    <row r="463" s="1" customFormat="1" ht="14.25" customHeight="1" x14ac:dyDescent="0.3"/>
    <row r="464" s="1" customFormat="1" ht="14.25" customHeight="1" x14ac:dyDescent="0.3"/>
    <row r="465" s="1" customFormat="1" ht="14.25" customHeight="1" x14ac:dyDescent="0.3"/>
    <row r="466" s="1" customFormat="1" ht="14.25" customHeight="1" x14ac:dyDescent="0.3"/>
    <row r="467" s="1" customFormat="1" ht="14.25" customHeight="1" x14ac:dyDescent="0.3"/>
    <row r="468" s="1" customFormat="1" ht="14.25" customHeight="1" x14ac:dyDescent="0.3"/>
    <row r="469" s="1" customFormat="1" ht="14.25" customHeight="1" x14ac:dyDescent="0.3"/>
    <row r="470" s="1" customFormat="1" ht="14.25" customHeight="1" x14ac:dyDescent="0.3"/>
    <row r="471" s="1" customFormat="1" ht="14.25" customHeight="1" x14ac:dyDescent="0.3"/>
    <row r="472" s="1" customFormat="1" ht="14.25" customHeight="1" x14ac:dyDescent="0.3"/>
    <row r="473" s="1" customFormat="1" ht="14.25" customHeight="1" x14ac:dyDescent="0.3"/>
    <row r="474" s="1" customFormat="1" ht="14.25" customHeight="1" x14ac:dyDescent="0.3"/>
    <row r="475" s="1" customFormat="1" ht="14.25" customHeight="1" x14ac:dyDescent="0.3"/>
    <row r="476" s="1" customFormat="1" ht="14.25" customHeight="1" x14ac:dyDescent="0.3"/>
    <row r="477" s="1" customFormat="1" ht="14.25" customHeight="1" x14ac:dyDescent="0.3"/>
    <row r="478" s="1" customFormat="1" ht="14.25" customHeight="1" x14ac:dyDescent="0.3"/>
    <row r="479" s="1" customFormat="1" ht="14.25" customHeight="1" x14ac:dyDescent="0.3"/>
    <row r="480" s="1" customFormat="1" ht="14.25" customHeight="1" x14ac:dyDescent="0.3"/>
    <row r="481" s="1" customFormat="1" ht="14.25" customHeight="1" x14ac:dyDescent="0.3"/>
    <row r="482" s="1" customFormat="1" ht="14.25" customHeight="1" x14ac:dyDescent="0.3"/>
    <row r="483" s="1" customFormat="1" ht="14.25" customHeight="1" x14ac:dyDescent="0.3"/>
    <row r="484" s="1" customFormat="1" ht="14.25" customHeight="1" x14ac:dyDescent="0.3"/>
    <row r="485" s="1" customFormat="1" ht="14.25" customHeight="1" x14ac:dyDescent="0.3"/>
    <row r="486" s="1" customFormat="1" ht="14.25" customHeight="1" x14ac:dyDescent="0.3"/>
    <row r="487" s="1" customFormat="1" ht="14.25" customHeight="1" x14ac:dyDescent="0.3"/>
    <row r="488" s="1" customFormat="1" ht="14.25" customHeight="1" x14ac:dyDescent="0.3"/>
    <row r="489" s="1" customFormat="1" ht="14.25" customHeight="1" x14ac:dyDescent="0.3"/>
    <row r="490" s="1" customFormat="1" ht="14.25" customHeight="1" x14ac:dyDescent="0.3"/>
    <row r="491" s="1" customFormat="1" ht="14.25" customHeight="1" x14ac:dyDescent="0.3"/>
    <row r="492" s="1" customFormat="1" ht="14.25" customHeight="1" x14ac:dyDescent="0.3"/>
    <row r="493" s="1" customFormat="1" ht="14.25" customHeight="1" x14ac:dyDescent="0.3"/>
    <row r="494" s="1" customFormat="1" ht="14.25" customHeight="1" x14ac:dyDescent="0.3"/>
    <row r="495" s="1" customFormat="1" ht="14.25" customHeight="1" x14ac:dyDescent="0.3"/>
    <row r="496" s="1" customFormat="1" ht="14.25" customHeight="1" x14ac:dyDescent="0.3"/>
    <row r="497" s="1" customFormat="1" ht="14.25" customHeight="1" x14ac:dyDescent="0.3"/>
    <row r="498" s="1" customFormat="1" ht="14.25" customHeight="1" x14ac:dyDescent="0.3"/>
    <row r="499" s="1" customFormat="1" ht="14.25" customHeight="1" x14ac:dyDescent="0.3"/>
    <row r="500" s="1" customFormat="1" ht="14.25" customHeight="1" x14ac:dyDescent="0.3"/>
    <row r="501" s="1" customFormat="1" ht="14.25" customHeight="1" x14ac:dyDescent="0.3"/>
    <row r="502" s="1" customFormat="1" ht="14.25" customHeight="1" x14ac:dyDescent="0.3"/>
    <row r="503" s="1" customFormat="1" ht="14.25" customHeight="1" x14ac:dyDescent="0.3"/>
    <row r="504" s="1" customFormat="1" ht="14.25" customHeight="1" x14ac:dyDescent="0.3"/>
    <row r="505" s="1" customFormat="1" ht="14.25" customHeight="1" x14ac:dyDescent="0.3"/>
    <row r="506" s="1" customFormat="1" ht="14.25" customHeight="1" x14ac:dyDescent="0.3"/>
    <row r="507" s="1" customFormat="1" ht="14.25" customHeight="1" x14ac:dyDescent="0.3"/>
    <row r="508" s="1" customFormat="1" ht="14.25" customHeight="1" x14ac:dyDescent="0.3"/>
    <row r="509" s="1" customFormat="1" ht="14.25" customHeight="1" x14ac:dyDescent="0.3"/>
    <row r="510" s="1" customFormat="1" ht="14.25" customHeight="1" x14ac:dyDescent="0.3"/>
    <row r="511" s="1" customFormat="1" ht="14.25" customHeight="1" x14ac:dyDescent="0.3"/>
    <row r="512" s="1" customFormat="1" ht="14.25" customHeight="1" x14ac:dyDescent="0.3"/>
    <row r="513" s="1" customFormat="1" ht="14.25" customHeight="1" x14ac:dyDescent="0.3"/>
    <row r="514" s="1" customFormat="1" ht="14.25" customHeight="1" x14ac:dyDescent="0.3"/>
    <row r="515" s="1" customFormat="1" ht="14.25" customHeight="1" x14ac:dyDescent="0.3"/>
    <row r="516" s="1" customFormat="1" ht="14.25" customHeight="1" x14ac:dyDescent="0.3"/>
    <row r="517" s="1" customFormat="1" ht="14.25" customHeight="1" x14ac:dyDescent="0.3"/>
    <row r="518" s="1" customFormat="1" ht="14.25" customHeight="1" x14ac:dyDescent="0.3"/>
    <row r="519" s="1" customFormat="1" ht="14.25" customHeight="1" x14ac:dyDescent="0.3"/>
    <row r="520" s="1" customFormat="1" ht="14.25" customHeight="1" x14ac:dyDescent="0.3"/>
    <row r="521" s="1" customFormat="1" ht="14.25" customHeight="1" x14ac:dyDescent="0.3"/>
    <row r="522" s="1" customFormat="1" ht="14.25" customHeight="1" x14ac:dyDescent="0.3"/>
    <row r="523" s="1" customFormat="1" ht="14.25" customHeight="1" x14ac:dyDescent="0.3"/>
    <row r="524" s="1" customFormat="1" ht="14.25" customHeight="1" x14ac:dyDescent="0.3"/>
    <row r="525" s="1" customFormat="1" ht="14.25" customHeight="1" x14ac:dyDescent="0.3"/>
    <row r="526" s="1" customFormat="1" ht="14.25" customHeight="1" x14ac:dyDescent="0.3"/>
    <row r="527" s="1" customFormat="1" ht="14.25" customHeight="1" x14ac:dyDescent="0.3"/>
    <row r="528" s="1" customFormat="1" ht="14.25" customHeight="1" x14ac:dyDescent="0.3"/>
    <row r="529" s="1" customFormat="1" ht="14.25" customHeight="1" x14ac:dyDescent="0.3"/>
    <row r="530" s="1" customFormat="1" ht="14.25" customHeight="1" x14ac:dyDescent="0.3"/>
    <row r="531" s="1" customFormat="1" ht="14.25" customHeight="1" x14ac:dyDescent="0.3"/>
    <row r="532" s="1" customFormat="1" ht="14.25" customHeight="1" x14ac:dyDescent="0.3"/>
    <row r="533" s="1" customFormat="1" ht="14.25" customHeight="1" x14ac:dyDescent="0.3"/>
    <row r="534" s="1" customFormat="1" ht="14.25" customHeight="1" x14ac:dyDescent="0.3"/>
    <row r="535" s="1" customFormat="1" ht="14.25" customHeight="1" x14ac:dyDescent="0.3"/>
    <row r="536" s="1" customFormat="1" ht="14.25" customHeight="1" x14ac:dyDescent="0.3"/>
    <row r="537" s="1" customFormat="1" ht="14.25" customHeight="1" x14ac:dyDescent="0.3"/>
    <row r="538" s="1" customFormat="1" ht="14.25" customHeight="1" x14ac:dyDescent="0.3"/>
    <row r="539" s="1" customFormat="1" ht="14.25" customHeight="1" x14ac:dyDescent="0.3"/>
    <row r="540" s="1" customFormat="1" ht="14.25" customHeight="1" x14ac:dyDescent="0.3"/>
    <row r="541" s="1" customFormat="1" ht="14.25" customHeight="1" x14ac:dyDescent="0.3"/>
    <row r="542" s="1" customFormat="1" ht="14.25" customHeight="1" x14ac:dyDescent="0.3"/>
    <row r="543" s="1" customFormat="1" ht="14.25" customHeight="1" x14ac:dyDescent="0.3"/>
    <row r="544" s="1" customFormat="1" ht="14.25" customHeight="1" x14ac:dyDescent="0.3"/>
    <row r="545" s="1" customFormat="1" ht="14.25" customHeight="1" x14ac:dyDescent="0.3"/>
    <row r="546" s="1" customFormat="1" ht="14.25" customHeight="1" x14ac:dyDescent="0.3"/>
    <row r="547" s="1" customFormat="1" ht="14.25" customHeight="1" x14ac:dyDescent="0.3"/>
    <row r="548" s="1" customFormat="1" ht="14.25" customHeight="1" x14ac:dyDescent="0.3"/>
    <row r="549" s="1" customFormat="1" ht="14.25" customHeight="1" x14ac:dyDescent="0.3"/>
    <row r="550" s="1" customFormat="1" ht="14.25" customHeight="1" x14ac:dyDescent="0.3"/>
    <row r="551" s="1" customFormat="1" ht="14.25" customHeight="1" x14ac:dyDescent="0.3"/>
    <row r="552" s="1" customFormat="1" ht="14.25" customHeight="1" x14ac:dyDescent="0.3"/>
    <row r="553" s="1" customFormat="1" ht="14.25" customHeight="1" x14ac:dyDescent="0.3"/>
    <row r="554" s="1" customFormat="1" ht="14.25" customHeight="1" x14ac:dyDescent="0.3"/>
    <row r="555" s="1" customFormat="1" ht="14.25" customHeight="1" x14ac:dyDescent="0.3"/>
    <row r="556" s="1" customFormat="1" ht="14.25" customHeight="1" x14ac:dyDescent="0.3"/>
    <row r="557" s="1" customFormat="1" ht="14.25" customHeight="1" x14ac:dyDescent="0.3"/>
    <row r="558" s="1" customFormat="1" ht="14.25" customHeight="1" x14ac:dyDescent="0.3"/>
    <row r="559" s="1" customFormat="1" ht="14.25" customHeight="1" x14ac:dyDescent="0.3"/>
    <row r="560" s="1" customFormat="1" ht="14.25" customHeight="1" x14ac:dyDescent="0.3"/>
    <row r="561" s="1" customFormat="1" ht="14.25" customHeight="1" x14ac:dyDescent="0.3"/>
    <row r="562" s="1" customFormat="1" ht="14.25" customHeight="1" x14ac:dyDescent="0.3"/>
    <row r="563" s="1" customFormat="1" ht="14.25" customHeight="1" x14ac:dyDescent="0.3"/>
    <row r="564" s="1" customFormat="1" ht="14.25" customHeight="1" x14ac:dyDescent="0.3"/>
    <row r="565" s="1" customFormat="1" ht="14.25" customHeight="1" x14ac:dyDescent="0.3"/>
    <row r="566" s="1" customFormat="1" ht="14.25" customHeight="1" x14ac:dyDescent="0.3"/>
    <row r="567" s="1" customFormat="1" ht="14.25" customHeight="1" x14ac:dyDescent="0.3"/>
    <row r="568" s="1" customFormat="1" ht="14.25" customHeight="1" x14ac:dyDescent="0.3"/>
    <row r="569" s="1" customFormat="1" ht="14.25" customHeight="1" x14ac:dyDescent="0.3"/>
    <row r="570" s="1" customFormat="1" ht="14.25" customHeight="1" x14ac:dyDescent="0.3"/>
    <row r="571" s="1" customFormat="1" ht="14.25" customHeight="1" x14ac:dyDescent="0.3"/>
    <row r="572" s="1" customFormat="1" ht="14.25" customHeight="1" x14ac:dyDescent="0.3"/>
    <row r="573" s="1" customFormat="1" ht="14.25" customHeight="1" x14ac:dyDescent="0.3"/>
    <row r="574" s="1" customFormat="1" ht="14.25" customHeight="1" x14ac:dyDescent="0.3"/>
    <row r="575" s="1" customFormat="1" ht="14.25" customHeight="1" x14ac:dyDescent="0.3"/>
    <row r="576" s="1" customFormat="1" ht="14.25" customHeight="1" x14ac:dyDescent="0.3"/>
    <row r="577" s="1" customFormat="1" ht="14.25" customHeight="1" x14ac:dyDescent="0.3"/>
    <row r="578" s="1" customFormat="1" ht="14.25" customHeight="1" x14ac:dyDescent="0.3"/>
    <row r="579" s="1" customFormat="1" ht="14.25" customHeight="1" x14ac:dyDescent="0.3"/>
    <row r="580" s="1" customFormat="1" ht="14.25" customHeight="1" x14ac:dyDescent="0.3"/>
    <row r="581" s="1" customFormat="1" ht="14.25" customHeight="1" x14ac:dyDescent="0.3"/>
    <row r="582" s="1" customFormat="1" ht="14.25" customHeight="1" x14ac:dyDescent="0.3"/>
    <row r="583" s="1" customFormat="1" ht="14.25" customHeight="1" x14ac:dyDescent="0.3"/>
    <row r="584" s="1" customFormat="1" ht="14.25" customHeight="1" x14ac:dyDescent="0.3"/>
    <row r="585" s="1" customFormat="1" ht="14.25" customHeight="1" x14ac:dyDescent="0.3"/>
    <row r="586" s="1" customFormat="1" ht="14.25" customHeight="1" x14ac:dyDescent="0.3"/>
    <row r="587" s="1" customFormat="1" ht="14.25" customHeight="1" x14ac:dyDescent="0.3"/>
    <row r="588" s="1" customFormat="1" ht="14.25" customHeight="1" x14ac:dyDescent="0.3"/>
    <row r="589" s="1" customFormat="1" ht="14.25" customHeight="1" x14ac:dyDescent="0.3"/>
    <row r="590" s="1" customFormat="1" ht="14.25" customHeight="1" x14ac:dyDescent="0.3"/>
    <row r="591" s="1" customFormat="1" ht="14.25" customHeight="1" x14ac:dyDescent="0.3"/>
    <row r="592" s="1" customFormat="1" ht="14.25" customHeight="1" x14ac:dyDescent="0.3"/>
    <row r="593" s="1" customFormat="1" ht="14.25" customHeight="1" x14ac:dyDescent="0.3"/>
    <row r="594" s="1" customFormat="1" ht="14.25" customHeight="1" x14ac:dyDescent="0.3"/>
    <row r="595" s="1" customFormat="1" ht="14.25" customHeight="1" x14ac:dyDescent="0.3"/>
    <row r="596" s="1" customFormat="1" ht="14.25" customHeight="1" x14ac:dyDescent="0.3"/>
    <row r="597" s="1" customFormat="1" ht="14.25" customHeight="1" x14ac:dyDescent="0.3"/>
    <row r="598" s="1" customFormat="1" ht="14.25" customHeight="1" x14ac:dyDescent="0.3"/>
    <row r="599" s="1" customFormat="1" ht="14.25" customHeight="1" x14ac:dyDescent="0.3"/>
    <row r="600" s="1" customFormat="1" ht="14.25" customHeight="1" x14ac:dyDescent="0.3"/>
    <row r="601" s="1" customFormat="1" ht="14.25" customHeight="1" x14ac:dyDescent="0.3"/>
    <row r="602" s="1" customFormat="1" ht="14.25" customHeight="1" x14ac:dyDescent="0.3"/>
    <row r="603" s="1" customFormat="1" ht="14.25" customHeight="1" x14ac:dyDescent="0.3"/>
    <row r="604" s="1" customFormat="1" ht="14.25" customHeight="1" x14ac:dyDescent="0.3"/>
    <row r="605" s="1" customFormat="1" ht="14.25" customHeight="1" x14ac:dyDescent="0.3"/>
    <row r="606" s="1" customFormat="1" ht="14.25" customHeight="1" x14ac:dyDescent="0.3"/>
    <row r="607" s="1" customFormat="1" ht="14.25" customHeight="1" x14ac:dyDescent="0.3"/>
    <row r="608" s="1" customFormat="1" ht="14.25" customHeight="1" x14ac:dyDescent="0.3"/>
    <row r="609" s="1" customFormat="1" ht="14.25" customHeight="1" x14ac:dyDescent="0.3"/>
    <row r="610" s="1" customFormat="1" ht="14.25" customHeight="1" x14ac:dyDescent="0.3"/>
    <row r="611" s="1" customFormat="1" ht="14.25" customHeight="1" x14ac:dyDescent="0.3"/>
    <row r="612" s="1" customFormat="1" ht="14.25" customHeight="1" x14ac:dyDescent="0.3"/>
    <row r="613" s="1" customFormat="1" ht="14.25" customHeight="1" x14ac:dyDescent="0.3"/>
    <row r="614" s="1" customFormat="1" ht="14.25" customHeight="1" x14ac:dyDescent="0.3"/>
    <row r="615" s="1" customFormat="1" ht="14.25" customHeight="1" x14ac:dyDescent="0.3"/>
    <row r="616" s="1" customFormat="1" ht="14.25" customHeight="1" x14ac:dyDescent="0.3"/>
    <row r="617" s="1" customFormat="1" ht="14.25" customHeight="1" x14ac:dyDescent="0.3"/>
    <row r="618" s="1" customFormat="1" ht="14.25" customHeight="1" x14ac:dyDescent="0.3"/>
    <row r="619" s="1" customFormat="1" ht="14.25" customHeight="1" x14ac:dyDescent="0.3"/>
    <row r="620" s="1" customFormat="1" ht="14.25" customHeight="1" x14ac:dyDescent="0.3"/>
    <row r="621" s="1" customFormat="1" ht="14.25" customHeight="1" x14ac:dyDescent="0.3"/>
    <row r="622" s="1" customFormat="1" ht="14.25" customHeight="1" x14ac:dyDescent="0.3"/>
    <row r="623" s="1" customFormat="1" ht="14.25" customHeight="1" x14ac:dyDescent="0.3"/>
    <row r="624" s="1" customFormat="1" ht="14.25" customHeight="1" x14ac:dyDescent="0.3"/>
    <row r="625" s="1" customFormat="1" ht="14.25" customHeight="1" x14ac:dyDescent="0.3"/>
    <row r="626" s="1" customFormat="1" ht="14.25" customHeight="1" x14ac:dyDescent="0.3"/>
    <row r="627" s="1" customFormat="1" ht="14.25" customHeight="1" x14ac:dyDescent="0.3"/>
    <row r="628" s="1" customFormat="1" ht="14.25" customHeight="1" x14ac:dyDescent="0.3"/>
    <row r="629" s="1" customFormat="1" ht="14.25" customHeight="1" x14ac:dyDescent="0.3"/>
    <row r="630" s="1" customFormat="1" ht="14.25" customHeight="1" x14ac:dyDescent="0.3"/>
    <row r="631" s="1" customFormat="1" ht="14.25" customHeight="1" x14ac:dyDescent="0.3"/>
    <row r="632" s="1" customFormat="1" ht="14.25" customHeight="1" x14ac:dyDescent="0.3"/>
    <row r="633" s="1" customFormat="1" ht="14.25" customHeight="1" x14ac:dyDescent="0.3"/>
    <row r="634" s="1" customFormat="1" ht="14.25" customHeight="1" x14ac:dyDescent="0.3"/>
    <row r="635" s="1" customFormat="1" ht="14.25" customHeight="1" x14ac:dyDescent="0.3"/>
    <row r="636" s="1" customFormat="1" ht="14.25" customHeight="1" x14ac:dyDescent="0.3"/>
    <row r="637" s="1" customFormat="1" ht="14.25" customHeight="1" x14ac:dyDescent="0.3"/>
    <row r="638" s="1" customFormat="1" ht="14.25" customHeight="1" x14ac:dyDescent="0.3"/>
    <row r="639" s="1" customFormat="1" ht="14.25" customHeight="1" x14ac:dyDescent="0.3"/>
    <row r="640" s="1" customFormat="1" ht="14.25" customHeight="1" x14ac:dyDescent="0.3"/>
    <row r="641" s="1" customFormat="1" ht="14.25" customHeight="1" x14ac:dyDescent="0.3"/>
    <row r="642" s="1" customFormat="1" ht="14.25" customHeight="1" x14ac:dyDescent="0.3"/>
    <row r="643" s="1" customFormat="1" ht="14.25" customHeight="1" x14ac:dyDescent="0.3"/>
    <row r="644" s="1" customFormat="1" ht="14.25" customHeight="1" x14ac:dyDescent="0.3"/>
    <row r="645" s="1" customFormat="1" ht="14.25" customHeight="1" x14ac:dyDescent="0.3"/>
    <row r="646" s="1" customFormat="1" ht="14.25" customHeight="1" x14ac:dyDescent="0.3"/>
    <row r="647" s="1" customFormat="1" ht="14.25" customHeight="1" x14ac:dyDescent="0.3"/>
    <row r="648" s="1" customFormat="1" ht="14.25" customHeight="1" x14ac:dyDescent="0.3"/>
    <row r="649" s="1" customFormat="1" ht="14.25" customHeight="1" x14ac:dyDescent="0.3"/>
    <row r="650" s="1" customFormat="1" ht="14.25" customHeight="1" x14ac:dyDescent="0.3"/>
    <row r="651" s="1" customFormat="1" ht="14.25" customHeight="1" x14ac:dyDescent="0.3"/>
    <row r="652" s="1" customFormat="1" ht="14.25" customHeight="1" x14ac:dyDescent="0.3"/>
    <row r="653" s="1" customFormat="1" ht="14.25" customHeight="1" x14ac:dyDescent="0.3"/>
    <row r="654" s="1" customFormat="1" ht="14.25" customHeight="1" x14ac:dyDescent="0.3"/>
    <row r="655" s="1" customFormat="1" ht="14.25" customHeight="1" x14ac:dyDescent="0.3"/>
    <row r="656" s="1" customFormat="1" ht="14.25" customHeight="1" x14ac:dyDescent="0.3"/>
    <row r="657" s="1" customFormat="1" ht="14.25" customHeight="1" x14ac:dyDescent="0.3"/>
    <row r="658" s="1" customFormat="1" ht="14.25" customHeight="1" x14ac:dyDescent="0.3"/>
    <row r="659" s="1" customFormat="1" ht="14.25" customHeight="1" x14ac:dyDescent="0.3"/>
    <row r="660" s="1" customFormat="1" ht="14.25" customHeight="1" x14ac:dyDescent="0.3"/>
    <row r="661" s="1" customFormat="1" ht="14.25" customHeight="1" x14ac:dyDescent="0.3"/>
    <row r="662" s="1" customFormat="1" ht="14.25" customHeight="1" x14ac:dyDescent="0.3"/>
    <row r="663" s="1" customFormat="1" ht="14.25" customHeight="1" x14ac:dyDescent="0.3"/>
    <row r="664" s="1" customFormat="1" ht="14.25" customHeight="1" x14ac:dyDescent="0.3"/>
    <row r="665" s="1" customFormat="1" ht="14.25" customHeight="1" x14ac:dyDescent="0.3"/>
    <row r="666" s="1" customFormat="1" ht="14.25" customHeight="1" x14ac:dyDescent="0.3"/>
    <row r="667" s="1" customFormat="1" ht="14.25" customHeight="1" x14ac:dyDescent="0.3"/>
    <row r="668" s="1" customFormat="1" ht="14.25" customHeight="1" x14ac:dyDescent="0.3"/>
    <row r="669" s="1" customFormat="1" ht="14.25" customHeight="1" x14ac:dyDescent="0.3"/>
    <row r="670" s="1" customFormat="1" ht="14.25" customHeight="1" x14ac:dyDescent="0.3"/>
    <row r="671" s="1" customFormat="1" ht="14.25" customHeight="1" x14ac:dyDescent="0.3"/>
    <row r="672" s="1" customFormat="1" ht="14.25" customHeight="1" x14ac:dyDescent="0.3"/>
    <row r="673" s="1" customFormat="1" ht="14.25" customHeight="1" x14ac:dyDescent="0.3"/>
    <row r="674" s="1" customFormat="1" ht="14.25" customHeight="1" x14ac:dyDescent="0.3"/>
    <row r="675" s="1" customFormat="1" ht="14.25" customHeight="1" x14ac:dyDescent="0.3"/>
    <row r="676" s="1" customFormat="1" ht="14.25" customHeight="1" x14ac:dyDescent="0.3"/>
    <row r="677" s="1" customFormat="1" ht="14.25" customHeight="1" x14ac:dyDescent="0.3"/>
    <row r="678" s="1" customFormat="1" ht="14.25" customHeight="1" x14ac:dyDescent="0.3"/>
    <row r="679" s="1" customFormat="1" ht="14.25" customHeight="1" x14ac:dyDescent="0.3"/>
    <row r="680" s="1" customFormat="1" ht="14.25" customHeight="1" x14ac:dyDescent="0.3"/>
    <row r="681" s="1" customFormat="1" ht="14.25" customHeight="1" x14ac:dyDescent="0.3"/>
    <row r="682" s="1" customFormat="1" ht="14.25" customHeight="1" x14ac:dyDescent="0.3"/>
    <row r="683" s="1" customFormat="1" ht="14.25" customHeight="1" x14ac:dyDescent="0.3"/>
    <row r="684" s="1" customFormat="1" ht="14.25" customHeight="1" x14ac:dyDescent="0.3"/>
    <row r="685" s="1" customFormat="1" ht="14.25" customHeight="1" x14ac:dyDescent="0.3"/>
    <row r="686" s="1" customFormat="1" ht="14.25" customHeight="1" x14ac:dyDescent="0.3"/>
    <row r="687" s="1" customFormat="1" ht="14.25" customHeight="1" x14ac:dyDescent="0.3"/>
    <row r="688" s="1" customFormat="1" ht="14.25" customHeight="1" x14ac:dyDescent="0.3"/>
    <row r="689" s="1" customFormat="1" ht="14.25" customHeight="1" x14ac:dyDescent="0.3"/>
    <row r="690" s="1" customFormat="1" ht="14.25" customHeight="1" x14ac:dyDescent="0.3"/>
    <row r="691" s="1" customFormat="1" ht="14.25" customHeight="1" x14ac:dyDescent="0.3"/>
    <row r="692" s="1" customFormat="1" ht="14.25" customHeight="1" x14ac:dyDescent="0.3"/>
    <row r="693" s="1" customFormat="1" ht="14.25" customHeight="1" x14ac:dyDescent="0.3"/>
    <row r="694" s="1" customFormat="1" ht="14.25" customHeight="1" x14ac:dyDescent="0.3"/>
    <row r="695" s="1" customFormat="1" ht="14.25" customHeight="1" x14ac:dyDescent="0.3"/>
    <row r="696" s="1" customFormat="1" ht="14.25" customHeight="1" x14ac:dyDescent="0.3"/>
    <row r="697" s="1" customFormat="1" ht="14.25" customHeight="1" x14ac:dyDescent="0.3"/>
    <row r="698" s="1" customFormat="1" ht="14.25" customHeight="1" x14ac:dyDescent="0.3"/>
    <row r="699" s="1" customFormat="1" ht="14.25" customHeight="1" x14ac:dyDescent="0.3"/>
    <row r="700" s="1" customFormat="1" ht="14.25" customHeight="1" x14ac:dyDescent="0.3"/>
    <row r="701" s="1" customFormat="1" ht="14.25" customHeight="1" x14ac:dyDescent="0.3"/>
    <row r="702" s="1" customFormat="1" ht="14.25" customHeight="1" x14ac:dyDescent="0.3"/>
    <row r="703" s="1" customFormat="1" ht="14.25" customHeight="1" x14ac:dyDescent="0.3"/>
    <row r="704" s="1" customFormat="1" ht="14.25" customHeight="1" x14ac:dyDescent="0.3"/>
    <row r="705" s="1" customFormat="1" ht="14.25" customHeight="1" x14ac:dyDescent="0.3"/>
    <row r="706" s="1" customFormat="1" ht="14.25" customHeight="1" x14ac:dyDescent="0.3"/>
    <row r="707" s="1" customFormat="1" ht="14.25" customHeight="1" x14ac:dyDescent="0.3"/>
    <row r="708" s="1" customFormat="1" ht="14.25" customHeight="1" x14ac:dyDescent="0.3"/>
    <row r="709" s="1" customFormat="1" ht="14.25" customHeight="1" x14ac:dyDescent="0.3"/>
    <row r="710" s="1" customFormat="1" ht="14.25" customHeight="1" x14ac:dyDescent="0.3"/>
    <row r="711" s="1" customFormat="1" ht="14.25" customHeight="1" x14ac:dyDescent="0.3"/>
    <row r="712" s="1" customFormat="1" ht="14.25" customHeight="1" x14ac:dyDescent="0.3"/>
    <row r="713" s="1" customFormat="1" ht="14.25" customHeight="1" x14ac:dyDescent="0.3"/>
    <row r="714" s="1" customFormat="1" ht="14.25" customHeight="1" x14ac:dyDescent="0.3"/>
    <row r="715" s="1" customFormat="1" ht="14.25" customHeight="1" x14ac:dyDescent="0.3"/>
    <row r="716" s="1" customFormat="1" ht="14.25" customHeight="1" x14ac:dyDescent="0.3"/>
    <row r="717" s="1" customFormat="1" ht="14.25" customHeight="1" x14ac:dyDescent="0.3"/>
    <row r="718" s="1" customFormat="1" ht="14.25" customHeight="1" x14ac:dyDescent="0.3"/>
    <row r="719" s="1" customFormat="1" ht="14.25" customHeight="1" x14ac:dyDescent="0.3"/>
    <row r="720" s="1" customFormat="1" ht="14.25" customHeight="1" x14ac:dyDescent="0.3"/>
    <row r="721" s="1" customFormat="1" ht="14.25" customHeight="1" x14ac:dyDescent="0.3"/>
    <row r="722" s="1" customFormat="1" ht="14.25" customHeight="1" x14ac:dyDescent="0.3"/>
    <row r="723" s="1" customFormat="1" ht="14.25" customHeight="1" x14ac:dyDescent="0.3"/>
    <row r="724" s="1" customFormat="1" ht="14.25" customHeight="1" x14ac:dyDescent="0.3"/>
    <row r="725" s="1" customFormat="1" ht="14.25" customHeight="1" x14ac:dyDescent="0.3"/>
    <row r="726" s="1" customFormat="1" ht="14.25" customHeight="1" x14ac:dyDescent="0.3"/>
    <row r="727" s="1" customFormat="1" ht="14.25" customHeight="1" x14ac:dyDescent="0.3"/>
    <row r="728" s="1" customFormat="1" ht="14.25" customHeight="1" x14ac:dyDescent="0.3"/>
    <row r="729" s="1" customFormat="1" ht="14.25" customHeight="1" x14ac:dyDescent="0.3"/>
    <row r="730" s="1" customFormat="1" ht="14.25" customHeight="1" x14ac:dyDescent="0.3"/>
    <row r="731" s="1" customFormat="1" ht="14.25" customHeight="1" x14ac:dyDescent="0.3"/>
    <row r="732" s="1" customFormat="1" ht="14.25" customHeight="1" x14ac:dyDescent="0.3"/>
    <row r="733" s="1" customFormat="1" ht="14.25" customHeight="1" x14ac:dyDescent="0.3"/>
    <row r="734" s="1" customFormat="1" ht="14.25" customHeight="1" x14ac:dyDescent="0.3"/>
    <row r="735" s="1" customFormat="1" ht="14.25" customHeight="1" x14ac:dyDescent="0.3"/>
    <row r="736" s="1" customFormat="1" ht="14.25" customHeight="1" x14ac:dyDescent="0.3"/>
    <row r="737" s="1" customFormat="1" ht="14.25" customHeight="1" x14ac:dyDescent="0.3"/>
    <row r="738" s="1" customFormat="1" ht="14.25" customHeight="1" x14ac:dyDescent="0.3"/>
    <row r="739" s="1" customFormat="1" ht="14.25" customHeight="1" x14ac:dyDescent="0.3"/>
    <row r="740" s="1" customFormat="1" ht="14.25" customHeight="1" x14ac:dyDescent="0.3"/>
    <row r="741" s="1" customFormat="1" ht="14.25" customHeight="1" x14ac:dyDescent="0.3"/>
    <row r="742" s="1" customFormat="1" ht="14.25" customHeight="1" x14ac:dyDescent="0.3"/>
    <row r="743" s="1" customFormat="1" ht="14.25" customHeight="1" x14ac:dyDescent="0.3"/>
    <row r="744" s="1" customFormat="1" ht="14.25" customHeight="1" x14ac:dyDescent="0.3"/>
    <row r="745" s="1" customFormat="1" ht="14.25" customHeight="1" x14ac:dyDescent="0.3"/>
    <row r="746" s="1" customFormat="1" ht="14.25" customHeight="1" x14ac:dyDescent="0.3"/>
    <row r="747" s="1" customFormat="1" ht="14.25" customHeight="1" x14ac:dyDescent="0.3"/>
    <row r="748" s="1" customFormat="1" ht="14.25" customHeight="1" x14ac:dyDescent="0.3"/>
    <row r="749" s="1" customFormat="1" ht="14.25" customHeight="1" x14ac:dyDescent="0.3"/>
    <row r="750" s="1" customFormat="1" ht="14.25" customHeight="1" x14ac:dyDescent="0.3"/>
    <row r="751" s="1" customFormat="1" ht="14.25" customHeight="1" x14ac:dyDescent="0.3"/>
    <row r="752" s="1" customFormat="1" ht="14.25" customHeight="1" x14ac:dyDescent="0.3"/>
    <row r="753" s="1" customFormat="1" ht="14.25" customHeight="1" x14ac:dyDescent="0.3"/>
    <row r="754" s="1" customFormat="1" ht="14.25" customHeight="1" x14ac:dyDescent="0.3"/>
    <row r="755" s="1" customFormat="1" ht="14.25" customHeight="1" x14ac:dyDescent="0.3"/>
    <row r="756" s="1" customFormat="1" ht="14.25" customHeight="1" x14ac:dyDescent="0.3"/>
    <row r="757" s="1" customFormat="1" ht="14.25" customHeight="1" x14ac:dyDescent="0.3"/>
    <row r="758" s="1" customFormat="1" ht="14.25" customHeight="1" x14ac:dyDescent="0.3"/>
    <row r="759" s="1" customFormat="1" ht="14.25" customHeight="1" x14ac:dyDescent="0.3"/>
    <row r="760" s="1" customFormat="1" ht="14.25" customHeight="1" x14ac:dyDescent="0.3"/>
    <row r="761" s="1" customFormat="1" ht="14.25" customHeight="1" x14ac:dyDescent="0.3"/>
    <row r="762" s="1" customFormat="1" ht="14.25" customHeight="1" x14ac:dyDescent="0.3"/>
    <row r="763" s="1" customFormat="1" ht="14.25" customHeight="1" x14ac:dyDescent="0.3"/>
    <row r="764" s="1" customFormat="1" ht="14.25" customHeight="1" x14ac:dyDescent="0.3"/>
    <row r="765" s="1" customFormat="1" ht="14.25" customHeight="1" x14ac:dyDescent="0.3"/>
    <row r="766" s="1" customFormat="1" ht="14.25" customHeight="1" x14ac:dyDescent="0.3"/>
    <row r="767" s="1" customFormat="1" ht="14.25" customHeight="1" x14ac:dyDescent="0.3"/>
    <row r="768" s="1" customFormat="1" ht="14.25" customHeight="1" x14ac:dyDescent="0.3"/>
    <row r="769" s="1" customFormat="1" ht="14.25" customHeight="1" x14ac:dyDescent="0.3"/>
    <row r="770" s="1" customFormat="1" ht="14.25" customHeight="1" x14ac:dyDescent="0.3"/>
    <row r="771" s="1" customFormat="1" ht="14.25" customHeight="1" x14ac:dyDescent="0.3"/>
    <row r="772" s="1" customFormat="1" ht="14.25" customHeight="1" x14ac:dyDescent="0.3"/>
    <row r="773" s="1" customFormat="1" ht="14.25" customHeight="1" x14ac:dyDescent="0.3"/>
    <row r="774" s="1" customFormat="1" ht="14.25" customHeight="1" x14ac:dyDescent="0.3"/>
    <row r="775" s="1" customFormat="1" ht="14.25" customHeight="1" x14ac:dyDescent="0.3"/>
    <row r="776" s="1" customFormat="1" ht="14.25" customHeight="1" x14ac:dyDescent="0.3"/>
    <row r="777" s="1" customFormat="1" ht="14.25" customHeight="1" x14ac:dyDescent="0.3"/>
    <row r="778" s="1" customFormat="1" ht="14.25" customHeight="1" x14ac:dyDescent="0.3"/>
    <row r="779" s="1" customFormat="1" ht="14.25" customHeight="1" x14ac:dyDescent="0.3"/>
    <row r="780" s="1" customFormat="1" ht="14.25" customHeight="1" x14ac:dyDescent="0.3"/>
    <row r="781" s="1" customFormat="1" ht="14.25" customHeight="1" x14ac:dyDescent="0.3"/>
    <row r="782" s="1" customFormat="1" ht="14.25" customHeight="1" x14ac:dyDescent="0.3"/>
    <row r="783" s="1" customFormat="1" ht="14.25" customHeight="1" x14ac:dyDescent="0.3"/>
    <row r="784" s="1" customFormat="1" ht="14.25" customHeight="1" x14ac:dyDescent="0.3"/>
    <row r="785" s="1" customFormat="1" ht="14.25" customHeight="1" x14ac:dyDescent="0.3"/>
    <row r="786" s="1" customFormat="1" ht="14.25" customHeight="1" x14ac:dyDescent="0.3"/>
    <row r="787" s="1" customFormat="1" ht="14.25" customHeight="1" x14ac:dyDescent="0.3"/>
    <row r="788" s="1" customFormat="1" ht="14.25" customHeight="1" x14ac:dyDescent="0.3"/>
    <row r="789" s="1" customFormat="1" ht="14.25" customHeight="1" x14ac:dyDescent="0.3"/>
    <row r="790" s="1" customFormat="1" ht="14.25" customHeight="1" x14ac:dyDescent="0.3"/>
    <row r="791" s="1" customFormat="1" ht="14.25" customHeight="1" x14ac:dyDescent="0.3"/>
    <row r="792" s="1" customFormat="1" ht="14.25" customHeight="1" x14ac:dyDescent="0.3"/>
    <row r="793" s="1" customFormat="1" ht="14.25" customHeight="1" x14ac:dyDescent="0.3"/>
    <row r="794" s="1" customFormat="1" ht="14.25" customHeight="1" x14ac:dyDescent="0.3"/>
    <row r="795" s="1" customFormat="1" ht="14.25" customHeight="1" x14ac:dyDescent="0.3"/>
    <row r="796" s="1" customFormat="1" ht="14.25" customHeight="1" x14ac:dyDescent="0.3"/>
    <row r="797" s="1" customFormat="1" ht="14.25" customHeight="1" x14ac:dyDescent="0.3"/>
    <row r="798" s="1" customFormat="1" ht="14.25" customHeight="1" x14ac:dyDescent="0.3"/>
    <row r="799" s="1" customFormat="1" ht="14.25" customHeight="1" x14ac:dyDescent="0.3"/>
    <row r="800" s="1" customFormat="1" ht="14.25" customHeight="1" x14ac:dyDescent="0.3"/>
    <row r="801" s="1" customFormat="1" ht="14.25" customHeight="1" x14ac:dyDescent="0.3"/>
    <row r="802" s="1" customFormat="1" ht="14.25" customHeight="1" x14ac:dyDescent="0.3"/>
    <row r="803" s="1" customFormat="1" ht="14.25" customHeight="1" x14ac:dyDescent="0.3"/>
    <row r="804" s="1" customFormat="1" ht="14.25" customHeight="1" x14ac:dyDescent="0.3"/>
    <row r="805" s="1" customFormat="1" ht="14.25" customHeight="1" x14ac:dyDescent="0.3"/>
    <row r="806" s="1" customFormat="1" ht="14.25" customHeight="1" x14ac:dyDescent="0.3"/>
    <row r="807" s="1" customFormat="1" ht="14.25" customHeight="1" x14ac:dyDescent="0.3"/>
    <row r="808" s="1" customFormat="1" ht="14.25" customHeight="1" x14ac:dyDescent="0.3"/>
    <row r="809" s="1" customFormat="1" ht="14.25" customHeight="1" x14ac:dyDescent="0.3"/>
    <row r="810" s="1" customFormat="1" ht="14.25" customHeight="1" x14ac:dyDescent="0.3"/>
    <row r="811" s="1" customFormat="1" ht="14.25" customHeight="1" x14ac:dyDescent="0.3"/>
    <row r="812" s="1" customFormat="1" ht="14.25" customHeight="1" x14ac:dyDescent="0.3"/>
    <row r="813" s="1" customFormat="1" ht="14.25" customHeight="1" x14ac:dyDescent="0.3"/>
    <row r="814" s="1" customFormat="1" ht="14.25" customHeight="1" x14ac:dyDescent="0.3"/>
    <row r="815" s="1" customFormat="1" ht="14.25" customHeight="1" x14ac:dyDescent="0.3"/>
    <row r="816" s="1" customFormat="1" ht="14.25" customHeight="1" x14ac:dyDescent="0.3"/>
    <row r="817" s="1" customFormat="1" ht="14.25" customHeight="1" x14ac:dyDescent="0.3"/>
    <row r="818" s="1" customFormat="1" ht="14.25" customHeight="1" x14ac:dyDescent="0.3"/>
    <row r="819" s="1" customFormat="1" ht="14.25" customHeight="1" x14ac:dyDescent="0.3"/>
    <row r="820" s="1" customFormat="1" ht="14.25" customHeight="1" x14ac:dyDescent="0.3"/>
    <row r="821" s="1" customFormat="1" ht="14.25" customHeight="1" x14ac:dyDescent="0.3"/>
    <row r="822" s="1" customFormat="1" ht="14.25" customHeight="1" x14ac:dyDescent="0.3"/>
    <row r="823" s="1" customFormat="1" ht="14.25" customHeight="1" x14ac:dyDescent="0.3"/>
    <row r="824" s="1" customFormat="1" ht="14.25" customHeight="1" x14ac:dyDescent="0.3"/>
    <row r="825" s="1" customFormat="1" ht="14.25" customHeight="1" x14ac:dyDescent="0.3"/>
    <row r="826" s="1" customFormat="1" ht="14.25" customHeight="1" x14ac:dyDescent="0.3"/>
    <row r="827" s="1" customFormat="1" ht="14.25" customHeight="1" x14ac:dyDescent="0.3"/>
    <row r="828" s="1" customFormat="1" ht="14.25" customHeight="1" x14ac:dyDescent="0.3"/>
    <row r="829" s="1" customFormat="1" ht="14.25" customHeight="1" x14ac:dyDescent="0.3"/>
    <row r="830" s="1" customFormat="1" ht="14.25" customHeight="1" x14ac:dyDescent="0.3"/>
    <row r="831" s="1" customFormat="1" ht="14.25" customHeight="1" x14ac:dyDescent="0.3"/>
    <row r="832" s="1" customFormat="1" ht="14.25" customHeight="1" x14ac:dyDescent="0.3"/>
    <row r="833" s="1" customFormat="1" ht="14.25" customHeight="1" x14ac:dyDescent="0.3"/>
    <row r="834" s="1" customFormat="1" ht="14.25" customHeight="1" x14ac:dyDescent="0.3"/>
    <row r="835" s="1" customFormat="1" ht="14.25" customHeight="1" x14ac:dyDescent="0.3"/>
    <row r="836" s="1" customFormat="1" ht="14.25" customHeight="1" x14ac:dyDescent="0.3"/>
    <row r="837" s="1" customFormat="1" ht="14.25" customHeight="1" x14ac:dyDescent="0.3"/>
    <row r="838" s="1" customFormat="1" ht="14.25" customHeight="1" x14ac:dyDescent="0.3"/>
    <row r="839" s="1" customFormat="1" ht="14.25" customHeight="1" x14ac:dyDescent="0.3"/>
    <row r="840" s="1" customFormat="1" ht="14.25" customHeight="1" x14ac:dyDescent="0.3"/>
    <row r="841" s="1" customFormat="1" ht="14.25" customHeight="1" x14ac:dyDescent="0.3"/>
    <row r="842" s="1" customFormat="1" ht="14.25" customHeight="1" x14ac:dyDescent="0.3"/>
    <row r="843" s="1" customFormat="1" ht="14.25" customHeight="1" x14ac:dyDescent="0.3"/>
    <row r="844" s="1" customFormat="1" ht="14.25" customHeight="1" x14ac:dyDescent="0.3"/>
    <row r="845" s="1" customFormat="1" ht="14.25" customHeight="1" x14ac:dyDescent="0.3"/>
    <row r="846" s="1" customFormat="1" ht="14.25" customHeight="1" x14ac:dyDescent="0.3"/>
    <row r="847" s="1" customFormat="1" ht="14.25" customHeight="1" x14ac:dyDescent="0.3"/>
    <row r="848" s="1" customFormat="1" ht="14.25" customHeight="1" x14ac:dyDescent="0.3"/>
    <row r="849" s="1" customFormat="1" ht="14.25" customHeight="1" x14ac:dyDescent="0.3"/>
    <row r="850" s="1" customFormat="1" ht="14.25" customHeight="1" x14ac:dyDescent="0.3"/>
    <row r="851" s="1" customFormat="1" ht="14.25" customHeight="1" x14ac:dyDescent="0.3"/>
    <row r="852" s="1" customFormat="1" ht="14.25" customHeight="1" x14ac:dyDescent="0.3"/>
    <row r="853" s="1" customFormat="1" ht="14.25" customHeight="1" x14ac:dyDescent="0.3"/>
    <row r="854" s="1" customFormat="1" ht="14.25" customHeight="1" x14ac:dyDescent="0.3"/>
    <row r="855" s="1" customFormat="1" ht="14.25" customHeight="1" x14ac:dyDescent="0.3"/>
    <row r="856" s="1" customFormat="1" ht="14.25" customHeight="1" x14ac:dyDescent="0.3"/>
    <row r="857" s="1" customFormat="1" ht="14.25" customHeight="1" x14ac:dyDescent="0.3"/>
    <row r="858" s="1" customFormat="1" ht="14.25" customHeight="1" x14ac:dyDescent="0.3"/>
    <row r="859" s="1" customFormat="1" ht="14.25" customHeight="1" x14ac:dyDescent="0.3"/>
    <row r="860" s="1" customFormat="1" ht="14.25" customHeight="1" x14ac:dyDescent="0.3"/>
    <row r="861" s="1" customFormat="1" ht="14.25" customHeight="1" x14ac:dyDescent="0.3"/>
    <row r="862" s="1" customFormat="1" ht="14.25" customHeight="1" x14ac:dyDescent="0.3"/>
    <row r="863" s="1" customFormat="1" ht="14.25" customHeight="1" x14ac:dyDescent="0.3"/>
    <row r="864" s="1" customFormat="1" ht="14.25" customHeight="1" x14ac:dyDescent="0.3"/>
    <row r="865" s="1" customFormat="1" ht="14.25" customHeight="1" x14ac:dyDescent="0.3"/>
    <row r="866" s="1" customFormat="1" ht="14.25" customHeight="1" x14ac:dyDescent="0.3"/>
    <row r="867" s="1" customFormat="1" ht="14.25" customHeight="1" x14ac:dyDescent="0.3"/>
    <row r="868" s="1" customFormat="1" ht="14.25" customHeight="1" x14ac:dyDescent="0.3"/>
    <row r="869" s="1" customFormat="1" ht="14.25" customHeight="1" x14ac:dyDescent="0.3"/>
    <row r="870" s="1" customFormat="1" ht="14.25" customHeight="1" x14ac:dyDescent="0.3"/>
    <row r="871" s="1" customFormat="1" ht="14.25" customHeight="1" x14ac:dyDescent="0.3"/>
    <row r="872" s="1" customFormat="1" ht="14.25" customHeight="1" x14ac:dyDescent="0.3"/>
    <row r="873" s="1" customFormat="1" ht="14.25" customHeight="1" x14ac:dyDescent="0.3"/>
    <row r="874" s="1" customFormat="1" ht="14.25" customHeight="1" x14ac:dyDescent="0.3"/>
    <row r="875" s="1" customFormat="1" ht="14.25" customHeight="1" x14ac:dyDescent="0.3"/>
    <row r="876" s="1" customFormat="1" ht="14.25" customHeight="1" x14ac:dyDescent="0.3"/>
    <row r="877" s="1" customFormat="1" ht="14.25" customHeight="1" x14ac:dyDescent="0.3"/>
    <row r="878" s="1" customFormat="1" ht="14.25" customHeight="1" x14ac:dyDescent="0.3"/>
    <row r="879" s="1" customFormat="1" ht="14.25" customHeight="1" x14ac:dyDescent="0.3"/>
    <row r="880" s="1" customFormat="1" ht="14.25" customHeight="1" x14ac:dyDescent="0.3"/>
    <row r="881" s="1" customFormat="1" ht="14.25" customHeight="1" x14ac:dyDescent="0.3"/>
    <row r="882" s="1" customFormat="1" ht="14.25" customHeight="1" x14ac:dyDescent="0.3"/>
    <row r="883" s="1" customFormat="1" ht="14.25" customHeight="1" x14ac:dyDescent="0.3"/>
    <row r="884" s="1" customFormat="1" ht="14.25" customHeight="1" x14ac:dyDescent="0.3"/>
    <row r="885" s="1" customFormat="1" ht="14.25" customHeight="1" x14ac:dyDescent="0.3"/>
    <row r="886" s="1" customFormat="1" ht="14.25" customHeight="1" x14ac:dyDescent="0.3"/>
    <row r="887" s="1" customFormat="1" ht="14.25" customHeight="1" x14ac:dyDescent="0.3"/>
    <row r="888" s="1" customFormat="1" ht="14.25" customHeight="1" x14ac:dyDescent="0.3"/>
    <row r="889" s="1" customFormat="1" ht="14.25" customHeight="1" x14ac:dyDescent="0.3"/>
    <row r="890" s="1" customFormat="1" ht="14.25" customHeight="1" x14ac:dyDescent="0.3"/>
    <row r="891" s="1" customFormat="1" ht="14.25" customHeight="1" x14ac:dyDescent="0.3"/>
    <row r="892" s="1" customFormat="1" ht="14.25" customHeight="1" x14ac:dyDescent="0.3"/>
    <row r="893" s="1" customFormat="1" ht="14.25" customHeight="1" x14ac:dyDescent="0.3"/>
    <row r="894" s="1" customFormat="1" ht="14.25" customHeight="1" x14ac:dyDescent="0.3"/>
    <row r="895" s="1" customFormat="1" ht="14.25" customHeight="1" x14ac:dyDescent="0.3"/>
    <row r="896" s="1" customFormat="1" ht="14.25" customHeight="1" x14ac:dyDescent="0.3"/>
    <row r="897" s="1" customFormat="1" ht="14.25" customHeight="1" x14ac:dyDescent="0.3"/>
    <row r="898" s="1" customFormat="1" ht="14.25" customHeight="1" x14ac:dyDescent="0.3"/>
    <row r="899" s="1" customFormat="1" ht="14.25" customHeight="1" x14ac:dyDescent="0.3"/>
    <row r="900" s="1" customFormat="1" ht="14.25" customHeight="1" x14ac:dyDescent="0.3"/>
    <row r="901" s="1" customFormat="1" ht="14.25" customHeight="1" x14ac:dyDescent="0.3"/>
    <row r="902" s="1" customFormat="1" ht="14.25" customHeight="1" x14ac:dyDescent="0.3"/>
    <row r="903" s="1" customFormat="1" ht="14.25" customHeight="1" x14ac:dyDescent="0.3"/>
    <row r="904" s="1" customFormat="1" ht="14.25" customHeight="1" x14ac:dyDescent="0.3"/>
    <row r="905" s="1" customFormat="1" ht="14.25" customHeight="1" x14ac:dyDescent="0.3"/>
    <row r="906" s="1" customFormat="1" ht="14.25" customHeight="1" x14ac:dyDescent="0.3"/>
    <row r="907" s="1" customFormat="1" ht="14.25" customHeight="1" x14ac:dyDescent="0.3"/>
    <row r="908" s="1" customFormat="1" ht="14.25" customHeight="1" x14ac:dyDescent="0.3"/>
    <row r="909" s="1" customFormat="1" ht="14.25" customHeight="1" x14ac:dyDescent="0.3"/>
    <row r="910" s="1" customFormat="1" ht="14.25" customHeight="1" x14ac:dyDescent="0.3"/>
    <row r="911" s="1" customFormat="1" ht="14.25" customHeight="1" x14ac:dyDescent="0.3"/>
    <row r="912" s="1" customFormat="1" ht="14.25" customHeight="1" x14ac:dyDescent="0.3"/>
    <row r="913" s="1" customFormat="1" ht="14.25" customHeight="1" x14ac:dyDescent="0.3"/>
    <row r="914" s="1" customFormat="1" ht="14.25" customHeight="1" x14ac:dyDescent="0.3"/>
    <row r="915" s="1" customFormat="1" ht="14.25" customHeight="1" x14ac:dyDescent="0.3"/>
    <row r="916" s="1" customFormat="1" ht="14.25" customHeight="1" x14ac:dyDescent="0.3"/>
    <row r="917" s="1" customFormat="1" ht="14.25" customHeight="1" x14ac:dyDescent="0.3"/>
    <row r="918" s="1" customFormat="1" ht="14.25" customHeight="1" x14ac:dyDescent="0.3"/>
    <row r="919" s="1" customFormat="1" ht="14.25" customHeight="1" x14ac:dyDescent="0.3"/>
    <row r="920" s="1" customFormat="1" ht="14.25" customHeight="1" x14ac:dyDescent="0.3"/>
    <row r="921" s="1" customFormat="1" ht="14.25" customHeight="1" x14ac:dyDescent="0.3"/>
    <row r="922" s="1" customFormat="1" ht="14.25" customHeight="1" x14ac:dyDescent="0.3"/>
    <row r="923" s="1" customFormat="1" ht="14.25" customHeight="1" x14ac:dyDescent="0.3"/>
    <row r="924" s="1" customFormat="1" ht="14.25" customHeight="1" x14ac:dyDescent="0.3"/>
    <row r="925" s="1" customFormat="1" ht="14.25" customHeight="1" x14ac:dyDescent="0.3"/>
    <row r="926" s="1" customFormat="1" ht="14.25" customHeight="1" x14ac:dyDescent="0.3"/>
    <row r="927" s="1" customFormat="1" ht="14.25" customHeight="1" x14ac:dyDescent="0.3"/>
    <row r="928" s="1" customFormat="1" ht="14.25" customHeight="1" x14ac:dyDescent="0.3"/>
    <row r="929" s="1" customFormat="1" ht="14.25" customHeight="1" x14ac:dyDescent="0.3"/>
    <row r="930" s="1" customFormat="1" ht="14.25" customHeight="1" x14ac:dyDescent="0.3"/>
    <row r="931" s="1" customFormat="1" ht="14.25" customHeight="1" x14ac:dyDescent="0.3"/>
    <row r="932" s="1" customFormat="1" ht="14.25" customHeight="1" x14ac:dyDescent="0.3"/>
    <row r="933" s="1" customFormat="1" ht="14.25" customHeight="1" x14ac:dyDescent="0.3"/>
    <row r="934" s="1" customFormat="1" ht="14.25" customHeight="1" x14ac:dyDescent="0.3"/>
    <row r="935" s="1" customFormat="1" ht="14.25" customHeight="1" x14ac:dyDescent="0.3"/>
    <row r="936" s="1" customFormat="1" ht="14.25" customHeight="1" x14ac:dyDescent="0.3"/>
    <row r="937" s="1" customFormat="1" ht="14.25" customHeight="1" x14ac:dyDescent="0.3"/>
    <row r="938" s="1" customFormat="1" ht="14.25" customHeight="1" x14ac:dyDescent="0.3"/>
    <row r="939" s="1" customFormat="1" ht="14.25" customHeight="1" x14ac:dyDescent="0.3"/>
    <row r="940" s="1" customFormat="1" ht="14.25" customHeight="1" x14ac:dyDescent="0.3"/>
    <row r="941" s="1" customFormat="1" ht="14.25" customHeight="1" x14ac:dyDescent="0.3"/>
    <row r="942" s="1" customFormat="1" ht="14.25" customHeight="1" x14ac:dyDescent="0.3"/>
    <row r="943" s="1" customFormat="1" ht="14.25" customHeight="1" x14ac:dyDescent="0.3"/>
    <row r="944" s="1" customFormat="1" ht="14.25" customHeight="1" x14ac:dyDescent="0.3"/>
    <row r="945" s="1" customFormat="1" ht="14.25" customHeight="1" x14ac:dyDescent="0.3"/>
    <row r="946" s="1" customFormat="1" ht="14.25" customHeight="1" x14ac:dyDescent="0.3"/>
    <row r="947" s="1" customFormat="1" ht="14.25" customHeight="1" x14ac:dyDescent="0.3"/>
    <row r="948" s="1" customFormat="1" ht="14.25" customHeight="1" x14ac:dyDescent="0.3"/>
    <row r="949" s="1" customFormat="1" ht="14.25" customHeight="1" x14ac:dyDescent="0.3"/>
    <row r="950" s="1" customFormat="1" ht="14.25" customHeight="1" x14ac:dyDescent="0.3"/>
    <row r="951" s="1" customFormat="1" ht="14.25" customHeight="1" x14ac:dyDescent="0.3"/>
    <row r="952" s="1" customFormat="1" ht="14.25" customHeight="1" x14ac:dyDescent="0.3"/>
    <row r="953" s="1" customFormat="1" ht="14.25" customHeight="1" x14ac:dyDescent="0.3"/>
    <row r="954" s="1" customFormat="1" ht="14.25" customHeight="1" x14ac:dyDescent="0.3"/>
    <row r="955" s="1" customFormat="1" ht="14.25" customHeight="1" x14ac:dyDescent="0.3"/>
    <row r="956" s="1" customFormat="1" ht="14.25" customHeight="1" x14ac:dyDescent="0.3"/>
    <row r="957" s="1" customFormat="1" ht="14.25" customHeight="1" x14ac:dyDescent="0.3"/>
    <row r="958" s="1" customFormat="1" ht="14.25" customHeight="1" x14ac:dyDescent="0.3"/>
    <row r="959" s="1" customFormat="1" ht="14.25" customHeight="1" x14ac:dyDescent="0.3"/>
    <row r="960" s="1" customFormat="1" ht="14.25" customHeight="1" x14ac:dyDescent="0.3"/>
    <row r="961" s="1" customFormat="1" ht="14.25" customHeight="1" x14ac:dyDescent="0.3"/>
    <row r="962" s="1" customFormat="1" ht="14.25" customHeight="1" x14ac:dyDescent="0.3"/>
    <row r="963" s="1" customFormat="1" ht="14.25" customHeight="1" x14ac:dyDescent="0.3"/>
    <row r="964" s="1" customFormat="1" ht="14.25" customHeight="1" x14ac:dyDescent="0.3"/>
    <row r="965" s="1" customFormat="1" ht="14.25" customHeight="1" x14ac:dyDescent="0.3"/>
    <row r="966" s="1" customFormat="1" ht="14.25" customHeight="1" x14ac:dyDescent="0.3"/>
    <row r="967" s="1" customFormat="1" ht="14.25" customHeight="1" x14ac:dyDescent="0.3"/>
    <row r="968" s="1" customFormat="1" ht="14.25" customHeight="1" x14ac:dyDescent="0.3"/>
    <row r="969" s="1" customFormat="1" ht="14.25" customHeight="1" x14ac:dyDescent="0.3"/>
    <row r="970" s="1" customFormat="1" ht="14.25" customHeight="1" x14ac:dyDescent="0.3"/>
    <row r="971" s="1" customFormat="1" ht="14.25" customHeight="1" x14ac:dyDescent="0.3"/>
    <row r="972" s="1" customFormat="1" ht="14.25" customHeight="1" x14ac:dyDescent="0.3"/>
    <row r="973" s="1" customFormat="1" ht="14.25" customHeight="1" x14ac:dyDescent="0.3"/>
    <row r="974" s="1" customFormat="1" ht="14.25" customHeight="1" x14ac:dyDescent="0.3"/>
    <row r="975" s="1" customFormat="1" ht="14.25" customHeight="1" x14ac:dyDescent="0.3"/>
    <row r="976" s="1" customFormat="1" ht="14.25" customHeight="1" x14ac:dyDescent="0.3"/>
    <row r="977" s="1" customFormat="1" ht="14.25" customHeight="1" x14ac:dyDescent="0.3"/>
    <row r="978" s="1" customFormat="1" ht="14.25" customHeight="1" x14ac:dyDescent="0.3"/>
    <row r="979" s="1" customFormat="1" ht="14.25" customHeight="1" x14ac:dyDescent="0.3"/>
    <row r="980" s="1" customFormat="1" ht="14.25" customHeight="1" x14ac:dyDescent="0.3"/>
    <row r="981" s="1" customFormat="1" ht="14.25" customHeight="1" x14ac:dyDescent="0.3"/>
    <row r="982" s="1" customFormat="1" ht="14.25" customHeight="1" x14ac:dyDescent="0.3"/>
    <row r="983" s="1" customFormat="1" ht="14.25" customHeight="1" x14ac:dyDescent="0.3"/>
    <row r="984" s="1" customFormat="1" ht="14.25" customHeight="1" x14ac:dyDescent="0.3"/>
    <row r="985" s="1" customFormat="1" ht="14.25" customHeight="1" x14ac:dyDescent="0.3"/>
    <row r="986" s="1" customFormat="1" ht="14.25" customHeight="1" x14ac:dyDescent="0.3"/>
    <row r="987" s="1" customFormat="1" ht="14.25" customHeight="1" x14ac:dyDescent="0.3"/>
    <row r="988" s="1" customFormat="1" ht="14.25" customHeight="1" x14ac:dyDescent="0.3"/>
    <row r="989" s="1" customFormat="1" ht="14.25" customHeight="1" x14ac:dyDescent="0.3"/>
    <row r="990" s="1" customFormat="1" ht="14.25" customHeight="1" x14ac:dyDescent="0.3"/>
    <row r="991" s="1" customFormat="1" ht="14.25" customHeight="1" x14ac:dyDescent="0.3"/>
    <row r="992" s="1" customFormat="1" ht="14.25" customHeight="1" x14ac:dyDescent="0.3"/>
    <row r="993" s="1" customFormat="1" ht="14.25" customHeight="1" x14ac:dyDescent="0.3"/>
    <row r="994" s="1" customFormat="1" ht="14.25" customHeight="1" x14ac:dyDescent="0.3"/>
    <row r="995" s="1" customFormat="1" ht="14.25" customHeight="1" x14ac:dyDescent="0.3"/>
    <row r="996" s="1" customFormat="1" ht="14.25" customHeight="1" x14ac:dyDescent="0.3"/>
    <row r="997" s="1" customFormat="1" ht="14.25" customHeight="1" x14ac:dyDescent="0.3"/>
    <row r="998" s="1" customFormat="1" ht="14.25" customHeight="1" x14ac:dyDescent="0.3"/>
    <row r="999" s="1" customFormat="1" ht="14.25" customHeight="1" x14ac:dyDescent="0.3"/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E98C-AB49-496F-BD71-A5A116E9F261}">
  <dimension ref="A1:M999"/>
  <sheetViews>
    <sheetView workbookViewId="0">
      <selection sqref="A1:XFD1048576"/>
    </sheetView>
  </sheetViews>
  <sheetFormatPr baseColWidth="10" defaultColWidth="12.6328125" defaultRowHeight="15" customHeight="1" x14ac:dyDescent="0.3"/>
  <cols>
    <col min="1" max="1" width="15.7265625" style="1" customWidth="1"/>
    <col min="2" max="7" width="10.6328125" style="1" customWidth="1"/>
    <col min="8" max="8" width="11.36328125" style="1" customWidth="1"/>
    <col min="9" max="25" width="10.6328125" style="1" customWidth="1"/>
    <col min="26" max="16384" width="12.6328125" style="1"/>
  </cols>
  <sheetData>
    <row r="1" spans="1:13" ht="13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3.5" customHeight="1" x14ac:dyDescent="0.3">
      <c r="A2" s="1" t="s">
        <v>12</v>
      </c>
      <c r="B2" s="1" t="s">
        <v>13</v>
      </c>
      <c r="D2" s="1">
        <v>1</v>
      </c>
      <c r="H2" s="2" t="s">
        <v>14</v>
      </c>
      <c r="I2" s="3">
        <f t="shared" ref="I2:L2" si="0">SUM(C22+C37+C55+C65+C66+C96+C105+C113+C128+C146+C150)</f>
        <v>11</v>
      </c>
      <c r="J2" s="3">
        <f t="shared" si="0"/>
        <v>0</v>
      </c>
      <c r="K2" s="3">
        <f t="shared" si="0"/>
        <v>0</v>
      </c>
      <c r="L2" s="3">
        <f t="shared" si="0"/>
        <v>0</v>
      </c>
      <c r="M2" s="3">
        <f t="shared" ref="M2:M13" si="1">SUM(I2:L2)</f>
        <v>11</v>
      </c>
    </row>
    <row r="3" spans="1:13" ht="13.5" customHeight="1" x14ac:dyDescent="0.3">
      <c r="A3" s="1" t="s">
        <v>15</v>
      </c>
      <c r="B3" s="1" t="s">
        <v>16</v>
      </c>
      <c r="C3" s="1">
        <v>1</v>
      </c>
      <c r="H3" s="2" t="s">
        <v>17</v>
      </c>
      <c r="I3" s="3">
        <f t="shared" ref="I3:L3" si="2">SUM(C6+C32+C50+C52+C58+C69+C76+C94+C115+C122+C123+C152)</f>
        <v>12</v>
      </c>
      <c r="J3" s="3">
        <f t="shared" si="2"/>
        <v>0</v>
      </c>
      <c r="K3" s="3">
        <f t="shared" si="2"/>
        <v>0</v>
      </c>
      <c r="L3" s="3">
        <f t="shared" si="2"/>
        <v>0</v>
      </c>
      <c r="M3" s="3">
        <f t="shared" si="1"/>
        <v>12</v>
      </c>
    </row>
    <row r="4" spans="1:13" ht="13.5" customHeight="1" x14ac:dyDescent="0.3">
      <c r="A4" s="1" t="s">
        <v>18</v>
      </c>
      <c r="B4" s="1" t="s">
        <v>13</v>
      </c>
      <c r="E4" s="1">
        <v>1</v>
      </c>
      <c r="H4" s="2" t="s">
        <v>19</v>
      </c>
      <c r="I4" s="3">
        <f t="shared" ref="I4:L4" si="3">SUM(C26+C14+C27+C62+C68+C124+C138+C142+C153+C155)</f>
        <v>10</v>
      </c>
      <c r="J4" s="3">
        <f t="shared" si="3"/>
        <v>0</v>
      </c>
      <c r="K4" s="3">
        <f t="shared" si="3"/>
        <v>0</v>
      </c>
      <c r="L4" s="3">
        <f t="shared" si="3"/>
        <v>0</v>
      </c>
      <c r="M4" s="3">
        <f t="shared" si="1"/>
        <v>10</v>
      </c>
    </row>
    <row r="5" spans="1:13" ht="13.5" customHeight="1" x14ac:dyDescent="0.3">
      <c r="A5" s="1" t="s">
        <v>20</v>
      </c>
      <c r="B5" s="1" t="s">
        <v>21</v>
      </c>
      <c r="E5" s="1">
        <v>1</v>
      </c>
      <c r="H5" s="2" t="s">
        <v>22</v>
      </c>
      <c r="I5" s="3">
        <f t="shared" ref="I5:L5" si="4">SUM(C5+C36+C56+C63+C73+C85+C87+C95+C135)</f>
        <v>1</v>
      </c>
      <c r="J5" s="3">
        <f t="shared" si="4"/>
        <v>0</v>
      </c>
      <c r="K5" s="3">
        <f t="shared" si="4"/>
        <v>7</v>
      </c>
      <c r="L5" s="3">
        <f t="shared" si="4"/>
        <v>1</v>
      </c>
      <c r="M5" s="3">
        <f t="shared" si="1"/>
        <v>9</v>
      </c>
    </row>
    <row r="6" spans="1:13" ht="13.5" customHeight="1" x14ac:dyDescent="0.3">
      <c r="A6" s="1" t="s">
        <v>23</v>
      </c>
      <c r="B6" s="1" t="s">
        <v>24</v>
      </c>
      <c r="C6" s="1">
        <v>1</v>
      </c>
      <c r="H6" s="2" t="s">
        <v>25</v>
      </c>
      <c r="I6" s="3">
        <f t="shared" ref="I6:L6" si="5">SUM(C12+C15+C18+C28+C41+C59+C78+C64+C82+C83+C86+C106+C119+C143+C148+C154)</f>
        <v>15</v>
      </c>
      <c r="J6" s="3">
        <f t="shared" si="5"/>
        <v>0</v>
      </c>
      <c r="K6" s="3">
        <f t="shared" si="5"/>
        <v>0</v>
      </c>
      <c r="L6" s="3">
        <f t="shared" si="5"/>
        <v>1</v>
      </c>
      <c r="M6" s="3">
        <f t="shared" si="1"/>
        <v>16</v>
      </c>
    </row>
    <row r="7" spans="1:13" ht="13.5" customHeight="1" x14ac:dyDescent="0.3">
      <c r="A7" s="1" t="s">
        <v>26</v>
      </c>
      <c r="B7" s="1" t="s">
        <v>27</v>
      </c>
      <c r="D7" s="1">
        <v>1</v>
      </c>
      <c r="H7" s="2" t="s">
        <v>28</v>
      </c>
      <c r="I7" s="3">
        <f t="shared" ref="I7:L7" si="6">SUM(C3+C20+C46+C49+C54+C89+C90+C102+C112+C114+C129+C141)</f>
        <v>8</v>
      </c>
      <c r="J7" s="3">
        <f t="shared" si="6"/>
        <v>2</v>
      </c>
      <c r="K7" s="3">
        <f t="shared" si="6"/>
        <v>2</v>
      </c>
      <c r="L7" s="3">
        <f t="shared" si="6"/>
        <v>0</v>
      </c>
      <c r="M7" s="3">
        <f t="shared" si="1"/>
        <v>12</v>
      </c>
    </row>
    <row r="8" spans="1:13" ht="13.5" customHeight="1" x14ac:dyDescent="0.3">
      <c r="A8" s="1" t="s">
        <v>29</v>
      </c>
      <c r="B8" s="1" t="s">
        <v>30</v>
      </c>
      <c r="D8" s="1">
        <v>1</v>
      </c>
      <c r="H8" s="2" t="s">
        <v>27</v>
      </c>
      <c r="I8" s="3">
        <f t="shared" ref="I8:L8" si="7">SUM(C7+C30+C29+C44+C51+C60+C72+C79+C101+C99+C107+C111+C117+C140+C144)</f>
        <v>4</v>
      </c>
      <c r="J8" s="3">
        <f t="shared" si="7"/>
        <v>11</v>
      </c>
      <c r="K8" s="3">
        <f t="shared" si="7"/>
        <v>0</v>
      </c>
      <c r="L8" s="3">
        <f t="shared" si="7"/>
        <v>0</v>
      </c>
      <c r="M8" s="3">
        <f t="shared" si="1"/>
        <v>15</v>
      </c>
    </row>
    <row r="9" spans="1:13" ht="13.5" customHeight="1" x14ac:dyDescent="0.3">
      <c r="A9" s="1" t="s">
        <v>31</v>
      </c>
      <c r="B9" s="1" t="s">
        <v>13</v>
      </c>
      <c r="D9" s="1">
        <v>1</v>
      </c>
      <c r="H9" s="2" t="s">
        <v>13</v>
      </c>
      <c r="I9" s="3">
        <f t="shared" ref="I9:J9" si="8">SUM(C4+C9+C17+C19+C2+C48+C92+C120+C126+C127+C130+C133+C151)</f>
        <v>0</v>
      </c>
      <c r="J9" s="3">
        <f t="shared" si="8"/>
        <v>8</v>
      </c>
      <c r="K9" s="3">
        <f>SUM(D4+D9+D17+D19+D2+D48+D92+D120+D126+D127+D130+D133+D151)</f>
        <v>8</v>
      </c>
      <c r="L9" s="3">
        <f>SUM(F4+F9+F17+F19+F2+F48+F92+F120+F126+F127+F130+F133+F151)</f>
        <v>0</v>
      </c>
      <c r="M9" s="3">
        <f t="shared" si="1"/>
        <v>16</v>
      </c>
    </row>
    <row r="10" spans="1:13" ht="13.5" customHeight="1" x14ac:dyDescent="0.3">
      <c r="A10" s="1" t="s">
        <v>32</v>
      </c>
      <c r="B10" s="1" t="s">
        <v>33</v>
      </c>
      <c r="C10" s="1">
        <v>1</v>
      </c>
      <c r="H10" s="2" t="s">
        <v>30</v>
      </c>
      <c r="I10" s="3">
        <f t="shared" ref="I10:L10" si="9">SUM(C8+C13+C16+C25+C31+C35+C43+C45+C70+C71+C75+C81+C88+C93+C98+C100+C104+C118+C136+C137+C156)</f>
        <v>0</v>
      </c>
      <c r="J10" s="3">
        <f t="shared" si="9"/>
        <v>21</v>
      </c>
      <c r="K10" s="3">
        <f t="shared" si="9"/>
        <v>0</v>
      </c>
      <c r="L10" s="3">
        <f t="shared" si="9"/>
        <v>0</v>
      </c>
      <c r="M10" s="3">
        <f t="shared" si="1"/>
        <v>21</v>
      </c>
    </row>
    <row r="11" spans="1:13" ht="13.5" customHeight="1" x14ac:dyDescent="0.3">
      <c r="A11" s="1" t="s">
        <v>34</v>
      </c>
      <c r="B11" s="1" t="s">
        <v>33</v>
      </c>
      <c r="C11" s="1">
        <v>1</v>
      </c>
      <c r="H11" s="2" t="s">
        <v>35</v>
      </c>
      <c r="I11" s="3">
        <f t="shared" ref="I11:L11" si="10">SUM(C38+C42+C47+C53+C74+C77+C80+C91+C97+C103+C108+C116+C131+C145+C147)</f>
        <v>1</v>
      </c>
      <c r="J11" s="3">
        <f t="shared" si="10"/>
        <v>12</v>
      </c>
      <c r="K11" s="3">
        <f t="shared" si="10"/>
        <v>2</v>
      </c>
      <c r="L11" s="3">
        <f t="shared" si="10"/>
        <v>0</v>
      </c>
      <c r="M11" s="3">
        <f t="shared" si="1"/>
        <v>15</v>
      </c>
    </row>
    <row r="12" spans="1:13" ht="13.5" customHeight="1" x14ac:dyDescent="0.3">
      <c r="A12" s="1" t="s">
        <v>36</v>
      </c>
      <c r="B12" s="1" t="s">
        <v>37</v>
      </c>
      <c r="C12" s="1">
        <v>1</v>
      </c>
      <c r="H12" s="2" t="s">
        <v>38</v>
      </c>
      <c r="I12" s="3">
        <f t="shared" ref="I12:L12" si="11">SUM(C21+C24+C34+C40+C67+C84+C132)</f>
        <v>1</v>
      </c>
      <c r="J12" s="3">
        <f t="shared" si="11"/>
        <v>5</v>
      </c>
      <c r="K12" s="3">
        <f t="shared" si="11"/>
        <v>1</v>
      </c>
      <c r="L12" s="3">
        <f t="shared" si="11"/>
        <v>0</v>
      </c>
      <c r="M12" s="3">
        <f t="shared" si="1"/>
        <v>7</v>
      </c>
    </row>
    <row r="13" spans="1:13" ht="13.5" customHeight="1" x14ac:dyDescent="0.3">
      <c r="A13" s="1" t="s">
        <v>39</v>
      </c>
      <c r="B13" s="1" t="s">
        <v>30</v>
      </c>
      <c r="D13" s="1">
        <v>1</v>
      </c>
      <c r="H13" s="2" t="s">
        <v>33</v>
      </c>
      <c r="I13" s="3">
        <f t="shared" ref="I13:L13" si="12">SUM(C10+C11+C57+C125+C149)</f>
        <v>3</v>
      </c>
      <c r="J13" s="3">
        <f t="shared" si="12"/>
        <v>2</v>
      </c>
      <c r="K13" s="3">
        <f t="shared" si="12"/>
        <v>0</v>
      </c>
      <c r="L13" s="3">
        <f t="shared" si="12"/>
        <v>0</v>
      </c>
      <c r="M13" s="3">
        <f t="shared" si="1"/>
        <v>5</v>
      </c>
    </row>
    <row r="14" spans="1:13" ht="13.5" customHeight="1" x14ac:dyDescent="0.3">
      <c r="A14" s="1" t="s">
        <v>40</v>
      </c>
      <c r="B14" s="1" t="s">
        <v>19</v>
      </c>
      <c r="C14" s="1">
        <v>1</v>
      </c>
      <c r="I14" s="4"/>
      <c r="J14" s="4"/>
      <c r="K14" s="4"/>
      <c r="L14" s="4"/>
    </row>
    <row r="15" spans="1:13" ht="13.5" customHeight="1" x14ac:dyDescent="0.3">
      <c r="A15" s="1" t="s">
        <v>41</v>
      </c>
      <c r="B15" s="1" t="s">
        <v>42</v>
      </c>
      <c r="C15" s="1">
        <v>1</v>
      </c>
      <c r="I15" s="4"/>
      <c r="J15" s="4"/>
      <c r="K15" s="4"/>
      <c r="L15" s="4"/>
    </row>
    <row r="16" spans="1:13" ht="13.5" customHeight="1" x14ac:dyDescent="0.3">
      <c r="A16" s="1" t="s">
        <v>43</v>
      </c>
      <c r="B16" s="1" t="s">
        <v>30</v>
      </c>
      <c r="D16" s="1">
        <v>1</v>
      </c>
      <c r="I16" s="4"/>
      <c r="J16" s="4"/>
      <c r="K16" s="4"/>
      <c r="L16" s="4"/>
    </row>
    <row r="17" spans="1:12" ht="13.5" customHeight="1" x14ac:dyDescent="0.3">
      <c r="A17" s="1" t="s">
        <v>44</v>
      </c>
      <c r="B17" s="1" t="s">
        <v>13</v>
      </c>
      <c r="D17" s="1">
        <v>1</v>
      </c>
      <c r="I17" s="4"/>
      <c r="J17" s="4"/>
      <c r="K17" s="4"/>
      <c r="L17" s="4"/>
    </row>
    <row r="18" spans="1:12" ht="13.5" customHeight="1" x14ac:dyDescent="0.3">
      <c r="A18" s="1" t="s">
        <v>45</v>
      </c>
      <c r="B18" s="1" t="s">
        <v>37</v>
      </c>
      <c r="C18" s="1">
        <v>1</v>
      </c>
      <c r="I18" s="4"/>
      <c r="J18" s="4"/>
      <c r="K18" s="4"/>
      <c r="L18" s="4"/>
    </row>
    <row r="19" spans="1:12" ht="13.5" customHeight="1" x14ac:dyDescent="0.3">
      <c r="A19" s="1" t="s">
        <v>46</v>
      </c>
      <c r="B19" s="1" t="s">
        <v>13</v>
      </c>
      <c r="D19" s="1">
        <v>1</v>
      </c>
    </row>
    <row r="20" spans="1:12" ht="13.5" customHeight="1" x14ac:dyDescent="0.3">
      <c r="A20" s="1" t="s">
        <v>47</v>
      </c>
      <c r="B20" s="1" t="s">
        <v>16</v>
      </c>
      <c r="C20" s="1">
        <v>1</v>
      </c>
    </row>
    <row r="21" spans="1:12" ht="13.5" customHeight="1" x14ac:dyDescent="0.3">
      <c r="A21" s="1" t="s">
        <v>48</v>
      </c>
      <c r="B21" s="1" t="s">
        <v>38</v>
      </c>
      <c r="D21" s="1">
        <v>1</v>
      </c>
    </row>
    <row r="22" spans="1:12" ht="13.5" customHeight="1" x14ac:dyDescent="0.3">
      <c r="A22" s="1" t="s">
        <v>49</v>
      </c>
      <c r="B22" s="1" t="s">
        <v>14</v>
      </c>
      <c r="C22" s="1">
        <v>1</v>
      </c>
    </row>
    <row r="23" spans="1:12" ht="13.5" customHeight="1" x14ac:dyDescent="0.3">
      <c r="A23" s="1" t="s">
        <v>50</v>
      </c>
      <c r="B23" s="1" t="s">
        <v>13</v>
      </c>
      <c r="E23" s="1">
        <v>1</v>
      </c>
    </row>
    <row r="24" spans="1:12" ht="13.5" customHeight="1" x14ac:dyDescent="0.3">
      <c r="A24" s="1" t="s">
        <v>51</v>
      </c>
      <c r="B24" s="1" t="s">
        <v>38</v>
      </c>
      <c r="C24" s="1">
        <v>1</v>
      </c>
    </row>
    <row r="25" spans="1:12" ht="13.5" customHeight="1" x14ac:dyDescent="0.3">
      <c r="A25" s="1" t="s">
        <v>52</v>
      </c>
      <c r="B25" s="1" t="s">
        <v>30</v>
      </c>
      <c r="D25" s="1">
        <v>1</v>
      </c>
    </row>
    <row r="26" spans="1:12" ht="13.5" customHeight="1" x14ac:dyDescent="0.3">
      <c r="A26" s="1" t="s">
        <v>53</v>
      </c>
      <c r="B26" s="1" t="s">
        <v>19</v>
      </c>
      <c r="C26" s="1">
        <v>1</v>
      </c>
    </row>
    <row r="27" spans="1:12" ht="13.5" customHeight="1" x14ac:dyDescent="0.3">
      <c r="A27" s="1" t="s">
        <v>54</v>
      </c>
      <c r="B27" s="1" t="s">
        <v>19</v>
      </c>
      <c r="C27" s="1">
        <v>1</v>
      </c>
    </row>
    <row r="28" spans="1:12" ht="13.5" customHeight="1" x14ac:dyDescent="0.3">
      <c r="A28" s="1" t="s">
        <v>55</v>
      </c>
      <c r="B28" s="1" t="s">
        <v>37</v>
      </c>
      <c r="C28" s="1">
        <v>1</v>
      </c>
    </row>
    <row r="29" spans="1:12" ht="13.5" customHeight="1" x14ac:dyDescent="0.3">
      <c r="A29" s="1" t="s">
        <v>56</v>
      </c>
      <c r="B29" s="1" t="s">
        <v>27</v>
      </c>
      <c r="D29" s="1">
        <v>1</v>
      </c>
    </row>
    <row r="30" spans="1:12" ht="13.5" customHeight="1" x14ac:dyDescent="0.3">
      <c r="A30" s="1" t="s">
        <v>57</v>
      </c>
      <c r="B30" s="1" t="s">
        <v>27</v>
      </c>
      <c r="D30" s="1">
        <v>1</v>
      </c>
    </row>
    <row r="31" spans="1:12" ht="13.5" customHeight="1" x14ac:dyDescent="0.3">
      <c r="A31" s="1" t="s">
        <v>58</v>
      </c>
      <c r="B31" s="1" t="s">
        <v>30</v>
      </c>
      <c r="D31" s="1">
        <v>1</v>
      </c>
    </row>
    <row r="32" spans="1:12" ht="13.5" customHeight="1" x14ac:dyDescent="0.3">
      <c r="A32" s="1" t="s">
        <v>59</v>
      </c>
      <c r="B32" s="1" t="s">
        <v>24</v>
      </c>
      <c r="C32" s="1">
        <v>1</v>
      </c>
    </row>
    <row r="33" spans="1:12" ht="13.5" customHeight="1" x14ac:dyDescent="0.3">
      <c r="A33" s="1" t="s">
        <v>60</v>
      </c>
      <c r="B33" s="1" t="s">
        <v>27</v>
      </c>
      <c r="D33" s="1">
        <v>1</v>
      </c>
    </row>
    <row r="34" spans="1:12" ht="13.5" customHeight="1" x14ac:dyDescent="0.3">
      <c r="A34" s="1" t="s">
        <v>61</v>
      </c>
      <c r="B34" s="1" t="s">
        <v>38</v>
      </c>
      <c r="D34" s="1">
        <v>1</v>
      </c>
    </row>
    <row r="35" spans="1:12" ht="13.5" customHeight="1" x14ac:dyDescent="0.3">
      <c r="A35" s="1" t="s">
        <v>62</v>
      </c>
      <c r="B35" s="1" t="s">
        <v>30</v>
      </c>
      <c r="D35" s="1">
        <v>1</v>
      </c>
    </row>
    <row r="36" spans="1:12" ht="13.5" customHeight="1" x14ac:dyDescent="0.3">
      <c r="A36" s="1" t="s">
        <v>63</v>
      </c>
      <c r="B36" s="1" t="s">
        <v>21</v>
      </c>
      <c r="E36" s="1">
        <v>1</v>
      </c>
    </row>
    <row r="37" spans="1:12" ht="13.5" customHeight="1" x14ac:dyDescent="0.3">
      <c r="A37" s="1" t="s">
        <v>64</v>
      </c>
      <c r="B37" s="1" t="s">
        <v>14</v>
      </c>
      <c r="C37" s="1">
        <v>1</v>
      </c>
    </row>
    <row r="38" spans="1:12" ht="13.5" customHeight="1" x14ac:dyDescent="0.3">
      <c r="A38" s="1" t="s">
        <v>65</v>
      </c>
      <c r="B38" s="1" t="s">
        <v>66</v>
      </c>
      <c r="D38" s="1">
        <v>1</v>
      </c>
    </row>
    <row r="39" spans="1:12" ht="13.5" customHeight="1" x14ac:dyDescent="0.3">
      <c r="A39" s="1" t="s">
        <v>67</v>
      </c>
      <c r="B39" s="1" t="s">
        <v>16</v>
      </c>
      <c r="E39" s="1">
        <v>1</v>
      </c>
    </row>
    <row r="40" spans="1:12" ht="13.5" customHeight="1" x14ac:dyDescent="0.3">
      <c r="A40" s="1" t="s">
        <v>68</v>
      </c>
      <c r="B40" s="1" t="s">
        <v>38</v>
      </c>
      <c r="D40" s="1">
        <v>1</v>
      </c>
    </row>
    <row r="41" spans="1:12" ht="13.5" customHeight="1" x14ac:dyDescent="0.3">
      <c r="A41" s="1" t="s">
        <v>69</v>
      </c>
      <c r="B41" s="1" t="s">
        <v>37</v>
      </c>
      <c r="C41" s="1">
        <v>1</v>
      </c>
    </row>
    <row r="42" spans="1:12" ht="13.5" customHeight="1" x14ac:dyDescent="0.3">
      <c r="A42" s="1" t="s">
        <v>70</v>
      </c>
      <c r="B42" s="1" t="s">
        <v>66</v>
      </c>
      <c r="D42" s="1">
        <v>1</v>
      </c>
    </row>
    <row r="43" spans="1:12" ht="13.5" customHeight="1" x14ac:dyDescent="0.3">
      <c r="A43" s="1" t="s">
        <v>71</v>
      </c>
      <c r="B43" s="1" t="s">
        <v>30</v>
      </c>
      <c r="D43" s="1">
        <v>1</v>
      </c>
    </row>
    <row r="44" spans="1:12" ht="13.5" customHeight="1" x14ac:dyDescent="0.3">
      <c r="A44" s="1" t="s">
        <v>72</v>
      </c>
      <c r="B44" s="1" t="s">
        <v>27</v>
      </c>
      <c r="C44" s="1">
        <v>1</v>
      </c>
    </row>
    <row r="45" spans="1:12" ht="13.5" customHeight="1" x14ac:dyDescent="0.3">
      <c r="A45" s="1" t="s">
        <v>73</v>
      </c>
      <c r="B45" s="1" t="s">
        <v>30</v>
      </c>
      <c r="D45" s="1">
        <v>1</v>
      </c>
      <c r="H45" s="1" t="s">
        <v>6</v>
      </c>
      <c r="I45" s="1" t="s">
        <v>7</v>
      </c>
      <c r="J45" s="1" t="s">
        <v>8</v>
      </c>
      <c r="K45" s="1" t="s">
        <v>9</v>
      </c>
      <c r="L45" s="1" t="s">
        <v>10</v>
      </c>
    </row>
    <row r="46" spans="1:12" ht="13.5" customHeight="1" x14ac:dyDescent="0.3">
      <c r="A46" s="1" t="s">
        <v>74</v>
      </c>
      <c r="B46" s="1" t="s">
        <v>16</v>
      </c>
      <c r="E46" s="1">
        <v>1</v>
      </c>
      <c r="H46" s="2" t="s">
        <v>14</v>
      </c>
      <c r="I46" s="4">
        <f t="shared" ref="I46:I57" si="13">I2/M2</f>
        <v>1</v>
      </c>
      <c r="J46" s="4">
        <f t="shared" ref="J46:J57" si="14">J2/M2</f>
        <v>0</v>
      </c>
      <c r="K46" s="4">
        <f t="shared" ref="K46:K57" si="15">K2/M2</f>
        <v>0</v>
      </c>
      <c r="L46" s="4">
        <f t="shared" ref="L46:L57" si="16">L2/M2</f>
        <v>0</v>
      </c>
    </row>
    <row r="47" spans="1:12" ht="13.5" customHeight="1" x14ac:dyDescent="0.3">
      <c r="A47" s="1" t="s">
        <v>75</v>
      </c>
      <c r="B47" s="1" t="s">
        <v>66</v>
      </c>
      <c r="D47" s="1">
        <v>1</v>
      </c>
      <c r="H47" s="2" t="s">
        <v>17</v>
      </c>
      <c r="I47" s="4">
        <f t="shared" si="13"/>
        <v>1</v>
      </c>
      <c r="J47" s="4">
        <f t="shared" si="14"/>
        <v>0</v>
      </c>
      <c r="K47" s="4">
        <f t="shared" si="15"/>
        <v>0</v>
      </c>
      <c r="L47" s="4">
        <f t="shared" si="16"/>
        <v>0</v>
      </c>
    </row>
    <row r="48" spans="1:12" ht="13.5" customHeight="1" x14ac:dyDescent="0.3">
      <c r="A48" s="1" t="s">
        <v>76</v>
      </c>
      <c r="B48" s="1" t="s">
        <v>13</v>
      </c>
      <c r="E48" s="1">
        <v>1</v>
      </c>
      <c r="H48" s="2" t="s">
        <v>19</v>
      </c>
      <c r="I48" s="4">
        <f t="shared" si="13"/>
        <v>1</v>
      </c>
      <c r="J48" s="4">
        <f t="shared" si="14"/>
        <v>0</v>
      </c>
      <c r="K48" s="4">
        <f t="shared" si="15"/>
        <v>0</v>
      </c>
      <c r="L48" s="4">
        <f t="shared" si="16"/>
        <v>0</v>
      </c>
    </row>
    <row r="49" spans="1:12" ht="13.5" customHeight="1" x14ac:dyDescent="0.3">
      <c r="A49" s="1" t="s">
        <v>77</v>
      </c>
      <c r="B49" s="1" t="s">
        <v>16</v>
      </c>
      <c r="C49" s="1">
        <v>1</v>
      </c>
      <c r="H49" s="2" t="s">
        <v>22</v>
      </c>
      <c r="I49" s="4">
        <f t="shared" si="13"/>
        <v>0.1111111111111111</v>
      </c>
      <c r="J49" s="4">
        <f t="shared" si="14"/>
        <v>0</v>
      </c>
      <c r="K49" s="4">
        <f t="shared" si="15"/>
        <v>0.77777777777777779</v>
      </c>
      <c r="L49" s="4">
        <f t="shared" si="16"/>
        <v>0.1111111111111111</v>
      </c>
    </row>
    <row r="50" spans="1:12" ht="13.5" customHeight="1" x14ac:dyDescent="0.3">
      <c r="A50" s="1" t="s">
        <v>78</v>
      </c>
      <c r="B50" s="1" t="s">
        <v>24</v>
      </c>
      <c r="C50" s="1">
        <v>1</v>
      </c>
      <c r="H50" s="2" t="s">
        <v>25</v>
      </c>
      <c r="I50" s="4">
        <f t="shared" si="13"/>
        <v>0.9375</v>
      </c>
      <c r="J50" s="4">
        <f t="shared" si="14"/>
        <v>0</v>
      </c>
      <c r="K50" s="4">
        <f t="shared" si="15"/>
        <v>0</v>
      </c>
      <c r="L50" s="4">
        <f t="shared" si="16"/>
        <v>6.25E-2</v>
      </c>
    </row>
    <row r="51" spans="1:12" ht="13.5" customHeight="1" x14ac:dyDescent="0.3">
      <c r="A51" s="1" t="s">
        <v>79</v>
      </c>
      <c r="B51" s="1" t="s">
        <v>27</v>
      </c>
      <c r="D51" s="1">
        <v>1</v>
      </c>
      <c r="H51" s="2" t="s">
        <v>28</v>
      </c>
      <c r="I51" s="4">
        <f t="shared" si="13"/>
        <v>0.66666666666666663</v>
      </c>
      <c r="J51" s="4">
        <f t="shared" si="14"/>
        <v>0.16666666666666666</v>
      </c>
      <c r="K51" s="4">
        <f t="shared" si="15"/>
        <v>0.16666666666666666</v>
      </c>
      <c r="L51" s="4">
        <f t="shared" si="16"/>
        <v>0</v>
      </c>
    </row>
    <row r="52" spans="1:12" ht="13.5" customHeight="1" x14ac:dyDescent="0.3">
      <c r="A52" s="1" t="s">
        <v>80</v>
      </c>
      <c r="B52" s="1" t="s">
        <v>24</v>
      </c>
      <c r="C52" s="1">
        <v>1</v>
      </c>
      <c r="H52" s="2" t="s">
        <v>27</v>
      </c>
      <c r="I52" s="4">
        <f t="shared" si="13"/>
        <v>0.26666666666666666</v>
      </c>
      <c r="J52" s="4">
        <f t="shared" si="14"/>
        <v>0.73333333333333328</v>
      </c>
      <c r="K52" s="4">
        <f t="shared" si="15"/>
        <v>0</v>
      </c>
      <c r="L52" s="4">
        <f t="shared" si="16"/>
        <v>0</v>
      </c>
    </row>
    <row r="53" spans="1:12" ht="13.5" customHeight="1" x14ac:dyDescent="0.3">
      <c r="A53" s="1" t="s">
        <v>81</v>
      </c>
      <c r="B53" s="1" t="s">
        <v>66</v>
      </c>
      <c r="D53" s="1">
        <v>1</v>
      </c>
      <c r="H53" s="2" t="s">
        <v>13</v>
      </c>
      <c r="I53" s="4">
        <f t="shared" si="13"/>
        <v>0</v>
      </c>
      <c r="J53" s="4">
        <f t="shared" si="14"/>
        <v>0.5</v>
      </c>
      <c r="K53" s="4">
        <f t="shared" si="15"/>
        <v>0.5</v>
      </c>
      <c r="L53" s="4">
        <f t="shared" si="16"/>
        <v>0</v>
      </c>
    </row>
    <row r="54" spans="1:12" ht="13.5" customHeight="1" x14ac:dyDescent="0.3">
      <c r="A54" s="1" t="s">
        <v>82</v>
      </c>
      <c r="B54" s="1" t="s">
        <v>16</v>
      </c>
      <c r="E54" s="1">
        <v>1</v>
      </c>
      <c r="H54" s="2" t="s">
        <v>30</v>
      </c>
      <c r="I54" s="4">
        <f t="shared" si="13"/>
        <v>0</v>
      </c>
      <c r="J54" s="4">
        <f t="shared" si="14"/>
        <v>1</v>
      </c>
      <c r="K54" s="4">
        <f t="shared" si="15"/>
        <v>0</v>
      </c>
      <c r="L54" s="4">
        <f t="shared" si="16"/>
        <v>0</v>
      </c>
    </row>
    <row r="55" spans="1:12" ht="13.5" customHeight="1" x14ac:dyDescent="0.3">
      <c r="A55" s="1" t="s">
        <v>83</v>
      </c>
      <c r="B55" s="1" t="s">
        <v>14</v>
      </c>
      <c r="C55" s="1">
        <v>1</v>
      </c>
      <c r="H55" s="2" t="s">
        <v>35</v>
      </c>
      <c r="I55" s="4">
        <f t="shared" si="13"/>
        <v>6.6666666666666666E-2</v>
      </c>
      <c r="J55" s="4">
        <f t="shared" si="14"/>
        <v>0.8</v>
      </c>
      <c r="K55" s="4">
        <f t="shared" si="15"/>
        <v>0.13333333333333333</v>
      </c>
      <c r="L55" s="4">
        <f t="shared" si="16"/>
        <v>0</v>
      </c>
    </row>
    <row r="56" spans="1:12" ht="13.5" customHeight="1" x14ac:dyDescent="0.3">
      <c r="A56" s="1" t="s">
        <v>84</v>
      </c>
      <c r="B56" s="1" t="s">
        <v>21</v>
      </c>
      <c r="E56" s="1">
        <v>1</v>
      </c>
      <c r="H56" s="2" t="s">
        <v>38</v>
      </c>
      <c r="I56" s="4">
        <f t="shared" si="13"/>
        <v>0.14285714285714285</v>
      </c>
      <c r="J56" s="4">
        <f t="shared" si="14"/>
        <v>0.7142857142857143</v>
      </c>
      <c r="K56" s="4">
        <f t="shared" si="15"/>
        <v>0.14285714285714285</v>
      </c>
      <c r="L56" s="4">
        <f t="shared" si="16"/>
        <v>0</v>
      </c>
    </row>
    <row r="57" spans="1:12" ht="13.5" customHeight="1" x14ac:dyDescent="0.3">
      <c r="A57" s="1" t="s">
        <v>85</v>
      </c>
      <c r="B57" s="1" t="s">
        <v>33</v>
      </c>
      <c r="D57" s="1">
        <v>1</v>
      </c>
      <c r="H57" s="2" t="s">
        <v>33</v>
      </c>
      <c r="I57" s="4">
        <f t="shared" si="13"/>
        <v>0.6</v>
      </c>
      <c r="J57" s="4">
        <f t="shared" si="14"/>
        <v>0.4</v>
      </c>
      <c r="K57" s="4">
        <f t="shared" si="15"/>
        <v>0</v>
      </c>
      <c r="L57" s="4">
        <f t="shared" si="16"/>
        <v>0</v>
      </c>
    </row>
    <row r="58" spans="1:12" ht="13.5" customHeight="1" x14ac:dyDescent="0.3">
      <c r="A58" s="1" t="s">
        <v>86</v>
      </c>
      <c r="B58" s="1" t="s">
        <v>24</v>
      </c>
      <c r="C58" s="1">
        <v>1</v>
      </c>
    </row>
    <row r="59" spans="1:12" ht="13.5" customHeight="1" x14ac:dyDescent="0.3">
      <c r="A59" s="1" t="s">
        <v>87</v>
      </c>
      <c r="B59" s="1" t="s">
        <v>37</v>
      </c>
      <c r="C59" s="1">
        <v>1</v>
      </c>
    </row>
    <row r="60" spans="1:12" ht="13.5" customHeight="1" x14ac:dyDescent="0.3">
      <c r="A60" s="1" t="s">
        <v>88</v>
      </c>
      <c r="B60" s="1" t="s">
        <v>27</v>
      </c>
      <c r="C60" s="1">
        <v>1</v>
      </c>
    </row>
    <row r="61" spans="1:12" ht="13.5" customHeight="1" x14ac:dyDescent="0.3">
      <c r="A61" s="1" t="s">
        <v>89</v>
      </c>
      <c r="B61" s="1" t="s">
        <v>13</v>
      </c>
      <c r="E61" s="1">
        <v>1</v>
      </c>
    </row>
    <row r="62" spans="1:12" ht="13.5" customHeight="1" x14ac:dyDescent="0.3">
      <c r="A62" s="1" t="s">
        <v>90</v>
      </c>
      <c r="B62" s="1" t="s">
        <v>19</v>
      </c>
      <c r="C62" s="1">
        <v>1</v>
      </c>
    </row>
    <row r="63" spans="1:12" ht="13.5" customHeight="1" x14ac:dyDescent="0.3">
      <c r="A63" s="1" t="s">
        <v>91</v>
      </c>
      <c r="B63" s="1" t="s">
        <v>21</v>
      </c>
      <c r="F63" s="1">
        <v>1</v>
      </c>
    </row>
    <row r="64" spans="1:12" ht="13.5" customHeight="1" x14ac:dyDescent="0.3">
      <c r="A64" s="1" t="s">
        <v>92</v>
      </c>
      <c r="B64" s="1" t="s">
        <v>42</v>
      </c>
      <c r="C64" s="1">
        <v>1</v>
      </c>
    </row>
    <row r="65" spans="1:5" ht="13.5" customHeight="1" x14ac:dyDescent="0.3">
      <c r="A65" s="1" t="s">
        <v>93</v>
      </c>
      <c r="B65" s="1" t="s">
        <v>14</v>
      </c>
      <c r="C65" s="1">
        <v>1</v>
      </c>
    </row>
    <row r="66" spans="1:5" ht="13.5" customHeight="1" x14ac:dyDescent="0.3">
      <c r="A66" s="1" t="s">
        <v>94</v>
      </c>
      <c r="B66" s="1" t="s">
        <v>14</v>
      </c>
      <c r="C66" s="1">
        <v>1</v>
      </c>
    </row>
    <row r="67" spans="1:5" ht="13.5" customHeight="1" x14ac:dyDescent="0.3">
      <c r="A67" s="1" t="s">
        <v>95</v>
      </c>
      <c r="B67" s="1" t="s">
        <v>38</v>
      </c>
      <c r="D67" s="1">
        <v>1</v>
      </c>
    </row>
    <row r="68" spans="1:5" ht="13.5" customHeight="1" x14ac:dyDescent="0.3">
      <c r="A68" s="1" t="s">
        <v>96</v>
      </c>
      <c r="B68" s="1" t="s">
        <v>19</v>
      </c>
      <c r="C68" s="1">
        <v>1</v>
      </c>
    </row>
    <row r="69" spans="1:5" ht="13.5" customHeight="1" x14ac:dyDescent="0.3">
      <c r="A69" s="1" t="s">
        <v>97</v>
      </c>
      <c r="B69" s="1" t="s">
        <v>24</v>
      </c>
      <c r="C69" s="1">
        <v>1</v>
      </c>
    </row>
    <row r="70" spans="1:5" ht="13.5" customHeight="1" x14ac:dyDescent="0.3">
      <c r="A70" s="1" t="s">
        <v>98</v>
      </c>
      <c r="B70" s="1" t="s">
        <v>30</v>
      </c>
      <c r="D70" s="1">
        <v>1</v>
      </c>
    </row>
    <row r="71" spans="1:5" ht="13.5" customHeight="1" x14ac:dyDescent="0.3">
      <c r="A71" s="1" t="s">
        <v>99</v>
      </c>
      <c r="B71" s="1" t="s">
        <v>30</v>
      </c>
      <c r="D71" s="1">
        <v>1</v>
      </c>
    </row>
    <row r="72" spans="1:5" ht="13.5" customHeight="1" x14ac:dyDescent="0.3">
      <c r="A72" s="1" t="s">
        <v>100</v>
      </c>
      <c r="B72" s="1" t="s">
        <v>27</v>
      </c>
      <c r="D72" s="1">
        <v>1</v>
      </c>
    </row>
    <row r="73" spans="1:5" ht="13.5" customHeight="1" x14ac:dyDescent="0.3">
      <c r="A73" s="1" t="s">
        <v>101</v>
      </c>
      <c r="B73" s="1" t="s">
        <v>21</v>
      </c>
      <c r="E73" s="1">
        <v>1</v>
      </c>
    </row>
    <row r="74" spans="1:5" ht="13.5" customHeight="1" x14ac:dyDescent="0.3">
      <c r="A74" s="1" t="s">
        <v>102</v>
      </c>
      <c r="B74" s="1" t="s">
        <v>66</v>
      </c>
      <c r="D74" s="1">
        <v>1</v>
      </c>
    </row>
    <row r="75" spans="1:5" ht="13.5" customHeight="1" x14ac:dyDescent="0.3">
      <c r="A75" s="1" t="s">
        <v>103</v>
      </c>
      <c r="B75" s="1" t="s">
        <v>30</v>
      </c>
      <c r="D75" s="1">
        <v>1</v>
      </c>
    </row>
    <row r="76" spans="1:5" ht="13.5" customHeight="1" x14ac:dyDescent="0.3">
      <c r="A76" s="1" t="s">
        <v>104</v>
      </c>
      <c r="B76" s="1" t="s">
        <v>24</v>
      </c>
      <c r="C76" s="1">
        <v>1</v>
      </c>
    </row>
    <row r="77" spans="1:5" ht="13.5" customHeight="1" x14ac:dyDescent="0.3">
      <c r="A77" s="1" t="s">
        <v>105</v>
      </c>
      <c r="B77" s="1" t="s">
        <v>66</v>
      </c>
      <c r="D77" s="1">
        <v>1</v>
      </c>
    </row>
    <row r="78" spans="1:5" ht="13.5" customHeight="1" x14ac:dyDescent="0.3">
      <c r="A78" s="1" t="s">
        <v>106</v>
      </c>
      <c r="B78" s="1" t="s">
        <v>42</v>
      </c>
      <c r="C78" s="1">
        <v>1</v>
      </c>
    </row>
    <row r="79" spans="1:5" ht="13.5" customHeight="1" x14ac:dyDescent="0.3">
      <c r="A79" s="1" t="s">
        <v>107</v>
      </c>
      <c r="B79" s="1" t="s">
        <v>27</v>
      </c>
      <c r="D79" s="1">
        <v>1</v>
      </c>
    </row>
    <row r="80" spans="1:5" ht="13.5" customHeight="1" x14ac:dyDescent="0.3">
      <c r="A80" s="1" t="s">
        <v>108</v>
      </c>
      <c r="B80" s="1" t="s">
        <v>66</v>
      </c>
      <c r="D80" s="1">
        <v>1</v>
      </c>
    </row>
    <row r="81" spans="1:5" ht="13.5" customHeight="1" x14ac:dyDescent="0.3">
      <c r="A81" s="1" t="s">
        <v>109</v>
      </c>
      <c r="B81" s="1" t="s">
        <v>30</v>
      </c>
      <c r="D81" s="1">
        <v>1</v>
      </c>
    </row>
    <row r="82" spans="1:5" ht="13.5" customHeight="1" x14ac:dyDescent="0.3">
      <c r="A82" s="1" t="s">
        <v>110</v>
      </c>
      <c r="B82" s="1" t="s">
        <v>37</v>
      </c>
      <c r="C82" s="1">
        <v>1</v>
      </c>
    </row>
    <row r="83" spans="1:5" ht="13.5" customHeight="1" x14ac:dyDescent="0.3">
      <c r="A83" s="1" t="s">
        <v>111</v>
      </c>
      <c r="B83" s="1" t="s">
        <v>37</v>
      </c>
      <c r="C83" s="1">
        <v>1</v>
      </c>
    </row>
    <row r="84" spans="1:5" ht="13.5" customHeight="1" x14ac:dyDescent="0.3">
      <c r="A84" s="1" t="s">
        <v>112</v>
      </c>
      <c r="B84" s="1" t="s">
        <v>38</v>
      </c>
      <c r="E84" s="1">
        <v>1</v>
      </c>
    </row>
    <row r="85" spans="1:5" ht="13.5" customHeight="1" x14ac:dyDescent="0.3">
      <c r="A85" s="1" t="s">
        <v>113</v>
      </c>
      <c r="B85" s="1" t="s">
        <v>21</v>
      </c>
      <c r="E85" s="1">
        <v>1</v>
      </c>
    </row>
    <row r="86" spans="1:5" ht="13.5" customHeight="1" x14ac:dyDescent="0.3">
      <c r="A86" s="1" t="s">
        <v>114</v>
      </c>
      <c r="B86" s="1" t="s">
        <v>42</v>
      </c>
      <c r="C86" s="1">
        <v>1</v>
      </c>
    </row>
    <row r="87" spans="1:5" ht="13.5" customHeight="1" x14ac:dyDescent="0.3">
      <c r="A87" s="1" t="s">
        <v>115</v>
      </c>
      <c r="B87" s="1" t="s">
        <v>21</v>
      </c>
      <c r="E87" s="1">
        <v>1</v>
      </c>
    </row>
    <row r="88" spans="1:5" ht="13.5" customHeight="1" x14ac:dyDescent="0.3">
      <c r="A88" s="1" t="s">
        <v>116</v>
      </c>
      <c r="B88" s="1" t="s">
        <v>30</v>
      </c>
      <c r="D88" s="1">
        <v>1</v>
      </c>
    </row>
    <row r="89" spans="1:5" ht="13.5" customHeight="1" x14ac:dyDescent="0.3">
      <c r="A89" s="1" t="s">
        <v>117</v>
      </c>
      <c r="B89" s="1" t="s">
        <v>16</v>
      </c>
      <c r="C89" s="1">
        <v>1</v>
      </c>
    </row>
    <row r="90" spans="1:5" ht="13.5" customHeight="1" x14ac:dyDescent="0.3">
      <c r="A90" s="1" t="s">
        <v>118</v>
      </c>
      <c r="B90" s="1" t="s">
        <v>16</v>
      </c>
      <c r="C90" s="1">
        <v>1</v>
      </c>
    </row>
    <row r="91" spans="1:5" ht="13.5" customHeight="1" x14ac:dyDescent="0.3">
      <c r="A91" s="1" t="s">
        <v>119</v>
      </c>
      <c r="B91" s="1" t="s">
        <v>66</v>
      </c>
      <c r="D91" s="1">
        <v>1</v>
      </c>
    </row>
    <row r="92" spans="1:5" ht="13.5" customHeight="1" x14ac:dyDescent="0.3">
      <c r="A92" s="1" t="s">
        <v>120</v>
      </c>
      <c r="B92" s="1" t="s">
        <v>13</v>
      </c>
      <c r="E92" s="1">
        <v>1</v>
      </c>
    </row>
    <row r="93" spans="1:5" ht="13.5" customHeight="1" x14ac:dyDescent="0.3">
      <c r="A93" s="1" t="s">
        <v>121</v>
      </c>
      <c r="B93" s="1" t="s">
        <v>30</v>
      </c>
      <c r="D93" s="1">
        <v>1</v>
      </c>
    </row>
    <row r="94" spans="1:5" ht="13.5" customHeight="1" x14ac:dyDescent="0.3">
      <c r="A94" s="1" t="s">
        <v>122</v>
      </c>
      <c r="B94" s="1" t="s">
        <v>24</v>
      </c>
      <c r="C94" s="1">
        <v>1</v>
      </c>
    </row>
    <row r="95" spans="1:5" ht="13.5" customHeight="1" x14ac:dyDescent="0.3">
      <c r="A95" s="1" t="s">
        <v>123</v>
      </c>
      <c r="B95" s="1" t="s">
        <v>21</v>
      </c>
      <c r="E95" s="1">
        <v>1</v>
      </c>
    </row>
    <row r="96" spans="1:5" ht="13.5" customHeight="1" x14ac:dyDescent="0.3">
      <c r="A96" s="1" t="s">
        <v>124</v>
      </c>
      <c r="B96" s="1" t="s">
        <v>14</v>
      </c>
      <c r="C96" s="1">
        <v>1</v>
      </c>
    </row>
    <row r="97" spans="1:5" ht="13.5" customHeight="1" x14ac:dyDescent="0.3">
      <c r="A97" s="1" t="s">
        <v>125</v>
      </c>
      <c r="B97" s="1" t="s">
        <v>66</v>
      </c>
      <c r="D97" s="1">
        <v>1</v>
      </c>
    </row>
    <row r="98" spans="1:5" ht="13.5" customHeight="1" x14ac:dyDescent="0.3">
      <c r="A98" s="1" t="s">
        <v>126</v>
      </c>
      <c r="B98" s="1" t="s">
        <v>30</v>
      </c>
      <c r="D98" s="1">
        <v>1</v>
      </c>
    </row>
    <row r="99" spans="1:5" ht="13.5" customHeight="1" x14ac:dyDescent="0.3">
      <c r="A99" s="1" t="s">
        <v>127</v>
      </c>
      <c r="B99" s="1" t="s">
        <v>27</v>
      </c>
      <c r="D99" s="1">
        <v>1</v>
      </c>
    </row>
    <row r="100" spans="1:5" ht="13.5" customHeight="1" x14ac:dyDescent="0.3">
      <c r="A100" s="1" t="s">
        <v>128</v>
      </c>
      <c r="B100" s="1" t="s">
        <v>30</v>
      </c>
      <c r="D100" s="1">
        <v>1</v>
      </c>
    </row>
    <row r="101" spans="1:5" ht="13.5" customHeight="1" x14ac:dyDescent="0.3">
      <c r="A101" s="1" t="s">
        <v>129</v>
      </c>
      <c r="B101" s="1" t="s">
        <v>27</v>
      </c>
      <c r="D101" s="1">
        <v>1</v>
      </c>
    </row>
    <row r="102" spans="1:5" ht="13.5" customHeight="1" x14ac:dyDescent="0.3">
      <c r="A102" s="1" t="s">
        <v>130</v>
      </c>
      <c r="B102" s="1" t="s">
        <v>16</v>
      </c>
      <c r="C102" s="1">
        <v>1</v>
      </c>
    </row>
    <row r="103" spans="1:5" ht="13.5" customHeight="1" x14ac:dyDescent="0.3">
      <c r="A103" s="1" t="s">
        <v>131</v>
      </c>
      <c r="B103" s="1" t="s">
        <v>66</v>
      </c>
      <c r="E103" s="1">
        <v>1</v>
      </c>
    </row>
    <row r="104" spans="1:5" ht="13.5" customHeight="1" x14ac:dyDescent="0.3">
      <c r="A104" s="1" t="s">
        <v>132</v>
      </c>
      <c r="B104" s="1" t="s">
        <v>30</v>
      </c>
      <c r="D104" s="1">
        <v>1</v>
      </c>
    </row>
    <row r="105" spans="1:5" ht="13.5" customHeight="1" x14ac:dyDescent="0.3">
      <c r="A105" s="1" t="s">
        <v>133</v>
      </c>
      <c r="B105" s="1" t="s">
        <v>14</v>
      </c>
      <c r="C105" s="1">
        <v>1</v>
      </c>
    </row>
    <row r="106" spans="1:5" ht="13.5" customHeight="1" x14ac:dyDescent="0.3">
      <c r="A106" s="1" t="s">
        <v>134</v>
      </c>
      <c r="B106" s="1" t="s">
        <v>42</v>
      </c>
      <c r="C106" s="1">
        <v>1</v>
      </c>
    </row>
    <row r="107" spans="1:5" ht="13.5" customHeight="1" x14ac:dyDescent="0.3">
      <c r="A107" s="1" t="s">
        <v>135</v>
      </c>
      <c r="B107" s="1" t="s">
        <v>27</v>
      </c>
      <c r="D107" s="1">
        <v>1</v>
      </c>
    </row>
    <row r="108" spans="1:5" ht="13.5" customHeight="1" x14ac:dyDescent="0.3">
      <c r="A108" s="1" t="s">
        <v>136</v>
      </c>
      <c r="B108" s="1" t="s">
        <v>66</v>
      </c>
      <c r="D108" s="1">
        <v>1</v>
      </c>
    </row>
    <row r="109" spans="1:5" ht="13.5" customHeight="1" x14ac:dyDescent="0.3">
      <c r="A109" s="1" t="s">
        <v>137</v>
      </c>
      <c r="B109" s="1" t="s">
        <v>13</v>
      </c>
      <c r="D109" s="1">
        <v>1</v>
      </c>
    </row>
    <row r="110" spans="1:5" ht="13.5" customHeight="1" x14ac:dyDescent="0.3">
      <c r="A110" s="1" t="s">
        <v>138</v>
      </c>
      <c r="B110" s="1" t="s">
        <v>42</v>
      </c>
      <c r="C110" s="1">
        <v>1</v>
      </c>
    </row>
    <row r="111" spans="1:5" ht="13.5" customHeight="1" x14ac:dyDescent="0.3">
      <c r="A111" s="1" t="s">
        <v>139</v>
      </c>
      <c r="B111" s="1" t="s">
        <v>27</v>
      </c>
      <c r="C111" s="1">
        <v>1</v>
      </c>
    </row>
    <row r="112" spans="1:5" ht="13.5" customHeight="1" x14ac:dyDescent="0.3">
      <c r="A112" s="1" t="s">
        <v>140</v>
      </c>
      <c r="B112" s="1" t="s">
        <v>16</v>
      </c>
      <c r="D112" s="1">
        <v>1</v>
      </c>
    </row>
    <row r="113" spans="1:6" ht="13.5" customHeight="1" x14ac:dyDescent="0.3">
      <c r="A113" s="1" t="s">
        <v>141</v>
      </c>
      <c r="B113" s="1" t="s">
        <v>14</v>
      </c>
      <c r="C113" s="1">
        <v>1</v>
      </c>
    </row>
    <row r="114" spans="1:6" ht="13.5" customHeight="1" x14ac:dyDescent="0.3">
      <c r="A114" s="1" t="s">
        <v>142</v>
      </c>
      <c r="B114" s="1" t="s">
        <v>16</v>
      </c>
      <c r="D114" s="1">
        <v>1</v>
      </c>
    </row>
    <row r="115" spans="1:6" ht="13.5" customHeight="1" x14ac:dyDescent="0.3">
      <c r="A115" s="1" t="s">
        <v>143</v>
      </c>
      <c r="B115" s="1" t="s">
        <v>24</v>
      </c>
      <c r="C115" s="1">
        <v>1</v>
      </c>
    </row>
    <row r="116" spans="1:6" ht="13.5" customHeight="1" x14ac:dyDescent="0.3">
      <c r="A116" s="1" t="s">
        <v>144</v>
      </c>
      <c r="B116" s="1" t="s">
        <v>66</v>
      </c>
      <c r="D116" s="1">
        <v>1</v>
      </c>
    </row>
    <row r="117" spans="1:6" ht="13.5" customHeight="1" x14ac:dyDescent="0.3">
      <c r="A117" s="1" t="s">
        <v>145</v>
      </c>
      <c r="B117" s="1" t="s">
        <v>27</v>
      </c>
      <c r="D117" s="1">
        <v>1</v>
      </c>
    </row>
    <row r="118" spans="1:6" ht="13.5" customHeight="1" x14ac:dyDescent="0.3">
      <c r="A118" s="1" t="s">
        <v>146</v>
      </c>
      <c r="B118" s="1" t="s">
        <v>30</v>
      </c>
      <c r="D118" s="1">
        <v>1</v>
      </c>
    </row>
    <row r="119" spans="1:6" ht="13.5" customHeight="1" x14ac:dyDescent="0.3">
      <c r="A119" s="1" t="s">
        <v>147</v>
      </c>
      <c r="B119" s="1" t="s">
        <v>42</v>
      </c>
      <c r="C119" s="1">
        <v>1</v>
      </c>
    </row>
    <row r="120" spans="1:6" ht="13.5" customHeight="1" x14ac:dyDescent="0.3">
      <c r="A120" s="1" t="s">
        <v>148</v>
      </c>
      <c r="B120" s="1" t="s">
        <v>13</v>
      </c>
      <c r="E120" s="1">
        <v>1</v>
      </c>
    </row>
    <row r="121" spans="1:6" ht="13.5" customHeight="1" x14ac:dyDescent="0.3">
      <c r="A121" s="1" t="s">
        <v>149</v>
      </c>
      <c r="B121" s="1" t="s">
        <v>150</v>
      </c>
      <c r="F121" s="1">
        <v>1</v>
      </c>
    </row>
    <row r="122" spans="1:6" ht="13.5" customHeight="1" x14ac:dyDescent="0.3">
      <c r="A122" s="1" t="s">
        <v>151</v>
      </c>
      <c r="B122" s="1" t="s">
        <v>24</v>
      </c>
      <c r="C122" s="1">
        <v>1</v>
      </c>
    </row>
    <row r="123" spans="1:6" ht="13.5" customHeight="1" x14ac:dyDescent="0.3">
      <c r="A123" s="1" t="s">
        <v>152</v>
      </c>
      <c r="B123" s="1" t="s">
        <v>24</v>
      </c>
      <c r="C123" s="1">
        <v>1</v>
      </c>
    </row>
    <row r="124" spans="1:6" ht="13.5" customHeight="1" x14ac:dyDescent="0.3">
      <c r="A124" s="1" t="s">
        <v>153</v>
      </c>
      <c r="B124" s="1" t="s">
        <v>19</v>
      </c>
      <c r="C124" s="1">
        <v>1</v>
      </c>
    </row>
    <row r="125" spans="1:6" ht="13.5" customHeight="1" x14ac:dyDescent="0.3">
      <c r="A125" s="1" t="s">
        <v>154</v>
      </c>
      <c r="B125" s="1" t="s">
        <v>33</v>
      </c>
      <c r="C125" s="1">
        <v>1</v>
      </c>
    </row>
    <row r="126" spans="1:6" ht="13.5" customHeight="1" x14ac:dyDescent="0.3">
      <c r="A126" s="1" t="s">
        <v>155</v>
      </c>
      <c r="B126" s="1" t="s">
        <v>13</v>
      </c>
      <c r="D126" s="1">
        <v>1</v>
      </c>
    </row>
    <row r="127" spans="1:6" ht="13.5" customHeight="1" x14ac:dyDescent="0.3">
      <c r="A127" s="1" t="s">
        <v>156</v>
      </c>
      <c r="B127" s="1" t="s">
        <v>13</v>
      </c>
      <c r="E127" s="1">
        <v>1</v>
      </c>
    </row>
    <row r="128" spans="1:6" ht="13.5" customHeight="1" x14ac:dyDescent="0.3">
      <c r="A128" s="1" t="s">
        <v>157</v>
      </c>
      <c r="B128" s="1" t="s">
        <v>14</v>
      </c>
      <c r="C128" s="1">
        <v>1</v>
      </c>
    </row>
    <row r="129" spans="1:6" ht="13.5" customHeight="1" x14ac:dyDescent="0.3">
      <c r="A129" s="1" t="s">
        <v>158</v>
      </c>
      <c r="B129" s="1" t="s">
        <v>16</v>
      </c>
      <c r="C129" s="1">
        <v>1</v>
      </c>
    </row>
    <row r="130" spans="1:6" ht="13.5" customHeight="1" x14ac:dyDescent="0.3">
      <c r="A130" s="1" t="s">
        <v>159</v>
      </c>
      <c r="B130" s="1" t="s">
        <v>13</v>
      </c>
      <c r="D130" s="1">
        <v>1</v>
      </c>
    </row>
    <row r="131" spans="1:6" ht="13.5" customHeight="1" x14ac:dyDescent="0.3">
      <c r="A131" s="1" t="s">
        <v>160</v>
      </c>
      <c r="B131" s="1" t="s">
        <v>66</v>
      </c>
      <c r="C131" s="1">
        <v>1</v>
      </c>
    </row>
    <row r="132" spans="1:6" ht="13.5" customHeight="1" x14ac:dyDescent="0.3">
      <c r="A132" s="1" t="s">
        <v>161</v>
      </c>
      <c r="B132" s="1" t="s">
        <v>38</v>
      </c>
      <c r="D132" s="1">
        <v>1</v>
      </c>
    </row>
    <row r="133" spans="1:6" ht="13.5" customHeight="1" x14ac:dyDescent="0.3">
      <c r="A133" s="1" t="s">
        <v>162</v>
      </c>
      <c r="B133" s="1" t="s">
        <v>13</v>
      </c>
      <c r="D133" s="1">
        <v>1</v>
      </c>
    </row>
    <row r="134" spans="1:6" ht="13.5" customHeight="1" x14ac:dyDescent="0.3">
      <c r="A134" s="1" t="s">
        <v>163</v>
      </c>
      <c r="B134" s="1" t="s">
        <v>66</v>
      </c>
      <c r="E134" s="1">
        <v>1</v>
      </c>
    </row>
    <row r="135" spans="1:6" ht="13.5" customHeight="1" x14ac:dyDescent="0.3">
      <c r="A135" s="1" t="s">
        <v>164</v>
      </c>
      <c r="B135" s="1" t="s">
        <v>21</v>
      </c>
      <c r="C135" s="1">
        <v>1</v>
      </c>
    </row>
    <row r="136" spans="1:6" ht="13.5" customHeight="1" x14ac:dyDescent="0.3">
      <c r="A136" s="1" t="s">
        <v>165</v>
      </c>
      <c r="B136" s="1" t="s">
        <v>30</v>
      </c>
      <c r="D136" s="1">
        <v>1</v>
      </c>
    </row>
    <row r="137" spans="1:6" ht="13.5" customHeight="1" x14ac:dyDescent="0.3">
      <c r="A137" s="1" t="s">
        <v>166</v>
      </c>
      <c r="B137" s="1" t="s">
        <v>30</v>
      </c>
      <c r="D137" s="1">
        <v>1</v>
      </c>
    </row>
    <row r="138" spans="1:6" ht="13.5" customHeight="1" x14ac:dyDescent="0.3">
      <c r="A138" s="1" t="s">
        <v>167</v>
      </c>
      <c r="B138" s="1" t="s">
        <v>19</v>
      </c>
      <c r="C138" s="1">
        <v>1</v>
      </c>
    </row>
    <row r="139" spans="1:6" ht="13.5" customHeight="1" x14ac:dyDescent="0.3">
      <c r="A139" s="1" t="s">
        <v>168</v>
      </c>
      <c r="B139" s="1" t="s">
        <v>13</v>
      </c>
      <c r="D139" s="1">
        <v>1</v>
      </c>
    </row>
    <row r="140" spans="1:6" ht="13.5" customHeight="1" x14ac:dyDescent="0.3">
      <c r="A140" s="1" t="s">
        <v>169</v>
      </c>
      <c r="B140" s="1" t="s">
        <v>27</v>
      </c>
      <c r="D140" s="1">
        <v>1</v>
      </c>
    </row>
    <row r="141" spans="1:6" ht="13.5" customHeight="1" x14ac:dyDescent="0.3">
      <c r="A141" s="1" t="s">
        <v>170</v>
      </c>
      <c r="B141" s="1" t="s">
        <v>16</v>
      </c>
      <c r="C141" s="1">
        <v>1</v>
      </c>
    </row>
    <row r="142" spans="1:6" ht="13.5" customHeight="1" x14ac:dyDescent="0.3">
      <c r="A142" s="1" t="s">
        <v>171</v>
      </c>
      <c r="B142" s="1" t="s">
        <v>19</v>
      </c>
      <c r="C142" s="1">
        <v>1</v>
      </c>
    </row>
    <row r="143" spans="1:6" ht="13.5" customHeight="1" x14ac:dyDescent="0.3">
      <c r="A143" s="1" t="s">
        <v>172</v>
      </c>
      <c r="B143" s="1" t="s">
        <v>37</v>
      </c>
      <c r="F143" s="1">
        <v>1</v>
      </c>
    </row>
    <row r="144" spans="1:6" ht="13.5" customHeight="1" x14ac:dyDescent="0.3">
      <c r="A144" s="1" t="s">
        <v>173</v>
      </c>
      <c r="B144" s="1" t="s">
        <v>27</v>
      </c>
      <c r="C144" s="1">
        <v>1</v>
      </c>
    </row>
    <row r="145" spans="1:5" ht="13.5" customHeight="1" x14ac:dyDescent="0.3">
      <c r="A145" s="1" t="s">
        <v>174</v>
      </c>
      <c r="B145" s="1" t="s">
        <v>66</v>
      </c>
      <c r="D145" s="1">
        <v>1</v>
      </c>
    </row>
    <row r="146" spans="1:5" ht="13.5" customHeight="1" x14ac:dyDescent="0.3">
      <c r="A146" s="1" t="s">
        <v>175</v>
      </c>
      <c r="B146" s="1" t="s">
        <v>14</v>
      </c>
      <c r="C146" s="1">
        <v>1</v>
      </c>
    </row>
    <row r="147" spans="1:5" ht="13.5" customHeight="1" x14ac:dyDescent="0.3">
      <c r="A147" s="1" t="s">
        <v>176</v>
      </c>
      <c r="B147" s="1" t="s">
        <v>66</v>
      </c>
      <c r="E147" s="1">
        <v>1</v>
      </c>
    </row>
    <row r="148" spans="1:5" ht="13.5" customHeight="1" x14ac:dyDescent="0.3">
      <c r="A148" s="1" t="s">
        <v>177</v>
      </c>
      <c r="B148" s="1" t="s">
        <v>42</v>
      </c>
      <c r="C148" s="1">
        <v>1</v>
      </c>
    </row>
    <row r="149" spans="1:5" ht="13.5" customHeight="1" x14ac:dyDescent="0.3">
      <c r="A149" s="1" t="s">
        <v>178</v>
      </c>
      <c r="B149" s="1" t="s">
        <v>33</v>
      </c>
      <c r="D149" s="1">
        <v>1</v>
      </c>
    </row>
    <row r="150" spans="1:5" ht="13.5" customHeight="1" x14ac:dyDescent="0.3">
      <c r="A150" s="1" t="s">
        <v>179</v>
      </c>
      <c r="B150" s="1" t="s">
        <v>14</v>
      </c>
      <c r="C150" s="1">
        <v>1</v>
      </c>
    </row>
    <row r="151" spans="1:5" ht="13.5" customHeight="1" x14ac:dyDescent="0.3">
      <c r="A151" s="1" t="s">
        <v>180</v>
      </c>
      <c r="B151" s="1" t="s">
        <v>13</v>
      </c>
      <c r="D151" s="1">
        <v>1</v>
      </c>
    </row>
    <row r="152" spans="1:5" ht="13.5" customHeight="1" x14ac:dyDescent="0.3">
      <c r="A152" s="1" t="s">
        <v>181</v>
      </c>
      <c r="B152" s="1" t="s">
        <v>24</v>
      </c>
      <c r="C152" s="1">
        <v>1</v>
      </c>
    </row>
    <row r="153" spans="1:5" ht="13.5" customHeight="1" x14ac:dyDescent="0.3">
      <c r="A153" s="1" t="s">
        <v>182</v>
      </c>
      <c r="B153" s="1" t="s">
        <v>19</v>
      </c>
      <c r="C153" s="1">
        <v>1</v>
      </c>
    </row>
    <row r="154" spans="1:5" ht="13.5" customHeight="1" x14ac:dyDescent="0.3">
      <c r="A154" s="1" t="s">
        <v>183</v>
      </c>
      <c r="B154" s="1" t="s">
        <v>42</v>
      </c>
      <c r="C154" s="1">
        <v>1</v>
      </c>
    </row>
    <row r="155" spans="1:5" ht="13.5" customHeight="1" x14ac:dyDescent="0.3">
      <c r="A155" s="1" t="s">
        <v>184</v>
      </c>
      <c r="B155" s="1" t="s">
        <v>19</v>
      </c>
      <c r="C155" s="1">
        <v>1</v>
      </c>
    </row>
    <row r="156" spans="1:5" ht="13.5" customHeight="1" x14ac:dyDescent="0.3">
      <c r="A156" s="1" t="s">
        <v>185</v>
      </c>
      <c r="B156" s="1" t="s">
        <v>30</v>
      </c>
      <c r="D156" s="1">
        <v>1</v>
      </c>
    </row>
    <row r="157" spans="1:5" ht="13.5" customHeight="1" x14ac:dyDescent="0.3"/>
    <row r="158" spans="1:5" ht="13.5" customHeight="1" x14ac:dyDescent="0.3"/>
    <row r="159" spans="1:5" ht="13.5" customHeight="1" x14ac:dyDescent="0.3"/>
    <row r="160" spans="1:5" ht="13.5" customHeight="1" x14ac:dyDescent="0.3"/>
    <row r="161" s="1" customFormat="1" ht="13.5" customHeight="1" x14ac:dyDescent="0.3"/>
    <row r="162" s="1" customFormat="1" ht="13.5" customHeight="1" x14ac:dyDescent="0.3"/>
    <row r="163" s="1" customFormat="1" ht="13.5" customHeight="1" x14ac:dyDescent="0.3"/>
    <row r="164" s="1" customFormat="1" ht="13.5" customHeight="1" x14ac:dyDescent="0.3"/>
    <row r="165" s="1" customFormat="1" ht="13.5" customHeight="1" x14ac:dyDescent="0.3"/>
    <row r="166" s="1" customFormat="1" ht="13.5" customHeight="1" x14ac:dyDescent="0.3"/>
    <row r="167" s="1" customFormat="1" ht="13.5" customHeight="1" x14ac:dyDescent="0.3"/>
    <row r="168" s="1" customFormat="1" ht="13.5" customHeight="1" x14ac:dyDescent="0.3"/>
    <row r="169" s="1" customFormat="1" ht="13.5" customHeight="1" x14ac:dyDescent="0.3"/>
    <row r="170" s="1" customFormat="1" ht="13.5" customHeight="1" x14ac:dyDescent="0.3"/>
    <row r="171" s="1" customFormat="1" ht="13.5" customHeight="1" x14ac:dyDescent="0.3"/>
    <row r="172" s="1" customFormat="1" ht="13.5" customHeight="1" x14ac:dyDescent="0.3"/>
    <row r="173" s="1" customFormat="1" ht="13.5" customHeight="1" x14ac:dyDescent="0.3"/>
    <row r="174" s="1" customFormat="1" ht="13.5" customHeight="1" x14ac:dyDescent="0.3"/>
    <row r="175" s="1" customFormat="1" ht="13.5" customHeight="1" x14ac:dyDescent="0.3"/>
    <row r="176" s="1" customFormat="1" ht="13.5" customHeight="1" x14ac:dyDescent="0.3"/>
    <row r="177" s="1" customFormat="1" ht="13.5" customHeight="1" x14ac:dyDescent="0.3"/>
    <row r="178" s="1" customFormat="1" ht="13.5" customHeight="1" x14ac:dyDescent="0.3"/>
    <row r="179" s="1" customFormat="1" ht="13.5" customHeight="1" x14ac:dyDescent="0.3"/>
    <row r="180" s="1" customFormat="1" ht="13.5" customHeight="1" x14ac:dyDescent="0.3"/>
    <row r="181" s="1" customFormat="1" ht="13.5" customHeight="1" x14ac:dyDescent="0.3"/>
    <row r="182" s="1" customFormat="1" ht="13.5" customHeight="1" x14ac:dyDescent="0.3"/>
    <row r="183" s="1" customFormat="1" ht="13.5" customHeight="1" x14ac:dyDescent="0.3"/>
    <row r="184" s="1" customFormat="1" ht="13.5" customHeight="1" x14ac:dyDescent="0.3"/>
    <row r="185" s="1" customFormat="1" ht="13.5" customHeight="1" x14ac:dyDescent="0.3"/>
    <row r="186" s="1" customFormat="1" ht="13.5" customHeight="1" x14ac:dyDescent="0.3"/>
    <row r="187" s="1" customFormat="1" ht="13.5" customHeight="1" x14ac:dyDescent="0.3"/>
    <row r="188" s="1" customFormat="1" ht="13.5" customHeight="1" x14ac:dyDescent="0.3"/>
    <row r="189" s="1" customFormat="1" ht="13.5" customHeight="1" x14ac:dyDescent="0.3"/>
    <row r="190" s="1" customFormat="1" ht="13.5" customHeight="1" x14ac:dyDescent="0.3"/>
    <row r="191" s="1" customFormat="1" ht="13.5" customHeight="1" x14ac:dyDescent="0.3"/>
    <row r="192" s="1" customFormat="1" ht="13.5" customHeight="1" x14ac:dyDescent="0.3"/>
    <row r="193" s="1" customFormat="1" ht="13.5" customHeight="1" x14ac:dyDescent="0.3"/>
    <row r="194" s="1" customFormat="1" ht="13.5" customHeight="1" x14ac:dyDescent="0.3"/>
    <row r="195" s="1" customFormat="1" ht="13.5" customHeight="1" x14ac:dyDescent="0.3"/>
    <row r="196" s="1" customFormat="1" ht="13.5" customHeight="1" x14ac:dyDescent="0.3"/>
    <row r="197" s="1" customFormat="1" ht="13.5" customHeight="1" x14ac:dyDescent="0.3"/>
    <row r="198" s="1" customFormat="1" ht="13.5" customHeight="1" x14ac:dyDescent="0.3"/>
    <row r="199" s="1" customFormat="1" ht="13.5" customHeight="1" x14ac:dyDescent="0.3"/>
    <row r="200" s="1" customFormat="1" ht="13.5" customHeight="1" x14ac:dyDescent="0.3"/>
    <row r="201" s="1" customFormat="1" ht="13.5" customHeight="1" x14ac:dyDescent="0.3"/>
    <row r="202" s="1" customFormat="1" ht="13.5" customHeight="1" x14ac:dyDescent="0.3"/>
    <row r="203" s="1" customFormat="1" ht="13.5" customHeight="1" x14ac:dyDescent="0.3"/>
    <row r="204" s="1" customFormat="1" ht="13.5" customHeight="1" x14ac:dyDescent="0.3"/>
    <row r="205" s="1" customFormat="1" ht="13.5" customHeight="1" x14ac:dyDescent="0.3"/>
    <row r="206" s="1" customFormat="1" ht="13.5" customHeight="1" x14ac:dyDescent="0.3"/>
    <row r="207" s="1" customFormat="1" ht="13.5" customHeight="1" x14ac:dyDescent="0.3"/>
    <row r="208" s="1" customFormat="1" ht="13.5" customHeight="1" x14ac:dyDescent="0.3"/>
    <row r="209" s="1" customFormat="1" ht="13.5" customHeight="1" x14ac:dyDescent="0.3"/>
    <row r="210" s="1" customFormat="1" ht="13.5" customHeight="1" x14ac:dyDescent="0.3"/>
    <row r="211" s="1" customFormat="1" ht="13.5" customHeight="1" x14ac:dyDescent="0.3"/>
    <row r="212" s="1" customFormat="1" ht="13.5" customHeight="1" x14ac:dyDescent="0.3"/>
    <row r="213" s="1" customFormat="1" ht="13.5" customHeight="1" x14ac:dyDescent="0.3"/>
    <row r="214" s="1" customFormat="1" ht="13.5" customHeight="1" x14ac:dyDescent="0.3"/>
    <row r="215" s="1" customFormat="1" ht="13.5" customHeight="1" x14ac:dyDescent="0.3"/>
    <row r="216" s="1" customFormat="1" ht="13.5" customHeight="1" x14ac:dyDescent="0.3"/>
    <row r="217" s="1" customFormat="1" ht="13.5" customHeight="1" x14ac:dyDescent="0.3"/>
    <row r="218" s="1" customFormat="1" ht="13.5" customHeight="1" x14ac:dyDescent="0.3"/>
    <row r="219" s="1" customFormat="1" ht="13.5" customHeight="1" x14ac:dyDescent="0.3"/>
    <row r="220" s="1" customFormat="1" ht="13.5" customHeight="1" x14ac:dyDescent="0.3"/>
    <row r="221" s="1" customFormat="1" ht="13.5" customHeight="1" x14ac:dyDescent="0.3"/>
    <row r="222" s="1" customFormat="1" ht="13.5" customHeight="1" x14ac:dyDescent="0.3"/>
    <row r="223" s="1" customFormat="1" ht="13.5" customHeight="1" x14ac:dyDescent="0.3"/>
    <row r="224" s="1" customFormat="1" ht="13.5" customHeight="1" x14ac:dyDescent="0.3"/>
    <row r="225" s="1" customFormat="1" ht="13.5" customHeight="1" x14ac:dyDescent="0.3"/>
    <row r="226" s="1" customFormat="1" ht="13.5" customHeight="1" x14ac:dyDescent="0.3"/>
    <row r="227" s="1" customFormat="1" ht="13.5" customHeight="1" x14ac:dyDescent="0.3"/>
    <row r="228" s="1" customFormat="1" ht="13.5" customHeight="1" x14ac:dyDescent="0.3"/>
    <row r="229" s="1" customFormat="1" ht="13.5" customHeight="1" x14ac:dyDescent="0.3"/>
    <row r="230" s="1" customFormat="1" ht="13.5" customHeight="1" x14ac:dyDescent="0.3"/>
    <row r="231" s="1" customFormat="1" ht="13.5" customHeight="1" x14ac:dyDescent="0.3"/>
    <row r="232" s="1" customFormat="1" ht="13.5" customHeight="1" x14ac:dyDescent="0.3"/>
    <row r="233" s="1" customFormat="1" ht="13.5" customHeight="1" x14ac:dyDescent="0.3"/>
    <row r="234" s="1" customFormat="1" ht="13.5" customHeight="1" x14ac:dyDescent="0.3"/>
    <row r="235" s="1" customFormat="1" ht="13.5" customHeight="1" x14ac:dyDescent="0.3"/>
    <row r="236" s="1" customFormat="1" ht="13.5" customHeight="1" x14ac:dyDescent="0.3"/>
    <row r="237" s="1" customFormat="1" ht="13.5" customHeight="1" x14ac:dyDescent="0.3"/>
    <row r="238" s="1" customFormat="1" ht="13.5" customHeight="1" x14ac:dyDescent="0.3"/>
    <row r="239" s="1" customFormat="1" ht="13.5" customHeight="1" x14ac:dyDescent="0.3"/>
    <row r="240" s="1" customFormat="1" ht="13.5" customHeight="1" x14ac:dyDescent="0.3"/>
    <row r="241" s="1" customFormat="1" ht="13.5" customHeight="1" x14ac:dyDescent="0.3"/>
    <row r="242" s="1" customFormat="1" ht="13.5" customHeight="1" x14ac:dyDescent="0.3"/>
    <row r="243" s="1" customFormat="1" ht="13.5" customHeight="1" x14ac:dyDescent="0.3"/>
    <row r="244" s="1" customFormat="1" ht="13.5" customHeight="1" x14ac:dyDescent="0.3"/>
    <row r="245" s="1" customFormat="1" ht="13.5" customHeight="1" x14ac:dyDescent="0.3"/>
    <row r="246" s="1" customFormat="1" ht="13.5" customHeight="1" x14ac:dyDescent="0.3"/>
    <row r="247" s="1" customFormat="1" ht="13.5" customHeight="1" x14ac:dyDescent="0.3"/>
    <row r="248" s="1" customFormat="1" ht="13.5" customHeight="1" x14ac:dyDescent="0.3"/>
    <row r="249" s="1" customFormat="1" ht="13.5" customHeight="1" x14ac:dyDescent="0.3"/>
    <row r="250" s="1" customFormat="1" ht="13.5" customHeight="1" x14ac:dyDescent="0.3"/>
    <row r="251" s="1" customFormat="1" ht="13.5" customHeight="1" x14ac:dyDescent="0.3"/>
    <row r="252" s="1" customFormat="1" ht="13.5" customHeight="1" x14ac:dyDescent="0.3"/>
    <row r="253" s="1" customFormat="1" ht="13.5" customHeight="1" x14ac:dyDescent="0.3"/>
    <row r="254" s="1" customFormat="1" ht="13.5" customHeight="1" x14ac:dyDescent="0.3"/>
    <row r="255" s="1" customFormat="1" ht="13.5" customHeight="1" x14ac:dyDescent="0.3"/>
    <row r="256" s="1" customFormat="1" ht="13.5" customHeight="1" x14ac:dyDescent="0.3"/>
    <row r="257" s="1" customFormat="1" ht="13.5" customHeight="1" x14ac:dyDescent="0.3"/>
    <row r="258" s="1" customFormat="1" ht="13.5" customHeight="1" x14ac:dyDescent="0.3"/>
    <row r="259" s="1" customFormat="1" ht="13.5" customHeight="1" x14ac:dyDescent="0.3"/>
    <row r="260" s="1" customFormat="1" ht="13.5" customHeight="1" x14ac:dyDescent="0.3"/>
    <row r="261" s="1" customFormat="1" ht="13.5" customHeight="1" x14ac:dyDescent="0.3"/>
    <row r="262" s="1" customFormat="1" ht="13.5" customHeight="1" x14ac:dyDescent="0.3"/>
    <row r="263" s="1" customFormat="1" ht="13.5" customHeight="1" x14ac:dyDescent="0.3"/>
    <row r="264" s="1" customFormat="1" ht="13.5" customHeight="1" x14ac:dyDescent="0.3"/>
    <row r="265" s="1" customFormat="1" ht="13.5" customHeight="1" x14ac:dyDescent="0.3"/>
    <row r="266" s="1" customFormat="1" ht="13.5" customHeight="1" x14ac:dyDescent="0.3"/>
    <row r="267" s="1" customFormat="1" ht="13.5" customHeight="1" x14ac:dyDescent="0.3"/>
    <row r="268" s="1" customFormat="1" ht="13.5" customHeight="1" x14ac:dyDescent="0.3"/>
    <row r="269" s="1" customFormat="1" ht="13.5" customHeight="1" x14ac:dyDescent="0.3"/>
    <row r="270" s="1" customFormat="1" ht="13.5" customHeight="1" x14ac:dyDescent="0.3"/>
    <row r="271" s="1" customFormat="1" ht="13.5" customHeight="1" x14ac:dyDescent="0.3"/>
    <row r="272" s="1" customFormat="1" ht="13.5" customHeight="1" x14ac:dyDescent="0.3"/>
    <row r="273" s="1" customFormat="1" ht="13.5" customHeight="1" x14ac:dyDescent="0.3"/>
    <row r="274" s="1" customFormat="1" ht="13.5" customHeight="1" x14ac:dyDescent="0.3"/>
    <row r="275" s="1" customFormat="1" ht="13.5" customHeight="1" x14ac:dyDescent="0.3"/>
    <row r="276" s="1" customFormat="1" ht="13.5" customHeight="1" x14ac:dyDescent="0.3"/>
    <row r="277" s="1" customFormat="1" ht="13.5" customHeight="1" x14ac:dyDescent="0.3"/>
    <row r="278" s="1" customFormat="1" ht="13.5" customHeight="1" x14ac:dyDescent="0.3"/>
    <row r="279" s="1" customFormat="1" ht="13.5" customHeight="1" x14ac:dyDescent="0.3"/>
    <row r="280" s="1" customFormat="1" ht="13.5" customHeight="1" x14ac:dyDescent="0.3"/>
    <row r="281" s="1" customFormat="1" ht="13.5" customHeight="1" x14ac:dyDescent="0.3"/>
    <row r="282" s="1" customFormat="1" ht="13.5" customHeight="1" x14ac:dyDescent="0.3"/>
    <row r="283" s="1" customFormat="1" ht="13.5" customHeight="1" x14ac:dyDescent="0.3"/>
    <row r="284" s="1" customFormat="1" ht="13.5" customHeight="1" x14ac:dyDescent="0.3"/>
    <row r="285" s="1" customFormat="1" ht="13.5" customHeight="1" x14ac:dyDescent="0.3"/>
    <row r="286" s="1" customFormat="1" ht="13.5" customHeight="1" x14ac:dyDescent="0.3"/>
    <row r="287" s="1" customFormat="1" ht="13.5" customHeight="1" x14ac:dyDescent="0.3"/>
    <row r="288" s="1" customFormat="1" ht="13.5" customHeight="1" x14ac:dyDescent="0.3"/>
    <row r="289" s="1" customFormat="1" ht="13.5" customHeight="1" x14ac:dyDescent="0.3"/>
    <row r="290" s="1" customFormat="1" ht="13.5" customHeight="1" x14ac:dyDescent="0.3"/>
    <row r="291" s="1" customFormat="1" ht="13.5" customHeight="1" x14ac:dyDescent="0.3"/>
    <row r="292" s="1" customFormat="1" ht="13.5" customHeight="1" x14ac:dyDescent="0.3"/>
    <row r="293" s="1" customFormat="1" ht="13.5" customHeight="1" x14ac:dyDescent="0.3"/>
    <row r="294" s="1" customFormat="1" ht="13.5" customHeight="1" x14ac:dyDescent="0.3"/>
    <row r="295" s="1" customFormat="1" ht="13.5" customHeight="1" x14ac:dyDescent="0.3"/>
    <row r="296" s="1" customFormat="1" ht="13.5" customHeight="1" x14ac:dyDescent="0.3"/>
    <row r="297" s="1" customFormat="1" ht="13.5" customHeight="1" x14ac:dyDescent="0.3"/>
    <row r="298" s="1" customFormat="1" ht="13.5" customHeight="1" x14ac:dyDescent="0.3"/>
    <row r="299" s="1" customFormat="1" ht="13.5" customHeight="1" x14ac:dyDescent="0.3"/>
    <row r="300" s="1" customFormat="1" ht="13.5" customHeight="1" x14ac:dyDescent="0.3"/>
    <row r="301" s="1" customFormat="1" ht="13.5" customHeight="1" x14ac:dyDescent="0.3"/>
    <row r="302" s="1" customFormat="1" ht="13.5" customHeight="1" x14ac:dyDescent="0.3"/>
    <row r="303" s="1" customFormat="1" ht="13.5" customHeight="1" x14ac:dyDescent="0.3"/>
    <row r="304" s="1" customFormat="1" ht="13.5" customHeight="1" x14ac:dyDescent="0.3"/>
    <row r="305" s="1" customFormat="1" ht="13.5" customHeight="1" x14ac:dyDescent="0.3"/>
    <row r="306" s="1" customFormat="1" ht="13.5" customHeight="1" x14ac:dyDescent="0.3"/>
    <row r="307" s="1" customFormat="1" ht="13.5" customHeight="1" x14ac:dyDescent="0.3"/>
    <row r="308" s="1" customFormat="1" ht="13.5" customHeight="1" x14ac:dyDescent="0.3"/>
    <row r="309" s="1" customFormat="1" ht="13.5" customHeight="1" x14ac:dyDescent="0.3"/>
    <row r="310" s="1" customFormat="1" ht="13.5" customHeight="1" x14ac:dyDescent="0.3"/>
    <row r="311" s="1" customFormat="1" ht="13.5" customHeight="1" x14ac:dyDescent="0.3"/>
    <row r="312" s="1" customFormat="1" ht="13.5" customHeight="1" x14ac:dyDescent="0.3"/>
    <row r="313" s="1" customFormat="1" ht="13.5" customHeight="1" x14ac:dyDescent="0.3"/>
    <row r="314" s="1" customFormat="1" ht="13.5" customHeight="1" x14ac:dyDescent="0.3"/>
    <row r="315" s="1" customFormat="1" ht="13.5" customHeight="1" x14ac:dyDescent="0.3"/>
    <row r="316" s="1" customFormat="1" ht="13.5" customHeight="1" x14ac:dyDescent="0.3"/>
    <row r="317" s="1" customFormat="1" ht="13.5" customHeight="1" x14ac:dyDescent="0.3"/>
    <row r="318" s="1" customFormat="1" ht="13.5" customHeight="1" x14ac:dyDescent="0.3"/>
    <row r="319" s="1" customFormat="1" ht="13.5" customHeight="1" x14ac:dyDescent="0.3"/>
    <row r="320" s="1" customFormat="1" ht="13.5" customHeight="1" x14ac:dyDescent="0.3"/>
    <row r="321" s="1" customFormat="1" ht="13.5" customHeight="1" x14ac:dyDescent="0.3"/>
    <row r="322" s="1" customFormat="1" ht="13.5" customHeight="1" x14ac:dyDescent="0.3"/>
    <row r="323" s="1" customFormat="1" ht="13.5" customHeight="1" x14ac:dyDescent="0.3"/>
    <row r="324" s="1" customFormat="1" ht="13.5" customHeight="1" x14ac:dyDescent="0.3"/>
    <row r="325" s="1" customFormat="1" ht="13.5" customHeight="1" x14ac:dyDescent="0.3"/>
    <row r="326" s="1" customFormat="1" ht="13.5" customHeight="1" x14ac:dyDescent="0.3"/>
    <row r="327" s="1" customFormat="1" ht="13.5" customHeight="1" x14ac:dyDescent="0.3"/>
    <row r="328" s="1" customFormat="1" ht="13.5" customHeight="1" x14ac:dyDescent="0.3"/>
    <row r="329" s="1" customFormat="1" ht="13.5" customHeight="1" x14ac:dyDescent="0.3"/>
    <row r="330" s="1" customFormat="1" ht="13.5" customHeight="1" x14ac:dyDescent="0.3"/>
    <row r="331" s="1" customFormat="1" ht="13.5" customHeight="1" x14ac:dyDescent="0.3"/>
    <row r="332" s="1" customFormat="1" ht="13.5" customHeight="1" x14ac:dyDescent="0.3"/>
    <row r="333" s="1" customFormat="1" ht="13.5" customHeight="1" x14ac:dyDescent="0.3"/>
    <row r="334" s="1" customFormat="1" ht="13.5" customHeight="1" x14ac:dyDescent="0.3"/>
    <row r="335" s="1" customFormat="1" ht="13.5" customHeight="1" x14ac:dyDescent="0.3"/>
    <row r="336" s="1" customFormat="1" ht="13.5" customHeight="1" x14ac:dyDescent="0.3"/>
    <row r="337" s="1" customFormat="1" ht="13.5" customHeight="1" x14ac:dyDescent="0.3"/>
    <row r="338" s="1" customFormat="1" ht="13.5" customHeight="1" x14ac:dyDescent="0.3"/>
    <row r="339" s="1" customFormat="1" ht="13.5" customHeight="1" x14ac:dyDescent="0.3"/>
    <row r="340" s="1" customFormat="1" ht="13.5" customHeight="1" x14ac:dyDescent="0.3"/>
    <row r="341" s="1" customFormat="1" ht="13.5" customHeight="1" x14ac:dyDescent="0.3"/>
    <row r="342" s="1" customFormat="1" ht="13.5" customHeight="1" x14ac:dyDescent="0.3"/>
    <row r="343" s="1" customFormat="1" ht="13.5" customHeight="1" x14ac:dyDescent="0.3"/>
    <row r="344" s="1" customFormat="1" ht="13.5" customHeight="1" x14ac:dyDescent="0.3"/>
    <row r="345" s="1" customFormat="1" ht="13.5" customHeight="1" x14ac:dyDescent="0.3"/>
    <row r="346" s="1" customFormat="1" ht="13.5" customHeight="1" x14ac:dyDescent="0.3"/>
    <row r="347" s="1" customFormat="1" ht="13.5" customHeight="1" x14ac:dyDescent="0.3"/>
    <row r="348" s="1" customFormat="1" ht="13.5" customHeight="1" x14ac:dyDescent="0.3"/>
    <row r="349" s="1" customFormat="1" ht="13.5" customHeight="1" x14ac:dyDescent="0.3"/>
    <row r="350" s="1" customFormat="1" ht="13.5" customHeight="1" x14ac:dyDescent="0.3"/>
    <row r="351" s="1" customFormat="1" ht="13.5" customHeight="1" x14ac:dyDescent="0.3"/>
    <row r="352" s="1" customFormat="1" ht="13.5" customHeight="1" x14ac:dyDescent="0.3"/>
    <row r="353" s="1" customFormat="1" ht="13.5" customHeight="1" x14ac:dyDescent="0.3"/>
    <row r="354" s="1" customFormat="1" ht="13.5" customHeight="1" x14ac:dyDescent="0.3"/>
    <row r="355" s="1" customFormat="1" ht="13.5" customHeight="1" x14ac:dyDescent="0.3"/>
    <row r="356" s="1" customFormat="1" ht="13.5" customHeight="1" x14ac:dyDescent="0.3"/>
    <row r="357" s="1" customFormat="1" ht="13.5" customHeight="1" x14ac:dyDescent="0.3"/>
    <row r="358" s="1" customFormat="1" ht="13.5" customHeight="1" x14ac:dyDescent="0.3"/>
    <row r="359" s="1" customFormat="1" ht="13.5" customHeight="1" x14ac:dyDescent="0.3"/>
    <row r="360" s="1" customFormat="1" ht="13.5" customHeight="1" x14ac:dyDescent="0.3"/>
    <row r="361" s="1" customFormat="1" ht="13.5" customHeight="1" x14ac:dyDescent="0.3"/>
    <row r="362" s="1" customFormat="1" ht="13.5" customHeight="1" x14ac:dyDescent="0.3"/>
    <row r="363" s="1" customFormat="1" ht="13.5" customHeight="1" x14ac:dyDescent="0.3"/>
    <row r="364" s="1" customFormat="1" ht="13.5" customHeight="1" x14ac:dyDescent="0.3"/>
    <row r="365" s="1" customFormat="1" ht="13.5" customHeight="1" x14ac:dyDescent="0.3"/>
    <row r="366" s="1" customFormat="1" ht="13.5" customHeight="1" x14ac:dyDescent="0.3"/>
    <row r="367" s="1" customFormat="1" ht="13.5" customHeight="1" x14ac:dyDescent="0.3"/>
    <row r="368" s="1" customFormat="1" ht="13.5" customHeight="1" x14ac:dyDescent="0.3"/>
    <row r="369" s="1" customFormat="1" ht="13.5" customHeight="1" x14ac:dyDescent="0.3"/>
    <row r="370" s="1" customFormat="1" ht="13.5" customHeight="1" x14ac:dyDescent="0.3"/>
    <row r="371" s="1" customFormat="1" ht="13.5" customHeight="1" x14ac:dyDescent="0.3"/>
    <row r="372" s="1" customFormat="1" ht="13.5" customHeight="1" x14ac:dyDescent="0.3"/>
    <row r="373" s="1" customFormat="1" ht="13.5" customHeight="1" x14ac:dyDescent="0.3"/>
    <row r="374" s="1" customFormat="1" ht="13.5" customHeight="1" x14ac:dyDescent="0.3"/>
    <row r="375" s="1" customFormat="1" ht="13.5" customHeight="1" x14ac:dyDescent="0.3"/>
    <row r="376" s="1" customFormat="1" ht="13.5" customHeight="1" x14ac:dyDescent="0.3"/>
    <row r="377" s="1" customFormat="1" ht="13.5" customHeight="1" x14ac:dyDescent="0.3"/>
    <row r="378" s="1" customFormat="1" ht="13.5" customHeight="1" x14ac:dyDescent="0.3"/>
    <row r="379" s="1" customFormat="1" ht="13.5" customHeight="1" x14ac:dyDescent="0.3"/>
    <row r="380" s="1" customFormat="1" ht="13.5" customHeight="1" x14ac:dyDescent="0.3"/>
    <row r="381" s="1" customFormat="1" ht="13.5" customHeight="1" x14ac:dyDescent="0.3"/>
    <row r="382" s="1" customFormat="1" ht="13.5" customHeight="1" x14ac:dyDescent="0.3"/>
    <row r="383" s="1" customFormat="1" ht="13.5" customHeight="1" x14ac:dyDescent="0.3"/>
    <row r="384" s="1" customFormat="1" ht="13.5" customHeight="1" x14ac:dyDescent="0.3"/>
    <row r="385" s="1" customFormat="1" ht="13.5" customHeight="1" x14ac:dyDescent="0.3"/>
    <row r="386" s="1" customFormat="1" ht="13.5" customHeight="1" x14ac:dyDescent="0.3"/>
    <row r="387" s="1" customFormat="1" ht="13.5" customHeight="1" x14ac:dyDescent="0.3"/>
    <row r="388" s="1" customFormat="1" ht="13.5" customHeight="1" x14ac:dyDescent="0.3"/>
    <row r="389" s="1" customFormat="1" ht="13.5" customHeight="1" x14ac:dyDescent="0.3"/>
    <row r="390" s="1" customFormat="1" ht="13.5" customHeight="1" x14ac:dyDescent="0.3"/>
    <row r="391" s="1" customFormat="1" ht="13.5" customHeight="1" x14ac:dyDescent="0.3"/>
    <row r="392" s="1" customFormat="1" ht="13.5" customHeight="1" x14ac:dyDescent="0.3"/>
    <row r="393" s="1" customFormat="1" ht="13.5" customHeight="1" x14ac:dyDescent="0.3"/>
    <row r="394" s="1" customFormat="1" ht="13.5" customHeight="1" x14ac:dyDescent="0.3"/>
    <row r="395" s="1" customFormat="1" ht="13.5" customHeight="1" x14ac:dyDescent="0.3"/>
    <row r="396" s="1" customFormat="1" ht="13.5" customHeight="1" x14ac:dyDescent="0.3"/>
    <row r="397" s="1" customFormat="1" ht="13.5" customHeight="1" x14ac:dyDescent="0.3"/>
    <row r="398" s="1" customFormat="1" ht="13.5" customHeight="1" x14ac:dyDescent="0.3"/>
    <row r="399" s="1" customFormat="1" ht="13.5" customHeight="1" x14ac:dyDescent="0.3"/>
    <row r="400" s="1" customFormat="1" ht="13.5" customHeight="1" x14ac:dyDescent="0.3"/>
    <row r="401" s="1" customFormat="1" ht="13.5" customHeight="1" x14ac:dyDescent="0.3"/>
    <row r="402" s="1" customFormat="1" ht="13.5" customHeight="1" x14ac:dyDescent="0.3"/>
    <row r="403" s="1" customFormat="1" ht="13.5" customHeight="1" x14ac:dyDescent="0.3"/>
    <row r="404" s="1" customFormat="1" ht="13.5" customHeight="1" x14ac:dyDescent="0.3"/>
    <row r="405" s="1" customFormat="1" ht="13.5" customHeight="1" x14ac:dyDescent="0.3"/>
    <row r="406" s="1" customFormat="1" ht="13.5" customHeight="1" x14ac:dyDescent="0.3"/>
    <row r="407" s="1" customFormat="1" ht="13.5" customHeight="1" x14ac:dyDescent="0.3"/>
    <row r="408" s="1" customFormat="1" ht="13.5" customHeight="1" x14ac:dyDescent="0.3"/>
    <row r="409" s="1" customFormat="1" ht="13.5" customHeight="1" x14ac:dyDescent="0.3"/>
    <row r="410" s="1" customFormat="1" ht="13.5" customHeight="1" x14ac:dyDescent="0.3"/>
    <row r="411" s="1" customFormat="1" ht="13.5" customHeight="1" x14ac:dyDescent="0.3"/>
    <row r="412" s="1" customFormat="1" ht="13.5" customHeight="1" x14ac:dyDescent="0.3"/>
    <row r="413" s="1" customFormat="1" ht="13.5" customHeight="1" x14ac:dyDescent="0.3"/>
    <row r="414" s="1" customFormat="1" ht="13.5" customHeight="1" x14ac:dyDescent="0.3"/>
    <row r="415" s="1" customFormat="1" ht="13.5" customHeight="1" x14ac:dyDescent="0.3"/>
    <row r="416" s="1" customFormat="1" ht="13.5" customHeight="1" x14ac:dyDescent="0.3"/>
    <row r="417" s="1" customFormat="1" ht="13.5" customHeight="1" x14ac:dyDescent="0.3"/>
    <row r="418" s="1" customFormat="1" ht="13.5" customHeight="1" x14ac:dyDescent="0.3"/>
    <row r="419" s="1" customFormat="1" ht="13.5" customHeight="1" x14ac:dyDescent="0.3"/>
    <row r="420" s="1" customFormat="1" ht="13.5" customHeight="1" x14ac:dyDescent="0.3"/>
    <row r="421" s="1" customFormat="1" ht="13.5" customHeight="1" x14ac:dyDescent="0.3"/>
    <row r="422" s="1" customFormat="1" ht="13.5" customHeight="1" x14ac:dyDescent="0.3"/>
    <row r="423" s="1" customFormat="1" ht="13.5" customHeight="1" x14ac:dyDescent="0.3"/>
    <row r="424" s="1" customFormat="1" ht="13.5" customHeight="1" x14ac:dyDescent="0.3"/>
    <row r="425" s="1" customFormat="1" ht="13.5" customHeight="1" x14ac:dyDescent="0.3"/>
    <row r="426" s="1" customFormat="1" ht="13.5" customHeight="1" x14ac:dyDescent="0.3"/>
    <row r="427" s="1" customFormat="1" ht="13.5" customHeight="1" x14ac:dyDescent="0.3"/>
    <row r="428" s="1" customFormat="1" ht="13.5" customHeight="1" x14ac:dyDescent="0.3"/>
    <row r="429" s="1" customFormat="1" ht="13.5" customHeight="1" x14ac:dyDescent="0.3"/>
    <row r="430" s="1" customFormat="1" ht="13.5" customHeight="1" x14ac:dyDescent="0.3"/>
    <row r="431" s="1" customFormat="1" ht="13.5" customHeight="1" x14ac:dyDescent="0.3"/>
    <row r="432" s="1" customFormat="1" ht="13.5" customHeight="1" x14ac:dyDescent="0.3"/>
    <row r="433" s="1" customFormat="1" ht="13.5" customHeight="1" x14ac:dyDescent="0.3"/>
    <row r="434" s="1" customFormat="1" ht="13.5" customHeight="1" x14ac:dyDescent="0.3"/>
    <row r="435" s="1" customFormat="1" ht="13.5" customHeight="1" x14ac:dyDescent="0.3"/>
    <row r="436" s="1" customFormat="1" ht="13.5" customHeight="1" x14ac:dyDescent="0.3"/>
    <row r="437" s="1" customFormat="1" ht="13.5" customHeight="1" x14ac:dyDescent="0.3"/>
    <row r="438" s="1" customFormat="1" ht="13.5" customHeight="1" x14ac:dyDescent="0.3"/>
    <row r="439" s="1" customFormat="1" ht="13.5" customHeight="1" x14ac:dyDescent="0.3"/>
    <row r="440" s="1" customFormat="1" ht="13.5" customHeight="1" x14ac:dyDescent="0.3"/>
    <row r="441" s="1" customFormat="1" ht="13.5" customHeight="1" x14ac:dyDescent="0.3"/>
    <row r="442" s="1" customFormat="1" ht="13.5" customHeight="1" x14ac:dyDescent="0.3"/>
    <row r="443" s="1" customFormat="1" ht="13.5" customHeight="1" x14ac:dyDescent="0.3"/>
    <row r="444" s="1" customFormat="1" ht="13.5" customHeight="1" x14ac:dyDescent="0.3"/>
    <row r="445" s="1" customFormat="1" ht="13.5" customHeight="1" x14ac:dyDescent="0.3"/>
    <row r="446" s="1" customFormat="1" ht="13.5" customHeight="1" x14ac:dyDescent="0.3"/>
    <row r="447" s="1" customFormat="1" ht="13.5" customHeight="1" x14ac:dyDescent="0.3"/>
    <row r="448" s="1" customFormat="1" ht="13.5" customHeight="1" x14ac:dyDescent="0.3"/>
    <row r="449" s="1" customFormat="1" ht="13.5" customHeight="1" x14ac:dyDescent="0.3"/>
    <row r="450" s="1" customFormat="1" ht="13.5" customHeight="1" x14ac:dyDescent="0.3"/>
    <row r="451" s="1" customFormat="1" ht="13.5" customHeight="1" x14ac:dyDescent="0.3"/>
    <row r="452" s="1" customFormat="1" ht="13.5" customHeight="1" x14ac:dyDescent="0.3"/>
    <row r="453" s="1" customFormat="1" ht="13.5" customHeight="1" x14ac:dyDescent="0.3"/>
    <row r="454" s="1" customFormat="1" ht="13.5" customHeight="1" x14ac:dyDescent="0.3"/>
    <row r="455" s="1" customFormat="1" ht="13.5" customHeight="1" x14ac:dyDescent="0.3"/>
    <row r="456" s="1" customFormat="1" ht="13.5" customHeight="1" x14ac:dyDescent="0.3"/>
    <row r="457" s="1" customFormat="1" ht="13.5" customHeight="1" x14ac:dyDescent="0.3"/>
    <row r="458" s="1" customFormat="1" ht="13.5" customHeight="1" x14ac:dyDescent="0.3"/>
    <row r="459" s="1" customFormat="1" ht="13.5" customHeight="1" x14ac:dyDescent="0.3"/>
    <row r="460" s="1" customFormat="1" ht="13.5" customHeight="1" x14ac:dyDescent="0.3"/>
    <row r="461" s="1" customFormat="1" ht="13.5" customHeight="1" x14ac:dyDescent="0.3"/>
    <row r="462" s="1" customFormat="1" ht="13.5" customHeight="1" x14ac:dyDescent="0.3"/>
    <row r="463" s="1" customFormat="1" ht="13.5" customHeight="1" x14ac:dyDescent="0.3"/>
    <row r="464" s="1" customFormat="1" ht="13.5" customHeight="1" x14ac:dyDescent="0.3"/>
    <row r="465" s="1" customFormat="1" ht="13.5" customHeight="1" x14ac:dyDescent="0.3"/>
    <row r="466" s="1" customFormat="1" ht="13.5" customHeight="1" x14ac:dyDescent="0.3"/>
    <row r="467" s="1" customFormat="1" ht="13.5" customHeight="1" x14ac:dyDescent="0.3"/>
    <row r="468" s="1" customFormat="1" ht="13.5" customHeight="1" x14ac:dyDescent="0.3"/>
    <row r="469" s="1" customFormat="1" ht="13.5" customHeight="1" x14ac:dyDescent="0.3"/>
    <row r="470" s="1" customFormat="1" ht="13.5" customHeight="1" x14ac:dyDescent="0.3"/>
    <row r="471" s="1" customFormat="1" ht="13.5" customHeight="1" x14ac:dyDescent="0.3"/>
    <row r="472" s="1" customFormat="1" ht="13.5" customHeight="1" x14ac:dyDescent="0.3"/>
    <row r="473" s="1" customFormat="1" ht="13.5" customHeight="1" x14ac:dyDescent="0.3"/>
    <row r="474" s="1" customFormat="1" ht="13.5" customHeight="1" x14ac:dyDescent="0.3"/>
    <row r="475" s="1" customFormat="1" ht="13.5" customHeight="1" x14ac:dyDescent="0.3"/>
    <row r="476" s="1" customFormat="1" ht="13.5" customHeight="1" x14ac:dyDescent="0.3"/>
    <row r="477" s="1" customFormat="1" ht="13.5" customHeight="1" x14ac:dyDescent="0.3"/>
    <row r="478" s="1" customFormat="1" ht="13.5" customHeight="1" x14ac:dyDescent="0.3"/>
    <row r="479" s="1" customFormat="1" ht="13.5" customHeight="1" x14ac:dyDescent="0.3"/>
    <row r="480" s="1" customFormat="1" ht="13.5" customHeight="1" x14ac:dyDescent="0.3"/>
    <row r="481" s="1" customFormat="1" ht="13.5" customHeight="1" x14ac:dyDescent="0.3"/>
    <row r="482" s="1" customFormat="1" ht="13.5" customHeight="1" x14ac:dyDescent="0.3"/>
    <row r="483" s="1" customFormat="1" ht="13.5" customHeight="1" x14ac:dyDescent="0.3"/>
    <row r="484" s="1" customFormat="1" ht="13.5" customHeight="1" x14ac:dyDescent="0.3"/>
    <row r="485" s="1" customFormat="1" ht="13.5" customHeight="1" x14ac:dyDescent="0.3"/>
    <row r="486" s="1" customFormat="1" ht="13.5" customHeight="1" x14ac:dyDescent="0.3"/>
    <row r="487" s="1" customFormat="1" ht="13.5" customHeight="1" x14ac:dyDescent="0.3"/>
    <row r="488" s="1" customFormat="1" ht="13.5" customHeight="1" x14ac:dyDescent="0.3"/>
    <row r="489" s="1" customFormat="1" ht="13.5" customHeight="1" x14ac:dyDescent="0.3"/>
    <row r="490" s="1" customFormat="1" ht="13.5" customHeight="1" x14ac:dyDescent="0.3"/>
    <row r="491" s="1" customFormat="1" ht="13.5" customHeight="1" x14ac:dyDescent="0.3"/>
    <row r="492" s="1" customFormat="1" ht="13.5" customHeight="1" x14ac:dyDescent="0.3"/>
    <row r="493" s="1" customFormat="1" ht="13.5" customHeight="1" x14ac:dyDescent="0.3"/>
    <row r="494" s="1" customFormat="1" ht="13.5" customHeight="1" x14ac:dyDescent="0.3"/>
    <row r="495" s="1" customFormat="1" ht="13.5" customHeight="1" x14ac:dyDescent="0.3"/>
    <row r="496" s="1" customFormat="1" ht="13.5" customHeight="1" x14ac:dyDescent="0.3"/>
    <row r="497" s="1" customFormat="1" ht="13.5" customHeight="1" x14ac:dyDescent="0.3"/>
    <row r="498" s="1" customFormat="1" ht="13.5" customHeight="1" x14ac:dyDescent="0.3"/>
    <row r="499" s="1" customFormat="1" ht="13.5" customHeight="1" x14ac:dyDescent="0.3"/>
    <row r="500" s="1" customFormat="1" ht="13.5" customHeight="1" x14ac:dyDescent="0.3"/>
    <row r="501" s="1" customFormat="1" ht="13.5" customHeight="1" x14ac:dyDescent="0.3"/>
    <row r="502" s="1" customFormat="1" ht="13.5" customHeight="1" x14ac:dyDescent="0.3"/>
    <row r="503" s="1" customFormat="1" ht="13.5" customHeight="1" x14ac:dyDescent="0.3"/>
    <row r="504" s="1" customFormat="1" ht="13.5" customHeight="1" x14ac:dyDescent="0.3"/>
    <row r="505" s="1" customFormat="1" ht="13.5" customHeight="1" x14ac:dyDescent="0.3"/>
    <row r="506" s="1" customFormat="1" ht="13.5" customHeight="1" x14ac:dyDescent="0.3"/>
    <row r="507" s="1" customFormat="1" ht="13.5" customHeight="1" x14ac:dyDescent="0.3"/>
    <row r="508" s="1" customFormat="1" ht="13.5" customHeight="1" x14ac:dyDescent="0.3"/>
    <row r="509" s="1" customFormat="1" ht="13.5" customHeight="1" x14ac:dyDescent="0.3"/>
    <row r="510" s="1" customFormat="1" ht="13.5" customHeight="1" x14ac:dyDescent="0.3"/>
    <row r="511" s="1" customFormat="1" ht="13.5" customHeight="1" x14ac:dyDescent="0.3"/>
    <row r="512" s="1" customFormat="1" ht="13.5" customHeight="1" x14ac:dyDescent="0.3"/>
    <row r="513" s="1" customFormat="1" ht="13.5" customHeight="1" x14ac:dyDescent="0.3"/>
    <row r="514" s="1" customFormat="1" ht="13.5" customHeight="1" x14ac:dyDescent="0.3"/>
    <row r="515" s="1" customFormat="1" ht="13.5" customHeight="1" x14ac:dyDescent="0.3"/>
    <row r="516" s="1" customFormat="1" ht="13.5" customHeight="1" x14ac:dyDescent="0.3"/>
    <row r="517" s="1" customFormat="1" ht="13.5" customHeight="1" x14ac:dyDescent="0.3"/>
    <row r="518" s="1" customFormat="1" ht="13.5" customHeight="1" x14ac:dyDescent="0.3"/>
    <row r="519" s="1" customFormat="1" ht="13.5" customHeight="1" x14ac:dyDescent="0.3"/>
    <row r="520" s="1" customFormat="1" ht="13.5" customHeight="1" x14ac:dyDescent="0.3"/>
    <row r="521" s="1" customFormat="1" ht="13.5" customHeight="1" x14ac:dyDescent="0.3"/>
    <row r="522" s="1" customFormat="1" ht="13.5" customHeight="1" x14ac:dyDescent="0.3"/>
    <row r="523" s="1" customFormat="1" ht="13.5" customHeight="1" x14ac:dyDescent="0.3"/>
    <row r="524" s="1" customFormat="1" ht="13.5" customHeight="1" x14ac:dyDescent="0.3"/>
    <row r="525" s="1" customFormat="1" ht="13.5" customHeight="1" x14ac:dyDescent="0.3"/>
    <row r="526" s="1" customFormat="1" ht="13.5" customHeight="1" x14ac:dyDescent="0.3"/>
    <row r="527" s="1" customFormat="1" ht="13.5" customHeight="1" x14ac:dyDescent="0.3"/>
    <row r="528" s="1" customFormat="1" ht="13.5" customHeight="1" x14ac:dyDescent="0.3"/>
    <row r="529" s="1" customFormat="1" ht="13.5" customHeight="1" x14ac:dyDescent="0.3"/>
    <row r="530" s="1" customFormat="1" ht="13.5" customHeight="1" x14ac:dyDescent="0.3"/>
    <row r="531" s="1" customFormat="1" ht="13.5" customHeight="1" x14ac:dyDescent="0.3"/>
    <row r="532" s="1" customFormat="1" ht="13.5" customHeight="1" x14ac:dyDescent="0.3"/>
    <row r="533" s="1" customFormat="1" ht="13.5" customHeight="1" x14ac:dyDescent="0.3"/>
    <row r="534" s="1" customFormat="1" ht="13.5" customHeight="1" x14ac:dyDescent="0.3"/>
    <row r="535" s="1" customFormat="1" ht="13.5" customHeight="1" x14ac:dyDescent="0.3"/>
    <row r="536" s="1" customFormat="1" ht="13.5" customHeight="1" x14ac:dyDescent="0.3"/>
    <row r="537" s="1" customFormat="1" ht="13.5" customHeight="1" x14ac:dyDescent="0.3"/>
    <row r="538" s="1" customFormat="1" ht="13.5" customHeight="1" x14ac:dyDescent="0.3"/>
    <row r="539" s="1" customFormat="1" ht="13.5" customHeight="1" x14ac:dyDescent="0.3"/>
    <row r="540" s="1" customFormat="1" ht="13.5" customHeight="1" x14ac:dyDescent="0.3"/>
    <row r="541" s="1" customFormat="1" ht="13.5" customHeight="1" x14ac:dyDescent="0.3"/>
    <row r="542" s="1" customFormat="1" ht="13.5" customHeight="1" x14ac:dyDescent="0.3"/>
    <row r="543" s="1" customFormat="1" ht="13.5" customHeight="1" x14ac:dyDescent="0.3"/>
    <row r="544" s="1" customFormat="1" ht="13.5" customHeight="1" x14ac:dyDescent="0.3"/>
    <row r="545" s="1" customFormat="1" ht="13.5" customHeight="1" x14ac:dyDescent="0.3"/>
    <row r="546" s="1" customFormat="1" ht="13.5" customHeight="1" x14ac:dyDescent="0.3"/>
    <row r="547" s="1" customFormat="1" ht="13.5" customHeight="1" x14ac:dyDescent="0.3"/>
    <row r="548" s="1" customFormat="1" ht="13.5" customHeight="1" x14ac:dyDescent="0.3"/>
    <row r="549" s="1" customFormat="1" ht="13.5" customHeight="1" x14ac:dyDescent="0.3"/>
    <row r="550" s="1" customFormat="1" ht="13.5" customHeight="1" x14ac:dyDescent="0.3"/>
    <row r="551" s="1" customFormat="1" ht="13.5" customHeight="1" x14ac:dyDescent="0.3"/>
    <row r="552" s="1" customFormat="1" ht="13.5" customHeight="1" x14ac:dyDescent="0.3"/>
    <row r="553" s="1" customFormat="1" ht="13.5" customHeight="1" x14ac:dyDescent="0.3"/>
    <row r="554" s="1" customFormat="1" ht="13.5" customHeight="1" x14ac:dyDescent="0.3"/>
    <row r="555" s="1" customFormat="1" ht="13.5" customHeight="1" x14ac:dyDescent="0.3"/>
    <row r="556" s="1" customFormat="1" ht="13.5" customHeight="1" x14ac:dyDescent="0.3"/>
    <row r="557" s="1" customFormat="1" ht="13.5" customHeight="1" x14ac:dyDescent="0.3"/>
    <row r="558" s="1" customFormat="1" ht="13.5" customHeight="1" x14ac:dyDescent="0.3"/>
    <row r="559" s="1" customFormat="1" ht="13.5" customHeight="1" x14ac:dyDescent="0.3"/>
    <row r="560" s="1" customFormat="1" ht="13.5" customHeight="1" x14ac:dyDescent="0.3"/>
    <row r="561" s="1" customFormat="1" ht="13.5" customHeight="1" x14ac:dyDescent="0.3"/>
    <row r="562" s="1" customFormat="1" ht="13.5" customHeight="1" x14ac:dyDescent="0.3"/>
    <row r="563" s="1" customFormat="1" ht="13.5" customHeight="1" x14ac:dyDescent="0.3"/>
    <row r="564" s="1" customFormat="1" ht="13.5" customHeight="1" x14ac:dyDescent="0.3"/>
    <row r="565" s="1" customFormat="1" ht="13.5" customHeight="1" x14ac:dyDescent="0.3"/>
    <row r="566" s="1" customFormat="1" ht="13.5" customHeight="1" x14ac:dyDescent="0.3"/>
    <row r="567" s="1" customFormat="1" ht="13.5" customHeight="1" x14ac:dyDescent="0.3"/>
    <row r="568" s="1" customFormat="1" ht="13.5" customHeight="1" x14ac:dyDescent="0.3"/>
    <row r="569" s="1" customFormat="1" ht="13.5" customHeight="1" x14ac:dyDescent="0.3"/>
    <row r="570" s="1" customFormat="1" ht="13.5" customHeight="1" x14ac:dyDescent="0.3"/>
    <row r="571" s="1" customFormat="1" ht="13.5" customHeight="1" x14ac:dyDescent="0.3"/>
    <row r="572" s="1" customFormat="1" ht="13.5" customHeight="1" x14ac:dyDescent="0.3"/>
    <row r="573" s="1" customFormat="1" ht="13.5" customHeight="1" x14ac:dyDescent="0.3"/>
    <row r="574" s="1" customFormat="1" ht="13.5" customHeight="1" x14ac:dyDescent="0.3"/>
    <row r="575" s="1" customFormat="1" ht="13.5" customHeight="1" x14ac:dyDescent="0.3"/>
    <row r="576" s="1" customFormat="1" ht="13.5" customHeight="1" x14ac:dyDescent="0.3"/>
    <row r="577" s="1" customFormat="1" ht="13.5" customHeight="1" x14ac:dyDescent="0.3"/>
    <row r="578" s="1" customFormat="1" ht="13.5" customHeight="1" x14ac:dyDescent="0.3"/>
    <row r="579" s="1" customFormat="1" ht="13.5" customHeight="1" x14ac:dyDescent="0.3"/>
    <row r="580" s="1" customFormat="1" ht="13.5" customHeight="1" x14ac:dyDescent="0.3"/>
    <row r="581" s="1" customFormat="1" ht="13.5" customHeight="1" x14ac:dyDescent="0.3"/>
    <row r="582" s="1" customFormat="1" ht="13.5" customHeight="1" x14ac:dyDescent="0.3"/>
    <row r="583" s="1" customFormat="1" ht="13.5" customHeight="1" x14ac:dyDescent="0.3"/>
    <row r="584" s="1" customFormat="1" ht="13.5" customHeight="1" x14ac:dyDescent="0.3"/>
    <row r="585" s="1" customFormat="1" ht="13.5" customHeight="1" x14ac:dyDescent="0.3"/>
    <row r="586" s="1" customFormat="1" ht="13.5" customHeight="1" x14ac:dyDescent="0.3"/>
    <row r="587" s="1" customFormat="1" ht="13.5" customHeight="1" x14ac:dyDescent="0.3"/>
    <row r="588" s="1" customFormat="1" ht="13.5" customHeight="1" x14ac:dyDescent="0.3"/>
    <row r="589" s="1" customFormat="1" ht="13.5" customHeight="1" x14ac:dyDescent="0.3"/>
    <row r="590" s="1" customFormat="1" ht="13.5" customHeight="1" x14ac:dyDescent="0.3"/>
    <row r="591" s="1" customFormat="1" ht="13.5" customHeight="1" x14ac:dyDescent="0.3"/>
    <row r="592" s="1" customFormat="1" ht="13.5" customHeight="1" x14ac:dyDescent="0.3"/>
    <row r="593" s="1" customFormat="1" ht="13.5" customHeight="1" x14ac:dyDescent="0.3"/>
    <row r="594" s="1" customFormat="1" ht="13.5" customHeight="1" x14ac:dyDescent="0.3"/>
    <row r="595" s="1" customFormat="1" ht="13.5" customHeight="1" x14ac:dyDescent="0.3"/>
    <row r="596" s="1" customFormat="1" ht="13.5" customHeight="1" x14ac:dyDescent="0.3"/>
    <row r="597" s="1" customFormat="1" ht="13.5" customHeight="1" x14ac:dyDescent="0.3"/>
    <row r="598" s="1" customFormat="1" ht="13.5" customHeight="1" x14ac:dyDescent="0.3"/>
    <row r="599" s="1" customFormat="1" ht="13.5" customHeight="1" x14ac:dyDescent="0.3"/>
    <row r="600" s="1" customFormat="1" ht="13.5" customHeight="1" x14ac:dyDescent="0.3"/>
    <row r="601" s="1" customFormat="1" ht="13.5" customHeight="1" x14ac:dyDescent="0.3"/>
    <row r="602" s="1" customFormat="1" ht="13.5" customHeight="1" x14ac:dyDescent="0.3"/>
    <row r="603" s="1" customFormat="1" ht="13.5" customHeight="1" x14ac:dyDescent="0.3"/>
    <row r="604" s="1" customFormat="1" ht="13.5" customHeight="1" x14ac:dyDescent="0.3"/>
    <row r="605" s="1" customFormat="1" ht="13.5" customHeight="1" x14ac:dyDescent="0.3"/>
    <row r="606" s="1" customFormat="1" ht="13.5" customHeight="1" x14ac:dyDescent="0.3"/>
    <row r="607" s="1" customFormat="1" ht="13.5" customHeight="1" x14ac:dyDescent="0.3"/>
    <row r="608" s="1" customFormat="1" ht="13.5" customHeight="1" x14ac:dyDescent="0.3"/>
    <row r="609" s="1" customFormat="1" ht="13.5" customHeight="1" x14ac:dyDescent="0.3"/>
    <row r="610" s="1" customFormat="1" ht="13.5" customHeight="1" x14ac:dyDescent="0.3"/>
    <row r="611" s="1" customFormat="1" ht="13.5" customHeight="1" x14ac:dyDescent="0.3"/>
    <row r="612" s="1" customFormat="1" ht="13.5" customHeight="1" x14ac:dyDescent="0.3"/>
    <row r="613" s="1" customFormat="1" ht="13.5" customHeight="1" x14ac:dyDescent="0.3"/>
    <row r="614" s="1" customFormat="1" ht="13.5" customHeight="1" x14ac:dyDescent="0.3"/>
    <row r="615" s="1" customFormat="1" ht="13.5" customHeight="1" x14ac:dyDescent="0.3"/>
    <row r="616" s="1" customFormat="1" ht="13.5" customHeight="1" x14ac:dyDescent="0.3"/>
    <row r="617" s="1" customFormat="1" ht="13.5" customHeight="1" x14ac:dyDescent="0.3"/>
    <row r="618" s="1" customFormat="1" ht="13.5" customHeight="1" x14ac:dyDescent="0.3"/>
    <row r="619" s="1" customFormat="1" ht="13.5" customHeight="1" x14ac:dyDescent="0.3"/>
    <row r="620" s="1" customFormat="1" ht="13.5" customHeight="1" x14ac:dyDescent="0.3"/>
    <row r="621" s="1" customFormat="1" ht="13.5" customHeight="1" x14ac:dyDescent="0.3"/>
    <row r="622" s="1" customFormat="1" ht="13.5" customHeight="1" x14ac:dyDescent="0.3"/>
    <row r="623" s="1" customFormat="1" ht="13.5" customHeight="1" x14ac:dyDescent="0.3"/>
    <row r="624" s="1" customFormat="1" ht="13.5" customHeight="1" x14ac:dyDescent="0.3"/>
    <row r="625" s="1" customFormat="1" ht="13.5" customHeight="1" x14ac:dyDescent="0.3"/>
    <row r="626" s="1" customFormat="1" ht="13.5" customHeight="1" x14ac:dyDescent="0.3"/>
    <row r="627" s="1" customFormat="1" ht="13.5" customHeight="1" x14ac:dyDescent="0.3"/>
    <row r="628" s="1" customFormat="1" ht="13.5" customHeight="1" x14ac:dyDescent="0.3"/>
    <row r="629" s="1" customFormat="1" ht="13.5" customHeight="1" x14ac:dyDescent="0.3"/>
    <row r="630" s="1" customFormat="1" ht="13.5" customHeight="1" x14ac:dyDescent="0.3"/>
    <row r="631" s="1" customFormat="1" ht="13.5" customHeight="1" x14ac:dyDescent="0.3"/>
    <row r="632" s="1" customFormat="1" ht="13.5" customHeight="1" x14ac:dyDescent="0.3"/>
    <row r="633" s="1" customFormat="1" ht="13.5" customHeight="1" x14ac:dyDescent="0.3"/>
    <row r="634" s="1" customFormat="1" ht="13.5" customHeight="1" x14ac:dyDescent="0.3"/>
    <row r="635" s="1" customFormat="1" ht="13.5" customHeight="1" x14ac:dyDescent="0.3"/>
    <row r="636" s="1" customFormat="1" ht="13.5" customHeight="1" x14ac:dyDescent="0.3"/>
    <row r="637" s="1" customFormat="1" ht="13.5" customHeight="1" x14ac:dyDescent="0.3"/>
    <row r="638" s="1" customFormat="1" ht="13.5" customHeight="1" x14ac:dyDescent="0.3"/>
    <row r="639" s="1" customFormat="1" ht="13.5" customHeight="1" x14ac:dyDescent="0.3"/>
    <row r="640" s="1" customFormat="1" ht="13.5" customHeight="1" x14ac:dyDescent="0.3"/>
    <row r="641" s="1" customFormat="1" ht="13.5" customHeight="1" x14ac:dyDescent="0.3"/>
    <row r="642" s="1" customFormat="1" ht="13.5" customHeight="1" x14ac:dyDescent="0.3"/>
    <row r="643" s="1" customFormat="1" ht="13.5" customHeight="1" x14ac:dyDescent="0.3"/>
    <row r="644" s="1" customFormat="1" ht="13.5" customHeight="1" x14ac:dyDescent="0.3"/>
    <row r="645" s="1" customFormat="1" ht="13.5" customHeight="1" x14ac:dyDescent="0.3"/>
    <row r="646" s="1" customFormat="1" ht="13.5" customHeight="1" x14ac:dyDescent="0.3"/>
    <row r="647" s="1" customFormat="1" ht="13.5" customHeight="1" x14ac:dyDescent="0.3"/>
    <row r="648" s="1" customFormat="1" ht="13.5" customHeight="1" x14ac:dyDescent="0.3"/>
    <row r="649" s="1" customFormat="1" ht="13.5" customHeight="1" x14ac:dyDescent="0.3"/>
    <row r="650" s="1" customFormat="1" ht="13.5" customHeight="1" x14ac:dyDescent="0.3"/>
    <row r="651" s="1" customFormat="1" ht="13.5" customHeight="1" x14ac:dyDescent="0.3"/>
    <row r="652" s="1" customFormat="1" ht="13.5" customHeight="1" x14ac:dyDescent="0.3"/>
    <row r="653" s="1" customFormat="1" ht="13.5" customHeight="1" x14ac:dyDescent="0.3"/>
    <row r="654" s="1" customFormat="1" ht="13.5" customHeight="1" x14ac:dyDescent="0.3"/>
    <row r="655" s="1" customFormat="1" ht="13.5" customHeight="1" x14ac:dyDescent="0.3"/>
    <row r="656" s="1" customFormat="1" ht="13.5" customHeight="1" x14ac:dyDescent="0.3"/>
    <row r="657" s="1" customFormat="1" ht="13.5" customHeight="1" x14ac:dyDescent="0.3"/>
    <row r="658" s="1" customFormat="1" ht="13.5" customHeight="1" x14ac:dyDescent="0.3"/>
    <row r="659" s="1" customFormat="1" ht="13.5" customHeight="1" x14ac:dyDescent="0.3"/>
    <row r="660" s="1" customFormat="1" ht="13.5" customHeight="1" x14ac:dyDescent="0.3"/>
    <row r="661" s="1" customFormat="1" ht="13.5" customHeight="1" x14ac:dyDescent="0.3"/>
    <row r="662" s="1" customFormat="1" ht="13.5" customHeight="1" x14ac:dyDescent="0.3"/>
    <row r="663" s="1" customFormat="1" ht="13.5" customHeight="1" x14ac:dyDescent="0.3"/>
    <row r="664" s="1" customFormat="1" ht="13.5" customHeight="1" x14ac:dyDescent="0.3"/>
    <row r="665" s="1" customFormat="1" ht="13.5" customHeight="1" x14ac:dyDescent="0.3"/>
    <row r="666" s="1" customFormat="1" ht="13.5" customHeight="1" x14ac:dyDescent="0.3"/>
    <row r="667" s="1" customFormat="1" ht="13.5" customHeight="1" x14ac:dyDescent="0.3"/>
    <row r="668" s="1" customFormat="1" ht="13.5" customHeight="1" x14ac:dyDescent="0.3"/>
    <row r="669" s="1" customFormat="1" ht="13.5" customHeight="1" x14ac:dyDescent="0.3"/>
    <row r="670" s="1" customFormat="1" ht="13.5" customHeight="1" x14ac:dyDescent="0.3"/>
    <row r="671" s="1" customFormat="1" ht="13.5" customHeight="1" x14ac:dyDescent="0.3"/>
    <row r="672" s="1" customFormat="1" ht="13.5" customHeight="1" x14ac:dyDescent="0.3"/>
    <row r="673" s="1" customFormat="1" ht="13.5" customHeight="1" x14ac:dyDescent="0.3"/>
    <row r="674" s="1" customFormat="1" ht="13.5" customHeight="1" x14ac:dyDescent="0.3"/>
    <row r="675" s="1" customFormat="1" ht="13.5" customHeight="1" x14ac:dyDescent="0.3"/>
    <row r="676" s="1" customFormat="1" ht="13.5" customHeight="1" x14ac:dyDescent="0.3"/>
    <row r="677" s="1" customFormat="1" ht="13.5" customHeight="1" x14ac:dyDescent="0.3"/>
    <row r="678" s="1" customFormat="1" ht="13.5" customHeight="1" x14ac:dyDescent="0.3"/>
    <row r="679" s="1" customFormat="1" ht="13.5" customHeight="1" x14ac:dyDescent="0.3"/>
    <row r="680" s="1" customFormat="1" ht="13.5" customHeight="1" x14ac:dyDescent="0.3"/>
    <row r="681" s="1" customFormat="1" ht="13.5" customHeight="1" x14ac:dyDescent="0.3"/>
    <row r="682" s="1" customFormat="1" ht="13.5" customHeight="1" x14ac:dyDescent="0.3"/>
    <row r="683" s="1" customFormat="1" ht="13.5" customHeight="1" x14ac:dyDescent="0.3"/>
    <row r="684" s="1" customFormat="1" ht="13.5" customHeight="1" x14ac:dyDescent="0.3"/>
    <row r="685" s="1" customFormat="1" ht="13.5" customHeight="1" x14ac:dyDescent="0.3"/>
    <row r="686" s="1" customFormat="1" ht="13.5" customHeight="1" x14ac:dyDescent="0.3"/>
    <row r="687" s="1" customFormat="1" ht="13.5" customHeight="1" x14ac:dyDescent="0.3"/>
    <row r="688" s="1" customFormat="1" ht="13.5" customHeight="1" x14ac:dyDescent="0.3"/>
    <row r="689" s="1" customFormat="1" ht="13.5" customHeight="1" x14ac:dyDescent="0.3"/>
    <row r="690" s="1" customFormat="1" ht="13.5" customHeight="1" x14ac:dyDescent="0.3"/>
    <row r="691" s="1" customFormat="1" ht="13.5" customHeight="1" x14ac:dyDescent="0.3"/>
    <row r="692" s="1" customFormat="1" ht="13.5" customHeight="1" x14ac:dyDescent="0.3"/>
    <row r="693" s="1" customFormat="1" ht="13.5" customHeight="1" x14ac:dyDescent="0.3"/>
    <row r="694" s="1" customFormat="1" ht="13.5" customHeight="1" x14ac:dyDescent="0.3"/>
    <row r="695" s="1" customFormat="1" ht="13.5" customHeight="1" x14ac:dyDescent="0.3"/>
    <row r="696" s="1" customFormat="1" ht="13.5" customHeight="1" x14ac:dyDescent="0.3"/>
    <row r="697" s="1" customFormat="1" ht="13.5" customHeight="1" x14ac:dyDescent="0.3"/>
    <row r="698" s="1" customFormat="1" ht="13.5" customHeight="1" x14ac:dyDescent="0.3"/>
    <row r="699" s="1" customFormat="1" ht="13.5" customHeight="1" x14ac:dyDescent="0.3"/>
    <row r="700" s="1" customFormat="1" ht="13.5" customHeight="1" x14ac:dyDescent="0.3"/>
    <row r="701" s="1" customFormat="1" ht="13.5" customHeight="1" x14ac:dyDescent="0.3"/>
    <row r="702" s="1" customFormat="1" ht="13.5" customHeight="1" x14ac:dyDescent="0.3"/>
    <row r="703" s="1" customFormat="1" ht="13.5" customHeight="1" x14ac:dyDescent="0.3"/>
    <row r="704" s="1" customFormat="1" ht="13.5" customHeight="1" x14ac:dyDescent="0.3"/>
    <row r="705" s="1" customFormat="1" ht="13.5" customHeight="1" x14ac:dyDescent="0.3"/>
    <row r="706" s="1" customFormat="1" ht="13.5" customHeight="1" x14ac:dyDescent="0.3"/>
    <row r="707" s="1" customFormat="1" ht="13.5" customHeight="1" x14ac:dyDescent="0.3"/>
    <row r="708" s="1" customFormat="1" ht="13.5" customHeight="1" x14ac:dyDescent="0.3"/>
    <row r="709" s="1" customFormat="1" ht="13.5" customHeight="1" x14ac:dyDescent="0.3"/>
    <row r="710" s="1" customFormat="1" ht="13.5" customHeight="1" x14ac:dyDescent="0.3"/>
    <row r="711" s="1" customFormat="1" ht="13.5" customHeight="1" x14ac:dyDescent="0.3"/>
    <row r="712" s="1" customFormat="1" ht="13.5" customHeight="1" x14ac:dyDescent="0.3"/>
    <row r="713" s="1" customFormat="1" ht="13.5" customHeight="1" x14ac:dyDescent="0.3"/>
    <row r="714" s="1" customFormat="1" ht="13.5" customHeight="1" x14ac:dyDescent="0.3"/>
    <row r="715" s="1" customFormat="1" ht="13.5" customHeight="1" x14ac:dyDescent="0.3"/>
    <row r="716" s="1" customFormat="1" ht="13.5" customHeight="1" x14ac:dyDescent="0.3"/>
    <row r="717" s="1" customFormat="1" ht="13.5" customHeight="1" x14ac:dyDescent="0.3"/>
    <row r="718" s="1" customFormat="1" ht="13.5" customHeight="1" x14ac:dyDescent="0.3"/>
    <row r="719" s="1" customFormat="1" ht="13.5" customHeight="1" x14ac:dyDescent="0.3"/>
    <row r="720" s="1" customFormat="1" ht="13.5" customHeight="1" x14ac:dyDescent="0.3"/>
    <row r="721" s="1" customFormat="1" ht="13.5" customHeight="1" x14ac:dyDescent="0.3"/>
    <row r="722" s="1" customFormat="1" ht="13.5" customHeight="1" x14ac:dyDescent="0.3"/>
    <row r="723" s="1" customFormat="1" ht="13.5" customHeight="1" x14ac:dyDescent="0.3"/>
    <row r="724" s="1" customFormat="1" ht="13.5" customHeight="1" x14ac:dyDescent="0.3"/>
    <row r="725" s="1" customFormat="1" ht="13.5" customHeight="1" x14ac:dyDescent="0.3"/>
    <row r="726" s="1" customFormat="1" ht="13.5" customHeight="1" x14ac:dyDescent="0.3"/>
    <row r="727" s="1" customFormat="1" ht="13.5" customHeight="1" x14ac:dyDescent="0.3"/>
    <row r="728" s="1" customFormat="1" ht="13.5" customHeight="1" x14ac:dyDescent="0.3"/>
    <row r="729" s="1" customFormat="1" ht="13.5" customHeight="1" x14ac:dyDescent="0.3"/>
    <row r="730" s="1" customFormat="1" ht="13.5" customHeight="1" x14ac:dyDescent="0.3"/>
    <row r="731" s="1" customFormat="1" ht="13.5" customHeight="1" x14ac:dyDescent="0.3"/>
    <row r="732" s="1" customFormat="1" ht="13.5" customHeight="1" x14ac:dyDescent="0.3"/>
    <row r="733" s="1" customFormat="1" ht="13.5" customHeight="1" x14ac:dyDescent="0.3"/>
    <row r="734" s="1" customFormat="1" ht="13.5" customHeight="1" x14ac:dyDescent="0.3"/>
    <row r="735" s="1" customFormat="1" ht="13.5" customHeight="1" x14ac:dyDescent="0.3"/>
    <row r="736" s="1" customFormat="1" ht="13.5" customHeight="1" x14ac:dyDescent="0.3"/>
    <row r="737" s="1" customFormat="1" ht="13.5" customHeight="1" x14ac:dyDescent="0.3"/>
    <row r="738" s="1" customFormat="1" ht="13.5" customHeight="1" x14ac:dyDescent="0.3"/>
    <row r="739" s="1" customFormat="1" ht="13.5" customHeight="1" x14ac:dyDescent="0.3"/>
    <row r="740" s="1" customFormat="1" ht="13.5" customHeight="1" x14ac:dyDescent="0.3"/>
    <row r="741" s="1" customFormat="1" ht="13.5" customHeight="1" x14ac:dyDescent="0.3"/>
    <row r="742" s="1" customFormat="1" ht="13.5" customHeight="1" x14ac:dyDescent="0.3"/>
    <row r="743" s="1" customFormat="1" ht="13.5" customHeight="1" x14ac:dyDescent="0.3"/>
    <row r="744" s="1" customFormat="1" ht="13.5" customHeight="1" x14ac:dyDescent="0.3"/>
    <row r="745" s="1" customFormat="1" ht="13.5" customHeight="1" x14ac:dyDescent="0.3"/>
    <row r="746" s="1" customFormat="1" ht="13.5" customHeight="1" x14ac:dyDescent="0.3"/>
    <row r="747" s="1" customFormat="1" ht="13.5" customHeight="1" x14ac:dyDescent="0.3"/>
    <row r="748" s="1" customFormat="1" ht="13.5" customHeight="1" x14ac:dyDescent="0.3"/>
    <row r="749" s="1" customFormat="1" ht="13.5" customHeight="1" x14ac:dyDescent="0.3"/>
    <row r="750" s="1" customFormat="1" ht="13.5" customHeight="1" x14ac:dyDescent="0.3"/>
    <row r="751" s="1" customFormat="1" ht="13.5" customHeight="1" x14ac:dyDescent="0.3"/>
    <row r="752" s="1" customFormat="1" ht="13.5" customHeight="1" x14ac:dyDescent="0.3"/>
    <row r="753" s="1" customFormat="1" ht="13.5" customHeight="1" x14ac:dyDescent="0.3"/>
    <row r="754" s="1" customFormat="1" ht="13.5" customHeight="1" x14ac:dyDescent="0.3"/>
    <row r="755" s="1" customFormat="1" ht="13.5" customHeight="1" x14ac:dyDescent="0.3"/>
    <row r="756" s="1" customFormat="1" ht="13.5" customHeight="1" x14ac:dyDescent="0.3"/>
    <row r="757" s="1" customFormat="1" ht="13.5" customHeight="1" x14ac:dyDescent="0.3"/>
    <row r="758" s="1" customFormat="1" ht="13.5" customHeight="1" x14ac:dyDescent="0.3"/>
    <row r="759" s="1" customFormat="1" ht="13.5" customHeight="1" x14ac:dyDescent="0.3"/>
    <row r="760" s="1" customFormat="1" ht="13.5" customHeight="1" x14ac:dyDescent="0.3"/>
    <row r="761" s="1" customFormat="1" ht="13.5" customHeight="1" x14ac:dyDescent="0.3"/>
    <row r="762" s="1" customFormat="1" ht="13.5" customHeight="1" x14ac:dyDescent="0.3"/>
    <row r="763" s="1" customFormat="1" ht="13.5" customHeight="1" x14ac:dyDescent="0.3"/>
    <row r="764" s="1" customFormat="1" ht="13.5" customHeight="1" x14ac:dyDescent="0.3"/>
    <row r="765" s="1" customFormat="1" ht="13.5" customHeight="1" x14ac:dyDescent="0.3"/>
    <row r="766" s="1" customFormat="1" ht="13.5" customHeight="1" x14ac:dyDescent="0.3"/>
    <row r="767" s="1" customFormat="1" ht="13.5" customHeight="1" x14ac:dyDescent="0.3"/>
    <row r="768" s="1" customFormat="1" ht="13.5" customHeight="1" x14ac:dyDescent="0.3"/>
    <row r="769" s="1" customFormat="1" ht="13.5" customHeight="1" x14ac:dyDescent="0.3"/>
    <row r="770" s="1" customFormat="1" ht="13.5" customHeight="1" x14ac:dyDescent="0.3"/>
    <row r="771" s="1" customFormat="1" ht="13.5" customHeight="1" x14ac:dyDescent="0.3"/>
    <row r="772" s="1" customFormat="1" ht="13.5" customHeight="1" x14ac:dyDescent="0.3"/>
    <row r="773" s="1" customFormat="1" ht="13.5" customHeight="1" x14ac:dyDescent="0.3"/>
    <row r="774" s="1" customFormat="1" ht="13.5" customHeight="1" x14ac:dyDescent="0.3"/>
    <row r="775" s="1" customFormat="1" ht="13.5" customHeight="1" x14ac:dyDescent="0.3"/>
    <row r="776" s="1" customFormat="1" ht="13.5" customHeight="1" x14ac:dyDescent="0.3"/>
    <row r="777" s="1" customFormat="1" ht="13.5" customHeight="1" x14ac:dyDescent="0.3"/>
    <row r="778" s="1" customFormat="1" ht="13.5" customHeight="1" x14ac:dyDescent="0.3"/>
    <row r="779" s="1" customFormat="1" ht="13.5" customHeight="1" x14ac:dyDescent="0.3"/>
    <row r="780" s="1" customFormat="1" ht="13.5" customHeight="1" x14ac:dyDescent="0.3"/>
    <row r="781" s="1" customFormat="1" ht="13.5" customHeight="1" x14ac:dyDescent="0.3"/>
    <row r="782" s="1" customFormat="1" ht="13.5" customHeight="1" x14ac:dyDescent="0.3"/>
    <row r="783" s="1" customFormat="1" ht="13.5" customHeight="1" x14ac:dyDescent="0.3"/>
    <row r="784" s="1" customFormat="1" ht="13.5" customHeight="1" x14ac:dyDescent="0.3"/>
    <row r="785" s="1" customFormat="1" ht="13.5" customHeight="1" x14ac:dyDescent="0.3"/>
    <row r="786" s="1" customFormat="1" ht="13.5" customHeight="1" x14ac:dyDescent="0.3"/>
    <row r="787" s="1" customFormat="1" ht="13.5" customHeight="1" x14ac:dyDescent="0.3"/>
    <row r="788" s="1" customFormat="1" ht="13.5" customHeight="1" x14ac:dyDescent="0.3"/>
    <row r="789" s="1" customFormat="1" ht="13.5" customHeight="1" x14ac:dyDescent="0.3"/>
    <row r="790" s="1" customFormat="1" ht="13.5" customHeight="1" x14ac:dyDescent="0.3"/>
    <row r="791" s="1" customFormat="1" ht="13.5" customHeight="1" x14ac:dyDescent="0.3"/>
    <row r="792" s="1" customFormat="1" ht="13.5" customHeight="1" x14ac:dyDescent="0.3"/>
    <row r="793" s="1" customFormat="1" ht="13.5" customHeight="1" x14ac:dyDescent="0.3"/>
    <row r="794" s="1" customFormat="1" ht="13.5" customHeight="1" x14ac:dyDescent="0.3"/>
    <row r="795" s="1" customFormat="1" ht="13.5" customHeight="1" x14ac:dyDescent="0.3"/>
    <row r="796" s="1" customFormat="1" ht="13.5" customHeight="1" x14ac:dyDescent="0.3"/>
    <row r="797" s="1" customFormat="1" ht="13.5" customHeight="1" x14ac:dyDescent="0.3"/>
    <row r="798" s="1" customFormat="1" ht="13.5" customHeight="1" x14ac:dyDescent="0.3"/>
    <row r="799" s="1" customFormat="1" ht="13.5" customHeight="1" x14ac:dyDescent="0.3"/>
    <row r="800" s="1" customFormat="1" ht="13.5" customHeight="1" x14ac:dyDescent="0.3"/>
    <row r="801" s="1" customFormat="1" ht="13.5" customHeight="1" x14ac:dyDescent="0.3"/>
    <row r="802" s="1" customFormat="1" ht="13.5" customHeight="1" x14ac:dyDescent="0.3"/>
    <row r="803" s="1" customFormat="1" ht="13.5" customHeight="1" x14ac:dyDescent="0.3"/>
    <row r="804" s="1" customFormat="1" ht="13.5" customHeight="1" x14ac:dyDescent="0.3"/>
    <row r="805" s="1" customFormat="1" ht="13.5" customHeight="1" x14ac:dyDescent="0.3"/>
    <row r="806" s="1" customFormat="1" ht="13.5" customHeight="1" x14ac:dyDescent="0.3"/>
    <row r="807" s="1" customFormat="1" ht="13.5" customHeight="1" x14ac:dyDescent="0.3"/>
    <row r="808" s="1" customFormat="1" ht="13.5" customHeight="1" x14ac:dyDescent="0.3"/>
    <row r="809" s="1" customFormat="1" ht="13.5" customHeight="1" x14ac:dyDescent="0.3"/>
    <row r="810" s="1" customFormat="1" ht="13.5" customHeight="1" x14ac:dyDescent="0.3"/>
    <row r="811" s="1" customFormat="1" ht="13.5" customHeight="1" x14ac:dyDescent="0.3"/>
    <row r="812" s="1" customFormat="1" ht="13.5" customHeight="1" x14ac:dyDescent="0.3"/>
    <row r="813" s="1" customFormat="1" ht="13.5" customHeight="1" x14ac:dyDescent="0.3"/>
    <row r="814" s="1" customFormat="1" ht="13.5" customHeight="1" x14ac:dyDescent="0.3"/>
    <row r="815" s="1" customFormat="1" ht="13.5" customHeight="1" x14ac:dyDescent="0.3"/>
    <row r="816" s="1" customFormat="1" ht="13.5" customHeight="1" x14ac:dyDescent="0.3"/>
    <row r="817" s="1" customFormat="1" ht="13.5" customHeight="1" x14ac:dyDescent="0.3"/>
    <row r="818" s="1" customFormat="1" ht="13.5" customHeight="1" x14ac:dyDescent="0.3"/>
    <row r="819" s="1" customFormat="1" ht="13.5" customHeight="1" x14ac:dyDescent="0.3"/>
    <row r="820" s="1" customFormat="1" ht="13.5" customHeight="1" x14ac:dyDescent="0.3"/>
    <row r="821" s="1" customFormat="1" ht="13.5" customHeight="1" x14ac:dyDescent="0.3"/>
    <row r="822" s="1" customFormat="1" ht="13.5" customHeight="1" x14ac:dyDescent="0.3"/>
    <row r="823" s="1" customFormat="1" ht="13.5" customHeight="1" x14ac:dyDescent="0.3"/>
    <row r="824" s="1" customFormat="1" ht="13.5" customHeight="1" x14ac:dyDescent="0.3"/>
    <row r="825" s="1" customFormat="1" ht="13.5" customHeight="1" x14ac:dyDescent="0.3"/>
    <row r="826" s="1" customFormat="1" ht="13.5" customHeight="1" x14ac:dyDescent="0.3"/>
    <row r="827" s="1" customFormat="1" ht="13.5" customHeight="1" x14ac:dyDescent="0.3"/>
    <row r="828" s="1" customFormat="1" ht="13.5" customHeight="1" x14ac:dyDescent="0.3"/>
    <row r="829" s="1" customFormat="1" ht="13.5" customHeight="1" x14ac:dyDescent="0.3"/>
    <row r="830" s="1" customFormat="1" ht="13.5" customHeight="1" x14ac:dyDescent="0.3"/>
    <row r="831" s="1" customFormat="1" ht="13.5" customHeight="1" x14ac:dyDescent="0.3"/>
    <row r="832" s="1" customFormat="1" ht="13.5" customHeight="1" x14ac:dyDescent="0.3"/>
    <row r="833" s="1" customFormat="1" ht="13.5" customHeight="1" x14ac:dyDescent="0.3"/>
    <row r="834" s="1" customFormat="1" ht="13.5" customHeight="1" x14ac:dyDescent="0.3"/>
    <row r="835" s="1" customFormat="1" ht="13.5" customHeight="1" x14ac:dyDescent="0.3"/>
    <row r="836" s="1" customFormat="1" ht="13.5" customHeight="1" x14ac:dyDescent="0.3"/>
    <row r="837" s="1" customFormat="1" ht="13.5" customHeight="1" x14ac:dyDescent="0.3"/>
    <row r="838" s="1" customFormat="1" ht="13.5" customHeight="1" x14ac:dyDescent="0.3"/>
    <row r="839" s="1" customFormat="1" ht="13.5" customHeight="1" x14ac:dyDescent="0.3"/>
    <row r="840" s="1" customFormat="1" ht="13.5" customHeight="1" x14ac:dyDescent="0.3"/>
    <row r="841" s="1" customFormat="1" ht="13.5" customHeight="1" x14ac:dyDescent="0.3"/>
    <row r="842" s="1" customFormat="1" ht="13.5" customHeight="1" x14ac:dyDescent="0.3"/>
    <row r="843" s="1" customFormat="1" ht="13.5" customHeight="1" x14ac:dyDescent="0.3"/>
    <row r="844" s="1" customFormat="1" ht="13.5" customHeight="1" x14ac:dyDescent="0.3"/>
    <row r="845" s="1" customFormat="1" ht="13.5" customHeight="1" x14ac:dyDescent="0.3"/>
    <row r="846" s="1" customFormat="1" ht="13.5" customHeight="1" x14ac:dyDescent="0.3"/>
    <row r="847" s="1" customFormat="1" ht="13.5" customHeight="1" x14ac:dyDescent="0.3"/>
    <row r="848" s="1" customFormat="1" ht="13.5" customHeight="1" x14ac:dyDescent="0.3"/>
    <row r="849" s="1" customFormat="1" ht="13.5" customHeight="1" x14ac:dyDescent="0.3"/>
    <row r="850" s="1" customFormat="1" ht="13.5" customHeight="1" x14ac:dyDescent="0.3"/>
    <row r="851" s="1" customFormat="1" ht="13.5" customHeight="1" x14ac:dyDescent="0.3"/>
    <row r="852" s="1" customFormat="1" ht="13.5" customHeight="1" x14ac:dyDescent="0.3"/>
    <row r="853" s="1" customFormat="1" ht="13.5" customHeight="1" x14ac:dyDescent="0.3"/>
    <row r="854" s="1" customFormat="1" ht="13.5" customHeight="1" x14ac:dyDescent="0.3"/>
    <row r="855" s="1" customFormat="1" ht="13.5" customHeight="1" x14ac:dyDescent="0.3"/>
    <row r="856" s="1" customFormat="1" ht="13.5" customHeight="1" x14ac:dyDescent="0.3"/>
    <row r="857" s="1" customFormat="1" ht="13.5" customHeight="1" x14ac:dyDescent="0.3"/>
    <row r="858" s="1" customFormat="1" ht="13.5" customHeight="1" x14ac:dyDescent="0.3"/>
    <row r="859" s="1" customFormat="1" ht="13.5" customHeight="1" x14ac:dyDescent="0.3"/>
    <row r="860" s="1" customFormat="1" ht="13.5" customHeight="1" x14ac:dyDescent="0.3"/>
    <row r="861" s="1" customFormat="1" ht="13.5" customHeight="1" x14ac:dyDescent="0.3"/>
    <row r="862" s="1" customFormat="1" ht="13.5" customHeight="1" x14ac:dyDescent="0.3"/>
    <row r="863" s="1" customFormat="1" ht="13.5" customHeight="1" x14ac:dyDescent="0.3"/>
    <row r="864" s="1" customFormat="1" ht="13.5" customHeight="1" x14ac:dyDescent="0.3"/>
    <row r="865" s="1" customFormat="1" ht="13.5" customHeight="1" x14ac:dyDescent="0.3"/>
    <row r="866" s="1" customFormat="1" ht="13.5" customHeight="1" x14ac:dyDescent="0.3"/>
    <row r="867" s="1" customFormat="1" ht="13.5" customHeight="1" x14ac:dyDescent="0.3"/>
    <row r="868" s="1" customFormat="1" ht="13.5" customHeight="1" x14ac:dyDescent="0.3"/>
    <row r="869" s="1" customFormat="1" ht="13.5" customHeight="1" x14ac:dyDescent="0.3"/>
    <row r="870" s="1" customFormat="1" ht="13.5" customHeight="1" x14ac:dyDescent="0.3"/>
    <row r="871" s="1" customFormat="1" ht="13.5" customHeight="1" x14ac:dyDescent="0.3"/>
    <row r="872" s="1" customFormat="1" ht="13.5" customHeight="1" x14ac:dyDescent="0.3"/>
    <row r="873" s="1" customFormat="1" ht="13.5" customHeight="1" x14ac:dyDescent="0.3"/>
    <row r="874" s="1" customFormat="1" ht="13.5" customHeight="1" x14ac:dyDescent="0.3"/>
    <row r="875" s="1" customFormat="1" ht="13.5" customHeight="1" x14ac:dyDescent="0.3"/>
    <row r="876" s="1" customFormat="1" ht="13.5" customHeight="1" x14ac:dyDescent="0.3"/>
    <row r="877" s="1" customFormat="1" ht="13.5" customHeight="1" x14ac:dyDescent="0.3"/>
    <row r="878" s="1" customFormat="1" ht="13.5" customHeight="1" x14ac:dyDescent="0.3"/>
    <row r="879" s="1" customFormat="1" ht="13.5" customHeight="1" x14ac:dyDescent="0.3"/>
    <row r="880" s="1" customFormat="1" ht="13.5" customHeight="1" x14ac:dyDescent="0.3"/>
    <row r="881" s="1" customFormat="1" ht="13.5" customHeight="1" x14ac:dyDescent="0.3"/>
    <row r="882" s="1" customFormat="1" ht="13.5" customHeight="1" x14ac:dyDescent="0.3"/>
    <row r="883" s="1" customFormat="1" ht="13.5" customHeight="1" x14ac:dyDescent="0.3"/>
    <row r="884" s="1" customFormat="1" ht="13.5" customHeight="1" x14ac:dyDescent="0.3"/>
    <row r="885" s="1" customFormat="1" ht="13.5" customHeight="1" x14ac:dyDescent="0.3"/>
    <row r="886" s="1" customFormat="1" ht="13.5" customHeight="1" x14ac:dyDescent="0.3"/>
    <row r="887" s="1" customFormat="1" ht="13.5" customHeight="1" x14ac:dyDescent="0.3"/>
    <row r="888" s="1" customFormat="1" ht="13.5" customHeight="1" x14ac:dyDescent="0.3"/>
    <row r="889" s="1" customFormat="1" ht="13.5" customHeight="1" x14ac:dyDescent="0.3"/>
    <row r="890" s="1" customFormat="1" ht="13.5" customHeight="1" x14ac:dyDescent="0.3"/>
    <row r="891" s="1" customFormat="1" ht="13.5" customHeight="1" x14ac:dyDescent="0.3"/>
    <row r="892" s="1" customFormat="1" ht="13.5" customHeight="1" x14ac:dyDescent="0.3"/>
    <row r="893" s="1" customFormat="1" ht="13.5" customHeight="1" x14ac:dyDescent="0.3"/>
    <row r="894" s="1" customFormat="1" ht="13.5" customHeight="1" x14ac:dyDescent="0.3"/>
    <row r="895" s="1" customFormat="1" ht="13.5" customHeight="1" x14ac:dyDescent="0.3"/>
    <row r="896" s="1" customFormat="1" ht="13.5" customHeight="1" x14ac:dyDescent="0.3"/>
    <row r="897" s="1" customFormat="1" ht="13.5" customHeight="1" x14ac:dyDescent="0.3"/>
    <row r="898" s="1" customFormat="1" ht="13.5" customHeight="1" x14ac:dyDescent="0.3"/>
    <row r="899" s="1" customFormat="1" ht="13.5" customHeight="1" x14ac:dyDescent="0.3"/>
    <row r="900" s="1" customFormat="1" ht="13.5" customHeight="1" x14ac:dyDescent="0.3"/>
    <row r="901" s="1" customFormat="1" ht="13.5" customHeight="1" x14ac:dyDescent="0.3"/>
    <row r="902" s="1" customFormat="1" ht="13.5" customHeight="1" x14ac:dyDescent="0.3"/>
    <row r="903" s="1" customFormat="1" ht="13.5" customHeight="1" x14ac:dyDescent="0.3"/>
    <row r="904" s="1" customFormat="1" ht="13.5" customHeight="1" x14ac:dyDescent="0.3"/>
    <row r="905" s="1" customFormat="1" ht="13.5" customHeight="1" x14ac:dyDescent="0.3"/>
    <row r="906" s="1" customFormat="1" ht="13.5" customHeight="1" x14ac:dyDescent="0.3"/>
    <row r="907" s="1" customFormat="1" ht="13.5" customHeight="1" x14ac:dyDescent="0.3"/>
    <row r="908" s="1" customFormat="1" ht="13.5" customHeight="1" x14ac:dyDescent="0.3"/>
    <row r="909" s="1" customFormat="1" ht="13.5" customHeight="1" x14ac:dyDescent="0.3"/>
    <row r="910" s="1" customFormat="1" ht="13.5" customHeight="1" x14ac:dyDescent="0.3"/>
    <row r="911" s="1" customFormat="1" ht="13.5" customHeight="1" x14ac:dyDescent="0.3"/>
    <row r="912" s="1" customFormat="1" ht="13.5" customHeight="1" x14ac:dyDescent="0.3"/>
    <row r="913" s="1" customFormat="1" ht="13.5" customHeight="1" x14ac:dyDescent="0.3"/>
    <row r="914" s="1" customFormat="1" ht="13.5" customHeight="1" x14ac:dyDescent="0.3"/>
    <row r="915" s="1" customFormat="1" ht="13.5" customHeight="1" x14ac:dyDescent="0.3"/>
    <row r="916" s="1" customFormat="1" ht="13.5" customHeight="1" x14ac:dyDescent="0.3"/>
    <row r="917" s="1" customFormat="1" ht="13.5" customHeight="1" x14ac:dyDescent="0.3"/>
    <row r="918" s="1" customFormat="1" ht="13.5" customHeight="1" x14ac:dyDescent="0.3"/>
    <row r="919" s="1" customFormat="1" ht="13.5" customHeight="1" x14ac:dyDescent="0.3"/>
    <row r="920" s="1" customFormat="1" ht="13.5" customHeight="1" x14ac:dyDescent="0.3"/>
    <row r="921" s="1" customFormat="1" ht="13.5" customHeight="1" x14ac:dyDescent="0.3"/>
    <row r="922" s="1" customFormat="1" ht="13.5" customHeight="1" x14ac:dyDescent="0.3"/>
    <row r="923" s="1" customFormat="1" ht="13.5" customHeight="1" x14ac:dyDescent="0.3"/>
    <row r="924" s="1" customFormat="1" ht="13.5" customHeight="1" x14ac:dyDescent="0.3"/>
    <row r="925" s="1" customFormat="1" ht="13.5" customHeight="1" x14ac:dyDescent="0.3"/>
    <row r="926" s="1" customFormat="1" ht="13.5" customHeight="1" x14ac:dyDescent="0.3"/>
    <row r="927" s="1" customFormat="1" ht="13.5" customHeight="1" x14ac:dyDescent="0.3"/>
    <row r="928" s="1" customFormat="1" ht="13.5" customHeight="1" x14ac:dyDescent="0.3"/>
    <row r="929" s="1" customFormat="1" ht="13.5" customHeight="1" x14ac:dyDescent="0.3"/>
    <row r="930" s="1" customFormat="1" ht="13.5" customHeight="1" x14ac:dyDescent="0.3"/>
    <row r="931" s="1" customFormat="1" ht="13.5" customHeight="1" x14ac:dyDescent="0.3"/>
    <row r="932" s="1" customFormat="1" ht="13.5" customHeight="1" x14ac:dyDescent="0.3"/>
    <row r="933" s="1" customFormat="1" ht="13.5" customHeight="1" x14ac:dyDescent="0.3"/>
    <row r="934" s="1" customFormat="1" ht="13.5" customHeight="1" x14ac:dyDescent="0.3"/>
    <row r="935" s="1" customFormat="1" ht="13.5" customHeight="1" x14ac:dyDescent="0.3"/>
    <row r="936" s="1" customFormat="1" ht="13.5" customHeight="1" x14ac:dyDescent="0.3"/>
    <row r="937" s="1" customFormat="1" ht="13.5" customHeight="1" x14ac:dyDescent="0.3"/>
    <row r="938" s="1" customFormat="1" ht="13.5" customHeight="1" x14ac:dyDescent="0.3"/>
    <row r="939" s="1" customFormat="1" ht="13.5" customHeight="1" x14ac:dyDescent="0.3"/>
    <row r="940" s="1" customFormat="1" ht="13.5" customHeight="1" x14ac:dyDescent="0.3"/>
    <row r="941" s="1" customFormat="1" ht="13.5" customHeight="1" x14ac:dyDescent="0.3"/>
    <row r="942" s="1" customFormat="1" ht="13.5" customHeight="1" x14ac:dyDescent="0.3"/>
    <row r="943" s="1" customFormat="1" ht="13.5" customHeight="1" x14ac:dyDescent="0.3"/>
    <row r="944" s="1" customFormat="1" ht="13.5" customHeight="1" x14ac:dyDescent="0.3"/>
    <row r="945" s="1" customFormat="1" ht="13.5" customHeight="1" x14ac:dyDescent="0.3"/>
    <row r="946" s="1" customFormat="1" ht="13.5" customHeight="1" x14ac:dyDescent="0.3"/>
    <row r="947" s="1" customFormat="1" ht="13.5" customHeight="1" x14ac:dyDescent="0.3"/>
    <row r="948" s="1" customFormat="1" ht="13.5" customHeight="1" x14ac:dyDescent="0.3"/>
    <row r="949" s="1" customFormat="1" ht="13.5" customHeight="1" x14ac:dyDescent="0.3"/>
    <row r="950" s="1" customFormat="1" ht="13.5" customHeight="1" x14ac:dyDescent="0.3"/>
    <row r="951" s="1" customFormat="1" ht="13.5" customHeight="1" x14ac:dyDescent="0.3"/>
    <row r="952" s="1" customFormat="1" ht="13.5" customHeight="1" x14ac:dyDescent="0.3"/>
    <row r="953" s="1" customFormat="1" ht="13.5" customHeight="1" x14ac:dyDescent="0.3"/>
    <row r="954" s="1" customFormat="1" ht="13.5" customHeight="1" x14ac:dyDescent="0.3"/>
    <row r="955" s="1" customFormat="1" ht="13.5" customHeight="1" x14ac:dyDescent="0.3"/>
    <row r="956" s="1" customFormat="1" ht="13.5" customHeight="1" x14ac:dyDescent="0.3"/>
    <row r="957" s="1" customFormat="1" ht="13.5" customHeight="1" x14ac:dyDescent="0.3"/>
    <row r="958" s="1" customFormat="1" ht="13.5" customHeight="1" x14ac:dyDescent="0.3"/>
    <row r="959" s="1" customFormat="1" ht="13.5" customHeight="1" x14ac:dyDescent="0.3"/>
    <row r="960" s="1" customFormat="1" ht="13.5" customHeight="1" x14ac:dyDescent="0.3"/>
    <row r="961" s="1" customFormat="1" ht="13.5" customHeight="1" x14ac:dyDescent="0.3"/>
    <row r="962" s="1" customFormat="1" ht="13.5" customHeight="1" x14ac:dyDescent="0.3"/>
    <row r="963" s="1" customFormat="1" ht="13.5" customHeight="1" x14ac:dyDescent="0.3"/>
    <row r="964" s="1" customFormat="1" ht="13.5" customHeight="1" x14ac:dyDescent="0.3"/>
    <row r="965" s="1" customFormat="1" ht="13.5" customHeight="1" x14ac:dyDescent="0.3"/>
    <row r="966" s="1" customFormat="1" ht="13.5" customHeight="1" x14ac:dyDescent="0.3"/>
    <row r="967" s="1" customFormat="1" ht="13.5" customHeight="1" x14ac:dyDescent="0.3"/>
    <row r="968" s="1" customFormat="1" ht="13.5" customHeight="1" x14ac:dyDescent="0.3"/>
    <row r="969" s="1" customFormat="1" ht="13.5" customHeight="1" x14ac:dyDescent="0.3"/>
    <row r="970" s="1" customFormat="1" ht="13.5" customHeight="1" x14ac:dyDescent="0.3"/>
    <row r="971" s="1" customFormat="1" ht="13.5" customHeight="1" x14ac:dyDescent="0.3"/>
    <row r="972" s="1" customFormat="1" ht="13.5" customHeight="1" x14ac:dyDescent="0.3"/>
    <row r="973" s="1" customFormat="1" ht="13.5" customHeight="1" x14ac:dyDescent="0.3"/>
    <row r="974" s="1" customFormat="1" ht="13.5" customHeight="1" x14ac:dyDescent="0.3"/>
    <row r="975" s="1" customFormat="1" ht="13.5" customHeight="1" x14ac:dyDescent="0.3"/>
    <row r="976" s="1" customFormat="1" ht="13.5" customHeight="1" x14ac:dyDescent="0.3"/>
    <row r="977" s="1" customFormat="1" ht="13.5" customHeight="1" x14ac:dyDescent="0.3"/>
    <row r="978" s="1" customFormat="1" ht="13.5" customHeight="1" x14ac:dyDescent="0.3"/>
    <row r="979" s="1" customFormat="1" ht="13.5" customHeight="1" x14ac:dyDescent="0.3"/>
    <row r="980" s="1" customFormat="1" ht="13.5" customHeight="1" x14ac:dyDescent="0.3"/>
    <row r="981" s="1" customFormat="1" ht="13.5" customHeight="1" x14ac:dyDescent="0.3"/>
    <row r="982" s="1" customFormat="1" ht="13.5" customHeight="1" x14ac:dyDescent="0.3"/>
    <row r="983" s="1" customFormat="1" ht="13.5" customHeight="1" x14ac:dyDescent="0.3"/>
    <row r="984" s="1" customFormat="1" ht="13.5" customHeight="1" x14ac:dyDescent="0.3"/>
    <row r="985" s="1" customFormat="1" ht="13.5" customHeight="1" x14ac:dyDescent="0.3"/>
    <row r="986" s="1" customFormat="1" ht="13.5" customHeight="1" x14ac:dyDescent="0.3"/>
    <row r="987" s="1" customFormat="1" ht="13.5" customHeight="1" x14ac:dyDescent="0.3"/>
    <row r="988" s="1" customFormat="1" ht="13.5" customHeight="1" x14ac:dyDescent="0.3"/>
    <row r="989" s="1" customFormat="1" ht="13.5" customHeight="1" x14ac:dyDescent="0.3"/>
    <row r="990" s="1" customFormat="1" ht="13.5" customHeight="1" x14ac:dyDescent="0.3"/>
    <row r="991" s="1" customFormat="1" ht="13.5" customHeight="1" x14ac:dyDescent="0.3"/>
    <row r="992" s="1" customFormat="1" ht="13.5" customHeight="1" x14ac:dyDescent="0.3"/>
    <row r="993" s="1" customFormat="1" ht="13.5" customHeight="1" x14ac:dyDescent="0.3"/>
    <row r="994" s="1" customFormat="1" ht="13.5" customHeight="1" x14ac:dyDescent="0.3"/>
    <row r="995" s="1" customFormat="1" ht="13.5" customHeight="1" x14ac:dyDescent="0.3"/>
    <row r="996" s="1" customFormat="1" ht="13.5" customHeight="1" x14ac:dyDescent="0.3"/>
    <row r="997" s="1" customFormat="1" ht="13.5" customHeight="1" x14ac:dyDescent="0.3"/>
    <row r="998" s="1" customFormat="1" ht="13.5" customHeight="1" x14ac:dyDescent="0.3"/>
    <row r="999" s="1" customFormat="1" ht="13.5" customHeight="1" x14ac:dyDescent="0.3"/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A6B5F-3202-4D4B-A9A6-4D719A4F6987}">
  <dimension ref="A1:M999"/>
  <sheetViews>
    <sheetView workbookViewId="0">
      <selection sqref="A1:XFD1048576"/>
    </sheetView>
  </sheetViews>
  <sheetFormatPr baseColWidth="10" defaultColWidth="12.6328125" defaultRowHeight="15" customHeight="1" x14ac:dyDescent="0.3"/>
  <cols>
    <col min="1" max="1" width="15.7265625" style="1" customWidth="1"/>
    <col min="2" max="7" width="10.6328125" style="1" customWidth="1"/>
    <col min="8" max="8" width="11.36328125" style="1" customWidth="1"/>
    <col min="9" max="25" width="10.6328125" style="1" customWidth="1"/>
    <col min="26" max="16384" width="12.6328125" style="1"/>
  </cols>
  <sheetData>
    <row r="1" spans="1:13" ht="13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3.5" customHeight="1" x14ac:dyDescent="0.3">
      <c r="A2" s="1" t="s">
        <v>12</v>
      </c>
      <c r="B2" s="1" t="s">
        <v>13</v>
      </c>
      <c r="E2" s="1">
        <v>1</v>
      </c>
      <c r="H2" s="2" t="s">
        <v>14</v>
      </c>
      <c r="I2" s="3">
        <f t="shared" ref="I2:L2" si="0">SUM(C22+C37+C55+C65+C66+C96+C105+C113+C128+C146+C150)</f>
        <v>11</v>
      </c>
      <c r="J2" s="3">
        <f t="shared" si="0"/>
        <v>0</v>
      </c>
      <c r="K2" s="3">
        <f t="shared" si="0"/>
        <v>0</v>
      </c>
      <c r="L2" s="3">
        <f t="shared" si="0"/>
        <v>0</v>
      </c>
      <c r="M2" s="3">
        <f t="shared" ref="M2:M13" si="1">SUM(I2:L2)</f>
        <v>11</v>
      </c>
    </row>
    <row r="3" spans="1:13" ht="13.5" customHeight="1" x14ac:dyDescent="0.3">
      <c r="A3" s="1" t="s">
        <v>15</v>
      </c>
      <c r="B3" s="1" t="s">
        <v>16</v>
      </c>
      <c r="C3" s="1">
        <v>1</v>
      </c>
      <c r="H3" s="2" t="s">
        <v>17</v>
      </c>
      <c r="I3" s="3">
        <f t="shared" ref="I3:L3" si="2">SUM(C6+C32+C50+C52+C58+C69+C76+C94+C115+C122+C123+C152)</f>
        <v>11</v>
      </c>
      <c r="J3" s="3">
        <f t="shared" si="2"/>
        <v>1</v>
      </c>
      <c r="K3" s="3">
        <f t="shared" si="2"/>
        <v>0</v>
      </c>
      <c r="L3" s="3">
        <f t="shared" si="2"/>
        <v>0</v>
      </c>
      <c r="M3" s="3">
        <f t="shared" si="1"/>
        <v>12</v>
      </c>
    </row>
    <row r="4" spans="1:13" ht="13.5" customHeight="1" x14ac:dyDescent="0.3">
      <c r="A4" s="1" t="s">
        <v>18</v>
      </c>
      <c r="B4" s="1" t="s">
        <v>13</v>
      </c>
      <c r="D4" s="1">
        <v>1</v>
      </c>
      <c r="H4" s="2" t="s">
        <v>19</v>
      </c>
      <c r="I4" s="3">
        <f t="shared" ref="I4:L4" si="3">SUM(C26+C14+C27+C62+C68+C124+C138+C142+C153+C155)</f>
        <v>10</v>
      </c>
      <c r="J4" s="3">
        <f t="shared" si="3"/>
        <v>0</v>
      </c>
      <c r="K4" s="3">
        <f t="shared" si="3"/>
        <v>0</v>
      </c>
      <c r="L4" s="3">
        <f t="shared" si="3"/>
        <v>0</v>
      </c>
      <c r="M4" s="3">
        <f t="shared" si="1"/>
        <v>10</v>
      </c>
    </row>
    <row r="5" spans="1:13" ht="13.5" customHeight="1" x14ac:dyDescent="0.3">
      <c r="A5" s="1" t="s">
        <v>20</v>
      </c>
      <c r="B5" s="1" t="s">
        <v>21</v>
      </c>
      <c r="E5" s="1">
        <v>1</v>
      </c>
      <c r="H5" s="2" t="s">
        <v>22</v>
      </c>
      <c r="I5" s="3">
        <f t="shared" ref="I5:L5" si="4">SUM(C5+C36+C56+C63+C73+C85+C87+C95+C135)</f>
        <v>1</v>
      </c>
      <c r="J5" s="3">
        <f t="shared" si="4"/>
        <v>0</v>
      </c>
      <c r="K5" s="3">
        <f t="shared" si="4"/>
        <v>7</v>
      </c>
      <c r="L5" s="3">
        <f t="shared" si="4"/>
        <v>1</v>
      </c>
      <c r="M5" s="3">
        <f t="shared" si="1"/>
        <v>9</v>
      </c>
    </row>
    <row r="6" spans="1:13" ht="13.5" customHeight="1" x14ac:dyDescent="0.3">
      <c r="A6" s="1" t="s">
        <v>23</v>
      </c>
      <c r="B6" s="1" t="s">
        <v>24</v>
      </c>
      <c r="C6" s="1">
        <v>1</v>
      </c>
      <c r="H6" s="2" t="s">
        <v>25</v>
      </c>
      <c r="I6" s="3">
        <f t="shared" ref="I6:L6" si="5">SUM(C12+C15+C18+C28+C41+C59+C78+C64+C82+C83+C86+C106+C119+C143+C148+C154)</f>
        <v>16</v>
      </c>
      <c r="J6" s="3">
        <f t="shared" si="5"/>
        <v>0</v>
      </c>
      <c r="K6" s="3">
        <f t="shared" si="5"/>
        <v>0</v>
      </c>
      <c r="L6" s="3">
        <f t="shared" si="5"/>
        <v>0</v>
      </c>
      <c r="M6" s="3">
        <f t="shared" si="1"/>
        <v>16</v>
      </c>
    </row>
    <row r="7" spans="1:13" ht="13.5" customHeight="1" x14ac:dyDescent="0.3">
      <c r="A7" s="1" t="s">
        <v>26</v>
      </c>
      <c r="B7" s="1" t="s">
        <v>27</v>
      </c>
      <c r="D7" s="1">
        <v>1</v>
      </c>
      <c r="H7" s="2" t="s">
        <v>28</v>
      </c>
      <c r="I7" s="3">
        <f t="shared" ref="I7:L7" si="6">SUM(C3+C20+C46+C49+C54+C89+C90+C102+C112+C114+C129+C141)</f>
        <v>5</v>
      </c>
      <c r="J7" s="3">
        <f t="shared" si="6"/>
        <v>5</v>
      </c>
      <c r="K7" s="3">
        <f t="shared" si="6"/>
        <v>2</v>
      </c>
      <c r="L7" s="3">
        <f t="shared" si="6"/>
        <v>0</v>
      </c>
      <c r="M7" s="3">
        <f t="shared" si="1"/>
        <v>12</v>
      </c>
    </row>
    <row r="8" spans="1:13" ht="13.5" customHeight="1" x14ac:dyDescent="0.3">
      <c r="A8" s="1" t="s">
        <v>29</v>
      </c>
      <c r="B8" s="1" t="s">
        <v>30</v>
      </c>
      <c r="D8" s="1">
        <v>1</v>
      </c>
      <c r="H8" s="2" t="s">
        <v>27</v>
      </c>
      <c r="I8" s="3">
        <f t="shared" ref="I8:L8" si="7">SUM(C7+C30+C29+C44+C51+C60+C72+C79+C101+C99+C107+C111+C117+C140+C144)</f>
        <v>3</v>
      </c>
      <c r="J8" s="3">
        <f t="shared" si="7"/>
        <v>9</v>
      </c>
      <c r="K8" s="3">
        <f t="shared" si="7"/>
        <v>2</v>
      </c>
      <c r="L8" s="3">
        <f t="shared" si="7"/>
        <v>1</v>
      </c>
      <c r="M8" s="3">
        <f t="shared" si="1"/>
        <v>15</v>
      </c>
    </row>
    <row r="9" spans="1:13" ht="13.5" customHeight="1" x14ac:dyDescent="0.3">
      <c r="A9" s="1" t="s">
        <v>31</v>
      </c>
      <c r="B9" s="1" t="s">
        <v>13</v>
      </c>
      <c r="E9" s="1">
        <v>1</v>
      </c>
      <c r="H9" s="2" t="s">
        <v>13</v>
      </c>
      <c r="I9" s="3">
        <f t="shared" ref="I9:J9" si="8">SUM(C4+C9+C17+C19+C2+C48+C92+C120+C126+C127+C130+C133+C151)</f>
        <v>0</v>
      </c>
      <c r="J9" s="3">
        <f t="shared" si="8"/>
        <v>7</v>
      </c>
      <c r="K9" s="3">
        <f>SUM(D4+D9+D17+D19+D2+D48+D92+D120+D126+D127+D130+D133+D151)</f>
        <v>7</v>
      </c>
      <c r="L9" s="3">
        <f>SUM(F4+F9+F17+F19+F2+F48+F92+F120+F126+F127+F130+F133+F151)</f>
        <v>0</v>
      </c>
      <c r="M9" s="3">
        <f t="shared" si="1"/>
        <v>14</v>
      </c>
    </row>
    <row r="10" spans="1:13" ht="13.5" customHeight="1" x14ac:dyDescent="0.3">
      <c r="A10" s="1" t="s">
        <v>32</v>
      </c>
      <c r="B10" s="1" t="s">
        <v>33</v>
      </c>
      <c r="C10" s="1">
        <v>1</v>
      </c>
      <c r="H10" s="2" t="s">
        <v>30</v>
      </c>
      <c r="I10" s="3">
        <f t="shared" ref="I10:L10" si="9">SUM(C8+C13+C16+C25+C31+C35+C43+C45+C70+C71+C75+C81+C88+C93+C98+C100+C104+C118+C136+C137+C156)</f>
        <v>0</v>
      </c>
      <c r="J10" s="3">
        <f t="shared" si="9"/>
        <v>20</v>
      </c>
      <c r="K10" s="3">
        <f t="shared" si="9"/>
        <v>1</v>
      </c>
      <c r="L10" s="3">
        <f t="shared" si="9"/>
        <v>0</v>
      </c>
      <c r="M10" s="3">
        <f t="shared" si="1"/>
        <v>21</v>
      </c>
    </row>
    <row r="11" spans="1:13" ht="13.5" customHeight="1" x14ac:dyDescent="0.3">
      <c r="A11" s="1" t="s">
        <v>34</v>
      </c>
      <c r="B11" s="1" t="s">
        <v>33</v>
      </c>
      <c r="C11" s="1">
        <v>1</v>
      </c>
      <c r="H11" s="2" t="s">
        <v>35</v>
      </c>
      <c r="I11" s="3">
        <f t="shared" ref="I11:L11" si="10">SUM(C38+C42+C47+C53+C74+C77+C80+C91+C97+C103+C108+C116+C131+C145+C147)</f>
        <v>0</v>
      </c>
      <c r="J11" s="3">
        <f t="shared" si="10"/>
        <v>14</v>
      </c>
      <c r="K11" s="3">
        <f t="shared" si="10"/>
        <v>1</v>
      </c>
      <c r="L11" s="3">
        <f t="shared" si="10"/>
        <v>0</v>
      </c>
      <c r="M11" s="3">
        <f t="shared" si="1"/>
        <v>15</v>
      </c>
    </row>
    <row r="12" spans="1:13" ht="13.5" customHeight="1" x14ac:dyDescent="0.3">
      <c r="A12" s="1" t="s">
        <v>36</v>
      </c>
      <c r="B12" s="1" t="s">
        <v>37</v>
      </c>
      <c r="C12" s="1">
        <v>1</v>
      </c>
      <c r="H12" s="2" t="s">
        <v>38</v>
      </c>
      <c r="I12" s="3">
        <f t="shared" ref="I12:L12" si="11">SUM(C21+C24+C34+C40+C67+C84+C132)</f>
        <v>0</v>
      </c>
      <c r="J12" s="3">
        <f t="shared" si="11"/>
        <v>7</v>
      </c>
      <c r="K12" s="3">
        <f t="shared" si="11"/>
        <v>0</v>
      </c>
      <c r="L12" s="3">
        <f t="shared" si="11"/>
        <v>0</v>
      </c>
      <c r="M12" s="3">
        <f t="shared" si="1"/>
        <v>7</v>
      </c>
    </row>
    <row r="13" spans="1:13" ht="13.5" customHeight="1" x14ac:dyDescent="0.3">
      <c r="A13" s="1" t="s">
        <v>39</v>
      </c>
      <c r="B13" s="1" t="s">
        <v>30</v>
      </c>
      <c r="D13" s="1">
        <v>1</v>
      </c>
      <c r="H13" s="2" t="s">
        <v>33</v>
      </c>
      <c r="I13" s="3">
        <f t="shared" ref="I13:L13" si="12">SUM(C10+C11+C57+C125+C149)</f>
        <v>4</v>
      </c>
      <c r="J13" s="3">
        <f t="shared" si="12"/>
        <v>1</v>
      </c>
      <c r="K13" s="3">
        <f t="shared" si="12"/>
        <v>0</v>
      </c>
      <c r="L13" s="3">
        <f t="shared" si="12"/>
        <v>0</v>
      </c>
      <c r="M13" s="3">
        <f t="shared" si="1"/>
        <v>5</v>
      </c>
    </row>
    <row r="14" spans="1:13" ht="13.5" customHeight="1" x14ac:dyDescent="0.3">
      <c r="A14" s="1" t="s">
        <v>40</v>
      </c>
      <c r="B14" s="1" t="s">
        <v>19</v>
      </c>
      <c r="C14" s="1">
        <v>1</v>
      </c>
      <c r="I14" s="4"/>
      <c r="J14" s="4"/>
      <c r="K14" s="4"/>
      <c r="L14" s="4"/>
    </row>
    <row r="15" spans="1:13" ht="13.5" customHeight="1" x14ac:dyDescent="0.3">
      <c r="A15" s="1" t="s">
        <v>41</v>
      </c>
      <c r="B15" s="1" t="s">
        <v>42</v>
      </c>
      <c r="C15" s="1">
        <v>1</v>
      </c>
      <c r="I15" s="4"/>
      <c r="J15" s="4"/>
      <c r="K15" s="4"/>
      <c r="L15" s="4"/>
    </row>
    <row r="16" spans="1:13" ht="13.5" customHeight="1" x14ac:dyDescent="0.3">
      <c r="A16" s="1" t="s">
        <v>43</v>
      </c>
      <c r="B16" s="1" t="s">
        <v>30</v>
      </c>
      <c r="D16" s="1">
        <v>1</v>
      </c>
      <c r="I16" s="4"/>
      <c r="J16" s="4"/>
      <c r="K16" s="4"/>
      <c r="L16" s="4"/>
    </row>
    <row r="17" spans="1:12" ht="13.5" customHeight="1" x14ac:dyDescent="0.3">
      <c r="A17" s="1" t="s">
        <v>44</v>
      </c>
      <c r="B17" s="1" t="s">
        <v>13</v>
      </c>
      <c r="D17" s="1">
        <v>1</v>
      </c>
      <c r="I17" s="4"/>
      <c r="J17" s="4"/>
      <c r="K17" s="4"/>
      <c r="L17" s="4"/>
    </row>
    <row r="18" spans="1:12" ht="13.5" customHeight="1" x14ac:dyDescent="0.3">
      <c r="A18" s="1" t="s">
        <v>45</v>
      </c>
      <c r="B18" s="1" t="s">
        <v>37</v>
      </c>
      <c r="C18" s="1">
        <v>1</v>
      </c>
      <c r="I18" s="4"/>
      <c r="J18" s="4"/>
      <c r="K18" s="4"/>
      <c r="L18" s="4"/>
    </row>
    <row r="19" spans="1:12" ht="13.5" customHeight="1" x14ac:dyDescent="0.3">
      <c r="A19" s="1" t="s">
        <v>46</v>
      </c>
      <c r="B19" s="1" t="s">
        <v>13</v>
      </c>
      <c r="D19" s="1">
        <v>1</v>
      </c>
    </row>
    <row r="20" spans="1:12" ht="13.5" customHeight="1" x14ac:dyDescent="0.3">
      <c r="A20" s="1" t="s">
        <v>47</v>
      </c>
      <c r="B20" s="1" t="s">
        <v>16</v>
      </c>
      <c r="C20" s="1">
        <v>1</v>
      </c>
    </row>
    <row r="21" spans="1:12" ht="13.5" customHeight="1" x14ac:dyDescent="0.3">
      <c r="A21" s="1" t="s">
        <v>48</v>
      </c>
      <c r="B21" s="1" t="s">
        <v>38</v>
      </c>
      <c r="D21" s="1">
        <v>1</v>
      </c>
    </row>
    <row r="22" spans="1:12" ht="13.5" customHeight="1" x14ac:dyDescent="0.3">
      <c r="A22" s="1" t="s">
        <v>49</v>
      </c>
      <c r="B22" s="1" t="s">
        <v>14</v>
      </c>
      <c r="C22" s="1">
        <v>1</v>
      </c>
    </row>
    <row r="23" spans="1:12" ht="13.5" customHeight="1" x14ac:dyDescent="0.3">
      <c r="A23" s="1" t="s">
        <v>50</v>
      </c>
      <c r="B23" s="1" t="s">
        <v>13</v>
      </c>
      <c r="E23" s="1">
        <v>1</v>
      </c>
    </row>
    <row r="24" spans="1:12" ht="13.5" customHeight="1" x14ac:dyDescent="0.3">
      <c r="A24" s="1" t="s">
        <v>51</v>
      </c>
      <c r="B24" s="1" t="s">
        <v>38</v>
      </c>
      <c r="D24" s="1">
        <v>1</v>
      </c>
    </row>
    <row r="25" spans="1:12" ht="13.5" customHeight="1" x14ac:dyDescent="0.3">
      <c r="A25" s="1" t="s">
        <v>52</v>
      </c>
      <c r="B25" s="1" t="s">
        <v>30</v>
      </c>
      <c r="D25" s="1">
        <v>1</v>
      </c>
    </row>
    <row r="26" spans="1:12" ht="13.5" customHeight="1" x14ac:dyDescent="0.3">
      <c r="A26" s="1" t="s">
        <v>53</v>
      </c>
      <c r="B26" s="1" t="s">
        <v>19</v>
      </c>
      <c r="C26" s="1">
        <v>1</v>
      </c>
    </row>
    <row r="27" spans="1:12" ht="13.5" customHeight="1" x14ac:dyDescent="0.3">
      <c r="A27" s="1" t="s">
        <v>54</v>
      </c>
      <c r="B27" s="1" t="s">
        <v>19</v>
      </c>
      <c r="C27" s="1">
        <v>1</v>
      </c>
    </row>
    <row r="28" spans="1:12" ht="13.5" customHeight="1" x14ac:dyDescent="0.3">
      <c r="A28" s="1" t="s">
        <v>55</v>
      </c>
      <c r="B28" s="1" t="s">
        <v>37</v>
      </c>
      <c r="C28" s="1">
        <v>1</v>
      </c>
    </row>
    <row r="29" spans="1:12" ht="13.5" customHeight="1" x14ac:dyDescent="0.3">
      <c r="A29" s="1" t="s">
        <v>56</v>
      </c>
      <c r="B29" s="1" t="s">
        <v>27</v>
      </c>
      <c r="C29" s="1">
        <v>1</v>
      </c>
    </row>
    <row r="30" spans="1:12" ht="13.5" customHeight="1" x14ac:dyDescent="0.3">
      <c r="A30" s="1" t="s">
        <v>57</v>
      </c>
      <c r="B30" s="1" t="s">
        <v>27</v>
      </c>
      <c r="E30" s="1">
        <v>1</v>
      </c>
    </row>
    <row r="31" spans="1:12" ht="13.5" customHeight="1" x14ac:dyDescent="0.3">
      <c r="A31" s="1" t="s">
        <v>58</v>
      </c>
      <c r="B31" s="1" t="s">
        <v>30</v>
      </c>
      <c r="D31" s="1">
        <v>1</v>
      </c>
    </row>
    <row r="32" spans="1:12" ht="13.5" customHeight="1" x14ac:dyDescent="0.3">
      <c r="A32" s="1" t="s">
        <v>59</v>
      </c>
      <c r="B32" s="1" t="s">
        <v>24</v>
      </c>
      <c r="C32" s="1">
        <v>1</v>
      </c>
    </row>
    <row r="33" spans="1:12" ht="13.5" customHeight="1" x14ac:dyDescent="0.3">
      <c r="A33" s="1" t="s">
        <v>60</v>
      </c>
      <c r="B33" s="1" t="s">
        <v>27</v>
      </c>
      <c r="D33" s="1">
        <v>1</v>
      </c>
    </row>
    <row r="34" spans="1:12" ht="13.5" customHeight="1" x14ac:dyDescent="0.3">
      <c r="A34" s="1" t="s">
        <v>61</v>
      </c>
      <c r="B34" s="1" t="s">
        <v>38</v>
      </c>
      <c r="D34" s="1">
        <v>1</v>
      </c>
    </row>
    <row r="35" spans="1:12" ht="13.5" customHeight="1" x14ac:dyDescent="0.3">
      <c r="A35" s="1" t="s">
        <v>62</v>
      </c>
      <c r="B35" s="1" t="s">
        <v>30</v>
      </c>
      <c r="D35" s="1">
        <v>1</v>
      </c>
    </row>
    <row r="36" spans="1:12" ht="13.5" customHeight="1" x14ac:dyDescent="0.3">
      <c r="A36" s="1" t="s">
        <v>63</v>
      </c>
      <c r="B36" s="1" t="s">
        <v>21</v>
      </c>
      <c r="E36" s="1">
        <v>1</v>
      </c>
    </row>
    <row r="37" spans="1:12" ht="13.5" customHeight="1" x14ac:dyDescent="0.3">
      <c r="A37" s="1" t="s">
        <v>64</v>
      </c>
      <c r="B37" s="1" t="s">
        <v>14</v>
      </c>
      <c r="C37" s="1">
        <v>1</v>
      </c>
    </row>
    <row r="38" spans="1:12" ht="13.5" customHeight="1" x14ac:dyDescent="0.3">
      <c r="A38" s="1" t="s">
        <v>65</v>
      </c>
      <c r="B38" s="1" t="s">
        <v>66</v>
      </c>
      <c r="D38" s="1">
        <v>1</v>
      </c>
    </row>
    <row r="39" spans="1:12" ht="13.5" customHeight="1" x14ac:dyDescent="0.3">
      <c r="A39" s="1" t="s">
        <v>67</v>
      </c>
      <c r="B39" s="1" t="s">
        <v>16</v>
      </c>
      <c r="D39" s="1">
        <v>1</v>
      </c>
    </row>
    <row r="40" spans="1:12" ht="13.5" customHeight="1" x14ac:dyDescent="0.3">
      <c r="A40" s="1" t="s">
        <v>68</v>
      </c>
      <c r="B40" s="1" t="s">
        <v>38</v>
      </c>
      <c r="D40" s="1">
        <v>1</v>
      </c>
    </row>
    <row r="41" spans="1:12" ht="13.5" customHeight="1" x14ac:dyDescent="0.3">
      <c r="A41" s="1" t="s">
        <v>69</v>
      </c>
      <c r="B41" s="1" t="s">
        <v>37</v>
      </c>
      <c r="C41" s="1">
        <v>1</v>
      </c>
    </row>
    <row r="42" spans="1:12" ht="13.5" customHeight="1" x14ac:dyDescent="0.3">
      <c r="A42" s="1" t="s">
        <v>70</v>
      </c>
      <c r="B42" s="1" t="s">
        <v>66</v>
      </c>
      <c r="D42" s="1">
        <v>1</v>
      </c>
    </row>
    <row r="43" spans="1:12" ht="13.5" customHeight="1" x14ac:dyDescent="0.3">
      <c r="A43" s="1" t="s">
        <v>71</v>
      </c>
      <c r="B43" s="1" t="s">
        <v>30</v>
      </c>
      <c r="E43" s="1">
        <v>1</v>
      </c>
    </row>
    <row r="44" spans="1:12" ht="13.5" customHeight="1" x14ac:dyDescent="0.3">
      <c r="A44" s="1" t="s">
        <v>72</v>
      </c>
      <c r="B44" s="1" t="s">
        <v>27</v>
      </c>
      <c r="D44" s="1">
        <v>1</v>
      </c>
    </row>
    <row r="45" spans="1:12" ht="13.5" customHeight="1" x14ac:dyDescent="0.3">
      <c r="A45" s="1" t="s">
        <v>73</v>
      </c>
      <c r="B45" s="1" t="s">
        <v>30</v>
      </c>
      <c r="D45" s="1">
        <v>1</v>
      </c>
      <c r="H45" s="1" t="s">
        <v>6</v>
      </c>
      <c r="I45" s="1" t="s">
        <v>7</v>
      </c>
      <c r="J45" s="1" t="s">
        <v>8</v>
      </c>
      <c r="K45" s="1" t="s">
        <v>9</v>
      </c>
      <c r="L45" s="1" t="s">
        <v>10</v>
      </c>
    </row>
    <row r="46" spans="1:12" ht="13.5" customHeight="1" x14ac:dyDescent="0.3">
      <c r="A46" s="1" t="s">
        <v>74</v>
      </c>
      <c r="B46" s="1" t="s">
        <v>16</v>
      </c>
      <c r="D46" s="1">
        <v>1</v>
      </c>
      <c r="H46" s="2" t="s">
        <v>14</v>
      </c>
      <c r="I46" s="4">
        <f t="shared" ref="I46:I57" si="13">I2/M2</f>
        <v>1</v>
      </c>
      <c r="J46" s="4">
        <f t="shared" ref="J46:J57" si="14">J2/M2</f>
        <v>0</v>
      </c>
      <c r="K46" s="4">
        <f t="shared" ref="K46:K57" si="15">K2/M2</f>
        <v>0</v>
      </c>
      <c r="L46" s="4">
        <f t="shared" ref="L46:L57" si="16">L2/M2</f>
        <v>0</v>
      </c>
    </row>
    <row r="47" spans="1:12" ht="13.5" customHeight="1" x14ac:dyDescent="0.3">
      <c r="A47" s="1" t="s">
        <v>75</v>
      </c>
      <c r="B47" s="1" t="s">
        <v>66</v>
      </c>
      <c r="D47" s="1">
        <v>1</v>
      </c>
      <c r="H47" s="2" t="s">
        <v>17</v>
      </c>
      <c r="I47" s="4">
        <f t="shared" si="13"/>
        <v>0.91666666666666663</v>
      </c>
      <c r="J47" s="4">
        <f t="shared" si="14"/>
        <v>8.3333333333333329E-2</v>
      </c>
      <c r="K47" s="4">
        <f t="shared" si="15"/>
        <v>0</v>
      </c>
      <c r="L47" s="4">
        <f t="shared" si="16"/>
        <v>0</v>
      </c>
    </row>
    <row r="48" spans="1:12" ht="13.5" customHeight="1" x14ac:dyDescent="0.3">
      <c r="A48" s="1" t="s">
        <v>76</v>
      </c>
      <c r="B48" s="1" t="s">
        <v>13</v>
      </c>
      <c r="E48" s="1">
        <v>1</v>
      </c>
      <c r="H48" s="2" t="s">
        <v>19</v>
      </c>
      <c r="I48" s="4">
        <f t="shared" si="13"/>
        <v>1</v>
      </c>
      <c r="J48" s="4">
        <f t="shared" si="14"/>
        <v>0</v>
      </c>
      <c r="K48" s="4">
        <f t="shared" si="15"/>
        <v>0</v>
      </c>
      <c r="L48" s="4">
        <f t="shared" si="16"/>
        <v>0</v>
      </c>
    </row>
    <row r="49" spans="1:12" ht="13.5" customHeight="1" x14ac:dyDescent="0.3">
      <c r="A49" s="1" t="s">
        <v>77</v>
      </c>
      <c r="B49" s="1" t="s">
        <v>16</v>
      </c>
      <c r="D49" s="1">
        <v>1</v>
      </c>
      <c r="H49" s="2" t="s">
        <v>22</v>
      </c>
      <c r="I49" s="4">
        <f t="shared" si="13"/>
        <v>0.1111111111111111</v>
      </c>
      <c r="J49" s="4">
        <f t="shared" si="14"/>
        <v>0</v>
      </c>
      <c r="K49" s="4">
        <f t="shared" si="15"/>
        <v>0.77777777777777779</v>
      </c>
      <c r="L49" s="4">
        <f t="shared" si="16"/>
        <v>0.1111111111111111</v>
      </c>
    </row>
    <row r="50" spans="1:12" ht="13.5" customHeight="1" x14ac:dyDescent="0.3">
      <c r="A50" s="1" t="s">
        <v>78</v>
      </c>
      <c r="B50" s="1" t="s">
        <v>24</v>
      </c>
      <c r="C50" s="1">
        <v>1</v>
      </c>
      <c r="H50" s="2" t="s">
        <v>25</v>
      </c>
      <c r="I50" s="4">
        <f t="shared" si="13"/>
        <v>1</v>
      </c>
      <c r="J50" s="4">
        <f t="shared" si="14"/>
        <v>0</v>
      </c>
      <c r="K50" s="4">
        <f t="shared" si="15"/>
        <v>0</v>
      </c>
      <c r="L50" s="4">
        <f t="shared" si="16"/>
        <v>0</v>
      </c>
    </row>
    <row r="51" spans="1:12" ht="13.5" customHeight="1" x14ac:dyDescent="0.3">
      <c r="A51" s="1" t="s">
        <v>79</v>
      </c>
      <c r="B51" s="1" t="s">
        <v>27</v>
      </c>
      <c r="D51" s="1">
        <v>1</v>
      </c>
      <c r="H51" s="2" t="s">
        <v>28</v>
      </c>
      <c r="I51" s="4">
        <f t="shared" si="13"/>
        <v>0.41666666666666669</v>
      </c>
      <c r="J51" s="4">
        <f t="shared" si="14"/>
        <v>0.41666666666666669</v>
      </c>
      <c r="K51" s="4">
        <f t="shared" si="15"/>
        <v>0.16666666666666666</v>
      </c>
      <c r="L51" s="4">
        <f t="shared" si="16"/>
        <v>0</v>
      </c>
    </row>
    <row r="52" spans="1:12" ht="13.5" customHeight="1" x14ac:dyDescent="0.3">
      <c r="A52" s="1" t="s">
        <v>80</v>
      </c>
      <c r="B52" s="1" t="s">
        <v>24</v>
      </c>
      <c r="C52" s="1">
        <v>1</v>
      </c>
      <c r="H52" s="2" t="s">
        <v>27</v>
      </c>
      <c r="I52" s="4">
        <f t="shared" si="13"/>
        <v>0.2</v>
      </c>
      <c r="J52" s="4">
        <f t="shared" si="14"/>
        <v>0.6</v>
      </c>
      <c r="K52" s="4">
        <f t="shared" si="15"/>
        <v>0.13333333333333333</v>
      </c>
      <c r="L52" s="4">
        <f t="shared" si="16"/>
        <v>6.6666666666666666E-2</v>
      </c>
    </row>
    <row r="53" spans="1:12" ht="13.5" customHeight="1" x14ac:dyDescent="0.3">
      <c r="A53" s="1" t="s">
        <v>81</v>
      </c>
      <c r="B53" s="1" t="s">
        <v>66</v>
      </c>
      <c r="D53" s="1">
        <v>1</v>
      </c>
      <c r="H53" s="2" t="s">
        <v>13</v>
      </c>
      <c r="I53" s="4">
        <f t="shared" si="13"/>
        <v>0</v>
      </c>
      <c r="J53" s="4">
        <f t="shared" si="14"/>
        <v>0.5</v>
      </c>
      <c r="K53" s="4">
        <f t="shared" si="15"/>
        <v>0.5</v>
      </c>
      <c r="L53" s="4">
        <f t="shared" si="16"/>
        <v>0</v>
      </c>
    </row>
    <row r="54" spans="1:12" ht="13.5" customHeight="1" x14ac:dyDescent="0.3">
      <c r="A54" s="1" t="s">
        <v>82</v>
      </c>
      <c r="B54" s="1" t="s">
        <v>16</v>
      </c>
      <c r="D54" s="1">
        <v>1</v>
      </c>
      <c r="H54" s="2" t="s">
        <v>30</v>
      </c>
      <c r="I54" s="4">
        <f t="shared" si="13"/>
        <v>0</v>
      </c>
      <c r="J54" s="4">
        <f t="shared" si="14"/>
        <v>0.95238095238095233</v>
      </c>
      <c r="K54" s="4">
        <f t="shared" si="15"/>
        <v>4.7619047619047616E-2</v>
      </c>
      <c r="L54" s="4">
        <f t="shared" si="16"/>
        <v>0</v>
      </c>
    </row>
    <row r="55" spans="1:12" ht="13.5" customHeight="1" x14ac:dyDescent="0.3">
      <c r="A55" s="1" t="s">
        <v>83</v>
      </c>
      <c r="B55" s="1" t="s">
        <v>14</v>
      </c>
      <c r="C55" s="1">
        <v>1</v>
      </c>
      <c r="H55" s="2" t="s">
        <v>35</v>
      </c>
      <c r="I55" s="4">
        <f t="shared" si="13"/>
        <v>0</v>
      </c>
      <c r="J55" s="4">
        <f t="shared" si="14"/>
        <v>0.93333333333333335</v>
      </c>
      <c r="K55" s="4">
        <f t="shared" si="15"/>
        <v>6.6666666666666666E-2</v>
      </c>
      <c r="L55" s="4">
        <f t="shared" si="16"/>
        <v>0</v>
      </c>
    </row>
    <row r="56" spans="1:12" ht="13.5" customHeight="1" x14ac:dyDescent="0.3">
      <c r="A56" s="1" t="s">
        <v>84</v>
      </c>
      <c r="B56" s="1" t="s">
        <v>21</v>
      </c>
      <c r="E56" s="1">
        <v>1</v>
      </c>
      <c r="H56" s="2" t="s">
        <v>38</v>
      </c>
      <c r="I56" s="4">
        <f t="shared" si="13"/>
        <v>0</v>
      </c>
      <c r="J56" s="4">
        <f t="shared" si="14"/>
        <v>1</v>
      </c>
      <c r="K56" s="4">
        <f t="shared" si="15"/>
        <v>0</v>
      </c>
      <c r="L56" s="4">
        <f t="shared" si="16"/>
        <v>0</v>
      </c>
    </row>
    <row r="57" spans="1:12" ht="13.5" customHeight="1" x14ac:dyDescent="0.3">
      <c r="A57" s="1" t="s">
        <v>85</v>
      </c>
      <c r="B57" s="1" t="s">
        <v>33</v>
      </c>
      <c r="D57" s="1">
        <v>1</v>
      </c>
      <c r="H57" s="2" t="s">
        <v>33</v>
      </c>
      <c r="I57" s="4">
        <f t="shared" si="13"/>
        <v>0.8</v>
      </c>
      <c r="J57" s="4">
        <f t="shared" si="14"/>
        <v>0.2</v>
      </c>
      <c r="K57" s="4">
        <f t="shared" si="15"/>
        <v>0</v>
      </c>
      <c r="L57" s="4">
        <f t="shared" si="16"/>
        <v>0</v>
      </c>
    </row>
    <row r="58" spans="1:12" ht="13.5" customHeight="1" x14ac:dyDescent="0.3">
      <c r="A58" s="1" t="s">
        <v>86</v>
      </c>
      <c r="B58" s="1" t="s">
        <v>24</v>
      </c>
      <c r="C58" s="1">
        <v>1</v>
      </c>
    </row>
    <row r="59" spans="1:12" ht="13.5" customHeight="1" x14ac:dyDescent="0.3">
      <c r="A59" s="1" t="s">
        <v>87</v>
      </c>
      <c r="B59" s="1" t="s">
        <v>37</v>
      </c>
      <c r="C59" s="1">
        <v>1</v>
      </c>
    </row>
    <row r="60" spans="1:12" ht="13.5" customHeight="1" x14ac:dyDescent="0.3">
      <c r="A60" s="1" t="s">
        <v>88</v>
      </c>
      <c r="B60" s="1" t="s">
        <v>27</v>
      </c>
      <c r="C60" s="1">
        <v>1</v>
      </c>
    </row>
    <row r="61" spans="1:12" ht="13.5" customHeight="1" x14ac:dyDescent="0.3">
      <c r="A61" s="1" t="s">
        <v>89</v>
      </c>
      <c r="B61" s="1" t="s">
        <v>13</v>
      </c>
      <c r="E61" s="1">
        <v>1</v>
      </c>
    </row>
    <row r="62" spans="1:12" ht="13.5" customHeight="1" x14ac:dyDescent="0.3">
      <c r="A62" s="1" t="s">
        <v>90</v>
      </c>
      <c r="B62" s="1" t="s">
        <v>19</v>
      </c>
      <c r="C62" s="1">
        <v>1</v>
      </c>
    </row>
    <row r="63" spans="1:12" ht="13.5" customHeight="1" x14ac:dyDescent="0.3">
      <c r="A63" s="1" t="s">
        <v>91</v>
      </c>
      <c r="B63" s="1" t="s">
        <v>21</v>
      </c>
      <c r="F63" s="1">
        <v>1</v>
      </c>
    </row>
    <row r="64" spans="1:12" ht="13.5" customHeight="1" x14ac:dyDescent="0.3">
      <c r="A64" s="1" t="s">
        <v>92</v>
      </c>
      <c r="B64" s="1" t="s">
        <v>42</v>
      </c>
      <c r="C64" s="1">
        <v>1</v>
      </c>
    </row>
    <row r="65" spans="1:6" ht="13.5" customHeight="1" x14ac:dyDescent="0.3">
      <c r="A65" s="1" t="s">
        <v>93</v>
      </c>
      <c r="B65" s="1" t="s">
        <v>14</v>
      </c>
      <c r="C65" s="1">
        <v>1</v>
      </c>
    </row>
    <row r="66" spans="1:6" ht="13.5" customHeight="1" x14ac:dyDescent="0.3">
      <c r="A66" s="1" t="s">
        <v>94</v>
      </c>
      <c r="B66" s="1" t="s">
        <v>14</v>
      </c>
      <c r="C66" s="1">
        <v>1</v>
      </c>
    </row>
    <row r="67" spans="1:6" ht="13.5" customHeight="1" x14ac:dyDescent="0.3">
      <c r="A67" s="1" t="s">
        <v>95</v>
      </c>
      <c r="B67" s="1" t="s">
        <v>38</v>
      </c>
      <c r="D67" s="1">
        <v>1</v>
      </c>
    </row>
    <row r="68" spans="1:6" ht="13.5" customHeight="1" x14ac:dyDescent="0.3">
      <c r="A68" s="1" t="s">
        <v>96</v>
      </c>
      <c r="B68" s="1" t="s">
        <v>19</v>
      </c>
      <c r="C68" s="1">
        <v>1</v>
      </c>
    </row>
    <row r="69" spans="1:6" ht="13.5" customHeight="1" x14ac:dyDescent="0.3">
      <c r="A69" s="1" t="s">
        <v>97</v>
      </c>
      <c r="B69" s="1" t="s">
        <v>24</v>
      </c>
      <c r="C69" s="1">
        <v>1</v>
      </c>
    </row>
    <row r="70" spans="1:6" ht="13.5" customHeight="1" x14ac:dyDescent="0.3">
      <c r="A70" s="1" t="s">
        <v>98</v>
      </c>
      <c r="B70" s="1" t="s">
        <v>30</v>
      </c>
      <c r="D70" s="1">
        <v>1</v>
      </c>
    </row>
    <row r="71" spans="1:6" ht="13.5" customHeight="1" x14ac:dyDescent="0.3">
      <c r="A71" s="1" t="s">
        <v>99</v>
      </c>
      <c r="B71" s="1" t="s">
        <v>30</v>
      </c>
      <c r="D71" s="1">
        <v>1</v>
      </c>
    </row>
    <row r="72" spans="1:6" ht="13.5" customHeight="1" x14ac:dyDescent="0.3">
      <c r="A72" s="1" t="s">
        <v>100</v>
      </c>
      <c r="B72" s="1" t="s">
        <v>27</v>
      </c>
      <c r="F72" s="1">
        <v>1</v>
      </c>
    </row>
    <row r="73" spans="1:6" ht="13.5" customHeight="1" x14ac:dyDescent="0.3">
      <c r="A73" s="1" t="s">
        <v>101</v>
      </c>
      <c r="B73" s="1" t="s">
        <v>21</v>
      </c>
      <c r="E73" s="1">
        <v>1</v>
      </c>
    </row>
    <row r="74" spans="1:6" ht="13.5" customHeight="1" x14ac:dyDescent="0.3">
      <c r="A74" s="1" t="s">
        <v>102</v>
      </c>
      <c r="B74" s="1" t="s">
        <v>66</v>
      </c>
      <c r="D74" s="1">
        <v>1</v>
      </c>
    </row>
    <row r="75" spans="1:6" ht="13.5" customHeight="1" x14ac:dyDescent="0.3">
      <c r="A75" s="1" t="s">
        <v>103</v>
      </c>
      <c r="B75" s="1" t="s">
        <v>30</v>
      </c>
      <c r="D75" s="1">
        <v>1</v>
      </c>
    </row>
    <row r="76" spans="1:6" ht="13.5" customHeight="1" x14ac:dyDescent="0.3">
      <c r="A76" s="1" t="s">
        <v>104</v>
      </c>
      <c r="B76" s="1" t="s">
        <v>24</v>
      </c>
      <c r="C76" s="1">
        <v>1</v>
      </c>
    </row>
    <row r="77" spans="1:6" ht="13.5" customHeight="1" x14ac:dyDescent="0.3">
      <c r="A77" s="1" t="s">
        <v>105</v>
      </c>
      <c r="B77" s="1" t="s">
        <v>66</v>
      </c>
      <c r="D77" s="1">
        <v>1</v>
      </c>
    </row>
    <row r="78" spans="1:6" ht="13.5" customHeight="1" x14ac:dyDescent="0.3">
      <c r="A78" s="1" t="s">
        <v>106</v>
      </c>
      <c r="B78" s="1" t="s">
        <v>42</v>
      </c>
      <c r="C78" s="1">
        <v>1</v>
      </c>
    </row>
    <row r="79" spans="1:6" ht="13.5" customHeight="1" x14ac:dyDescent="0.3">
      <c r="A79" s="1" t="s">
        <v>107</v>
      </c>
      <c r="B79" s="1" t="s">
        <v>27</v>
      </c>
      <c r="D79" s="1">
        <v>1</v>
      </c>
    </row>
    <row r="80" spans="1:6" ht="13.5" customHeight="1" x14ac:dyDescent="0.3">
      <c r="A80" s="1" t="s">
        <v>108</v>
      </c>
      <c r="B80" s="1" t="s">
        <v>66</v>
      </c>
      <c r="D80" s="1">
        <v>1</v>
      </c>
    </row>
    <row r="81" spans="1:5" ht="13.5" customHeight="1" x14ac:dyDescent="0.3">
      <c r="A81" s="1" t="s">
        <v>109</v>
      </c>
      <c r="B81" s="1" t="s">
        <v>30</v>
      </c>
      <c r="D81" s="1">
        <v>1</v>
      </c>
    </row>
    <row r="82" spans="1:5" ht="13.5" customHeight="1" x14ac:dyDescent="0.3">
      <c r="A82" s="1" t="s">
        <v>110</v>
      </c>
      <c r="B82" s="1" t="s">
        <v>37</v>
      </c>
      <c r="C82" s="1">
        <v>1</v>
      </c>
    </row>
    <row r="83" spans="1:5" ht="13.5" customHeight="1" x14ac:dyDescent="0.3">
      <c r="A83" s="1" t="s">
        <v>111</v>
      </c>
      <c r="B83" s="1" t="s">
        <v>37</v>
      </c>
      <c r="C83" s="1">
        <v>1</v>
      </c>
    </row>
    <row r="84" spans="1:5" ht="13.5" customHeight="1" x14ac:dyDescent="0.3">
      <c r="A84" s="1" t="s">
        <v>112</v>
      </c>
      <c r="B84" s="1" t="s">
        <v>38</v>
      </c>
      <c r="D84" s="1">
        <v>1</v>
      </c>
    </row>
    <row r="85" spans="1:5" ht="13.5" customHeight="1" x14ac:dyDescent="0.3">
      <c r="A85" s="1" t="s">
        <v>113</v>
      </c>
      <c r="B85" s="1" t="s">
        <v>21</v>
      </c>
      <c r="E85" s="1">
        <v>1</v>
      </c>
    </row>
    <row r="86" spans="1:5" ht="13.5" customHeight="1" x14ac:dyDescent="0.3">
      <c r="A86" s="1" t="s">
        <v>114</v>
      </c>
      <c r="B86" s="1" t="s">
        <v>42</v>
      </c>
      <c r="C86" s="1">
        <v>1</v>
      </c>
    </row>
    <row r="87" spans="1:5" ht="13.5" customHeight="1" x14ac:dyDescent="0.3">
      <c r="A87" s="1" t="s">
        <v>115</v>
      </c>
      <c r="B87" s="1" t="s">
        <v>21</v>
      </c>
      <c r="E87" s="1">
        <v>1</v>
      </c>
    </row>
    <row r="88" spans="1:5" ht="13.5" customHeight="1" x14ac:dyDescent="0.3">
      <c r="A88" s="1" t="s">
        <v>116</v>
      </c>
      <c r="B88" s="1" t="s">
        <v>30</v>
      </c>
      <c r="D88" s="1">
        <v>1</v>
      </c>
    </row>
    <row r="89" spans="1:5" ht="13.5" customHeight="1" x14ac:dyDescent="0.3">
      <c r="A89" s="1" t="s">
        <v>117</v>
      </c>
      <c r="B89" s="1" t="s">
        <v>16</v>
      </c>
      <c r="C89" s="1">
        <v>1</v>
      </c>
    </row>
    <row r="90" spans="1:5" ht="13.5" customHeight="1" x14ac:dyDescent="0.3">
      <c r="A90" s="1" t="s">
        <v>118</v>
      </c>
      <c r="B90" s="1" t="s">
        <v>16</v>
      </c>
      <c r="C90" s="1">
        <v>1</v>
      </c>
    </row>
    <row r="91" spans="1:5" ht="13.5" customHeight="1" x14ac:dyDescent="0.3">
      <c r="A91" s="1" t="s">
        <v>119</v>
      </c>
      <c r="B91" s="1" t="s">
        <v>66</v>
      </c>
      <c r="D91" s="1">
        <v>1</v>
      </c>
    </row>
    <row r="92" spans="1:5" ht="13.5" customHeight="1" x14ac:dyDescent="0.3">
      <c r="A92" s="1" t="s">
        <v>120</v>
      </c>
      <c r="B92" s="1" t="s">
        <v>13</v>
      </c>
      <c r="E92" s="1">
        <v>1</v>
      </c>
    </row>
    <row r="93" spans="1:5" ht="13.5" customHeight="1" x14ac:dyDescent="0.3">
      <c r="A93" s="1" t="s">
        <v>121</v>
      </c>
      <c r="B93" s="1" t="s">
        <v>30</v>
      </c>
      <c r="D93" s="1">
        <v>1</v>
      </c>
    </row>
    <row r="94" spans="1:5" ht="13.5" customHeight="1" x14ac:dyDescent="0.3">
      <c r="A94" s="1" t="s">
        <v>122</v>
      </c>
      <c r="B94" s="1" t="s">
        <v>24</v>
      </c>
      <c r="C94" s="1">
        <v>1</v>
      </c>
    </row>
    <row r="95" spans="1:5" ht="13.5" customHeight="1" x14ac:dyDescent="0.3">
      <c r="A95" s="1" t="s">
        <v>123</v>
      </c>
      <c r="B95" s="1" t="s">
        <v>21</v>
      </c>
      <c r="E95" s="1">
        <v>1</v>
      </c>
    </row>
    <row r="96" spans="1:5" ht="13.5" customHeight="1" x14ac:dyDescent="0.3">
      <c r="A96" s="1" t="s">
        <v>124</v>
      </c>
      <c r="B96" s="1" t="s">
        <v>14</v>
      </c>
      <c r="C96" s="1">
        <v>1</v>
      </c>
    </row>
    <row r="97" spans="1:5" ht="13.5" customHeight="1" x14ac:dyDescent="0.3">
      <c r="A97" s="1" t="s">
        <v>125</v>
      </c>
      <c r="B97" s="1" t="s">
        <v>66</v>
      </c>
      <c r="D97" s="1">
        <v>1</v>
      </c>
    </row>
    <row r="98" spans="1:5" ht="13.5" customHeight="1" x14ac:dyDescent="0.3">
      <c r="A98" s="1" t="s">
        <v>126</v>
      </c>
      <c r="B98" s="1" t="s">
        <v>30</v>
      </c>
      <c r="D98" s="1">
        <v>1</v>
      </c>
    </row>
    <row r="99" spans="1:5" ht="13.5" customHeight="1" x14ac:dyDescent="0.3">
      <c r="A99" s="1" t="s">
        <v>127</v>
      </c>
      <c r="B99" s="1" t="s">
        <v>27</v>
      </c>
      <c r="D99" s="1">
        <v>1</v>
      </c>
    </row>
    <row r="100" spans="1:5" ht="13.5" customHeight="1" x14ac:dyDescent="0.3">
      <c r="A100" s="1" t="s">
        <v>128</v>
      </c>
      <c r="B100" s="1" t="s">
        <v>30</v>
      </c>
      <c r="D100" s="1">
        <v>1</v>
      </c>
    </row>
    <row r="101" spans="1:5" ht="13.5" customHeight="1" x14ac:dyDescent="0.3">
      <c r="A101" s="1" t="s">
        <v>129</v>
      </c>
      <c r="B101" s="1" t="s">
        <v>27</v>
      </c>
      <c r="D101" s="1">
        <v>1</v>
      </c>
    </row>
    <row r="102" spans="1:5" ht="13.5" customHeight="1" x14ac:dyDescent="0.3">
      <c r="A102" s="1" t="s">
        <v>130</v>
      </c>
      <c r="B102" s="1" t="s">
        <v>16</v>
      </c>
      <c r="E102" s="1">
        <v>1</v>
      </c>
    </row>
    <row r="103" spans="1:5" ht="13.5" customHeight="1" x14ac:dyDescent="0.3">
      <c r="A103" s="1" t="s">
        <v>131</v>
      </c>
      <c r="B103" s="1" t="s">
        <v>66</v>
      </c>
      <c r="D103" s="1">
        <v>1</v>
      </c>
    </row>
    <row r="104" spans="1:5" ht="13.5" customHeight="1" x14ac:dyDescent="0.3">
      <c r="A104" s="1" t="s">
        <v>132</v>
      </c>
      <c r="B104" s="1" t="s">
        <v>30</v>
      </c>
      <c r="D104" s="1">
        <v>1</v>
      </c>
    </row>
    <row r="105" spans="1:5" ht="13.5" customHeight="1" x14ac:dyDescent="0.3">
      <c r="A105" s="1" t="s">
        <v>133</v>
      </c>
      <c r="B105" s="1" t="s">
        <v>14</v>
      </c>
      <c r="C105" s="1">
        <v>1</v>
      </c>
    </row>
    <row r="106" spans="1:5" ht="13.5" customHeight="1" x14ac:dyDescent="0.3">
      <c r="A106" s="1" t="s">
        <v>134</v>
      </c>
      <c r="B106" s="1" t="s">
        <v>42</v>
      </c>
      <c r="C106" s="1">
        <v>1</v>
      </c>
    </row>
    <row r="107" spans="1:5" ht="13.5" customHeight="1" x14ac:dyDescent="0.3">
      <c r="A107" s="1" t="s">
        <v>135</v>
      </c>
      <c r="B107" s="1" t="s">
        <v>27</v>
      </c>
      <c r="D107" s="1">
        <v>1</v>
      </c>
    </row>
    <row r="108" spans="1:5" ht="13.5" customHeight="1" x14ac:dyDescent="0.3">
      <c r="A108" s="1" t="s">
        <v>136</v>
      </c>
      <c r="B108" s="1" t="s">
        <v>66</v>
      </c>
      <c r="D108" s="1">
        <v>1</v>
      </c>
    </row>
    <row r="109" spans="1:5" ht="13.5" customHeight="1" x14ac:dyDescent="0.3">
      <c r="A109" s="1" t="s">
        <v>137</v>
      </c>
      <c r="B109" s="1" t="s">
        <v>13</v>
      </c>
      <c r="D109" s="1">
        <v>1</v>
      </c>
    </row>
    <row r="110" spans="1:5" ht="13.5" customHeight="1" x14ac:dyDescent="0.3">
      <c r="A110" s="1" t="s">
        <v>138</v>
      </c>
      <c r="B110" s="1" t="s">
        <v>42</v>
      </c>
      <c r="C110" s="1">
        <v>1</v>
      </c>
    </row>
    <row r="111" spans="1:5" ht="13.5" customHeight="1" x14ac:dyDescent="0.3">
      <c r="A111" s="1" t="s">
        <v>139</v>
      </c>
      <c r="B111" s="1" t="s">
        <v>27</v>
      </c>
      <c r="E111" s="1">
        <v>1</v>
      </c>
    </row>
    <row r="112" spans="1:5" ht="13.5" customHeight="1" x14ac:dyDescent="0.3">
      <c r="A112" s="1" t="s">
        <v>140</v>
      </c>
      <c r="B112" s="1" t="s">
        <v>16</v>
      </c>
      <c r="D112" s="1">
        <v>1</v>
      </c>
    </row>
    <row r="113" spans="1:6" ht="13.5" customHeight="1" x14ac:dyDescent="0.3">
      <c r="A113" s="1" t="s">
        <v>141</v>
      </c>
      <c r="B113" s="1" t="s">
        <v>14</v>
      </c>
      <c r="C113" s="1">
        <v>1</v>
      </c>
    </row>
    <row r="114" spans="1:6" ht="13.5" customHeight="1" x14ac:dyDescent="0.3">
      <c r="A114" s="1" t="s">
        <v>142</v>
      </c>
      <c r="B114" s="1" t="s">
        <v>16</v>
      </c>
      <c r="D114" s="1">
        <v>1</v>
      </c>
    </row>
    <row r="115" spans="1:6" ht="13.5" customHeight="1" x14ac:dyDescent="0.3">
      <c r="A115" s="1" t="s">
        <v>143</v>
      </c>
      <c r="B115" s="1" t="s">
        <v>24</v>
      </c>
      <c r="D115" s="1">
        <v>1</v>
      </c>
    </row>
    <row r="116" spans="1:6" ht="13.5" customHeight="1" x14ac:dyDescent="0.3">
      <c r="A116" s="1" t="s">
        <v>144</v>
      </c>
      <c r="B116" s="1" t="s">
        <v>66</v>
      </c>
      <c r="D116" s="1">
        <v>1</v>
      </c>
    </row>
    <row r="117" spans="1:6" ht="13.5" customHeight="1" x14ac:dyDescent="0.3">
      <c r="A117" s="1" t="s">
        <v>145</v>
      </c>
      <c r="B117" s="1" t="s">
        <v>27</v>
      </c>
      <c r="C117" s="1">
        <v>1</v>
      </c>
    </row>
    <row r="118" spans="1:6" ht="13.5" customHeight="1" x14ac:dyDescent="0.3">
      <c r="A118" s="1" t="s">
        <v>146</v>
      </c>
      <c r="B118" s="1" t="s">
        <v>30</v>
      </c>
      <c r="D118" s="1">
        <v>1</v>
      </c>
    </row>
    <row r="119" spans="1:6" ht="13.5" customHeight="1" x14ac:dyDescent="0.3">
      <c r="A119" s="1" t="s">
        <v>147</v>
      </c>
      <c r="B119" s="1" t="s">
        <v>42</v>
      </c>
      <c r="C119" s="1">
        <v>1</v>
      </c>
    </row>
    <row r="120" spans="1:6" ht="13.5" customHeight="1" x14ac:dyDescent="0.3">
      <c r="A120" s="1" t="s">
        <v>148</v>
      </c>
      <c r="B120" s="1" t="s">
        <v>13</v>
      </c>
      <c r="E120" s="1">
        <v>1</v>
      </c>
    </row>
    <row r="121" spans="1:6" ht="13.5" customHeight="1" x14ac:dyDescent="0.3">
      <c r="A121" s="1" t="s">
        <v>149</v>
      </c>
      <c r="B121" s="1" t="s">
        <v>150</v>
      </c>
      <c r="F121" s="1">
        <v>1</v>
      </c>
    </row>
    <row r="122" spans="1:6" ht="13.5" customHeight="1" x14ac:dyDescent="0.3">
      <c r="A122" s="1" t="s">
        <v>151</v>
      </c>
      <c r="B122" s="1" t="s">
        <v>24</v>
      </c>
      <c r="C122" s="1">
        <v>1</v>
      </c>
    </row>
    <row r="123" spans="1:6" ht="13.5" customHeight="1" x14ac:dyDescent="0.3">
      <c r="A123" s="1" t="s">
        <v>152</v>
      </c>
      <c r="B123" s="1" t="s">
        <v>24</v>
      </c>
      <c r="C123" s="1">
        <v>1</v>
      </c>
    </row>
    <row r="124" spans="1:6" ht="13.5" customHeight="1" x14ac:dyDescent="0.3">
      <c r="A124" s="1" t="s">
        <v>153</v>
      </c>
      <c r="B124" s="1" t="s">
        <v>19</v>
      </c>
      <c r="C124" s="1">
        <v>1</v>
      </c>
    </row>
    <row r="125" spans="1:6" ht="13.5" customHeight="1" x14ac:dyDescent="0.3">
      <c r="A125" s="1" t="s">
        <v>154</v>
      </c>
      <c r="B125" s="1" t="s">
        <v>33</v>
      </c>
      <c r="C125" s="1">
        <v>1</v>
      </c>
    </row>
    <row r="126" spans="1:6" ht="13.5" customHeight="1" x14ac:dyDescent="0.3">
      <c r="A126" s="1" t="s">
        <v>155</v>
      </c>
      <c r="B126" s="1" t="s">
        <v>13</v>
      </c>
      <c r="D126" s="1">
        <v>1</v>
      </c>
    </row>
    <row r="127" spans="1:6" ht="13.5" customHeight="1" x14ac:dyDescent="0.3">
      <c r="A127" s="1" t="s">
        <v>156</v>
      </c>
      <c r="B127" s="1" t="s">
        <v>13</v>
      </c>
      <c r="E127" s="1">
        <v>1</v>
      </c>
    </row>
    <row r="128" spans="1:6" ht="13.5" customHeight="1" x14ac:dyDescent="0.3">
      <c r="A128" s="1" t="s">
        <v>157</v>
      </c>
      <c r="B128" s="1" t="s">
        <v>14</v>
      </c>
      <c r="C128" s="1">
        <v>1</v>
      </c>
    </row>
    <row r="129" spans="1:5" ht="13.5" customHeight="1" x14ac:dyDescent="0.3">
      <c r="A129" s="1" t="s">
        <v>158</v>
      </c>
      <c r="B129" s="1" t="s">
        <v>16</v>
      </c>
      <c r="C129" s="1">
        <v>1</v>
      </c>
    </row>
    <row r="130" spans="1:5" ht="13.5" customHeight="1" x14ac:dyDescent="0.3">
      <c r="A130" s="1" t="s">
        <v>159</v>
      </c>
      <c r="B130" s="1" t="s">
        <v>13</v>
      </c>
      <c r="D130" s="1">
        <v>1</v>
      </c>
    </row>
    <row r="131" spans="1:5" ht="13.5" customHeight="1" x14ac:dyDescent="0.3">
      <c r="A131" s="1" t="s">
        <v>160</v>
      </c>
      <c r="B131" s="1" t="s">
        <v>66</v>
      </c>
      <c r="E131" s="1">
        <v>1</v>
      </c>
    </row>
    <row r="132" spans="1:5" ht="13.5" customHeight="1" x14ac:dyDescent="0.3">
      <c r="A132" s="1" t="s">
        <v>161</v>
      </c>
      <c r="B132" s="1" t="s">
        <v>38</v>
      </c>
      <c r="D132" s="1">
        <v>1</v>
      </c>
    </row>
    <row r="133" spans="1:5" ht="13.5" customHeight="1" x14ac:dyDescent="0.3">
      <c r="A133" s="1" t="s">
        <v>162</v>
      </c>
      <c r="B133" s="1" t="s">
        <v>13</v>
      </c>
      <c r="D133" s="1">
        <v>1</v>
      </c>
    </row>
    <row r="134" spans="1:5" ht="13.5" customHeight="1" x14ac:dyDescent="0.3">
      <c r="A134" s="1" t="s">
        <v>163</v>
      </c>
      <c r="B134" s="1" t="s">
        <v>66</v>
      </c>
      <c r="D134" s="1">
        <v>1</v>
      </c>
    </row>
    <row r="135" spans="1:5" ht="13.5" customHeight="1" x14ac:dyDescent="0.3">
      <c r="A135" s="1" t="s">
        <v>164</v>
      </c>
      <c r="B135" s="1" t="s">
        <v>21</v>
      </c>
      <c r="C135" s="1">
        <v>1</v>
      </c>
    </row>
    <row r="136" spans="1:5" ht="13.5" customHeight="1" x14ac:dyDescent="0.3">
      <c r="A136" s="1" t="s">
        <v>165</v>
      </c>
      <c r="B136" s="1" t="s">
        <v>30</v>
      </c>
      <c r="D136" s="1">
        <v>1</v>
      </c>
    </row>
    <row r="137" spans="1:5" ht="13.5" customHeight="1" x14ac:dyDescent="0.3">
      <c r="A137" s="1" t="s">
        <v>166</v>
      </c>
      <c r="B137" s="1" t="s">
        <v>30</v>
      </c>
      <c r="D137" s="1">
        <v>1</v>
      </c>
    </row>
    <row r="138" spans="1:5" ht="13.5" customHeight="1" x14ac:dyDescent="0.3">
      <c r="A138" s="1" t="s">
        <v>167</v>
      </c>
      <c r="B138" s="1" t="s">
        <v>19</v>
      </c>
      <c r="C138" s="1">
        <v>1</v>
      </c>
    </row>
    <row r="139" spans="1:5" ht="13.5" customHeight="1" x14ac:dyDescent="0.3">
      <c r="A139" s="1" t="s">
        <v>168</v>
      </c>
      <c r="B139" s="1" t="s">
        <v>13</v>
      </c>
      <c r="E139" s="1">
        <v>1</v>
      </c>
    </row>
    <row r="140" spans="1:5" ht="13.5" customHeight="1" x14ac:dyDescent="0.3">
      <c r="A140" s="1" t="s">
        <v>169</v>
      </c>
      <c r="B140" s="1" t="s">
        <v>27</v>
      </c>
      <c r="D140" s="1">
        <v>1</v>
      </c>
    </row>
    <row r="141" spans="1:5" ht="13.5" customHeight="1" x14ac:dyDescent="0.3">
      <c r="A141" s="1" t="s">
        <v>170</v>
      </c>
      <c r="B141" s="1" t="s">
        <v>16</v>
      </c>
      <c r="E141" s="1">
        <v>1</v>
      </c>
    </row>
    <row r="142" spans="1:5" ht="13.5" customHeight="1" x14ac:dyDescent="0.3">
      <c r="A142" s="1" t="s">
        <v>171</v>
      </c>
      <c r="B142" s="1" t="s">
        <v>19</v>
      </c>
      <c r="C142" s="1">
        <v>1</v>
      </c>
    </row>
    <row r="143" spans="1:5" ht="13.5" customHeight="1" x14ac:dyDescent="0.3">
      <c r="A143" s="1" t="s">
        <v>172</v>
      </c>
      <c r="B143" s="1" t="s">
        <v>37</v>
      </c>
      <c r="C143" s="1">
        <v>1</v>
      </c>
    </row>
    <row r="144" spans="1:5" ht="13.5" customHeight="1" x14ac:dyDescent="0.3">
      <c r="A144" s="1" t="s">
        <v>173</v>
      </c>
      <c r="B144" s="1" t="s">
        <v>27</v>
      </c>
      <c r="D144" s="1">
        <v>1</v>
      </c>
    </row>
    <row r="145" spans="1:4" ht="13.5" customHeight="1" x14ac:dyDescent="0.3">
      <c r="A145" s="1" t="s">
        <v>174</v>
      </c>
      <c r="B145" s="1" t="s">
        <v>66</v>
      </c>
      <c r="D145" s="1">
        <v>1</v>
      </c>
    </row>
    <row r="146" spans="1:4" ht="13.5" customHeight="1" x14ac:dyDescent="0.3">
      <c r="A146" s="1" t="s">
        <v>175</v>
      </c>
      <c r="B146" s="1" t="s">
        <v>14</v>
      </c>
      <c r="C146" s="1">
        <v>1</v>
      </c>
    </row>
    <row r="147" spans="1:4" ht="13.5" customHeight="1" x14ac:dyDescent="0.3">
      <c r="A147" s="1" t="s">
        <v>176</v>
      </c>
      <c r="B147" s="1" t="s">
        <v>66</v>
      </c>
      <c r="D147" s="1">
        <v>1</v>
      </c>
    </row>
    <row r="148" spans="1:4" ht="13.5" customHeight="1" x14ac:dyDescent="0.3">
      <c r="A148" s="1" t="s">
        <v>177</v>
      </c>
      <c r="B148" s="1" t="s">
        <v>42</v>
      </c>
      <c r="C148" s="1">
        <v>1</v>
      </c>
    </row>
    <row r="149" spans="1:4" ht="13.5" customHeight="1" x14ac:dyDescent="0.3">
      <c r="A149" s="1" t="s">
        <v>178</v>
      </c>
      <c r="B149" s="1" t="s">
        <v>33</v>
      </c>
      <c r="C149" s="1">
        <v>1</v>
      </c>
    </row>
    <row r="150" spans="1:4" ht="13.5" customHeight="1" x14ac:dyDescent="0.3">
      <c r="A150" s="1" t="s">
        <v>179</v>
      </c>
      <c r="B150" s="1" t="s">
        <v>14</v>
      </c>
      <c r="C150" s="1">
        <v>1</v>
      </c>
    </row>
    <row r="151" spans="1:4" ht="13.5" customHeight="1" x14ac:dyDescent="0.3">
      <c r="A151" s="1" t="s">
        <v>180</v>
      </c>
      <c r="B151" s="1" t="s">
        <v>13</v>
      </c>
      <c r="D151" s="1">
        <v>1</v>
      </c>
    </row>
    <row r="152" spans="1:4" ht="13.5" customHeight="1" x14ac:dyDescent="0.3">
      <c r="A152" s="1" t="s">
        <v>181</v>
      </c>
      <c r="B152" s="1" t="s">
        <v>24</v>
      </c>
      <c r="C152" s="1">
        <v>1</v>
      </c>
    </row>
    <row r="153" spans="1:4" ht="13.5" customHeight="1" x14ac:dyDescent="0.3">
      <c r="A153" s="1" t="s">
        <v>182</v>
      </c>
      <c r="B153" s="1" t="s">
        <v>19</v>
      </c>
      <c r="C153" s="1">
        <v>1</v>
      </c>
    </row>
    <row r="154" spans="1:4" ht="13.5" customHeight="1" x14ac:dyDescent="0.3">
      <c r="A154" s="1" t="s">
        <v>183</v>
      </c>
      <c r="B154" s="1" t="s">
        <v>42</v>
      </c>
      <c r="C154" s="1">
        <v>1</v>
      </c>
    </row>
    <row r="155" spans="1:4" ht="13.5" customHeight="1" x14ac:dyDescent="0.3">
      <c r="A155" s="1" t="s">
        <v>184</v>
      </c>
      <c r="B155" s="1" t="s">
        <v>19</v>
      </c>
      <c r="C155" s="1">
        <v>1</v>
      </c>
    </row>
    <row r="156" spans="1:4" ht="13.5" customHeight="1" x14ac:dyDescent="0.3">
      <c r="A156" s="1" t="s">
        <v>185</v>
      </c>
      <c r="B156" s="1" t="s">
        <v>30</v>
      </c>
      <c r="D156" s="1">
        <v>1</v>
      </c>
    </row>
    <row r="157" spans="1:4" ht="13.5" customHeight="1" x14ac:dyDescent="0.3"/>
    <row r="158" spans="1:4" ht="13.5" customHeight="1" x14ac:dyDescent="0.3"/>
    <row r="159" spans="1:4" ht="13.5" customHeight="1" x14ac:dyDescent="0.3"/>
    <row r="160" spans="1:4" ht="13.5" customHeight="1" x14ac:dyDescent="0.3"/>
    <row r="161" s="1" customFormat="1" ht="13.5" customHeight="1" x14ac:dyDescent="0.3"/>
    <row r="162" s="1" customFormat="1" ht="13.5" customHeight="1" x14ac:dyDescent="0.3"/>
    <row r="163" s="1" customFormat="1" ht="13.5" customHeight="1" x14ac:dyDescent="0.3"/>
    <row r="164" s="1" customFormat="1" ht="13.5" customHeight="1" x14ac:dyDescent="0.3"/>
    <row r="165" s="1" customFormat="1" ht="13.5" customHeight="1" x14ac:dyDescent="0.3"/>
    <row r="166" s="1" customFormat="1" ht="13.5" customHeight="1" x14ac:dyDescent="0.3"/>
    <row r="167" s="1" customFormat="1" ht="13.5" customHeight="1" x14ac:dyDescent="0.3"/>
    <row r="168" s="1" customFormat="1" ht="13.5" customHeight="1" x14ac:dyDescent="0.3"/>
    <row r="169" s="1" customFormat="1" ht="13.5" customHeight="1" x14ac:dyDescent="0.3"/>
    <row r="170" s="1" customFormat="1" ht="13.5" customHeight="1" x14ac:dyDescent="0.3"/>
    <row r="171" s="1" customFormat="1" ht="13.5" customHeight="1" x14ac:dyDescent="0.3"/>
    <row r="172" s="1" customFormat="1" ht="13.5" customHeight="1" x14ac:dyDescent="0.3"/>
    <row r="173" s="1" customFormat="1" ht="13.5" customHeight="1" x14ac:dyDescent="0.3"/>
    <row r="174" s="1" customFormat="1" ht="13.5" customHeight="1" x14ac:dyDescent="0.3"/>
    <row r="175" s="1" customFormat="1" ht="13.5" customHeight="1" x14ac:dyDescent="0.3"/>
    <row r="176" s="1" customFormat="1" ht="13.5" customHeight="1" x14ac:dyDescent="0.3"/>
    <row r="177" s="1" customFormat="1" ht="13.5" customHeight="1" x14ac:dyDescent="0.3"/>
    <row r="178" s="1" customFormat="1" ht="13.5" customHeight="1" x14ac:dyDescent="0.3"/>
    <row r="179" s="1" customFormat="1" ht="13.5" customHeight="1" x14ac:dyDescent="0.3"/>
    <row r="180" s="1" customFormat="1" ht="13.5" customHeight="1" x14ac:dyDescent="0.3"/>
    <row r="181" s="1" customFormat="1" ht="13.5" customHeight="1" x14ac:dyDescent="0.3"/>
    <row r="182" s="1" customFormat="1" ht="13.5" customHeight="1" x14ac:dyDescent="0.3"/>
    <row r="183" s="1" customFormat="1" ht="13.5" customHeight="1" x14ac:dyDescent="0.3"/>
    <row r="184" s="1" customFormat="1" ht="13.5" customHeight="1" x14ac:dyDescent="0.3"/>
    <row r="185" s="1" customFormat="1" ht="13.5" customHeight="1" x14ac:dyDescent="0.3"/>
    <row r="186" s="1" customFormat="1" ht="13.5" customHeight="1" x14ac:dyDescent="0.3"/>
    <row r="187" s="1" customFormat="1" ht="13.5" customHeight="1" x14ac:dyDescent="0.3"/>
    <row r="188" s="1" customFormat="1" ht="13.5" customHeight="1" x14ac:dyDescent="0.3"/>
    <row r="189" s="1" customFormat="1" ht="13.5" customHeight="1" x14ac:dyDescent="0.3"/>
    <row r="190" s="1" customFormat="1" ht="13.5" customHeight="1" x14ac:dyDescent="0.3"/>
    <row r="191" s="1" customFormat="1" ht="13.5" customHeight="1" x14ac:dyDescent="0.3"/>
    <row r="192" s="1" customFormat="1" ht="13.5" customHeight="1" x14ac:dyDescent="0.3"/>
    <row r="193" s="1" customFormat="1" ht="13.5" customHeight="1" x14ac:dyDescent="0.3"/>
    <row r="194" s="1" customFormat="1" ht="13.5" customHeight="1" x14ac:dyDescent="0.3"/>
    <row r="195" s="1" customFormat="1" ht="13.5" customHeight="1" x14ac:dyDescent="0.3"/>
    <row r="196" s="1" customFormat="1" ht="13.5" customHeight="1" x14ac:dyDescent="0.3"/>
    <row r="197" s="1" customFormat="1" ht="13.5" customHeight="1" x14ac:dyDescent="0.3"/>
    <row r="198" s="1" customFormat="1" ht="13.5" customHeight="1" x14ac:dyDescent="0.3"/>
    <row r="199" s="1" customFormat="1" ht="13.5" customHeight="1" x14ac:dyDescent="0.3"/>
    <row r="200" s="1" customFormat="1" ht="13.5" customHeight="1" x14ac:dyDescent="0.3"/>
    <row r="201" s="1" customFormat="1" ht="13.5" customHeight="1" x14ac:dyDescent="0.3"/>
    <row r="202" s="1" customFormat="1" ht="13.5" customHeight="1" x14ac:dyDescent="0.3"/>
    <row r="203" s="1" customFormat="1" ht="13.5" customHeight="1" x14ac:dyDescent="0.3"/>
    <row r="204" s="1" customFormat="1" ht="13.5" customHeight="1" x14ac:dyDescent="0.3"/>
    <row r="205" s="1" customFormat="1" ht="13.5" customHeight="1" x14ac:dyDescent="0.3"/>
    <row r="206" s="1" customFormat="1" ht="13.5" customHeight="1" x14ac:dyDescent="0.3"/>
    <row r="207" s="1" customFormat="1" ht="13.5" customHeight="1" x14ac:dyDescent="0.3"/>
    <row r="208" s="1" customFormat="1" ht="13.5" customHeight="1" x14ac:dyDescent="0.3"/>
    <row r="209" s="1" customFormat="1" ht="13.5" customHeight="1" x14ac:dyDescent="0.3"/>
    <row r="210" s="1" customFormat="1" ht="13.5" customHeight="1" x14ac:dyDescent="0.3"/>
    <row r="211" s="1" customFormat="1" ht="13.5" customHeight="1" x14ac:dyDescent="0.3"/>
    <row r="212" s="1" customFormat="1" ht="13.5" customHeight="1" x14ac:dyDescent="0.3"/>
    <row r="213" s="1" customFormat="1" ht="13.5" customHeight="1" x14ac:dyDescent="0.3"/>
    <row r="214" s="1" customFormat="1" ht="13.5" customHeight="1" x14ac:dyDescent="0.3"/>
    <row r="215" s="1" customFormat="1" ht="13.5" customHeight="1" x14ac:dyDescent="0.3"/>
    <row r="216" s="1" customFormat="1" ht="13.5" customHeight="1" x14ac:dyDescent="0.3"/>
    <row r="217" s="1" customFormat="1" ht="13.5" customHeight="1" x14ac:dyDescent="0.3"/>
    <row r="218" s="1" customFormat="1" ht="13.5" customHeight="1" x14ac:dyDescent="0.3"/>
    <row r="219" s="1" customFormat="1" ht="13.5" customHeight="1" x14ac:dyDescent="0.3"/>
    <row r="220" s="1" customFormat="1" ht="13.5" customHeight="1" x14ac:dyDescent="0.3"/>
    <row r="221" s="1" customFormat="1" ht="13.5" customHeight="1" x14ac:dyDescent="0.3"/>
    <row r="222" s="1" customFormat="1" ht="13.5" customHeight="1" x14ac:dyDescent="0.3"/>
    <row r="223" s="1" customFormat="1" ht="13.5" customHeight="1" x14ac:dyDescent="0.3"/>
    <row r="224" s="1" customFormat="1" ht="13.5" customHeight="1" x14ac:dyDescent="0.3"/>
    <row r="225" s="1" customFormat="1" ht="13.5" customHeight="1" x14ac:dyDescent="0.3"/>
    <row r="226" s="1" customFormat="1" ht="13.5" customHeight="1" x14ac:dyDescent="0.3"/>
    <row r="227" s="1" customFormat="1" ht="13.5" customHeight="1" x14ac:dyDescent="0.3"/>
    <row r="228" s="1" customFormat="1" ht="13.5" customHeight="1" x14ac:dyDescent="0.3"/>
    <row r="229" s="1" customFormat="1" ht="13.5" customHeight="1" x14ac:dyDescent="0.3"/>
    <row r="230" s="1" customFormat="1" ht="13.5" customHeight="1" x14ac:dyDescent="0.3"/>
    <row r="231" s="1" customFormat="1" ht="13.5" customHeight="1" x14ac:dyDescent="0.3"/>
    <row r="232" s="1" customFormat="1" ht="13.5" customHeight="1" x14ac:dyDescent="0.3"/>
    <row r="233" s="1" customFormat="1" ht="13.5" customHeight="1" x14ac:dyDescent="0.3"/>
    <row r="234" s="1" customFormat="1" ht="13.5" customHeight="1" x14ac:dyDescent="0.3"/>
    <row r="235" s="1" customFormat="1" ht="13.5" customHeight="1" x14ac:dyDescent="0.3"/>
    <row r="236" s="1" customFormat="1" ht="13.5" customHeight="1" x14ac:dyDescent="0.3"/>
    <row r="237" s="1" customFormat="1" ht="13.5" customHeight="1" x14ac:dyDescent="0.3"/>
    <row r="238" s="1" customFormat="1" ht="13.5" customHeight="1" x14ac:dyDescent="0.3"/>
    <row r="239" s="1" customFormat="1" ht="13.5" customHeight="1" x14ac:dyDescent="0.3"/>
    <row r="240" s="1" customFormat="1" ht="13.5" customHeight="1" x14ac:dyDescent="0.3"/>
    <row r="241" s="1" customFormat="1" ht="13.5" customHeight="1" x14ac:dyDescent="0.3"/>
    <row r="242" s="1" customFormat="1" ht="13.5" customHeight="1" x14ac:dyDescent="0.3"/>
    <row r="243" s="1" customFormat="1" ht="13.5" customHeight="1" x14ac:dyDescent="0.3"/>
    <row r="244" s="1" customFormat="1" ht="13.5" customHeight="1" x14ac:dyDescent="0.3"/>
    <row r="245" s="1" customFormat="1" ht="13.5" customHeight="1" x14ac:dyDescent="0.3"/>
    <row r="246" s="1" customFormat="1" ht="13.5" customHeight="1" x14ac:dyDescent="0.3"/>
    <row r="247" s="1" customFormat="1" ht="13.5" customHeight="1" x14ac:dyDescent="0.3"/>
    <row r="248" s="1" customFormat="1" ht="13.5" customHeight="1" x14ac:dyDescent="0.3"/>
    <row r="249" s="1" customFormat="1" ht="13.5" customHeight="1" x14ac:dyDescent="0.3"/>
    <row r="250" s="1" customFormat="1" ht="13.5" customHeight="1" x14ac:dyDescent="0.3"/>
    <row r="251" s="1" customFormat="1" ht="13.5" customHeight="1" x14ac:dyDescent="0.3"/>
    <row r="252" s="1" customFormat="1" ht="13.5" customHeight="1" x14ac:dyDescent="0.3"/>
    <row r="253" s="1" customFormat="1" ht="13.5" customHeight="1" x14ac:dyDescent="0.3"/>
    <row r="254" s="1" customFormat="1" ht="13.5" customHeight="1" x14ac:dyDescent="0.3"/>
    <row r="255" s="1" customFormat="1" ht="13.5" customHeight="1" x14ac:dyDescent="0.3"/>
    <row r="256" s="1" customFormat="1" ht="13.5" customHeight="1" x14ac:dyDescent="0.3"/>
    <row r="257" s="1" customFormat="1" ht="13.5" customHeight="1" x14ac:dyDescent="0.3"/>
    <row r="258" s="1" customFormat="1" ht="13.5" customHeight="1" x14ac:dyDescent="0.3"/>
    <row r="259" s="1" customFormat="1" ht="13.5" customHeight="1" x14ac:dyDescent="0.3"/>
    <row r="260" s="1" customFormat="1" ht="13.5" customHeight="1" x14ac:dyDescent="0.3"/>
    <row r="261" s="1" customFormat="1" ht="13.5" customHeight="1" x14ac:dyDescent="0.3"/>
    <row r="262" s="1" customFormat="1" ht="13.5" customHeight="1" x14ac:dyDescent="0.3"/>
    <row r="263" s="1" customFormat="1" ht="13.5" customHeight="1" x14ac:dyDescent="0.3"/>
    <row r="264" s="1" customFormat="1" ht="13.5" customHeight="1" x14ac:dyDescent="0.3"/>
    <row r="265" s="1" customFormat="1" ht="13.5" customHeight="1" x14ac:dyDescent="0.3"/>
    <row r="266" s="1" customFormat="1" ht="13.5" customHeight="1" x14ac:dyDescent="0.3"/>
    <row r="267" s="1" customFormat="1" ht="13.5" customHeight="1" x14ac:dyDescent="0.3"/>
    <row r="268" s="1" customFormat="1" ht="13.5" customHeight="1" x14ac:dyDescent="0.3"/>
    <row r="269" s="1" customFormat="1" ht="13.5" customHeight="1" x14ac:dyDescent="0.3"/>
    <row r="270" s="1" customFormat="1" ht="13.5" customHeight="1" x14ac:dyDescent="0.3"/>
    <row r="271" s="1" customFormat="1" ht="13.5" customHeight="1" x14ac:dyDescent="0.3"/>
    <row r="272" s="1" customFormat="1" ht="13.5" customHeight="1" x14ac:dyDescent="0.3"/>
    <row r="273" s="1" customFormat="1" ht="13.5" customHeight="1" x14ac:dyDescent="0.3"/>
    <row r="274" s="1" customFormat="1" ht="13.5" customHeight="1" x14ac:dyDescent="0.3"/>
    <row r="275" s="1" customFormat="1" ht="13.5" customHeight="1" x14ac:dyDescent="0.3"/>
    <row r="276" s="1" customFormat="1" ht="13.5" customHeight="1" x14ac:dyDescent="0.3"/>
    <row r="277" s="1" customFormat="1" ht="13.5" customHeight="1" x14ac:dyDescent="0.3"/>
    <row r="278" s="1" customFormat="1" ht="13.5" customHeight="1" x14ac:dyDescent="0.3"/>
    <row r="279" s="1" customFormat="1" ht="13.5" customHeight="1" x14ac:dyDescent="0.3"/>
    <row r="280" s="1" customFormat="1" ht="13.5" customHeight="1" x14ac:dyDescent="0.3"/>
    <row r="281" s="1" customFormat="1" ht="13.5" customHeight="1" x14ac:dyDescent="0.3"/>
    <row r="282" s="1" customFormat="1" ht="13.5" customHeight="1" x14ac:dyDescent="0.3"/>
    <row r="283" s="1" customFormat="1" ht="13.5" customHeight="1" x14ac:dyDescent="0.3"/>
    <row r="284" s="1" customFormat="1" ht="13.5" customHeight="1" x14ac:dyDescent="0.3"/>
    <row r="285" s="1" customFormat="1" ht="13.5" customHeight="1" x14ac:dyDescent="0.3"/>
    <row r="286" s="1" customFormat="1" ht="13.5" customHeight="1" x14ac:dyDescent="0.3"/>
    <row r="287" s="1" customFormat="1" ht="13.5" customHeight="1" x14ac:dyDescent="0.3"/>
    <row r="288" s="1" customFormat="1" ht="13.5" customHeight="1" x14ac:dyDescent="0.3"/>
    <row r="289" s="1" customFormat="1" ht="13.5" customHeight="1" x14ac:dyDescent="0.3"/>
    <row r="290" s="1" customFormat="1" ht="13.5" customHeight="1" x14ac:dyDescent="0.3"/>
    <row r="291" s="1" customFormat="1" ht="13.5" customHeight="1" x14ac:dyDescent="0.3"/>
    <row r="292" s="1" customFormat="1" ht="13.5" customHeight="1" x14ac:dyDescent="0.3"/>
    <row r="293" s="1" customFormat="1" ht="13.5" customHeight="1" x14ac:dyDescent="0.3"/>
    <row r="294" s="1" customFormat="1" ht="13.5" customHeight="1" x14ac:dyDescent="0.3"/>
    <row r="295" s="1" customFormat="1" ht="13.5" customHeight="1" x14ac:dyDescent="0.3"/>
    <row r="296" s="1" customFormat="1" ht="13.5" customHeight="1" x14ac:dyDescent="0.3"/>
    <row r="297" s="1" customFormat="1" ht="13.5" customHeight="1" x14ac:dyDescent="0.3"/>
    <row r="298" s="1" customFormat="1" ht="13.5" customHeight="1" x14ac:dyDescent="0.3"/>
    <row r="299" s="1" customFormat="1" ht="13.5" customHeight="1" x14ac:dyDescent="0.3"/>
    <row r="300" s="1" customFormat="1" ht="13.5" customHeight="1" x14ac:dyDescent="0.3"/>
    <row r="301" s="1" customFormat="1" ht="13.5" customHeight="1" x14ac:dyDescent="0.3"/>
    <row r="302" s="1" customFormat="1" ht="13.5" customHeight="1" x14ac:dyDescent="0.3"/>
    <row r="303" s="1" customFormat="1" ht="13.5" customHeight="1" x14ac:dyDescent="0.3"/>
    <row r="304" s="1" customFormat="1" ht="13.5" customHeight="1" x14ac:dyDescent="0.3"/>
    <row r="305" s="1" customFormat="1" ht="13.5" customHeight="1" x14ac:dyDescent="0.3"/>
    <row r="306" s="1" customFormat="1" ht="13.5" customHeight="1" x14ac:dyDescent="0.3"/>
    <row r="307" s="1" customFormat="1" ht="13.5" customHeight="1" x14ac:dyDescent="0.3"/>
    <row r="308" s="1" customFormat="1" ht="13.5" customHeight="1" x14ac:dyDescent="0.3"/>
    <row r="309" s="1" customFormat="1" ht="13.5" customHeight="1" x14ac:dyDescent="0.3"/>
    <row r="310" s="1" customFormat="1" ht="13.5" customHeight="1" x14ac:dyDescent="0.3"/>
    <row r="311" s="1" customFormat="1" ht="13.5" customHeight="1" x14ac:dyDescent="0.3"/>
    <row r="312" s="1" customFormat="1" ht="13.5" customHeight="1" x14ac:dyDescent="0.3"/>
    <row r="313" s="1" customFormat="1" ht="13.5" customHeight="1" x14ac:dyDescent="0.3"/>
    <row r="314" s="1" customFormat="1" ht="13.5" customHeight="1" x14ac:dyDescent="0.3"/>
    <row r="315" s="1" customFormat="1" ht="13.5" customHeight="1" x14ac:dyDescent="0.3"/>
    <row r="316" s="1" customFormat="1" ht="13.5" customHeight="1" x14ac:dyDescent="0.3"/>
    <row r="317" s="1" customFormat="1" ht="13.5" customHeight="1" x14ac:dyDescent="0.3"/>
    <row r="318" s="1" customFormat="1" ht="13.5" customHeight="1" x14ac:dyDescent="0.3"/>
    <row r="319" s="1" customFormat="1" ht="13.5" customHeight="1" x14ac:dyDescent="0.3"/>
    <row r="320" s="1" customFormat="1" ht="13.5" customHeight="1" x14ac:dyDescent="0.3"/>
    <row r="321" s="1" customFormat="1" ht="13.5" customHeight="1" x14ac:dyDescent="0.3"/>
    <row r="322" s="1" customFormat="1" ht="13.5" customHeight="1" x14ac:dyDescent="0.3"/>
    <row r="323" s="1" customFormat="1" ht="13.5" customHeight="1" x14ac:dyDescent="0.3"/>
    <row r="324" s="1" customFormat="1" ht="13.5" customHeight="1" x14ac:dyDescent="0.3"/>
    <row r="325" s="1" customFormat="1" ht="13.5" customHeight="1" x14ac:dyDescent="0.3"/>
    <row r="326" s="1" customFormat="1" ht="13.5" customHeight="1" x14ac:dyDescent="0.3"/>
    <row r="327" s="1" customFormat="1" ht="13.5" customHeight="1" x14ac:dyDescent="0.3"/>
    <row r="328" s="1" customFormat="1" ht="13.5" customHeight="1" x14ac:dyDescent="0.3"/>
    <row r="329" s="1" customFormat="1" ht="13.5" customHeight="1" x14ac:dyDescent="0.3"/>
    <row r="330" s="1" customFormat="1" ht="13.5" customHeight="1" x14ac:dyDescent="0.3"/>
    <row r="331" s="1" customFormat="1" ht="13.5" customHeight="1" x14ac:dyDescent="0.3"/>
    <row r="332" s="1" customFormat="1" ht="13.5" customHeight="1" x14ac:dyDescent="0.3"/>
    <row r="333" s="1" customFormat="1" ht="13.5" customHeight="1" x14ac:dyDescent="0.3"/>
    <row r="334" s="1" customFormat="1" ht="13.5" customHeight="1" x14ac:dyDescent="0.3"/>
    <row r="335" s="1" customFormat="1" ht="13.5" customHeight="1" x14ac:dyDescent="0.3"/>
    <row r="336" s="1" customFormat="1" ht="13.5" customHeight="1" x14ac:dyDescent="0.3"/>
    <row r="337" s="1" customFormat="1" ht="13.5" customHeight="1" x14ac:dyDescent="0.3"/>
    <row r="338" s="1" customFormat="1" ht="13.5" customHeight="1" x14ac:dyDescent="0.3"/>
    <row r="339" s="1" customFormat="1" ht="13.5" customHeight="1" x14ac:dyDescent="0.3"/>
    <row r="340" s="1" customFormat="1" ht="13.5" customHeight="1" x14ac:dyDescent="0.3"/>
    <row r="341" s="1" customFormat="1" ht="13.5" customHeight="1" x14ac:dyDescent="0.3"/>
    <row r="342" s="1" customFormat="1" ht="13.5" customHeight="1" x14ac:dyDescent="0.3"/>
    <row r="343" s="1" customFormat="1" ht="13.5" customHeight="1" x14ac:dyDescent="0.3"/>
    <row r="344" s="1" customFormat="1" ht="13.5" customHeight="1" x14ac:dyDescent="0.3"/>
    <row r="345" s="1" customFormat="1" ht="13.5" customHeight="1" x14ac:dyDescent="0.3"/>
    <row r="346" s="1" customFormat="1" ht="13.5" customHeight="1" x14ac:dyDescent="0.3"/>
    <row r="347" s="1" customFormat="1" ht="13.5" customHeight="1" x14ac:dyDescent="0.3"/>
    <row r="348" s="1" customFormat="1" ht="13.5" customHeight="1" x14ac:dyDescent="0.3"/>
    <row r="349" s="1" customFormat="1" ht="13.5" customHeight="1" x14ac:dyDescent="0.3"/>
    <row r="350" s="1" customFormat="1" ht="13.5" customHeight="1" x14ac:dyDescent="0.3"/>
    <row r="351" s="1" customFormat="1" ht="13.5" customHeight="1" x14ac:dyDescent="0.3"/>
    <row r="352" s="1" customFormat="1" ht="13.5" customHeight="1" x14ac:dyDescent="0.3"/>
    <row r="353" s="1" customFormat="1" ht="13.5" customHeight="1" x14ac:dyDescent="0.3"/>
    <row r="354" s="1" customFormat="1" ht="13.5" customHeight="1" x14ac:dyDescent="0.3"/>
    <row r="355" s="1" customFormat="1" ht="13.5" customHeight="1" x14ac:dyDescent="0.3"/>
    <row r="356" s="1" customFormat="1" ht="13.5" customHeight="1" x14ac:dyDescent="0.3"/>
    <row r="357" s="1" customFormat="1" ht="13.5" customHeight="1" x14ac:dyDescent="0.3"/>
    <row r="358" s="1" customFormat="1" ht="13.5" customHeight="1" x14ac:dyDescent="0.3"/>
    <row r="359" s="1" customFormat="1" ht="13.5" customHeight="1" x14ac:dyDescent="0.3"/>
    <row r="360" s="1" customFormat="1" ht="13.5" customHeight="1" x14ac:dyDescent="0.3"/>
    <row r="361" s="1" customFormat="1" ht="13.5" customHeight="1" x14ac:dyDescent="0.3"/>
    <row r="362" s="1" customFormat="1" ht="13.5" customHeight="1" x14ac:dyDescent="0.3"/>
    <row r="363" s="1" customFormat="1" ht="13.5" customHeight="1" x14ac:dyDescent="0.3"/>
    <row r="364" s="1" customFormat="1" ht="13.5" customHeight="1" x14ac:dyDescent="0.3"/>
    <row r="365" s="1" customFormat="1" ht="13.5" customHeight="1" x14ac:dyDescent="0.3"/>
    <row r="366" s="1" customFormat="1" ht="13.5" customHeight="1" x14ac:dyDescent="0.3"/>
    <row r="367" s="1" customFormat="1" ht="13.5" customHeight="1" x14ac:dyDescent="0.3"/>
    <row r="368" s="1" customFormat="1" ht="13.5" customHeight="1" x14ac:dyDescent="0.3"/>
    <row r="369" s="1" customFormat="1" ht="13.5" customHeight="1" x14ac:dyDescent="0.3"/>
    <row r="370" s="1" customFormat="1" ht="13.5" customHeight="1" x14ac:dyDescent="0.3"/>
    <row r="371" s="1" customFormat="1" ht="13.5" customHeight="1" x14ac:dyDescent="0.3"/>
    <row r="372" s="1" customFormat="1" ht="13.5" customHeight="1" x14ac:dyDescent="0.3"/>
    <row r="373" s="1" customFormat="1" ht="13.5" customHeight="1" x14ac:dyDescent="0.3"/>
    <row r="374" s="1" customFormat="1" ht="13.5" customHeight="1" x14ac:dyDescent="0.3"/>
    <row r="375" s="1" customFormat="1" ht="13.5" customHeight="1" x14ac:dyDescent="0.3"/>
    <row r="376" s="1" customFormat="1" ht="13.5" customHeight="1" x14ac:dyDescent="0.3"/>
    <row r="377" s="1" customFormat="1" ht="13.5" customHeight="1" x14ac:dyDescent="0.3"/>
    <row r="378" s="1" customFormat="1" ht="13.5" customHeight="1" x14ac:dyDescent="0.3"/>
    <row r="379" s="1" customFormat="1" ht="13.5" customHeight="1" x14ac:dyDescent="0.3"/>
    <row r="380" s="1" customFormat="1" ht="13.5" customHeight="1" x14ac:dyDescent="0.3"/>
    <row r="381" s="1" customFormat="1" ht="13.5" customHeight="1" x14ac:dyDescent="0.3"/>
    <row r="382" s="1" customFormat="1" ht="13.5" customHeight="1" x14ac:dyDescent="0.3"/>
    <row r="383" s="1" customFormat="1" ht="13.5" customHeight="1" x14ac:dyDescent="0.3"/>
    <row r="384" s="1" customFormat="1" ht="13.5" customHeight="1" x14ac:dyDescent="0.3"/>
    <row r="385" s="1" customFormat="1" ht="13.5" customHeight="1" x14ac:dyDescent="0.3"/>
    <row r="386" s="1" customFormat="1" ht="13.5" customHeight="1" x14ac:dyDescent="0.3"/>
    <row r="387" s="1" customFormat="1" ht="13.5" customHeight="1" x14ac:dyDescent="0.3"/>
    <row r="388" s="1" customFormat="1" ht="13.5" customHeight="1" x14ac:dyDescent="0.3"/>
    <row r="389" s="1" customFormat="1" ht="13.5" customHeight="1" x14ac:dyDescent="0.3"/>
    <row r="390" s="1" customFormat="1" ht="13.5" customHeight="1" x14ac:dyDescent="0.3"/>
    <row r="391" s="1" customFormat="1" ht="13.5" customHeight="1" x14ac:dyDescent="0.3"/>
    <row r="392" s="1" customFormat="1" ht="13.5" customHeight="1" x14ac:dyDescent="0.3"/>
    <row r="393" s="1" customFormat="1" ht="13.5" customHeight="1" x14ac:dyDescent="0.3"/>
    <row r="394" s="1" customFormat="1" ht="13.5" customHeight="1" x14ac:dyDescent="0.3"/>
    <row r="395" s="1" customFormat="1" ht="13.5" customHeight="1" x14ac:dyDescent="0.3"/>
    <row r="396" s="1" customFormat="1" ht="13.5" customHeight="1" x14ac:dyDescent="0.3"/>
    <row r="397" s="1" customFormat="1" ht="13.5" customHeight="1" x14ac:dyDescent="0.3"/>
    <row r="398" s="1" customFormat="1" ht="13.5" customHeight="1" x14ac:dyDescent="0.3"/>
    <row r="399" s="1" customFormat="1" ht="13.5" customHeight="1" x14ac:dyDescent="0.3"/>
    <row r="400" s="1" customFormat="1" ht="13.5" customHeight="1" x14ac:dyDescent="0.3"/>
    <row r="401" s="1" customFormat="1" ht="13.5" customHeight="1" x14ac:dyDescent="0.3"/>
    <row r="402" s="1" customFormat="1" ht="13.5" customHeight="1" x14ac:dyDescent="0.3"/>
    <row r="403" s="1" customFormat="1" ht="13.5" customHeight="1" x14ac:dyDescent="0.3"/>
    <row r="404" s="1" customFormat="1" ht="13.5" customHeight="1" x14ac:dyDescent="0.3"/>
    <row r="405" s="1" customFormat="1" ht="13.5" customHeight="1" x14ac:dyDescent="0.3"/>
    <row r="406" s="1" customFormat="1" ht="13.5" customHeight="1" x14ac:dyDescent="0.3"/>
    <row r="407" s="1" customFormat="1" ht="13.5" customHeight="1" x14ac:dyDescent="0.3"/>
    <row r="408" s="1" customFormat="1" ht="13.5" customHeight="1" x14ac:dyDescent="0.3"/>
    <row r="409" s="1" customFormat="1" ht="13.5" customHeight="1" x14ac:dyDescent="0.3"/>
    <row r="410" s="1" customFormat="1" ht="13.5" customHeight="1" x14ac:dyDescent="0.3"/>
    <row r="411" s="1" customFormat="1" ht="13.5" customHeight="1" x14ac:dyDescent="0.3"/>
    <row r="412" s="1" customFormat="1" ht="13.5" customHeight="1" x14ac:dyDescent="0.3"/>
    <row r="413" s="1" customFormat="1" ht="13.5" customHeight="1" x14ac:dyDescent="0.3"/>
    <row r="414" s="1" customFormat="1" ht="13.5" customHeight="1" x14ac:dyDescent="0.3"/>
    <row r="415" s="1" customFormat="1" ht="13.5" customHeight="1" x14ac:dyDescent="0.3"/>
    <row r="416" s="1" customFormat="1" ht="13.5" customHeight="1" x14ac:dyDescent="0.3"/>
    <row r="417" s="1" customFormat="1" ht="13.5" customHeight="1" x14ac:dyDescent="0.3"/>
    <row r="418" s="1" customFormat="1" ht="13.5" customHeight="1" x14ac:dyDescent="0.3"/>
    <row r="419" s="1" customFormat="1" ht="13.5" customHeight="1" x14ac:dyDescent="0.3"/>
    <row r="420" s="1" customFormat="1" ht="13.5" customHeight="1" x14ac:dyDescent="0.3"/>
    <row r="421" s="1" customFormat="1" ht="13.5" customHeight="1" x14ac:dyDescent="0.3"/>
    <row r="422" s="1" customFormat="1" ht="13.5" customHeight="1" x14ac:dyDescent="0.3"/>
    <row r="423" s="1" customFormat="1" ht="13.5" customHeight="1" x14ac:dyDescent="0.3"/>
    <row r="424" s="1" customFormat="1" ht="13.5" customHeight="1" x14ac:dyDescent="0.3"/>
    <row r="425" s="1" customFormat="1" ht="13.5" customHeight="1" x14ac:dyDescent="0.3"/>
    <row r="426" s="1" customFormat="1" ht="13.5" customHeight="1" x14ac:dyDescent="0.3"/>
    <row r="427" s="1" customFormat="1" ht="13.5" customHeight="1" x14ac:dyDescent="0.3"/>
    <row r="428" s="1" customFormat="1" ht="13.5" customHeight="1" x14ac:dyDescent="0.3"/>
    <row r="429" s="1" customFormat="1" ht="13.5" customHeight="1" x14ac:dyDescent="0.3"/>
    <row r="430" s="1" customFormat="1" ht="13.5" customHeight="1" x14ac:dyDescent="0.3"/>
    <row r="431" s="1" customFormat="1" ht="13.5" customHeight="1" x14ac:dyDescent="0.3"/>
    <row r="432" s="1" customFormat="1" ht="13.5" customHeight="1" x14ac:dyDescent="0.3"/>
    <row r="433" s="1" customFormat="1" ht="13.5" customHeight="1" x14ac:dyDescent="0.3"/>
    <row r="434" s="1" customFormat="1" ht="13.5" customHeight="1" x14ac:dyDescent="0.3"/>
    <row r="435" s="1" customFormat="1" ht="13.5" customHeight="1" x14ac:dyDescent="0.3"/>
    <row r="436" s="1" customFormat="1" ht="13.5" customHeight="1" x14ac:dyDescent="0.3"/>
    <row r="437" s="1" customFormat="1" ht="13.5" customHeight="1" x14ac:dyDescent="0.3"/>
    <row r="438" s="1" customFormat="1" ht="13.5" customHeight="1" x14ac:dyDescent="0.3"/>
    <row r="439" s="1" customFormat="1" ht="13.5" customHeight="1" x14ac:dyDescent="0.3"/>
    <row r="440" s="1" customFormat="1" ht="13.5" customHeight="1" x14ac:dyDescent="0.3"/>
    <row r="441" s="1" customFormat="1" ht="13.5" customHeight="1" x14ac:dyDescent="0.3"/>
    <row r="442" s="1" customFormat="1" ht="13.5" customHeight="1" x14ac:dyDescent="0.3"/>
    <row r="443" s="1" customFormat="1" ht="13.5" customHeight="1" x14ac:dyDescent="0.3"/>
    <row r="444" s="1" customFormat="1" ht="13.5" customHeight="1" x14ac:dyDescent="0.3"/>
    <row r="445" s="1" customFormat="1" ht="13.5" customHeight="1" x14ac:dyDescent="0.3"/>
    <row r="446" s="1" customFormat="1" ht="13.5" customHeight="1" x14ac:dyDescent="0.3"/>
    <row r="447" s="1" customFormat="1" ht="13.5" customHeight="1" x14ac:dyDescent="0.3"/>
    <row r="448" s="1" customFormat="1" ht="13.5" customHeight="1" x14ac:dyDescent="0.3"/>
    <row r="449" s="1" customFormat="1" ht="13.5" customHeight="1" x14ac:dyDescent="0.3"/>
    <row r="450" s="1" customFormat="1" ht="13.5" customHeight="1" x14ac:dyDescent="0.3"/>
    <row r="451" s="1" customFormat="1" ht="13.5" customHeight="1" x14ac:dyDescent="0.3"/>
    <row r="452" s="1" customFormat="1" ht="13.5" customHeight="1" x14ac:dyDescent="0.3"/>
    <row r="453" s="1" customFormat="1" ht="13.5" customHeight="1" x14ac:dyDescent="0.3"/>
    <row r="454" s="1" customFormat="1" ht="13.5" customHeight="1" x14ac:dyDescent="0.3"/>
    <row r="455" s="1" customFormat="1" ht="13.5" customHeight="1" x14ac:dyDescent="0.3"/>
    <row r="456" s="1" customFormat="1" ht="13.5" customHeight="1" x14ac:dyDescent="0.3"/>
    <row r="457" s="1" customFormat="1" ht="13.5" customHeight="1" x14ac:dyDescent="0.3"/>
    <row r="458" s="1" customFormat="1" ht="13.5" customHeight="1" x14ac:dyDescent="0.3"/>
    <row r="459" s="1" customFormat="1" ht="13.5" customHeight="1" x14ac:dyDescent="0.3"/>
    <row r="460" s="1" customFormat="1" ht="13.5" customHeight="1" x14ac:dyDescent="0.3"/>
    <row r="461" s="1" customFormat="1" ht="13.5" customHeight="1" x14ac:dyDescent="0.3"/>
    <row r="462" s="1" customFormat="1" ht="13.5" customHeight="1" x14ac:dyDescent="0.3"/>
    <row r="463" s="1" customFormat="1" ht="13.5" customHeight="1" x14ac:dyDescent="0.3"/>
    <row r="464" s="1" customFormat="1" ht="13.5" customHeight="1" x14ac:dyDescent="0.3"/>
    <row r="465" s="1" customFormat="1" ht="13.5" customHeight="1" x14ac:dyDescent="0.3"/>
    <row r="466" s="1" customFormat="1" ht="13.5" customHeight="1" x14ac:dyDescent="0.3"/>
    <row r="467" s="1" customFormat="1" ht="13.5" customHeight="1" x14ac:dyDescent="0.3"/>
    <row r="468" s="1" customFormat="1" ht="13.5" customHeight="1" x14ac:dyDescent="0.3"/>
    <row r="469" s="1" customFormat="1" ht="13.5" customHeight="1" x14ac:dyDescent="0.3"/>
    <row r="470" s="1" customFormat="1" ht="13.5" customHeight="1" x14ac:dyDescent="0.3"/>
    <row r="471" s="1" customFormat="1" ht="13.5" customHeight="1" x14ac:dyDescent="0.3"/>
    <row r="472" s="1" customFormat="1" ht="13.5" customHeight="1" x14ac:dyDescent="0.3"/>
    <row r="473" s="1" customFormat="1" ht="13.5" customHeight="1" x14ac:dyDescent="0.3"/>
    <row r="474" s="1" customFormat="1" ht="13.5" customHeight="1" x14ac:dyDescent="0.3"/>
    <row r="475" s="1" customFormat="1" ht="13.5" customHeight="1" x14ac:dyDescent="0.3"/>
    <row r="476" s="1" customFormat="1" ht="13.5" customHeight="1" x14ac:dyDescent="0.3"/>
    <row r="477" s="1" customFormat="1" ht="13.5" customHeight="1" x14ac:dyDescent="0.3"/>
    <row r="478" s="1" customFormat="1" ht="13.5" customHeight="1" x14ac:dyDescent="0.3"/>
    <row r="479" s="1" customFormat="1" ht="13.5" customHeight="1" x14ac:dyDescent="0.3"/>
    <row r="480" s="1" customFormat="1" ht="13.5" customHeight="1" x14ac:dyDescent="0.3"/>
    <row r="481" s="1" customFormat="1" ht="13.5" customHeight="1" x14ac:dyDescent="0.3"/>
    <row r="482" s="1" customFormat="1" ht="13.5" customHeight="1" x14ac:dyDescent="0.3"/>
    <row r="483" s="1" customFormat="1" ht="13.5" customHeight="1" x14ac:dyDescent="0.3"/>
    <row r="484" s="1" customFormat="1" ht="13.5" customHeight="1" x14ac:dyDescent="0.3"/>
    <row r="485" s="1" customFormat="1" ht="13.5" customHeight="1" x14ac:dyDescent="0.3"/>
    <row r="486" s="1" customFormat="1" ht="13.5" customHeight="1" x14ac:dyDescent="0.3"/>
    <row r="487" s="1" customFormat="1" ht="13.5" customHeight="1" x14ac:dyDescent="0.3"/>
    <row r="488" s="1" customFormat="1" ht="13.5" customHeight="1" x14ac:dyDescent="0.3"/>
    <row r="489" s="1" customFormat="1" ht="13.5" customHeight="1" x14ac:dyDescent="0.3"/>
    <row r="490" s="1" customFormat="1" ht="13.5" customHeight="1" x14ac:dyDescent="0.3"/>
    <row r="491" s="1" customFormat="1" ht="13.5" customHeight="1" x14ac:dyDescent="0.3"/>
    <row r="492" s="1" customFormat="1" ht="13.5" customHeight="1" x14ac:dyDescent="0.3"/>
    <row r="493" s="1" customFormat="1" ht="13.5" customHeight="1" x14ac:dyDescent="0.3"/>
    <row r="494" s="1" customFormat="1" ht="13.5" customHeight="1" x14ac:dyDescent="0.3"/>
    <row r="495" s="1" customFormat="1" ht="13.5" customHeight="1" x14ac:dyDescent="0.3"/>
    <row r="496" s="1" customFormat="1" ht="13.5" customHeight="1" x14ac:dyDescent="0.3"/>
    <row r="497" s="1" customFormat="1" ht="13.5" customHeight="1" x14ac:dyDescent="0.3"/>
    <row r="498" s="1" customFormat="1" ht="13.5" customHeight="1" x14ac:dyDescent="0.3"/>
    <row r="499" s="1" customFormat="1" ht="13.5" customHeight="1" x14ac:dyDescent="0.3"/>
    <row r="500" s="1" customFormat="1" ht="13.5" customHeight="1" x14ac:dyDescent="0.3"/>
    <row r="501" s="1" customFormat="1" ht="13.5" customHeight="1" x14ac:dyDescent="0.3"/>
    <row r="502" s="1" customFormat="1" ht="13.5" customHeight="1" x14ac:dyDescent="0.3"/>
    <row r="503" s="1" customFormat="1" ht="13.5" customHeight="1" x14ac:dyDescent="0.3"/>
    <row r="504" s="1" customFormat="1" ht="13.5" customHeight="1" x14ac:dyDescent="0.3"/>
    <row r="505" s="1" customFormat="1" ht="13.5" customHeight="1" x14ac:dyDescent="0.3"/>
    <row r="506" s="1" customFormat="1" ht="13.5" customHeight="1" x14ac:dyDescent="0.3"/>
    <row r="507" s="1" customFormat="1" ht="13.5" customHeight="1" x14ac:dyDescent="0.3"/>
    <row r="508" s="1" customFormat="1" ht="13.5" customHeight="1" x14ac:dyDescent="0.3"/>
    <row r="509" s="1" customFormat="1" ht="13.5" customHeight="1" x14ac:dyDescent="0.3"/>
    <row r="510" s="1" customFormat="1" ht="13.5" customHeight="1" x14ac:dyDescent="0.3"/>
    <row r="511" s="1" customFormat="1" ht="13.5" customHeight="1" x14ac:dyDescent="0.3"/>
    <row r="512" s="1" customFormat="1" ht="13.5" customHeight="1" x14ac:dyDescent="0.3"/>
    <row r="513" s="1" customFormat="1" ht="13.5" customHeight="1" x14ac:dyDescent="0.3"/>
    <row r="514" s="1" customFormat="1" ht="13.5" customHeight="1" x14ac:dyDescent="0.3"/>
    <row r="515" s="1" customFormat="1" ht="13.5" customHeight="1" x14ac:dyDescent="0.3"/>
    <row r="516" s="1" customFormat="1" ht="13.5" customHeight="1" x14ac:dyDescent="0.3"/>
    <row r="517" s="1" customFormat="1" ht="13.5" customHeight="1" x14ac:dyDescent="0.3"/>
    <row r="518" s="1" customFormat="1" ht="13.5" customHeight="1" x14ac:dyDescent="0.3"/>
    <row r="519" s="1" customFormat="1" ht="13.5" customHeight="1" x14ac:dyDescent="0.3"/>
    <row r="520" s="1" customFormat="1" ht="13.5" customHeight="1" x14ac:dyDescent="0.3"/>
    <row r="521" s="1" customFormat="1" ht="13.5" customHeight="1" x14ac:dyDescent="0.3"/>
    <row r="522" s="1" customFormat="1" ht="13.5" customHeight="1" x14ac:dyDescent="0.3"/>
    <row r="523" s="1" customFormat="1" ht="13.5" customHeight="1" x14ac:dyDescent="0.3"/>
    <row r="524" s="1" customFormat="1" ht="13.5" customHeight="1" x14ac:dyDescent="0.3"/>
    <row r="525" s="1" customFormat="1" ht="13.5" customHeight="1" x14ac:dyDescent="0.3"/>
    <row r="526" s="1" customFormat="1" ht="13.5" customHeight="1" x14ac:dyDescent="0.3"/>
    <row r="527" s="1" customFormat="1" ht="13.5" customHeight="1" x14ac:dyDescent="0.3"/>
    <row r="528" s="1" customFormat="1" ht="13.5" customHeight="1" x14ac:dyDescent="0.3"/>
    <row r="529" s="1" customFormat="1" ht="13.5" customHeight="1" x14ac:dyDescent="0.3"/>
    <row r="530" s="1" customFormat="1" ht="13.5" customHeight="1" x14ac:dyDescent="0.3"/>
    <row r="531" s="1" customFormat="1" ht="13.5" customHeight="1" x14ac:dyDescent="0.3"/>
    <row r="532" s="1" customFormat="1" ht="13.5" customHeight="1" x14ac:dyDescent="0.3"/>
    <row r="533" s="1" customFormat="1" ht="13.5" customHeight="1" x14ac:dyDescent="0.3"/>
    <row r="534" s="1" customFormat="1" ht="13.5" customHeight="1" x14ac:dyDescent="0.3"/>
    <row r="535" s="1" customFormat="1" ht="13.5" customHeight="1" x14ac:dyDescent="0.3"/>
    <row r="536" s="1" customFormat="1" ht="13.5" customHeight="1" x14ac:dyDescent="0.3"/>
    <row r="537" s="1" customFormat="1" ht="13.5" customHeight="1" x14ac:dyDescent="0.3"/>
    <row r="538" s="1" customFormat="1" ht="13.5" customHeight="1" x14ac:dyDescent="0.3"/>
    <row r="539" s="1" customFormat="1" ht="13.5" customHeight="1" x14ac:dyDescent="0.3"/>
    <row r="540" s="1" customFormat="1" ht="13.5" customHeight="1" x14ac:dyDescent="0.3"/>
    <row r="541" s="1" customFormat="1" ht="13.5" customHeight="1" x14ac:dyDescent="0.3"/>
    <row r="542" s="1" customFormat="1" ht="13.5" customHeight="1" x14ac:dyDescent="0.3"/>
    <row r="543" s="1" customFormat="1" ht="13.5" customHeight="1" x14ac:dyDescent="0.3"/>
    <row r="544" s="1" customFormat="1" ht="13.5" customHeight="1" x14ac:dyDescent="0.3"/>
    <row r="545" s="1" customFormat="1" ht="13.5" customHeight="1" x14ac:dyDescent="0.3"/>
    <row r="546" s="1" customFormat="1" ht="13.5" customHeight="1" x14ac:dyDescent="0.3"/>
    <row r="547" s="1" customFormat="1" ht="13.5" customHeight="1" x14ac:dyDescent="0.3"/>
    <row r="548" s="1" customFormat="1" ht="13.5" customHeight="1" x14ac:dyDescent="0.3"/>
    <row r="549" s="1" customFormat="1" ht="13.5" customHeight="1" x14ac:dyDescent="0.3"/>
    <row r="550" s="1" customFormat="1" ht="13.5" customHeight="1" x14ac:dyDescent="0.3"/>
    <row r="551" s="1" customFormat="1" ht="13.5" customHeight="1" x14ac:dyDescent="0.3"/>
    <row r="552" s="1" customFormat="1" ht="13.5" customHeight="1" x14ac:dyDescent="0.3"/>
    <row r="553" s="1" customFormat="1" ht="13.5" customHeight="1" x14ac:dyDescent="0.3"/>
    <row r="554" s="1" customFormat="1" ht="13.5" customHeight="1" x14ac:dyDescent="0.3"/>
    <row r="555" s="1" customFormat="1" ht="13.5" customHeight="1" x14ac:dyDescent="0.3"/>
    <row r="556" s="1" customFormat="1" ht="13.5" customHeight="1" x14ac:dyDescent="0.3"/>
    <row r="557" s="1" customFormat="1" ht="13.5" customHeight="1" x14ac:dyDescent="0.3"/>
    <row r="558" s="1" customFormat="1" ht="13.5" customHeight="1" x14ac:dyDescent="0.3"/>
    <row r="559" s="1" customFormat="1" ht="13.5" customHeight="1" x14ac:dyDescent="0.3"/>
    <row r="560" s="1" customFormat="1" ht="13.5" customHeight="1" x14ac:dyDescent="0.3"/>
    <row r="561" s="1" customFormat="1" ht="13.5" customHeight="1" x14ac:dyDescent="0.3"/>
    <row r="562" s="1" customFormat="1" ht="13.5" customHeight="1" x14ac:dyDescent="0.3"/>
    <row r="563" s="1" customFormat="1" ht="13.5" customHeight="1" x14ac:dyDescent="0.3"/>
    <row r="564" s="1" customFormat="1" ht="13.5" customHeight="1" x14ac:dyDescent="0.3"/>
    <row r="565" s="1" customFormat="1" ht="13.5" customHeight="1" x14ac:dyDescent="0.3"/>
    <row r="566" s="1" customFormat="1" ht="13.5" customHeight="1" x14ac:dyDescent="0.3"/>
    <row r="567" s="1" customFormat="1" ht="13.5" customHeight="1" x14ac:dyDescent="0.3"/>
    <row r="568" s="1" customFormat="1" ht="13.5" customHeight="1" x14ac:dyDescent="0.3"/>
    <row r="569" s="1" customFormat="1" ht="13.5" customHeight="1" x14ac:dyDescent="0.3"/>
    <row r="570" s="1" customFormat="1" ht="13.5" customHeight="1" x14ac:dyDescent="0.3"/>
    <row r="571" s="1" customFormat="1" ht="13.5" customHeight="1" x14ac:dyDescent="0.3"/>
    <row r="572" s="1" customFormat="1" ht="13.5" customHeight="1" x14ac:dyDescent="0.3"/>
    <row r="573" s="1" customFormat="1" ht="13.5" customHeight="1" x14ac:dyDescent="0.3"/>
    <row r="574" s="1" customFormat="1" ht="13.5" customHeight="1" x14ac:dyDescent="0.3"/>
    <row r="575" s="1" customFormat="1" ht="13.5" customHeight="1" x14ac:dyDescent="0.3"/>
    <row r="576" s="1" customFormat="1" ht="13.5" customHeight="1" x14ac:dyDescent="0.3"/>
    <row r="577" s="1" customFormat="1" ht="13.5" customHeight="1" x14ac:dyDescent="0.3"/>
    <row r="578" s="1" customFormat="1" ht="13.5" customHeight="1" x14ac:dyDescent="0.3"/>
    <row r="579" s="1" customFormat="1" ht="13.5" customHeight="1" x14ac:dyDescent="0.3"/>
    <row r="580" s="1" customFormat="1" ht="13.5" customHeight="1" x14ac:dyDescent="0.3"/>
    <row r="581" s="1" customFormat="1" ht="13.5" customHeight="1" x14ac:dyDescent="0.3"/>
    <row r="582" s="1" customFormat="1" ht="13.5" customHeight="1" x14ac:dyDescent="0.3"/>
    <row r="583" s="1" customFormat="1" ht="13.5" customHeight="1" x14ac:dyDescent="0.3"/>
    <row r="584" s="1" customFormat="1" ht="13.5" customHeight="1" x14ac:dyDescent="0.3"/>
    <row r="585" s="1" customFormat="1" ht="13.5" customHeight="1" x14ac:dyDescent="0.3"/>
    <row r="586" s="1" customFormat="1" ht="13.5" customHeight="1" x14ac:dyDescent="0.3"/>
    <row r="587" s="1" customFormat="1" ht="13.5" customHeight="1" x14ac:dyDescent="0.3"/>
    <row r="588" s="1" customFormat="1" ht="13.5" customHeight="1" x14ac:dyDescent="0.3"/>
    <row r="589" s="1" customFormat="1" ht="13.5" customHeight="1" x14ac:dyDescent="0.3"/>
    <row r="590" s="1" customFormat="1" ht="13.5" customHeight="1" x14ac:dyDescent="0.3"/>
    <row r="591" s="1" customFormat="1" ht="13.5" customHeight="1" x14ac:dyDescent="0.3"/>
    <row r="592" s="1" customFormat="1" ht="13.5" customHeight="1" x14ac:dyDescent="0.3"/>
    <row r="593" s="1" customFormat="1" ht="13.5" customHeight="1" x14ac:dyDescent="0.3"/>
    <row r="594" s="1" customFormat="1" ht="13.5" customHeight="1" x14ac:dyDescent="0.3"/>
    <row r="595" s="1" customFormat="1" ht="13.5" customHeight="1" x14ac:dyDescent="0.3"/>
    <row r="596" s="1" customFormat="1" ht="13.5" customHeight="1" x14ac:dyDescent="0.3"/>
    <row r="597" s="1" customFormat="1" ht="13.5" customHeight="1" x14ac:dyDescent="0.3"/>
    <row r="598" s="1" customFormat="1" ht="13.5" customHeight="1" x14ac:dyDescent="0.3"/>
    <row r="599" s="1" customFormat="1" ht="13.5" customHeight="1" x14ac:dyDescent="0.3"/>
    <row r="600" s="1" customFormat="1" ht="13.5" customHeight="1" x14ac:dyDescent="0.3"/>
    <row r="601" s="1" customFormat="1" ht="13.5" customHeight="1" x14ac:dyDescent="0.3"/>
    <row r="602" s="1" customFormat="1" ht="13.5" customHeight="1" x14ac:dyDescent="0.3"/>
    <row r="603" s="1" customFormat="1" ht="13.5" customHeight="1" x14ac:dyDescent="0.3"/>
    <row r="604" s="1" customFormat="1" ht="13.5" customHeight="1" x14ac:dyDescent="0.3"/>
    <row r="605" s="1" customFormat="1" ht="13.5" customHeight="1" x14ac:dyDescent="0.3"/>
    <row r="606" s="1" customFormat="1" ht="13.5" customHeight="1" x14ac:dyDescent="0.3"/>
    <row r="607" s="1" customFormat="1" ht="13.5" customHeight="1" x14ac:dyDescent="0.3"/>
    <row r="608" s="1" customFormat="1" ht="13.5" customHeight="1" x14ac:dyDescent="0.3"/>
    <row r="609" s="1" customFormat="1" ht="13.5" customHeight="1" x14ac:dyDescent="0.3"/>
    <row r="610" s="1" customFormat="1" ht="13.5" customHeight="1" x14ac:dyDescent="0.3"/>
    <row r="611" s="1" customFormat="1" ht="13.5" customHeight="1" x14ac:dyDescent="0.3"/>
    <row r="612" s="1" customFormat="1" ht="13.5" customHeight="1" x14ac:dyDescent="0.3"/>
    <row r="613" s="1" customFormat="1" ht="13.5" customHeight="1" x14ac:dyDescent="0.3"/>
    <row r="614" s="1" customFormat="1" ht="13.5" customHeight="1" x14ac:dyDescent="0.3"/>
    <row r="615" s="1" customFormat="1" ht="13.5" customHeight="1" x14ac:dyDescent="0.3"/>
    <row r="616" s="1" customFormat="1" ht="13.5" customHeight="1" x14ac:dyDescent="0.3"/>
    <row r="617" s="1" customFormat="1" ht="13.5" customHeight="1" x14ac:dyDescent="0.3"/>
    <row r="618" s="1" customFormat="1" ht="13.5" customHeight="1" x14ac:dyDescent="0.3"/>
    <row r="619" s="1" customFormat="1" ht="13.5" customHeight="1" x14ac:dyDescent="0.3"/>
    <row r="620" s="1" customFormat="1" ht="13.5" customHeight="1" x14ac:dyDescent="0.3"/>
    <row r="621" s="1" customFormat="1" ht="13.5" customHeight="1" x14ac:dyDescent="0.3"/>
    <row r="622" s="1" customFormat="1" ht="13.5" customHeight="1" x14ac:dyDescent="0.3"/>
    <row r="623" s="1" customFormat="1" ht="13.5" customHeight="1" x14ac:dyDescent="0.3"/>
    <row r="624" s="1" customFormat="1" ht="13.5" customHeight="1" x14ac:dyDescent="0.3"/>
    <row r="625" s="1" customFormat="1" ht="13.5" customHeight="1" x14ac:dyDescent="0.3"/>
    <row r="626" s="1" customFormat="1" ht="13.5" customHeight="1" x14ac:dyDescent="0.3"/>
    <row r="627" s="1" customFormat="1" ht="13.5" customHeight="1" x14ac:dyDescent="0.3"/>
    <row r="628" s="1" customFormat="1" ht="13.5" customHeight="1" x14ac:dyDescent="0.3"/>
    <row r="629" s="1" customFormat="1" ht="13.5" customHeight="1" x14ac:dyDescent="0.3"/>
    <row r="630" s="1" customFormat="1" ht="13.5" customHeight="1" x14ac:dyDescent="0.3"/>
    <row r="631" s="1" customFormat="1" ht="13.5" customHeight="1" x14ac:dyDescent="0.3"/>
    <row r="632" s="1" customFormat="1" ht="13.5" customHeight="1" x14ac:dyDescent="0.3"/>
    <row r="633" s="1" customFormat="1" ht="13.5" customHeight="1" x14ac:dyDescent="0.3"/>
    <row r="634" s="1" customFormat="1" ht="13.5" customHeight="1" x14ac:dyDescent="0.3"/>
    <row r="635" s="1" customFormat="1" ht="13.5" customHeight="1" x14ac:dyDescent="0.3"/>
    <row r="636" s="1" customFormat="1" ht="13.5" customHeight="1" x14ac:dyDescent="0.3"/>
    <row r="637" s="1" customFormat="1" ht="13.5" customHeight="1" x14ac:dyDescent="0.3"/>
    <row r="638" s="1" customFormat="1" ht="13.5" customHeight="1" x14ac:dyDescent="0.3"/>
    <row r="639" s="1" customFormat="1" ht="13.5" customHeight="1" x14ac:dyDescent="0.3"/>
    <row r="640" s="1" customFormat="1" ht="13.5" customHeight="1" x14ac:dyDescent="0.3"/>
    <row r="641" s="1" customFormat="1" ht="13.5" customHeight="1" x14ac:dyDescent="0.3"/>
    <row r="642" s="1" customFormat="1" ht="13.5" customHeight="1" x14ac:dyDescent="0.3"/>
    <row r="643" s="1" customFormat="1" ht="13.5" customHeight="1" x14ac:dyDescent="0.3"/>
    <row r="644" s="1" customFormat="1" ht="13.5" customHeight="1" x14ac:dyDescent="0.3"/>
    <row r="645" s="1" customFormat="1" ht="13.5" customHeight="1" x14ac:dyDescent="0.3"/>
    <row r="646" s="1" customFormat="1" ht="13.5" customHeight="1" x14ac:dyDescent="0.3"/>
    <row r="647" s="1" customFormat="1" ht="13.5" customHeight="1" x14ac:dyDescent="0.3"/>
    <row r="648" s="1" customFormat="1" ht="13.5" customHeight="1" x14ac:dyDescent="0.3"/>
    <row r="649" s="1" customFormat="1" ht="13.5" customHeight="1" x14ac:dyDescent="0.3"/>
    <row r="650" s="1" customFormat="1" ht="13.5" customHeight="1" x14ac:dyDescent="0.3"/>
    <row r="651" s="1" customFormat="1" ht="13.5" customHeight="1" x14ac:dyDescent="0.3"/>
    <row r="652" s="1" customFormat="1" ht="13.5" customHeight="1" x14ac:dyDescent="0.3"/>
    <row r="653" s="1" customFormat="1" ht="13.5" customHeight="1" x14ac:dyDescent="0.3"/>
    <row r="654" s="1" customFormat="1" ht="13.5" customHeight="1" x14ac:dyDescent="0.3"/>
    <row r="655" s="1" customFormat="1" ht="13.5" customHeight="1" x14ac:dyDescent="0.3"/>
    <row r="656" s="1" customFormat="1" ht="13.5" customHeight="1" x14ac:dyDescent="0.3"/>
    <row r="657" s="1" customFormat="1" ht="13.5" customHeight="1" x14ac:dyDescent="0.3"/>
    <row r="658" s="1" customFormat="1" ht="13.5" customHeight="1" x14ac:dyDescent="0.3"/>
    <row r="659" s="1" customFormat="1" ht="13.5" customHeight="1" x14ac:dyDescent="0.3"/>
    <row r="660" s="1" customFormat="1" ht="13.5" customHeight="1" x14ac:dyDescent="0.3"/>
    <row r="661" s="1" customFormat="1" ht="13.5" customHeight="1" x14ac:dyDescent="0.3"/>
    <row r="662" s="1" customFormat="1" ht="13.5" customHeight="1" x14ac:dyDescent="0.3"/>
    <row r="663" s="1" customFormat="1" ht="13.5" customHeight="1" x14ac:dyDescent="0.3"/>
    <row r="664" s="1" customFormat="1" ht="13.5" customHeight="1" x14ac:dyDescent="0.3"/>
    <row r="665" s="1" customFormat="1" ht="13.5" customHeight="1" x14ac:dyDescent="0.3"/>
    <row r="666" s="1" customFormat="1" ht="13.5" customHeight="1" x14ac:dyDescent="0.3"/>
    <row r="667" s="1" customFormat="1" ht="13.5" customHeight="1" x14ac:dyDescent="0.3"/>
    <row r="668" s="1" customFormat="1" ht="13.5" customHeight="1" x14ac:dyDescent="0.3"/>
    <row r="669" s="1" customFormat="1" ht="13.5" customHeight="1" x14ac:dyDescent="0.3"/>
    <row r="670" s="1" customFormat="1" ht="13.5" customHeight="1" x14ac:dyDescent="0.3"/>
    <row r="671" s="1" customFormat="1" ht="13.5" customHeight="1" x14ac:dyDescent="0.3"/>
    <row r="672" s="1" customFormat="1" ht="13.5" customHeight="1" x14ac:dyDescent="0.3"/>
    <row r="673" s="1" customFormat="1" ht="13.5" customHeight="1" x14ac:dyDescent="0.3"/>
    <row r="674" s="1" customFormat="1" ht="13.5" customHeight="1" x14ac:dyDescent="0.3"/>
    <row r="675" s="1" customFormat="1" ht="13.5" customHeight="1" x14ac:dyDescent="0.3"/>
    <row r="676" s="1" customFormat="1" ht="13.5" customHeight="1" x14ac:dyDescent="0.3"/>
    <row r="677" s="1" customFormat="1" ht="13.5" customHeight="1" x14ac:dyDescent="0.3"/>
    <row r="678" s="1" customFormat="1" ht="13.5" customHeight="1" x14ac:dyDescent="0.3"/>
    <row r="679" s="1" customFormat="1" ht="13.5" customHeight="1" x14ac:dyDescent="0.3"/>
    <row r="680" s="1" customFormat="1" ht="13.5" customHeight="1" x14ac:dyDescent="0.3"/>
    <row r="681" s="1" customFormat="1" ht="13.5" customHeight="1" x14ac:dyDescent="0.3"/>
    <row r="682" s="1" customFormat="1" ht="13.5" customHeight="1" x14ac:dyDescent="0.3"/>
    <row r="683" s="1" customFormat="1" ht="13.5" customHeight="1" x14ac:dyDescent="0.3"/>
    <row r="684" s="1" customFormat="1" ht="13.5" customHeight="1" x14ac:dyDescent="0.3"/>
    <row r="685" s="1" customFormat="1" ht="13.5" customHeight="1" x14ac:dyDescent="0.3"/>
    <row r="686" s="1" customFormat="1" ht="13.5" customHeight="1" x14ac:dyDescent="0.3"/>
    <row r="687" s="1" customFormat="1" ht="13.5" customHeight="1" x14ac:dyDescent="0.3"/>
    <row r="688" s="1" customFormat="1" ht="13.5" customHeight="1" x14ac:dyDescent="0.3"/>
    <row r="689" s="1" customFormat="1" ht="13.5" customHeight="1" x14ac:dyDescent="0.3"/>
    <row r="690" s="1" customFormat="1" ht="13.5" customHeight="1" x14ac:dyDescent="0.3"/>
    <row r="691" s="1" customFormat="1" ht="13.5" customHeight="1" x14ac:dyDescent="0.3"/>
    <row r="692" s="1" customFormat="1" ht="13.5" customHeight="1" x14ac:dyDescent="0.3"/>
    <row r="693" s="1" customFormat="1" ht="13.5" customHeight="1" x14ac:dyDescent="0.3"/>
    <row r="694" s="1" customFormat="1" ht="13.5" customHeight="1" x14ac:dyDescent="0.3"/>
    <row r="695" s="1" customFormat="1" ht="13.5" customHeight="1" x14ac:dyDescent="0.3"/>
    <row r="696" s="1" customFormat="1" ht="13.5" customHeight="1" x14ac:dyDescent="0.3"/>
    <row r="697" s="1" customFormat="1" ht="13.5" customHeight="1" x14ac:dyDescent="0.3"/>
    <row r="698" s="1" customFormat="1" ht="13.5" customHeight="1" x14ac:dyDescent="0.3"/>
    <row r="699" s="1" customFormat="1" ht="13.5" customHeight="1" x14ac:dyDescent="0.3"/>
    <row r="700" s="1" customFormat="1" ht="13.5" customHeight="1" x14ac:dyDescent="0.3"/>
    <row r="701" s="1" customFormat="1" ht="13.5" customHeight="1" x14ac:dyDescent="0.3"/>
    <row r="702" s="1" customFormat="1" ht="13.5" customHeight="1" x14ac:dyDescent="0.3"/>
    <row r="703" s="1" customFormat="1" ht="13.5" customHeight="1" x14ac:dyDescent="0.3"/>
    <row r="704" s="1" customFormat="1" ht="13.5" customHeight="1" x14ac:dyDescent="0.3"/>
    <row r="705" s="1" customFormat="1" ht="13.5" customHeight="1" x14ac:dyDescent="0.3"/>
    <row r="706" s="1" customFormat="1" ht="13.5" customHeight="1" x14ac:dyDescent="0.3"/>
    <row r="707" s="1" customFormat="1" ht="13.5" customHeight="1" x14ac:dyDescent="0.3"/>
    <row r="708" s="1" customFormat="1" ht="13.5" customHeight="1" x14ac:dyDescent="0.3"/>
    <row r="709" s="1" customFormat="1" ht="13.5" customHeight="1" x14ac:dyDescent="0.3"/>
    <row r="710" s="1" customFormat="1" ht="13.5" customHeight="1" x14ac:dyDescent="0.3"/>
    <row r="711" s="1" customFormat="1" ht="13.5" customHeight="1" x14ac:dyDescent="0.3"/>
    <row r="712" s="1" customFormat="1" ht="13.5" customHeight="1" x14ac:dyDescent="0.3"/>
    <row r="713" s="1" customFormat="1" ht="13.5" customHeight="1" x14ac:dyDescent="0.3"/>
    <row r="714" s="1" customFormat="1" ht="13.5" customHeight="1" x14ac:dyDescent="0.3"/>
    <row r="715" s="1" customFormat="1" ht="13.5" customHeight="1" x14ac:dyDescent="0.3"/>
    <row r="716" s="1" customFormat="1" ht="13.5" customHeight="1" x14ac:dyDescent="0.3"/>
    <row r="717" s="1" customFormat="1" ht="13.5" customHeight="1" x14ac:dyDescent="0.3"/>
    <row r="718" s="1" customFormat="1" ht="13.5" customHeight="1" x14ac:dyDescent="0.3"/>
    <row r="719" s="1" customFormat="1" ht="13.5" customHeight="1" x14ac:dyDescent="0.3"/>
    <row r="720" s="1" customFormat="1" ht="13.5" customHeight="1" x14ac:dyDescent="0.3"/>
    <row r="721" s="1" customFormat="1" ht="13.5" customHeight="1" x14ac:dyDescent="0.3"/>
    <row r="722" s="1" customFormat="1" ht="13.5" customHeight="1" x14ac:dyDescent="0.3"/>
    <row r="723" s="1" customFormat="1" ht="13.5" customHeight="1" x14ac:dyDescent="0.3"/>
    <row r="724" s="1" customFormat="1" ht="13.5" customHeight="1" x14ac:dyDescent="0.3"/>
    <row r="725" s="1" customFormat="1" ht="13.5" customHeight="1" x14ac:dyDescent="0.3"/>
    <row r="726" s="1" customFormat="1" ht="13.5" customHeight="1" x14ac:dyDescent="0.3"/>
    <row r="727" s="1" customFormat="1" ht="13.5" customHeight="1" x14ac:dyDescent="0.3"/>
    <row r="728" s="1" customFormat="1" ht="13.5" customHeight="1" x14ac:dyDescent="0.3"/>
    <row r="729" s="1" customFormat="1" ht="13.5" customHeight="1" x14ac:dyDescent="0.3"/>
    <row r="730" s="1" customFormat="1" ht="13.5" customHeight="1" x14ac:dyDescent="0.3"/>
    <row r="731" s="1" customFormat="1" ht="13.5" customHeight="1" x14ac:dyDescent="0.3"/>
    <row r="732" s="1" customFormat="1" ht="13.5" customHeight="1" x14ac:dyDescent="0.3"/>
    <row r="733" s="1" customFormat="1" ht="13.5" customHeight="1" x14ac:dyDescent="0.3"/>
    <row r="734" s="1" customFormat="1" ht="13.5" customHeight="1" x14ac:dyDescent="0.3"/>
    <row r="735" s="1" customFormat="1" ht="13.5" customHeight="1" x14ac:dyDescent="0.3"/>
    <row r="736" s="1" customFormat="1" ht="13.5" customHeight="1" x14ac:dyDescent="0.3"/>
    <row r="737" s="1" customFormat="1" ht="13.5" customHeight="1" x14ac:dyDescent="0.3"/>
    <row r="738" s="1" customFormat="1" ht="13.5" customHeight="1" x14ac:dyDescent="0.3"/>
    <row r="739" s="1" customFormat="1" ht="13.5" customHeight="1" x14ac:dyDescent="0.3"/>
    <row r="740" s="1" customFormat="1" ht="13.5" customHeight="1" x14ac:dyDescent="0.3"/>
    <row r="741" s="1" customFormat="1" ht="13.5" customHeight="1" x14ac:dyDescent="0.3"/>
    <row r="742" s="1" customFormat="1" ht="13.5" customHeight="1" x14ac:dyDescent="0.3"/>
    <row r="743" s="1" customFormat="1" ht="13.5" customHeight="1" x14ac:dyDescent="0.3"/>
    <row r="744" s="1" customFormat="1" ht="13.5" customHeight="1" x14ac:dyDescent="0.3"/>
    <row r="745" s="1" customFormat="1" ht="13.5" customHeight="1" x14ac:dyDescent="0.3"/>
    <row r="746" s="1" customFormat="1" ht="13.5" customHeight="1" x14ac:dyDescent="0.3"/>
    <row r="747" s="1" customFormat="1" ht="13.5" customHeight="1" x14ac:dyDescent="0.3"/>
    <row r="748" s="1" customFormat="1" ht="13.5" customHeight="1" x14ac:dyDescent="0.3"/>
    <row r="749" s="1" customFormat="1" ht="13.5" customHeight="1" x14ac:dyDescent="0.3"/>
    <row r="750" s="1" customFormat="1" ht="13.5" customHeight="1" x14ac:dyDescent="0.3"/>
    <row r="751" s="1" customFormat="1" ht="13.5" customHeight="1" x14ac:dyDescent="0.3"/>
    <row r="752" s="1" customFormat="1" ht="13.5" customHeight="1" x14ac:dyDescent="0.3"/>
    <row r="753" s="1" customFormat="1" ht="13.5" customHeight="1" x14ac:dyDescent="0.3"/>
    <row r="754" s="1" customFormat="1" ht="13.5" customHeight="1" x14ac:dyDescent="0.3"/>
    <row r="755" s="1" customFormat="1" ht="13.5" customHeight="1" x14ac:dyDescent="0.3"/>
    <row r="756" s="1" customFormat="1" ht="13.5" customHeight="1" x14ac:dyDescent="0.3"/>
    <row r="757" s="1" customFormat="1" ht="13.5" customHeight="1" x14ac:dyDescent="0.3"/>
    <row r="758" s="1" customFormat="1" ht="13.5" customHeight="1" x14ac:dyDescent="0.3"/>
    <row r="759" s="1" customFormat="1" ht="13.5" customHeight="1" x14ac:dyDescent="0.3"/>
    <row r="760" s="1" customFormat="1" ht="13.5" customHeight="1" x14ac:dyDescent="0.3"/>
    <row r="761" s="1" customFormat="1" ht="13.5" customHeight="1" x14ac:dyDescent="0.3"/>
    <row r="762" s="1" customFormat="1" ht="13.5" customHeight="1" x14ac:dyDescent="0.3"/>
    <row r="763" s="1" customFormat="1" ht="13.5" customHeight="1" x14ac:dyDescent="0.3"/>
    <row r="764" s="1" customFormat="1" ht="13.5" customHeight="1" x14ac:dyDescent="0.3"/>
    <row r="765" s="1" customFormat="1" ht="13.5" customHeight="1" x14ac:dyDescent="0.3"/>
    <row r="766" s="1" customFormat="1" ht="13.5" customHeight="1" x14ac:dyDescent="0.3"/>
    <row r="767" s="1" customFormat="1" ht="13.5" customHeight="1" x14ac:dyDescent="0.3"/>
    <row r="768" s="1" customFormat="1" ht="13.5" customHeight="1" x14ac:dyDescent="0.3"/>
    <row r="769" s="1" customFormat="1" ht="13.5" customHeight="1" x14ac:dyDescent="0.3"/>
    <row r="770" s="1" customFormat="1" ht="13.5" customHeight="1" x14ac:dyDescent="0.3"/>
    <row r="771" s="1" customFormat="1" ht="13.5" customHeight="1" x14ac:dyDescent="0.3"/>
    <row r="772" s="1" customFormat="1" ht="13.5" customHeight="1" x14ac:dyDescent="0.3"/>
    <row r="773" s="1" customFormat="1" ht="13.5" customHeight="1" x14ac:dyDescent="0.3"/>
    <row r="774" s="1" customFormat="1" ht="13.5" customHeight="1" x14ac:dyDescent="0.3"/>
    <row r="775" s="1" customFormat="1" ht="13.5" customHeight="1" x14ac:dyDescent="0.3"/>
    <row r="776" s="1" customFormat="1" ht="13.5" customHeight="1" x14ac:dyDescent="0.3"/>
    <row r="777" s="1" customFormat="1" ht="13.5" customHeight="1" x14ac:dyDescent="0.3"/>
    <row r="778" s="1" customFormat="1" ht="13.5" customHeight="1" x14ac:dyDescent="0.3"/>
    <row r="779" s="1" customFormat="1" ht="13.5" customHeight="1" x14ac:dyDescent="0.3"/>
    <row r="780" s="1" customFormat="1" ht="13.5" customHeight="1" x14ac:dyDescent="0.3"/>
    <row r="781" s="1" customFormat="1" ht="13.5" customHeight="1" x14ac:dyDescent="0.3"/>
    <row r="782" s="1" customFormat="1" ht="13.5" customHeight="1" x14ac:dyDescent="0.3"/>
    <row r="783" s="1" customFormat="1" ht="13.5" customHeight="1" x14ac:dyDescent="0.3"/>
    <row r="784" s="1" customFormat="1" ht="13.5" customHeight="1" x14ac:dyDescent="0.3"/>
    <row r="785" s="1" customFormat="1" ht="13.5" customHeight="1" x14ac:dyDescent="0.3"/>
    <row r="786" s="1" customFormat="1" ht="13.5" customHeight="1" x14ac:dyDescent="0.3"/>
    <row r="787" s="1" customFormat="1" ht="13.5" customHeight="1" x14ac:dyDescent="0.3"/>
    <row r="788" s="1" customFormat="1" ht="13.5" customHeight="1" x14ac:dyDescent="0.3"/>
    <row r="789" s="1" customFormat="1" ht="13.5" customHeight="1" x14ac:dyDescent="0.3"/>
    <row r="790" s="1" customFormat="1" ht="13.5" customHeight="1" x14ac:dyDescent="0.3"/>
    <row r="791" s="1" customFormat="1" ht="13.5" customHeight="1" x14ac:dyDescent="0.3"/>
    <row r="792" s="1" customFormat="1" ht="13.5" customHeight="1" x14ac:dyDescent="0.3"/>
    <row r="793" s="1" customFormat="1" ht="13.5" customHeight="1" x14ac:dyDescent="0.3"/>
    <row r="794" s="1" customFormat="1" ht="13.5" customHeight="1" x14ac:dyDescent="0.3"/>
    <row r="795" s="1" customFormat="1" ht="13.5" customHeight="1" x14ac:dyDescent="0.3"/>
    <row r="796" s="1" customFormat="1" ht="13.5" customHeight="1" x14ac:dyDescent="0.3"/>
    <row r="797" s="1" customFormat="1" ht="13.5" customHeight="1" x14ac:dyDescent="0.3"/>
    <row r="798" s="1" customFormat="1" ht="13.5" customHeight="1" x14ac:dyDescent="0.3"/>
    <row r="799" s="1" customFormat="1" ht="13.5" customHeight="1" x14ac:dyDescent="0.3"/>
    <row r="800" s="1" customFormat="1" ht="13.5" customHeight="1" x14ac:dyDescent="0.3"/>
    <row r="801" s="1" customFormat="1" ht="13.5" customHeight="1" x14ac:dyDescent="0.3"/>
    <row r="802" s="1" customFormat="1" ht="13.5" customHeight="1" x14ac:dyDescent="0.3"/>
    <row r="803" s="1" customFormat="1" ht="13.5" customHeight="1" x14ac:dyDescent="0.3"/>
    <row r="804" s="1" customFormat="1" ht="13.5" customHeight="1" x14ac:dyDescent="0.3"/>
    <row r="805" s="1" customFormat="1" ht="13.5" customHeight="1" x14ac:dyDescent="0.3"/>
    <row r="806" s="1" customFormat="1" ht="13.5" customHeight="1" x14ac:dyDescent="0.3"/>
    <row r="807" s="1" customFormat="1" ht="13.5" customHeight="1" x14ac:dyDescent="0.3"/>
    <row r="808" s="1" customFormat="1" ht="13.5" customHeight="1" x14ac:dyDescent="0.3"/>
    <row r="809" s="1" customFormat="1" ht="13.5" customHeight="1" x14ac:dyDescent="0.3"/>
    <row r="810" s="1" customFormat="1" ht="13.5" customHeight="1" x14ac:dyDescent="0.3"/>
    <row r="811" s="1" customFormat="1" ht="13.5" customHeight="1" x14ac:dyDescent="0.3"/>
    <row r="812" s="1" customFormat="1" ht="13.5" customHeight="1" x14ac:dyDescent="0.3"/>
    <row r="813" s="1" customFormat="1" ht="13.5" customHeight="1" x14ac:dyDescent="0.3"/>
    <row r="814" s="1" customFormat="1" ht="13.5" customHeight="1" x14ac:dyDescent="0.3"/>
    <row r="815" s="1" customFormat="1" ht="13.5" customHeight="1" x14ac:dyDescent="0.3"/>
    <row r="816" s="1" customFormat="1" ht="13.5" customHeight="1" x14ac:dyDescent="0.3"/>
    <row r="817" s="1" customFormat="1" ht="13.5" customHeight="1" x14ac:dyDescent="0.3"/>
    <row r="818" s="1" customFormat="1" ht="13.5" customHeight="1" x14ac:dyDescent="0.3"/>
    <row r="819" s="1" customFormat="1" ht="13.5" customHeight="1" x14ac:dyDescent="0.3"/>
    <row r="820" s="1" customFormat="1" ht="13.5" customHeight="1" x14ac:dyDescent="0.3"/>
    <row r="821" s="1" customFormat="1" ht="13.5" customHeight="1" x14ac:dyDescent="0.3"/>
    <row r="822" s="1" customFormat="1" ht="13.5" customHeight="1" x14ac:dyDescent="0.3"/>
    <row r="823" s="1" customFormat="1" ht="13.5" customHeight="1" x14ac:dyDescent="0.3"/>
    <row r="824" s="1" customFormat="1" ht="13.5" customHeight="1" x14ac:dyDescent="0.3"/>
    <row r="825" s="1" customFormat="1" ht="13.5" customHeight="1" x14ac:dyDescent="0.3"/>
    <row r="826" s="1" customFormat="1" ht="13.5" customHeight="1" x14ac:dyDescent="0.3"/>
    <row r="827" s="1" customFormat="1" ht="13.5" customHeight="1" x14ac:dyDescent="0.3"/>
    <row r="828" s="1" customFormat="1" ht="13.5" customHeight="1" x14ac:dyDescent="0.3"/>
    <row r="829" s="1" customFormat="1" ht="13.5" customHeight="1" x14ac:dyDescent="0.3"/>
    <row r="830" s="1" customFormat="1" ht="13.5" customHeight="1" x14ac:dyDescent="0.3"/>
    <row r="831" s="1" customFormat="1" ht="13.5" customHeight="1" x14ac:dyDescent="0.3"/>
    <row r="832" s="1" customFormat="1" ht="13.5" customHeight="1" x14ac:dyDescent="0.3"/>
    <row r="833" s="1" customFormat="1" ht="13.5" customHeight="1" x14ac:dyDescent="0.3"/>
    <row r="834" s="1" customFormat="1" ht="13.5" customHeight="1" x14ac:dyDescent="0.3"/>
    <row r="835" s="1" customFormat="1" ht="13.5" customHeight="1" x14ac:dyDescent="0.3"/>
    <row r="836" s="1" customFormat="1" ht="13.5" customHeight="1" x14ac:dyDescent="0.3"/>
    <row r="837" s="1" customFormat="1" ht="13.5" customHeight="1" x14ac:dyDescent="0.3"/>
    <row r="838" s="1" customFormat="1" ht="13.5" customHeight="1" x14ac:dyDescent="0.3"/>
    <row r="839" s="1" customFormat="1" ht="13.5" customHeight="1" x14ac:dyDescent="0.3"/>
    <row r="840" s="1" customFormat="1" ht="13.5" customHeight="1" x14ac:dyDescent="0.3"/>
    <row r="841" s="1" customFormat="1" ht="13.5" customHeight="1" x14ac:dyDescent="0.3"/>
    <row r="842" s="1" customFormat="1" ht="13.5" customHeight="1" x14ac:dyDescent="0.3"/>
    <row r="843" s="1" customFormat="1" ht="13.5" customHeight="1" x14ac:dyDescent="0.3"/>
    <row r="844" s="1" customFormat="1" ht="13.5" customHeight="1" x14ac:dyDescent="0.3"/>
    <row r="845" s="1" customFormat="1" ht="13.5" customHeight="1" x14ac:dyDescent="0.3"/>
    <row r="846" s="1" customFormat="1" ht="13.5" customHeight="1" x14ac:dyDescent="0.3"/>
    <row r="847" s="1" customFormat="1" ht="13.5" customHeight="1" x14ac:dyDescent="0.3"/>
    <row r="848" s="1" customFormat="1" ht="13.5" customHeight="1" x14ac:dyDescent="0.3"/>
    <row r="849" s="1" customFormat="1" ht="13.5" customHeight="1" x14ac:dyDescent="0.3"/>
    <row r="850" s="1" customFormat="1" ht="13.5" customHeight="1" x14ac:dyDescent="0.3"/>
    <row r="851" s="1" customFormat="1" ht="13.5" customHeight="1" x14ac:dyDescent="0.3"/>
    <row r="852" s="1" customFormat="1" ht="13.5" customHeight="1" x14ac:dyDescent="0.3"/>
    <row r="853" s="1" customFormat="1" ht="13.5" customHeight="1" x14ac:dyDescent="0.3"/>
    <row r="854" s="1" customFormat="1" ht="13.5" customHeight="1" x14ac:dyDescent="0.3"/>
    <row r="855" s="1" customFormat="1" ht="13.5" customHeight="1" x14ac:dyDescent="0.3"/>
    <row r="856" s="1" customFormat="1" ht="13.5" customHeight="1" x14ac:dyDescent="0.3"/>
    <row r="857" s="1" customFormat="1" ht="13.5" customHeight="1" x14ac:dyDescent="0.3"/>
    <row r="858" s="1" customFormat="1" ht="13.5" customHeight="1" x14ac:dyDescent="0.3"/>
    <row r="859" s="1" customFormat="1" ht="13.5" customHeight="1" x14ac:dyDescent="0.3"/>
    <row r="860" s="1" customFormat="1" ht="13.5" customHeight="1" x14ac:dyDescent="0.3"/>
    <row r="861" s="1" customFormat="1" ht="13.5" customHeight="1" x14ac:dyDescent="0.3"/>
    <row r="862" s="1" customFormat="1" ht="13.5" customHeight="1" x14ac:dyDescent="0.3"/>
    <row r="863" s="1" customFormat="1" ht="13.5" customHeight="1" x14ac:dyDescent="0.3"/>
    <row r="864" s="1" customFormat="1" ht="13.5" customHeight="1" x14ac:dyDescent="0.3"/>
    <row r="865" s="1" customFormat="1" ht="13.5" customHeight="1" x14ac:dyDescent="0.3"/>
    <row r="866" s="1" customFormat="1" ht="13.5" customHeight="1" x14ac:dyDescent="0.3"/>
    <row r="867" s="1" customFormat="1" ht="13.5" customHeight="1" x14ac:dyDescent="0.3"/>
    <row r="868" s="1" customFormat="1" ht="13.5" customHeight="1" x14ac:dyDescent="0.3"/>
    <row r="869" s="1" customFormat="1" ht="13.5" customHeight="1" x14ac:dyDescent="0.3"/>
    <row r="870" s="1" customFormat="1" ht="13.5" customHeight="1" x14ac:dyDescent="0.3"/>
    <row r="871" s="1" customFormat="1" ht="13.5" customHeight="1" x14ac:dyDescent="0.3"/>
    <row r="872" s="1" customFormat="1" ht="13.5" customHeight="1" x14ac:dyDescent="0.3"/>
    <row r="873" s="1" customFormat="1" ht="13.5" customHeight="1" x14ac:dyDescent="0.3"/>
    <row r="874" s="1" customFormat="1" ht="13.5" customHeight="1" x14ac:dyDescent="0.3"/>
    <row r="875" s="1" customFormat="1" ht="13.5" customHeight="1" x14ac:dyDescent="0.3"/>
    <row r="876" s="1" customFormat="1" ht="13.5" customHeight="1" x14ac:dyDescent="0.3"/>
    <row r="877" s="1" customFormat="1" ht="13.5" customHeight="1" x14ac:dyDescent="0.3"/>
    <row r="878" s="1" customFormat="1" ht="13.5" customHeight="1" x14ac:dyDescent="0.3"/>
    <row r="879" s="1" customFormat="1" ht="13.5" customHeight="1" x14ac:dyDescent="0.3"/>
    <row r="880" s="1" customFormat="1" ht="13.5" customHeight="1" x14ac:dyDescent="0.3"/>
    <row r="881" s="1" customFormat="1" ht="13.5" customHeight="1" x14ac:dyDescent="0.3"/>
    <row r="882" s="1" customFormat="1" ht="13.5" customHeight="1" x14ac:dyDescent="0.3"/>
    <row r="883" s="1" customFormat="1" ht="13.5" customHeight="1" x14ac:dyDescent="0.3"/>
    <row r="884" s="1" customFormat="1" ht="13.5" customHeight="1" x14ac:dyDescent="0.3"/>
    <row r="885" s="1" customFormat="1" ht="13.5" customHeight="1" x14ac:dyDescent="0.3"/>
    <row r="886" s="1" customFormat="1" ht="13.5" customHeight="1" x14ac:dyDescent="0.3"/>
    <row r="887" s="1" customFormat="1" ht="13.5" customHeight="1" x14ac:dyDescent="0.3"/>
    <row r="888" s="1" customFormat="1" ht="13.5" customHeight="1" x14ac:dyDescent="0.3"/>
    <row r="889" s="1" customFormat="1" ht="13.5" customHeight="1" x14ac:dyDescent="0.3"/>
    <row r="890" s="1" customFormat="1" ht="13.5" customHeight="1" x14ac:dyDescent="0.3"/>
    <row r="891" s="1" customFormat="1" ht="13.5" customHeight="1" x14ac:dyDescent="0.3"/>
    <row r="892" s="1" customFormat="1" ht="13.5" customHeight="1" x14ac:dyDescent="0.3"/>
    <row r="893" s="1" customFormat="1" ht="13.5" customHeight="1" x14ac:dyDescent="0.3"/>
    <row r="894" s="1" customFormat="1" ht="13.5" customHeight="1" x14ac:dyDescent="0.3"/>
    <row r="895" s="1" customFormat="1" ht="13.5" customHeight="1" x14ac:dyDescent="0.3"/>
    <row r="896" s="1" customFormat="1" ht="13.5" customHeight="1" x14ac:dyDescent="0.3"/>
    <row r="897" s="1" customFormat="1" ht="13.5" customHeight="1" x14ac:dyDescent="0.3"/>
    <row r="898" s="1" customFormat="1" ht="13.5" customHeight="1" x14ac:dyDescent="0.3"/>
    <row r="899" s="1" customFormat="1" ht="13.5" customHeight="1" x14ac:dyDescent="0.3"/>
    <row r="900" s="1" customFormat="1" ht="13.5" customHeight="1" x14ac:dyDescent="0.3"/>
    <row r="901" s="1" customFormat="1" ht="13.5" customHeight="1" x14ac:dyDescent="0.3"/>
    <row r="902" s="1" customFormat="1" ht="13.5" customHeight="1" x14ac:dyDescent="0.3"/>
    <row r="903" s="1" customFormat="1" ht="13.5" customHeight="1" x14ac:dyDescent="0.3"/>
    <row r="904" s="1" customFormat="1" ht="13.5" customHeight="1" x14ac:dyDescent="0.3"/>
    <row r="905" s="1" customFormat="1" ht="13.5" customHeight="1" x14ac:dyDescent="0.3"/>
    <row r="906" s="1" customFormat="1" ht="13.5" customHeight="1" x14ac:dyDescent="0.3"/>
    <row r="907" s="1" customFormat="1" ht="13.5" customHeight="1" x14ac:dyDescent="0.3"/>
    <row r="908" s="1" customFormat="1" ht="13.5" customHeight="1" x14ac:dyDescent="0.3"/>
    <row r="909" s="1" customFormat="1" ht="13.5" customHeight="1" x14ac:dyDescent="0.3"/>
    <row r="910" s="1" customFormat="1" ht="13.5" customHeight="1" x14ac:dyDescent="0.3"/>
    <row r="911" s="1" customFormat="1" ht="13.5" customHeight="1" x14ac:dyDescent="0.3"/>
    <row r="912" s="1" customFormat="1" ht="13.5" customHeight="1" x14ac:dyDescent="0.3"/>
    <row r="913" s="1" customFormat="1" ht="13.5" customHeight="1" x14ac:dyDescent="0.3"/>
    <row r="914" s="1" customFormat="1" ht="13.5" customHeight="1" x14ac:dyDescent="0.3"/>
    <row r="915" s="1" customFormat="1" ht="13.5" customHeight="1" x14ac:dyDescent="0.3"/>
    <row r="916" s="1" customFormat="1" ht="13.5" customHeight="1" x14ac:dyDescent="0.3"/>
    <row r="917" s="1" customFormat="1" ht="13.5" customHeight="1" x14ac:dyDescent="0.3"/>
    <row r="918" s="1" customFormat="1" ht="13.5" customHeight="1" x14ac:dyDescent="0.3"/>
    <row r="919" s="1" customFormat="1" ht="13.5" customHeight="1" x14ac:dyDescent="0.3"/>
    <row r="920" s="1" customFormat="1" ht="13.5" customHeight="1" x14ac:dyDescent="0.3"/>
    <row r="921" s="1" customFormat="1" ht="13.5" customHeight="1" x14ac:dyDescent="0.3"/>
    <row r="922" s="1" customFormat="1" ht="13.5" customHeight="1" x14ac:dyDescent="0.3"/>
    <row r="923" s="1" customFormat="1" ht="13.5" customHeight="1" x14ac:dyDescent="0.3"/>
    <row r="924" s="1" customFormat="1" ht="13.5" customHeight="1" x14ac:dyDescent="0.3"/>
    <row r="925" s="1" customFormat="1" ht="13.5" customHeight="1" x14ac:dyDescent="0.3"/>
    <row r="926" s="1" customFormat="1" ht="13.5" customHeight="1" x14ac:dyDescent="0.3"/>
    <row r="927" s="1" customFormat="1" ht="13.5" customHeight="1" x14ac:dyDescent="0.3"/>
    <row r="928" s="1" customFormat="1" ht="13.5" customHeight="1" x14ac:dyDescent="0.3"/>
    <row r="929" s="1" customFormat="1" ht="13.5" customHeight="1" x14ac:dyDescent="0.3"/>
    <row r="930" s="1" customFormat="1" ht="13.5" customHeight="1" x14ac:dyDescent="0.3"/>
    <row r="931" s="1" customFormat="1" ht="13.5" customHeight="1" x14ac:dyDescent="0.3"/>
    <row r="932" s="1" customFormat="1" ht="13.5" customHeight="1" x14ac:dyDescent="0.3"/>
    <row r="933" s="1" customFormat="1" ht="13.5" customHeight="1" x14ac:dyDescent="0.3"/>
    <row r="934" s="1" customFormat="1" ht="13.5" customHeight="1" x14ac:dyDescent="0.3"/>
    <row r="935" s="1" customFormat="1" ht="13.5" customHeight="1" x14ac:dyDescent="0.3"/>
    <row r="936" s="1" customFormat="1" ht="13.5" customHeight="1" x14ac:dyDescent="0.3"/>
    <row r="937" s="1" customFormat="1" ht="13.5" customHeight="1" x14ac:dyDescent="0.3"/>
    <row r="938" s="1" customFormat="1" ht="13.5" customHeight="1" x14ac:dyDescent="0.3"/>
    <row r="939" s="1" customFormat="1" ht="13.5" customHeight="1" x14ac:dyDescent="0.3"/>
    <row r="940" s="1" customFormat="1" ht="13.5" customHeight="1" x14ac:dyDescent="0.3"/>
    <row r="941" s="1" customFormat="1" ht="13.5" customHeight="1" x14ac:dyDescent="0.3"/>
    <row r="942" s="1" customFormat="1" ht="13.5" customHeight="1" x14ac:dyDescent="0.3"/>
    <row r="943" s="1" customFormat="1" ht="13.5" customHeight="1" x14ac:dyDescent="0.3"/>
    <row r="944" s="1" customFormat="1" ht="13.5" customHeight="1" x14ac:dyDescent="0.3"/>
    <row r="945" s="1" customFormat="1" ht="13.5" customHeight="1" x14ac:dyDescent="0.3"/>
    <row r="946" s="1" customFormat="1" ht="13.5" customHeight="1" x14ac:dyDescent="0.3"/>
    <row r="947" s="1" customFormat="1" ht="13.5" customHeight="1" x14ac:dyDescent="0.3"/>
    <row r="948" s="1" customFormat="1" ht="13.5" customHeight="1" x14ac:dyDescent="0.3"/>
    <row r="949" s="1" customFormat="1" ht="13.5" customHeight="1" x14ac:dyDescent="0.3"/>
    <row r="950" s="1" customFormat="1" ht="13.5" customHeight="1" x14ac:dyDescent="0.3"/>
    <row r="951" s="1" customFormat="1" ht="13.5" customHeight="1" x14ac:dyDescent="0.3"/>
    <row r="952" s="1" customFormat="1" ht="13.5" customHeight="1" x14ac:dyDescent="0.3"/>
    <row r="953" s="1" customFormat="1" ht="13.5" customHeight="1" x14ac:dyDescent="0.3"/>
    <row r="954" s="1" customFormat="1" ht="13.5" customHeight="1" x14ac:dyDescent="0.3"/>
    <row r="955" s="1" customFormat="1" ht="13.5" customHeight="1" x14ac:dyDescent="0.3"/>
    <row r="956" s="1" customFormat="1" ht="13.5" customHeight="1" x14ac:dyDescent="0.3"/>
    <row r="957" s="1" customFormat="1" ht="13.5" customHeight="1" x14ac:dyDescent="0.3"/>
    <row r="958" s="1" customFormat="1" ht="13.5" customHeight="1" x14ac:dyDescent="0.3"/>
    <row r="959" s="1" customFormat="1" ht="13.5" customHeight="1" x14ac:dyDescent="0.3"/>
    <row r="960" s="1" customFormat="1" ht="13.5" customHeight="1" x14ac:dyDescent="0.3"/>
    <row r="961" s="1" customFormat="1" ht="13.5" customHeight="1" x14ac:dyDescent="0.3"/>
    <row r="962" s="1" customFormat="1" ht="13.5" customHeight="1" x14ac:dyDescent="0.3"/>
    <row r="963" s="1" customFormat="1" ht="13.5" customHeight="1" x14ac:dyDescent="0.3"/>
    <row r="964" s="1" customFormat="1" ht="13.5" customHeight="1" x14ac:dyDescent="0.3"/>
    <row r="965" s="1" customFormat="1" ht="13.5" customHeight="1" x14ac:dyDescent="0.3"/>
    <row r="966" s="1" customFormat="1" ht="13.5" customHeight="1" x14ac:dyDescent="0.3"/>
    <row r="967" s="1" customFormat="1" ht="13.5" customHeight="1" x14ac:dyDescent="0.3"/>
    <row r="968" s="1" customFormat="1" ht="13.5" customHeight="1" x14ac:dyDescent="0.3"/>
    <row r="969" s="1" customFormat="1" ht="13.5" customHeight="1" x14ac:dyDescent="0.3"/>
    <row r="970" s="1" customFormat="1" ht="13.5" customHeight="1" x14ac:dyDescent="0.3"/>
    <row r="971" s="1" customFormat="1" ht="13.5" customHeight="1" x14ac:dyDescent="0.3"/>
    <row r="972" s="1" customFormat="1" ht="13.5" customHeight="1" x14ac:dyDescent="0.3"/>
    <row r="973" s="1" customFormat="1" ht="13.5" customHeight="1" x14ac:dyDescent="0.3"/>
    <row r="974" s="1" customFormat="1" ht="13.5" customHeight="1" x14ac:dyDescent="0.3"/>
    <row r="975" s="1" customFormat="1" ht="13.5" customHeight="1" x14ac:dyDescent="0.3"/>
    <row r="976" s="1" customFormat="1" ht="13.5" customHeight="1" x14ac:dyDescent="0.3"/>
    <row r="977" s="1" customFormat="1" ht="13.5" customHeight="1" x14ac:dyDescent="0.3"/>
    <row r="978" s="1" customFormat="1" ht="13.5" customHeight="1" x14ac:dyDescent="0.3"/>
    <row r="979" s="1" customFormat="1" ht="13.5" customHeight="1" x14ac:dyDescent="0.3"/>
    <row r="980" s="1" customFormat="1" ht="13.5" customHeight="1" x14ac:dyDescent="0.3"/>
    <row r="981" s="1" customFormat="1" ht="13.5" customHeight="1" x14ac:dyDescent="0.3"/>
    <row r="982" s="1" customFormat="1" ht="13.5" customHeight="1" x14ac:dyDescent="0.3"/>
    <row r="983" s="1" customFormat="1" ht="13.5" customHeight="1" x14ac:dyDescent="0.3"/>
    <row r="984" s="1" customFormat="1" ht="13.5" customHeight="1" x14ac:dyDescent="0.3"/>
    <row r="985" s="1" customFormat="1" ht="13.5" customHeight="1" x14ac:dyDescent="0.3"/>
    <row r="986" s="1" customFormat="1" ht="13.5" customHeight="1" x14ac:dyDescent="0.3"/>
    <row r="987" s="1" customFormat="1" ht="13.5" customHeight="1" x14ac:dyDescent="0.3"/>
    <row r="988" s="1" customFormat="1" ht="13.5" customHeight="1" x14ac:dyDescent="0.3"/>
    <row r="989" s="1" customFormat="1" ht="13.5" customHeight="1" x14ac:dyDescent="0.3"/>
    <row r="990" s="1" customFormat="1" ht="13.5" customHeight="1" x14ac:dyDescent="0.3"/>
    <row r="991" s="1" customFormat="1" ht="13.5" customHeight="1" x14ac:dyDescent="0.3"/>
    <row r="992" s="1" customFormat="1" ht="13.5" customHeight="1" x14ac:dyDescent="0.3"/>
    <row r="993" s="1" customFormat="1" ht="13.5" customHeight="1" x14ac:dyDescent="0.3"/>
    <row r="994" s="1" customFormat="1" ht="13.5" customHeight="1" x14ac:dyDescent="0.3"/>
    <row r="995" s="1" customFormat="1" ht="13.5" customHeight="1" x14ac:dyDescent="0.3"/>
    <row r="996" s="1" customFormat="1" ht="13.5" customHeight="1" x14ac:dyDescent="0.3"/>
    <row r="997" s="1" customFormat="1" ht="13.5" customHeight="1" x14ac:dyDescent="0.3"/>
    <row r="998" s="1" customFormat="1" ht="13.5" customHeight="1" x14ac:dyDescent="0.3"/>
    <row r="999" s="1" customFormat="1" ht="13.5" customHeight="1" x14ac:dyDescent="0.3"/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05BFF-C38F-449F-B18C-2DEB4CC249C1}">
  <dimension ref="A1:M999"/>
  <sheetViews>
    <sheetView workbookViewId="0">
      <selection sqref="A1:XFD1048576"/>
    </sheetView>
  </sheetViews>
  <sheetFormatPr baseColWidth="10" defaultColWidth="12.6328125" defaultRowHeight="15" customHeight="1" x14ac:dyDescent="0.3"/>
  <cols>
    <col min="1" max="1" width="15.7265625" style="1" customWidth="1"/>
    <col min="2" max="7" width="10.6328125" style="1" customWidth="1"/>
    <col min="8" max="8" width="11.36328125" style="1" customWidth="1"/>
    <col min="9" max="25" width="10.6328125" style="1" customWidth="1"/>
    <col min="26" max="16384" width="12.6328125" style="1"/>
  </cols>
  <sheetData>
    <row r="1" spans="1:13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4.25" customHeight="1" x14ac:dyDescent="0.3">
      <c r="A2" s="1" t="s">
        <v>12</v>
      </c>
      <c r="B2" s="1" t="s">
        <v>13</v>
      </c>
      <c r="D2" s="1">
        <v>1</v>
      </c>
      <c r="H2" s="2" t="s">
        <v>14</v>
      </c>
      <c r="I2" s="3">
        <f t="shared" ref="I2:L2" si="0">SUM(C22+C37+C55+C65+C66+C96+C105+C113+C128+C146+C150)</f>
        <v>10</v>
      </c>
      <c r="J2" s="3">
        <f t="shared" si="0"/>
        <v>0</v>
      </c>
      <c r="K2" s="3">
        <f t="shared" si="0"/>
        <v>1</v>
      </c>
      <c r="L2" s="3">
        <f t="shared" si="0"/>
        <v>0</v>
      </c>
      <c r="M2" s="3">
        <f t="shared" ref="M2:M13" si="1">SUM(I2:L2)</f>
        <v>11</v>
      </c>
    </row>
    <row r="3" spans="1:13" ht="14.25" customHeight="1" x14ac:dyDescent="0.3">
      <c r="A3" s="1" t="s">
        <v>15</v>
      </c>
      <c r="B3" s="1" t="s">
        <v>16</v>
      </c>
      <c r="C3" s="1">
        <v>1</v>
      </c>
      <c r="H3" s="2" t="s">
        <v>17</v>
      </c>
      <c r="I3" s="3">
        <f t="shared" ref="I3:L3" si="2">SUM(C6+C32+C50+C52+C58+C69+C76+C94+C115+C122+C123+C152)</f>
        <v>12</v>
      </c>
      <c r="J3" s="3">
        <f t="shared" si="2"/>
        <v>0</v>
      </c>
      <c r="K3" s="3">
        <f t="shared" si="2"/>
        <v>0</v>
      </c>
      <c r="L3" s="3">
        <f t="shared" si="2"/>
        <v>0</v>
      </c>
      <c r="M3" s="3">
        <f t="shared" si="1"/>
        <v>12</v>
      </c>
    </row>
    <row r="4" spans="1:13" ht="14.25" customHeight="1" x14ac:dyDescent="0.3">
      <c r="A4" s="1" t="s">
        <v>18</v>
      </c>
      <c r="B4" s="1" t="s">
        <v>13</v>
      </c>
      <c r="D4" s="1">
        <v>1</v>
      </c>
      <c r="H4" s="2" t="s">
        <v>19</v>
      </c>
      <c r="I4" s="3">
        <f t="shared" ref="I4:L4" si="3">SUM(C26+C14+C27+C62+C68+C124+C138+C142+C153+C155)</f>
        <v>9</v>
      </c>
      <c r="J4" s="3">
        <f t="shared" si="3"/>
        <v>0</v>
      </c>
      <c r="K4" s="3">
        <f t="shared" si="3"/>
        <v>0</v>
      </c>
      <c r="L4" s="3">
        <f t="shared" si="3"/>
        <v>1</v>
      </c>
      <c r="M4" s="3">
        <f t="shared" si="1"/>
        <v>10</v>
      </c>
    </row>
    <row r="5" spans="1:13" ht="14.25" customHeight="1" x14ac:dyDescent="0.3">
      <c r="A5" s="1" t="s">
        <v>20</v>
      </c>
      <c r="B5" s="1" t="s">
        <v>21</v>
      </c>
      <c r="E5" s="1">
        <v>1</v>
      </c>
      <c r="H5" s="2" t="s">
        <v>22</v>
      </c>
      <c r="I5" s="3">
        <f t="shared" ref="I5:L5" si="4">SUM(C5+C36+C56+C63+C73+C85+C87+C95+C135)</f>
        <v>1</v>
      </c>
      <c r="J5" s="3">
        <f t="shared" si="4"/>
        <v>0</v>
      </c>
      <c r="K5" s="3">
        <f t="shared" si="4"/>
        <v>7</v>
      </c>
      <c r="L5" s="3">
        <f t="shared" si="4"/>
        <v>1</v>
      </c>
      <c r="M5" s="3">
        <f t="shared" si="1"/>
        <v>9</v>
      </c>
    </row>
    <row r="6" spans="1:13" ht="14.25" customHeight="1" x14ac:dyDescent="0.3">
      <c r="A6" s="1" t="s">
        <v>23</v>
      </c>
      <c r="B6" s="1" t="s">
        <v>24</v>
      </c>
      <c r="C6" s="1">
        <v>1</v>
      </c>
      <c r="H6" s="2" t="s">
        <v>25</v>
      </c>
      <c r="I6" s="3">
        <f t="shared" ref="I6:L6" si="5">SUM(C12+C15+C18+C28+C41+C59+C78+C64+C82+C83+C86+C106+C119+C143+C148+C154)</f>
        <v>16</v>
      </c>
      <c r="J6" s="3">
        <f t="shared" si="5"/>
        <v>0</v>
      </c>
      <c r="K6" s="3">
        <f t="shared" si="5"/>
        <v>0</v>
      </c>
      <c r="L6" s="3">
        <f t="shared" si="5"/>
        <v>0</v>
      </c>
      <c r="M6" s="3">
        <f t="shared" si="1"/>
        <v>16</v>
      </c>
    </row>
    <row r="7" spans="1:13" ht="14.25" customHeight="1" x14ac:dyDescent="0.3">
      <c r="A7" s="1" t="s">
        <v>26</v>
      </c>
      <c r="B7" s="1" t="s">
        <v>27</v>
      </c>
      <c r="D7" s="1">
        <v>1</v>
      </c>
      <c r="H7" s="2" t="s">
        <v>28</v>
      </c>
      <c r="I7" s="3">
        <f t="shared" ref="I7:L7" si="6">SUM(C3+C20+C46+C49+C54+C89+C90+C102+C112+C114+C129+C141)</f>
        <v>4</v>
      </c>
      <c r="J7" s="3">
        <f t="shared" si="6"/>
        <v>5</v>
      </c>
      <c r="K7" s="3">
        <f t="shared" si="6"/>
        <v>3</v>
      </c>
      <c r="L7" s="3">
        <f t="shared" si="6"/>
        <v>0</v>
      </c>
      <c r="M7" s="3">
        <f t="shared" si="1"/>
        <v>12</v>
      </c>
    </row>
    <row r="8" spans="1:13" ht="14.25" customHeight="1" x14ac:dyDescent="0.3">
      <c r="A8" s="1" t="s">
        <v>29</v>
      </c>
      <c r="B8" s="1" t="s">
        <v>30</v>
      </c>
      <c r="D8" s="1">
        <v>1</v>
      </c>
      <c r="H8" s="2" t="s">
        <v>27</v>
      </c>
      <c r="I8" s="3">
        <f t="shared" ref="I8:L8" si="7">SUM(C7+C30+C29+C44+C51+C60+C72+C79+C101+C99+C107+C111+C117+C140+C144)</f>
        <v>3</v>
      </c>
      <c r="J8" s="3">
        <f t="shared" si="7"/>
        <v>9</v>
      </c>
      <c r="K8" s="3">
        <f t="shared" si="7"/>
        <v>2</v>
      </c>
      <c r="L8" s="3">
        <f t="shared" si="7"/>
        <v>1</v>
      </c>
      <c r="M8" s="3">
        <f t="shared" si="1"/>
        <v>15</v>
      </c>
    </row>
    <row r="9" spans="1:13" ht="14.25" customHeight="1" x14ac:dyDescent="0.3">
      <c r="A9" s="1" t="s">
        <v>31</v>
      </c>
      <c r="B9" s="1" t="s">
        <v>13</v>
      </c>
      <c r="E9" s="1">
        <v>1</v>
      </c>
      <c r="H9" s="2" t="s">
        <v>13</v>
      </c>
      <c r="I9" s="3">
        <f t="shared" ref="I9:J9" si="8">SUM(C4+C9+C17+C19+C2+C48+C92+C120+C126+C127+C130+C133+C151)</f>
        <v>0</v>
      </c>
      <c r="J9" s="3">
        <f t="shared" si="8"/>
        <v>11</v>
      </c>
      <c r="K9" s="3">
        <f>SUM(D4+D9+D17+D19+D2+D48+D92+D120+D126+D127+D130+D133+D151)</f>
        <v>11</v>
      </c>
      <c r="L9" s="3">
        <f>SUM(F4+F9+F17+F19+F2+F48+F92+F120+F126+F127+F130+F133+F151)</f>
        <v>0</v>
      </c>
      <c r="M9" s="3">
        <f t="shared" si="1"/>
        <v>22</v>
      </c>
    </row>
    <row r="10" spans="1:13" ht="14.25" customHeight="1" x14ac:dyDescent="0.3">
      <c r="A10" s="1" t="s">
        <v>32</v>
      </c>
      <c r="B10" s="1" t="s">
        <v>33</v>
      </c>
      <c r="C10" s="1">
        <v>1</v>
      </c>
      <c r="H10" s="2" t="s">
        <v>30</v>
      </c>
      <c r="I10" s="3">
        <f t="shared" ref="I10:L10" si="9">SUM(C8+C13+C16+C25+C31+C35+C43+C45+C70+C71+C75+C81+C88+C93+C98+C100+C104+C118+C136+C137+C156)</f>
        <v>0</v>
      </c>
      <c r="J10" s="3">
        <f t="shared" si="9"/>
        <v>21</v>
      </c>
      <c r="K10" s="3">
        <f t="shared" si="9"/>
        <v>0</v>
      </c>
      <c r="L10" s="3">
        <f t="shared" si="9"/>
        <v>0</v>
      </c>
      <c r="M10" s="3">
        <f t="shared" si="1"/>
        <v>21</v>
      </c>
    </row>
    <row r="11" spans="1:13" ht="14.25" customHeight="1" x14ac:dyDescent="0.3">
      <c r="A11" s="1" t="s">
        <v>34</v>
      </c>
      <c r="B11" s="1" t="s">
        <v>33</v>
      </c>
      <c r="C11" s="1">
        <v>1</v>
      </c>
      <c r="H11" s="2" t="s">
        <v>35</v>
      </c>
      <c r="I11" s="3">
        <f t="shared" ref="I11:L11" si="10">SUM(C38+C42+C47+C53+C74+C77+C80+C91+C97+C103+C108+C116+C131+C145+C147)</f>
        <v>0</v>
      </c>
      <c r="J11" s="3">
        <f t="shared" si="10"/>
        <v>13</v>
      </c>
      <c r="K11" s="3">
        <f t="shared" si="10"/>
        <v>2</v>
      </c>
      <c r="L11" s="3">
        <f t="shared" si="10"/>
        <v>0</v>
      </c>
      <c r="M11" s="3">
        <f t="shared" si="1"/>
        <v>15</v>
      </c>
    </row>
    <row r="12" spans="1:13" ht="14.25" customHeight="1" x14ac:dyDescent="0.3">
      <c r="A12" s="1" t="s">
        <v>36</v>
      </c>
      <c r="B12" s="1" t="s">
        <v>37</v>
      </c>
      <c r="C12" s="1">
        <v>1</v>
      </c>
      <c r="H12" s="2" t="s">
        <v>38</v>
      </c>
      <c r="I12" s="3">
        <f t="shared" ref="I12:L12" si="11">SUM(C21+C24+C34+C40+C67+C84+C132)</f>
        <v>1</v>
      </c>
      <c r="J12" s="3">
        <f t="shared" si="11"/>
        <v>5</v>
      </c>
      <c r="K12" s="3">
        <f t="shared" si="11"/>
        <v>1</v>
      </c>
      <c r="L12" s="3">
        <f t="shared" si="11"/>
        <v>0</v>
      </c>
      <c r="M12" s="3">
        <f t="shared" si="1"/>
        <v>7</v>
      </c>
    </row>
    <row r="13" spans="1:13" ht="14.25" customHeight="1" x14ac:dyDescent="0.3">
      <c r="A13" s="1" t="s">
        <v>39</v>
      </c>
      <c r="B13" s="1" t="s">
        <v>30</v>
      </c>
      <c r="D13" s="1">
        <v>1</v>
      </c>
      <c r="H13" s="2" t="s">
        <v>33</v>
      </c>
      <c r="I13" s="3">
        <f t="shared" ref="I13:L13" si="12">SUM(C10+C11+C57+C125+C149)</f>
        <v>4</v>
      </c>
      <c r="J13" s="3">
        <f t="shared" si="12"/>
        <v>1</v>
      </c>
      <c r="K13" s="3">
        <f t="shared" si="12"/>
        <v>0</v>
      </c>
      <c r="L13" s="3">
        <f t="shared" si="12"/>
        <v>0</v>
      </c>
      <c r="M13" s="3">
        <f t="shared" si="1"/>
        <v>5</v>
      </c>
    </row>
    <row r="14" spans="1:13" ht="14.25" customHeight="1" x14ac:dyDescent="0.3">
      <c r="A14" s="1" t="s">
        <v>40</v>
      </c>
      <c r="B14" s="1" t="s">
        <v>19</v>
      </c>
      <c r="C14" s="1">
        <v>1</v>
      </c>
      <c r="I14" s="4"/>
      <c r="J14" s="4"/>
      <c r="K14" s="4"/>
      <c r="L14" s="4"/>
    </row>
    <row r="15" spans="1:13" ht="14.25" customHeight="1" x14ac:dyDescent="0.3">
      <c r="A15" s="1" t="s">
        <v>41</v>
      </c>
      <c r="B15" s="1" t="s">
        <v>42</v>
      </c>
      <c r="C15" s="1">
        <v>1</v>
      </c>
      <c r="I15" s="4"/>
      <c r="J15" s="4"/>
      <c r="K15" s="4"/>
      <c r="L15" s="4"/>
    </row>
    <row r="16" spans="1:13" ht="14.25" customHeight="1" x14ac:dyDescent="0.3">
      <c r="A16" s="1" t="s">
        <v>43</v>
      </c>
      <c r="B16" s="1" t="s">
        <v>30</v>
      </c>
      <c r="D16" s="1">
        <v>1</v>
      </c>
      <c r="I16" s="4"/>
      <c r="J16" s="4"/>
      <c r="K16" s="4"/>
      <c r="L16" s="4"/>
    </row>
    <row r="17" spans="1:12" ht="14.25" customHeight="1" x14ac:dyDescent="0.3">
      <c r="A17" s="1" t="s">
        <v>44</v>
      </c>
      <c r="B17" s="1" t="s">
        <v>13</v>
      </c>
      <c r="D17" s="1">
        <v>1</v>
      </c>
      <c r="I17" s="4"/>
      <c r="J17" s="4"/>
      <c r="K17" s="4"/>
      <c r="L17" s="4"/>
    </row>
    <row r="18" spans="1:12" ht="14.25" customHeight="1" x14ac:dyDescent="0.3">
      <c r="A18" s="1" t="s">
        <v>45</v>
      </c>
      <c r="B18" s="1" t="s">
        <v>37</v>
      </c>
      <c r="C18" s="1">
        <v>1</v>
      </c>
      <c r="I18" s="4"/>
      <c r="J18" s="4"/>
      <c r="K18" s="4"/>
      <c r="L18" s="4"/>
    </row>
    <row r="19" spans="1:12" ht="14.25" customHeight="1" x14ac:dyDescent="0.3">
      <c r="A19" s="1" t="s">
        <v>46</v>
      </c>
      <c r="B19" s="1" t="s">
        <v>13</v>
      </c>
      <c r="D19" s="1">
        <v>1</v>
      </c>
    </row>
    <row r="20" spans="1:12" ht="14.25" customHeight="1" x14ac:dyDescent="0.3">
      <c r="A20" s="1" t="s">
        <v>47</v>
      </c>
      <c r="B20" s="1" t="s">
        <v>16</v>
      </c>
      <c r="C20" s="1">
        <v>1</v>
      </c>
    </row>
    <row r="21" spans="1:12" ht="14.25" customHeight="1" x14ac:dyDescent="0.3">
      <c r="A21" s="1" t="s">
        <v>48</v>
      </c>
      <c r="B21" s="1" t="s">
        <v>38</v>
      </c>
      <c r="C21" s="1">
        <v>1</v>
      </c>
    </row>
    <row r="22" spans="1:12" ht="14.25" customHeight="1" x14ac:dyDescent="0.3">
      <c r="A22" s="1" t="s">
        <v>49</v>
      </c>
      <c r="B22" s="1" t="s">
        <v>14</v>
      </c>
      <c r="C22" s="1">
        <v>1</v>
      </c>
    </row>
    <row r="23" spans="1:12" ht="14.25" customHeight="1" x14ac:dyDescent="0.3">
      <c r="A23" s="1" t="s">
        <v>50</v>
      </c>
      <c r="B23" s="1" t="s">
        <v>13</v>
      </c>
      <c r="E23" s="1">
        <v>1</v>
      </c>
    </row>
    <row r="24" spans="1:12" ht="14.25" customHeight="1" x14ac:dyDescent="0.3">
      <c r="A24" s="1" t="s">
        <v>51</v>
      </c>
      <c r="B24" s="1" t="s">
        <v>38</v>
      </c>
      <c r="E24" s="1">
        <v>1</v>
      </c>
    </row>
    <row r="25" spans="1:12" ht="14.25" customHeight="1" x14ac:dyDescent="0.3">
      <c r="A25" s="1" t="s">
        <v>52</v>
      </c>
      <c r="B25" s="1" t="s">
        <v>30</v>
      </c>
      <c r="D25" s="1">
        <v>1</v>
      </c>
    </row>
    <row r="26" spans="1:12" ht="14.25" customHeight="1" x14ac:dyDescent="0.3">
      <c r="A26" s="1" t="s">
        <v>53</v>
      </c>
      <c r="B26" s="1" t="s">
        <v>19</v>
      </c>
      <c r="C26" s="1">
        <v>1</v>
      </c>
    </row>
    <row r="27" spans="1:12" ht="14.25" customHeight="1" x14ac:dyDescent="0.3">
      <c r="A27" s="1" t="s">
        <v>54</v>
      </c>
      <c r="B27" s="1" t="s">
        <v>19</v>
      </c>
      <c r="C27" s="1">
        <v>1</v>
      </c>
    </row>
    <row r="28" spans="1:12" ht="14.25" customHeight="1" x14ac:dyDescent="0.3">
      <c r="A28" s="1" t="s">
        <v>55</v>
      </c>
      <c r="B28" s="1" t="s">
        <v>37</v>
      </c>
      <c r="C28" s="1">
        <v>1</v>
      </c>
    </row>
    <row r="29" spans="1:12" ht="14.25" customHeight="1" x14ac:dyDescent="0.3">
      <c r="A29" s="1" t="s">
        <v>56</v>
      </c>
      <c r="B29" s="1" t="s">
        <v>27</v>
      </c>
      <c r="C29" s="1">
        <v>1</v>
      </c>
    </row>
    <row r="30" spans="1:12" ht="14.25" customHeight="1" x14ac:dyDescent="0.3">
      <c r="A30" s="1" t="s">
        <v>57</v>
      </c>
      <c r="B30" s="1" t="s">
        <v>27</v>
      </c>
      <c r="F30" s="1">
        <v>1</v>
      </c>
    </row>
    <row r="31" spans="1:12" ht="14.25" customHeight="1" x14ac:dyDescent="0.3">
      <c r="A31" s="1" t="s">
        <v>58</v>
      </c>
      <c r="B31" s="1" t="s">
        <v>30</v>
      </c>
      <c r="D31" s="1">
        <v>1</v>
      </c>
    </row>
    <row r="32" spans="1:12" ht="14.25" customHeight="1" x14ac:dyDescent="0.3">
      <c r="A32" s="1" t="s">
        <v>59</v>
      </c>
      <c r="B32" s="1" t="s">
        <v>24</v>
      </c>
      <c r="C32" s="1">
        <v>1</v>
      </c>
    </row>
    <row r="33" spans="1:12" ht="14.25" customHeight="1" x14ac:dyDescent="0.3">
      <c r="A33" s="1" t="s">
        <v>60</v>
      </c>
      <c r="B33" s="1" t="s">
        <v>27</v>
      </c>
      <c r="D33" s="1">
        <v>1</v>
      </c>
    </row>
    <row r="34" spans="1:12" ht="14.25" customHeight="1" x14ac:dyDescent="0.3">
      <c r="A34" s="1" t="s">
        <v>61</v>
      </c>
      <c r="B34" s="1" t="s">
        <v>38</v>
      </c>
      <c r="D34" s="1">
        <v>1</v>
      </c>
    </row>
    <row r="35" spans="1:12" ht="14.25" customHeight="1" x14ac:dyDescent="0.3">
      <c r="A35" s="1" t="s">
        <v>62</v>
      </c>
      <c r="B35" s="1" t="s">
        <v>30</v>
      </c>
      <c r="D35" s="1">
        <v>1</v>
      </c>
    </row>
    <row r="36" spans="1:12" ht="14.25" customHeight="1" x14ac:dyDescent="0.3">
      <c r="A36" s="1" t="s">
        <v>63</v>
      </c>
      <c r="B36" s="1" t="s">
        <v>21</v>
      </c>
      <c r="E36" s="1">
        <v>1</v>
      </c>
    </row>
    <row r="37" spans="1:12" ht="14.25" customHeight="1" x14ac:dyDescent="0.3">
      <c r="A37" s="1" t="s">
        <v>64</v>
      </c>
      <c r="B37" s="1" t="s">
        <v>14</v>
      </c>
      <c r="E37" s="1">
        <v>1</v>
      </c>
    </row>
    <row r="38" spans="1:12" ht="14.25" customHeight="1" x14ac:dyDescent="0.3">
      <c r="A38" s="1" t="s">
        <v>65</v>
      </c>
      <c r="B38" s="1" t="s">
        <v>66</v>
      </c>
      <c r="D38" s="1">
        <v>1</v>
      </c>
    </row>
    <row r="39" spans="1:12" ht="14.25" customHeight="1" x14ac:dyDescent="0.3">
      <c r="A39" s="1" t="s">
        <v>67</v>
      </c>
      <c r="B39" s="1" t="s">
        <v>16</v>
      </c>
      <c r="E39" s="1">
        <v>1</v>
      </c>
    </row>
    <row r="40" spans="1:12" ht="14.25" customHeight="1" x14ac:dyDescent="0.3">
      <c r="A40" s="1" t="s">
        <v>68</v>
      </c>
      <c r="B40" s="1" t="s">
        <v>38</v>
      </c>
      <c r="D40" s="1">
        <v>1</v>
      </c>
    </row>
    <row r="41" spans="1:12" ht="14.25" customHeight="1" x14ac:dyDescent="0.3">
      <c r="A41" s="1" t="s">
        <v>69</v>
      </c>
      <c r="B41" s="1" t="s">
        <v>37</v>
      </c>
      <c r="C41" s="1">
        <v>1</v>
      </c>
    </row>
    <row r="42" spans="1:12" ht="14.25" customHeight="1" x14ac:dyDescent="0.3">
      <c r="A42" s="1" t="s">
        <v>70</v>
      </c>
      <c r="B42" s="1" t="s">
        <v>66</v>
      </c>
      <c r="D42" s="1">
        <v>1</v>
      </c>
    </row>
    <row r="43" spans="1:12" ht="14.25" customHeight="1" x14ac:dyDescent="0.3">
      <c r="A43" s="1" t="s">
        <v>71</v>
      </c>
      <c r="B43" s="1" t="s">
        <v>30</v>
      </c>
      <c r="D43" s="1">
        <v>1</v>
      </c>
    </row>
    <row r="44" spans="1:12" ht="14.25" customHeight="1" x14ac:dyDescent="0.3">
      <c r="A44" s="1" t="s">
        <v>72</v>
      </c>
      <c r="B44" s="1" t="s">
        <v>27</v>
      </c>
      <c r="D44" s="1">
        <v>1</v>
      </c>
    </row>
    <row r="45" spans="1:12" ht="14.25" customHeight="1" x14ac:dyDescent="0.3">
      <c r="A45" s="1" t="s">
        <v>73</v>
      </c>
      <c r="B45" s="1" t="s">
        <v>30</v>
      </c>
      <c r="D45" s="1">
        <v>1</v>
      </c>
      <c r="H45" s="1" t="s">
        <v>6</v>
      </c>
      <c r="I45" s="1" t="s">
        <v>7</v>
      </c>
      <c r="J45" s="1" t="s">
        <v>8</v>
      </c>
      <c r="K45" s="1" t="s">
        <v>9</v>
      </c>
      <c r="L45" s="1" t="s">
        <v>10</v>
      </c>
    </row>
    <row r="46" spans="1:12" ht="14.25" customHeight="1" x14ac:dyDescent="0.3">
      <c r="A46" s="1" t="s">
        <v>74</v>
      </c>
      <c r="B46" s="1" t="s">
        <v>16</v>
      </c>
      <c r="E46" s="1">
        <v>1</v>
      </c>
      <c r="H46" s="2" t="s">
        <v>14</v>
      </c>
      <c r="I46" s="4">
        <f t="shared" ref="I46:I57" si="13">I2/M2</f>
        <v>0.90909090909090906</v>
      </c>
      <c r="J46" s="4">
        <f t="shared" ref="J46:J57" si="14">J2/M2</f>
        <v>0</v>
      </c>
      <c r="K46" s="4">
        <f t="shared" ref="K46:K57" si="15">K2/M2</f>
        <v>9.0909090909090912E-2</v>
      </c>
      <c r="L46" s="4">
        <f t="shared" ref="L46:L57" si="16">L2/M2</f>
        <v>0</v>
      </c>
    </row>
    <row r="47" spans="1:12" ht="14.25" customHeight="1" x14ac:dyDescent="0.3">
      <c r="A47" s="1" t="s">
        <v>75</v>
      </c>
      <c r="B47" s="1" t="s">
        <v>66</v>
      </c>
      <c r="D47" s="1">
        <v>1</v>
      </c>
      <c r="H47" s="2" t="s">
        <v>17</v>
      </c>
      <c r="I47" s="4">
        <f t="shared" si="13"/>
        <v>1</v>
      </c>
      <c r="J47" s="4">
        <f t="shared" si="14"/>
        <v>0</v>
      </c>
      <c r="K47" s="4">
        <f t="shared" si="15"/>
        <v>0</v>
      </c>
      <c r="L47" s="4">
        <f t="shared" si="16"/>
        <v>0</v>
      </c>
    </row>
    <row r="48" spans="1:12" ht="14.25" customHeight="1" x14ac:dyDescent="0.3">
      <c r="A48" s="1" t="s">
        <v>76</v>
      </c>
      <c r="B48" s="1" t="s">
        <v>13</v>
      </c>
      <c r="D48" s="1">
        <v>1</v>
      </c>
      <c r="H48" s="2" t="s">
        <v>19</v>
      </c>
      <c r="I48" s="4">
        <f t="shared" si="13"/>
        <v>0.9</v>
      </c>
      <c r="J48" s="4">
        <f t="shared" si="14"/>
        <v>0</v>
      </c>
      <c r="K48" s="4">
        <f t="shared" si="15"/>
        <v>0</v>
      </c>
      <c r="L48" s="4">
        <f t="shared" si="16"/>
        <v>0.1</v>
      </c>
    </row>
    <row r="49" spans="1:12" ht="14.25" customHeight="1" x14ac:dyDescent="0.3">
      <c r="A49" s="1" t="s">
        <v>77</v>
      </c>
      <c r="B49" s="1" t="s">
        <v>16</v>
      </c>
      <c r="D49" s="1">
        <v>1</v>
      </c>
      <c r="H49" s="2" t="s">
        <v>22</v>
      </c>
      <c r="I49" s="4">
        <f t="shared" si="13"/>
        <v>0.1111111111111111</v>
      </c>
      <c r="J49" s="4">
        <f t="shared" si="14"/>
        <v>0</v>
      </c>
      <c r="K49" s="4">
        <f t="shared" si="15"/>
        <v>0.77777777777777779</v>
      </c>
      <c r="L49" s="4">
        <f t="shared" si="16"/>
        <v>0.1111111111111111</v>
      </c>
    </row>
    <row r="50" spans="1:12" ht="14.25" customHeight="1" x14ac:dyDescent="0.3">
      <c r="A50" s="1" t="s">
        <v>78</v>
      </c>
      <c r="B50" s="1" t="s">
        <v>24</v>
      </c>
      <c r="C50" s="1">
        <v>1</v>
      </c>
      <c r="H50" s="2" t="s">
        <v>25</v>
      </c>
      <c r="I50" s="4">
        <f t="shared" si="13"/>
        <v>1</v>
      </c>
      <c r="J50" s="4">
        <f t="shared" si="14"/>
        <v>0</v>
      </c>
      <c r="K50" s="4">
        <f t="shared" si="15"/>
        <v>0</v>
      </c>
      <c r="L50" s="4">
        <f t="shared" si="16"/>
        <v>0</v>
      </c>
    </row>
    <row r="51" spans="1:12" ht="14.25" customHeight="1" x14ac:dyDescent="0.3">
      <c r="A51" s="1" t="s">
        <v>79</v>
      </c>
      <c r="B51" s="1" t="s">
        <v>27</v>
      </c>
      <c r="D51" s="1">
        <v>1</v>
      </c>
      <c r="H51" s="2" t="s">
        <v>28</v>
      </c>
      <c r="I51" s="4">
        <f t="shared" si="13"/>
        <v>0.33333333333333331</v>
      </c>
      <c r="J51" s="4">
        <f t="shared" si="14"/>
        <v>0.41666666666666669</v>
      </c>
      <c r="K51" s="4">
        <f t="shared" si="15"/>
        <v>0.25</v>
      </c>
      <c r="L51" s="4">
        <f t="shared" si="16"/>
        <v>0</v>
      </c>
    </row>
    <row r="52" spans="1:12" ht="14.25" customHeight="1" x14ac:dyDescent="0.3">
      <c r="A52" s="1" t="s">
        <v>80</v>
      </c>
      <c r="B52" s="1" t="s">
        <v>24</v>
      </c>
      <c r="C52" s="1">
        <v>1</v>
      </c>
      <c r="H52" s="2" t="s">
        <v>27</v>
      </c>
      <c r="I52" s="4">
        <f t="shared" si="13"/>
        <v>0.2</v>
      </c>
      <c r="J52" s="4">
        <f t="shared" si="14"/>
        <v>0.6</v>
      </c>
      <c r="K52" s="4">
        <f t="shared" si="15"/>
        <v>0.13333333333333333</v>
      </c>
      <c r="L52" s="4">
        <f t="shared" si="16"/>
        <v>6.6666666666666666E-2</v>
      </c>
    </row>
    <row r="53" spans="1:12" ht="14.25" customHeight="1" x14ac:dyDescent="0.3">
      <c r="A53" s="1" t="s">
        <v>81</v>
      </c>
      <c r="B53" s="1" t="s">
        <v>66</v>
      </c>
      <c r="D53" s="1">
        <v>1</v>
      </c>
      <c r="H53" s="2" t="s">
        <v>13</v>
      </c>
      <c r="I53" s="4">
        <f t="shared" si="13"/>
        <v>0</v>
      </c>
      <c r="J53" s="4">
        <f t="shared" si="14"/>
        <v>0.5</v>
      </c>
      <c r="K53" s="4">
        <f t="shared" si="15"/>
        <v>0.5</v>
      </c>
      <c r="L53" s="4">
        <f t="shared" si="16"/>
        <v>0</v>
      </c>
    </row>
    <row r="54" spans="1:12" ht="14.25" customHeight="1" x14ac:dyDescent="0.3">
      <c r="A54" s="1" t="s">
        <v>82</v>
      </c>
      <c r="B54" s="1" t="s">
        <v>16</v>
      </c>
      <c r="D54" s="1">
        <v>1</v>
      </c>
      <c r="H54" s="2" t="s">
        <v>30</v>
      </c>
      <c r="I54" s="4">
        <f t="shared" si="13"/>
        <v>0</v>
      </c>
      <c r="J54" s="4">
        <f t="shared" si="14"/>
        <v>1</v>
      </c>
      <c r="K54" s="4">
        <f t="shared" si="15"/>
        <v>0</v>
      </c>
      <c r="L54" s="4">
        <f t="shared" si="16"/>
        <v>0</v>
      </c>
    </row>
    <row r="55" spans="1:12" ht="14.25" customHeight="1" x14ac:dyDescent="0.3">
      <c r="A55" s="1" t="s">
        <v>83</v>
      </c>
      <c r="B55" s="1" t="s">
        <v>14</v>
      </c>
      <c r="C55" s="1">
        <v>1</v>
      </c>
      <c r="H55" s="2" t="s">
        <v>35</v>
      </c>
      <c r="I55" s="4">
        <f t="shared" si="13"/>
        <v>0</v>
      </c>
      <c r="J55" s="4">
        <f t="shared" si="14"/>
        <v>0.8666666666666667</v>
      </c>
      <c r="K55" s="4">
        <f t="shared" si="15"/>
        <v>0.13333333333333333</v>
      </c>
      <c r="L55" s="4">
        <f t="shared" si="16"/>
        <v>0</v>
      </c>
    </row>
    <row r="56" spans="1:12" ht="14.25" customHeight="1" x14ac:dyDescent="0.3">
      <c r="A56" s="1" t="s">
        <v>84</v>
      </c>
      <c r="B56" s="1" t="s">
        <v>21</v>
      </c>
      <c r="E56" s="1">
        <v>1</v>
      </c>
      <c r="H56" s="2" t="s">
        <v>38</v>
      </c>
      <c r="I56" s="4">
        <f t="shared" si="13"/>
        <v>0.14285714285714285</v>
      </c>
      <c r="J56" s="4">
        <f t="shared" si="14"/>
        <v>0.7142857142857143</v>
      </c>
      <c r="K56" s="4">
        <f t="shared" si="15"/>
        <v>0.14285714285714285</v>
      </c>
      <c r="L56" s="4">
        <f t="shared" si="16"/>
        <v>0</v>
      </c>
    </row>
    <row r="57" spans="1:12" ht="14.25" customHeight="1" x14ac:dyDescent="0.3">
      <c r="A57" s="1" t="s">
        <v>85</v>
      </c>
      <c r="B57" s="1" t="s">
        <v>33</v>
      </c>
      <c r="D57" s="1">
        <v>1</v>
      </c>
      <c r="H57" s="2" t="s">
        <v>33</v>
      </c>
      <c r="I57" s="4">
        <f t="shared" si="13"/>
        <v>0.8</v>
      </c>
      <c r="J57" s="4">
        <f t="shared" si="14"/>
        <v>0.2</v>
      </c>
      <c r="K57" s="4">
        <f t="shared" si="15"/>
        <v>0</v>
      </c>
      <c r="L57" s="4">
        <f t="shared" si="16"/>
        <v>0</v>
      </c>
    </row>
    <row r="58" spans="1:12" ht="14.25" customHeight="1" x14ac:dyDescent="0.3">
      <c r="A58" s="1" t="s">
        <v>86</v>
      </c>
      <c r="B58" s="1" t="s">
        <v>24</v>
      </c>
      <c r="C58" s="1">
        <v>1</v>
      </c>
    </row>
    <row r="59" spans="1:12" ht="14.25" customHeight="1" x14ac:dyDescent="0.3">
      <c r="A59" s="1" t="s">
        <v>87</v>
      </c>
      <c r="B59" s="1" t="s">
        <v>37</v>
      </c>
      <c r="C59" s="1">
        <v>1</v>
      </c>
    </row>
    <row r="60" spans="1:12" ht="14.25" customHeight="1" x14ac:dyDescent="0.3">
      <c r="A60" s="1" t="s">
        <v>88</v>
      </c>
      <c r="B60" s="1" t="s">
        <v>27</v>
      </c>
      <c r="E60" s="1">
        <v>1</v>
      </c>
    </row>
    <row r="61" spans="1:12" ht="14.25" customHeight="1" x14ac:dyDescent="0.3">
      <c r="A61" s="1" t="s">
        <v>89</v>
      </c>
      <c r="B61" s="1" t="s">
        <v>13</v>
      </c>
      <c r="E61" s="1">
        <v>1</v>
      </c>
    </row>
    <row r="62" spans="1:12" ht="14.25" customHeight="1" x14ac:dyDescent="0.3">
      <c r="A62" s="1" t="s">
        <v>90</v>
      </c>
      <c r="B62" s="1" t="s">
        <v>19</v>
      </c>
      <c r="C62" s="1">
        <v>1</v>
      </c>
    </row>
    <row r="63" spans="1:12" ht="14.25" customHeight="1" x14ac:dyDescent="0.3">
      <c r="A63" s="1" t="s">
        <v>91</v>
      </c>
      <c r="B63" s="1" t="s">
        <v>21</v>
      </c>
      <c r="F63" s="1">
        <v>1</v>
      </c>
    </row>
    <row r="64" spans="1:12" ht="14.25" customHeight="1" x14ac:dyDescent="0.3">
      <c r="A64" s="1" t="s">
        <v>92</v>
      </c>
      <c r="B64" s="1" t="s">
        <v>42</v>
      </c>
      <c r="C64" s="1">
        <v>1</v>
      </c>
    </row>
    <row r="65" spans="1:5" ht="14.25" customHeight="1" x14ac:dyDescent="0.3">
      <c r="A65" s="1" t="s">
        <v>93</v>
      </c>
      <c r="B65" s="1" t="s">
        <v>14</v>
      </c>
      <c r="C65" s="1">
        <v>1</v>
      </c>
    </row>
    <row r="66" spans="1:5" ht="14.25" customHeight="1" x14ac:dyDescent="0.3">
      <c r="A66" s="1" t="s">
        <v>94</v>
      </c>
      <c r="B66" s="1" t="s">
        <v>14</v>
      </c>
      <c r="C66" s="1">
        <v>1</v>
      </c>
    </row>
    <row r="67" spans="1:5" ht="14.25" customHeight="1" x14ac:dyDescent="0.3">
      <c r="A67" s="1" t="s">
        <v>95</v>
      </c>
      <c r="B67" s="1" t="s">
        <v>38</v>
      </c>
      <c r="D67" s="1">
        <v>1</v>
      </c>
    </row>
    <row r="68" spans="1:5" ht="14.25" customHeight="1" x14ac:dyDescent="0.3">
      <c r="A68" s="1" t="s">
        <v>96</v>
      </c>
      <c r="B68" s="1" t="s">
        <v>19</v>
      </c>
      <c r="C68" s="1">
        <v>1</v>
      </c>
    </row>
    <row r="69" spans="1:5" ht="14.25" customHeight="1" x14ac:dyDescent="0.3">
      <c r="A69" s="1" t="s">
        <v>97</v>
      </c>
      <c r="B69" s="1" t="s">
        <v>24</v>
      </c>
      <c r="C69" s="1">
        <v>1</v>
      </c>
    </row>
    <row r="70" spans="1:5" ht="14.25" customHeight="1" x14ac:dyDescent="0.3">
      <c r="A70" s="1" t="s">
        <v>98</v>
      </c>
      <c r="B70" s="1" t="s">
        <v>30</v>
      </c>
      <c r="D70" s="1">
        <v>1</v>
      </c>
    </row>
    <row r="71" spans="1:5" ht="14.25" customHeight="1" x14ac:dyDescent="0.3">
      <c r="A71" s="1" t="s">
        <v>99</v>
      </c>
      <c r="B71" s="1" t="s">
        <v>30</v>
      </c>
      <c r="D71" s="1">
        <v>1</v>
      </c>
    </row>
    <row r="72" spans="1:5" ht="14.25" customHeight="1" x14ac:dyDescent="0.3">
      <c r="A72" s="1" t="s">
        <v>100</v>
      </c>
      <c r="B72" s="1" t="s">
        <v>27</v>
      </c>
      <c r="D72" s="1">
        <v>1</v>
      </c>
    </row>
    <row r="73" spans="1:5" ht="14.25" customHeight="1" x14ac:dyDescent="0.3">
      <c r="A73" s="1" t="s">
        <v>101</v>
      </c>
      <c r="B73" s="1" t="s">
        <v>21</v>
      </c>
      <c r="E73" s="1">
        <v>1</v>
      </c>
    </row>
    <row r="74" spans="1:5" ht="14.25" customHeight="1" x14ac:dyDescent="0.3">
      <c r="A74" s="1" t="s">
        <v>102</v>
      </c>
      <c r="B74" s="1" t="s">
        <v>66</v>
      </c>
      <c r="D74" s="1">
        <v>1</v>
      </c>
    </row>
    <row r="75" spans="1:5" ht="14.25" customHeight="1" x14ac:dyDescent="0.3">
      <c r="A75" s="1" t="s">
        <v>103</v>
      </c>
      <c r="B75" s="1" t="s">
        <v>30</v>
      </c>
      <c r="D75" s="1">
        <v>1</v>
      </c>
    </row>
    <row r="76" spans="1:5" ht="14.25" customHeight="1" x14ac:dyDescent="0.3">
      <c r="A76" s="1" t="s">
        <v>104</v>
      </c>
      <c r="B76" s="1" t="s">
        <v>24</v>
      </c>
      <c r="C76" s="1">
        <v>1</v>
      </c>
    </row>
    <row r="77" spans="1:5" ht="14.25" customHeight="1" x14ac:dyDescent="0.3">
      <c r="A77" s="1" t="s">
        <v>105</v>
      </c>
      <c r="B77" s="1" t="s">
        <v>66</v>
      </c>
      <c r="D77" s="1">
        <v>1</v>
      </c>
    </row>
    <row r="78" spans="1:5" ht="14.25" customHeight="1" x14ac:dyDescent="0.3">
      <c r="A78" s="1" t="s">
        <v>106</v>
      </c>
      <c r="B78" s="1" t="s">
        <v>42</v>
      </c>
      <c r="C78" s="1">
        <v>1</v>
      </c>
    </row>
    <row r="79" spans="1:5" ht="14.25" customHeight="1" x14ac:dyDescent="0.3">
      <c r="A79" s="1" t="s">
        <v>107</v>
      </c>
      <c r="B79" s="1" t="s">
        <v>27</v>
      </c>
      <c r="D79" s="1">
        <v>1</v>
      </c>
    </row>
    <row r="80" spans="1:5" ht="14.25" customHeight="1" x14ac:dyDescent="0.3">
      <c r="A80" s="1" t="s">
        <v>108</v>
      </c>
      <c r="B80" s="1" t="s">
        <v>66</v>
      </c>
      <c r="D80" s="1">
        <v>1</v>
      </c>
    </row>
    <row r="81" spans="1:5" ht="14.25" customHeight="1" x14ac:dyDescent="0.3">
      <c r="A81" s="1" t="s">
        <v>109</v>
      </c>
      <c r="B81" s="1" t="s">
        <v>30</v>
      </c>
      <c r="D81" s="1">
        <v>1</v>
      </c>
    </row>
    <row r="82" spans="1:5" ht="14.25" customHeight="1" x14ac:dyDescent="0.3">
      <c r="A82" s="1" t="s">
        <v>110</v>
      </c>
      <c r="B82" s="1" t="s">
        <v>37</v>
      </c>
      <c r="C82" s="1">
        <v>1</v>
      </c>
    </row>
    <row r="83" spans="1:5" ht="14.25" customHeight="1" x14ac:dyDescent="0.3">
      <c r="A83" s="1" t="s">
        <v>111</v>
      </c>
      <c r="B83" s="1" t="s">
        <v>37</v>
      </c>
      <c r="C83" s="1">
        <v>1</v>
      </c>
    </row>
    <row r="84" spans="1:5" ht="14.25" customHeight="1" x14ac:dyDescent="0.3">
      <c r="A84" s="1" t="s">
        <v>112</v>
      </c>
      <c r="B84" s="1" t="s">
        <v>38</v>
      </c>
      <c r="D84" s="1">
        <v>1</v>
      </c>
    </row>
    <row r="85" spans="1:5" ht="14.25" customHeight="1" x14ac:dyDescent="0.3">
      <c r="A85" s="1" t="s">
        <v>113</v>
      </c>
      <c r="B85" s="1" t="s">
        <v>21</v>
      </c>
      <c r="E85" s="1">
        <v>1</v>
      </c>
    </row>
    <row r="86" spans="1:5" ht="14.25" customHeight="1" x14ac:dyDescent="0.3">
      <c r="A86" s="1" t="s">
        <v>114</v>
      </c>
      <c r="B86" s="1" t="s">
        <v>42</v>
      </c>
      <c r="C86" s="1">
        <v>1</v>
      </c>
    </row>
    <row r="87" spans="1:5" ht="14.25" customHeight="1" x14ac:dyDescent="0.3">
      <c r="A87" s="1" t="s">
        <v>115</v>
      </c>
      <c r="B87" s="1" t="s">
        <v>21</v>
      </c>
      <c r="E87" s="1">
        <v>1</v>
      </c>
    </row>
    <row r="88" spans="1:5" ht="14.25" customHeight="1" x14ac:dyDescent="0.3">
      <c r="A88" s="1" t="s">
        <v>116</v>
      </c>
      <c r="B88" s="1" t="s">
        <v>30</v>
      </c>
      <c r="D88" s="1">
        <v>1</v>
      </c>
    </row>
    <row r="89" spans="1:5" ht="14.25" customHeight="1" x14ac:dyDescent="0.3">
      <c r="A89" s="1" t="s">
        <v>117</v>
      </c>
      <c r="B89" s="1" t="s">
        <v>16</v>
      </c>
      <c r="C89" s="1">
        <v>1</v>
      </c>
    </row>
    <row r="90" spans="1:5" ht="14.25" customHeight="1" x14ac:dyDescent="0.3">
      <c r="A90" s="1" t="s">
        <v>118</v>
      </c>
      <c r="B90" s="1" t="s">
        <v>16</v>
      </c>
      <c r="D90" s="1">
        <v>1</v>
      </c>
    </row>
    <row r="91" spans="1:5" ht="14.25" customHeight="1" x14ac:dyDescent="0.3">
      <c r="A91" s="1" t="s">
        <v>119</v>
      </c>
      <c r="B91" s="1" t="s">
        <v>66</v>
      </c>
      <c r="D91" s="1">
        <v>1</v>
      </c>
    </row>
    <row r="92" spans="1:5" ht="14.25" customHeight="1" x14ac:dyDescent="0.3">
      <c r="A92" s="1" t="s">
        <v>120</v>
      </c>
      <c r="B92" s="1" t="s">
        <v>13</v>
      </c>
      <c r="E92" s="1">
        <v>1</v>
      </c>
    </row>
    <row r="93" spans="1:5" ht="14.25" customHeight="1" x14ac:dyDescent="0.3">
      <c r="A93" s="1" t="s">
        <v>121</v>
      </c>
      <c r="B93" s="1" t="s">
        <v>30</v>
      </c>
      <c r="D93" s="1">
        <v>1</v>
      </c>
    </row>
    <row r="94" spans="1:5" ht="14.25" customHeight="1" x14ac:dyDescent="0.3">
      <c r="A94" s="1" t="s">
        <v>122</v>
      </c>
      <c r="B94" s="1" t="s">
        <v>24</v>
      </c>
      <c r="C94" s="1">
        <v>1</v>
      </c>
    </row>
    <row r="95" spans="1:5" ht="14.25" customHeight="1" x14ac:dyDescent="0.3">
      <c r="A95" s="1" t="s">
        <v>123</v>
      </c>
      <c r="B95" s="1" t="s">
        <v>21</v>
      </c>
      <c r="E95" s="1">
        <v>1</v>
      </c>
    </row>
    <row r="96" spans="1:5" ht="14.25" customHeight="1" x14ac:dyDescent="0.3">
      <c r="A96" s="1" t="s">
        <v>124</v>
      </c>
      <c r="B96" s="1" t="s">
        <v>14</v>
      </c>
      <c r="C96" s="1">
        <v>1</v>
      </c>
    </row>
    <row r="97" spans="1:5" ht="14.25" customHeight="1" x14ac:dyDescent="0.3">
      <c r="A97" s="1" t="s">
        <v>125</v>
      </c>
      <c r="B97" s="1" t="s">
        <v>66</v>
      </c>
      <c r="D97" s="1">
        <v>1</v>
      </c>
    </row>
    <row r="98" spans="1:5" ht="14.25" customHeight="1" x14ac:dyDescent="0.3">
      <c r="A98" s="1" t="s">
        <v>126</v>
      </c>
      <c r="B98" s="1" t="s">
        <v>30</v>
      </c>
      <c r="D98" s="1">
        <v>1</v>
      </c>
    </row>
    <row r="99" spans="1:5" ht="14.25" customHeight="1" x14ac:dyDescent="0.3">
      <c r="A99" s="1" t="s">
        <v>127</v>
      </c>
      <c r="B99" s="1" t="s">
        <v>27</v>
      </c>
      <c r="D99" s="1">
        <v>1</v>
      </c>
    </row>
    <row r="100" spans="1:5" ht="14.25" customHeight="1" x14ac:dyDescent="0.3">
      <c r="A100" s="1" t="s">
        <v>128</v>
      </c>
      <c r="B100" s="1" t="s">
        <v>30</v>
      </c>
      <c r="D100" s="1">
        <v>1</v>
      </c>
    </row>
    <row r="101" spans="1:5" ht="14.25" customHeight="1" x14ac:dyDescent="0.3">
      <c r="A101" s="1" t="s">
        <v>129</v>
      </c>
      <c r="B101" s="1" t="s">
        <v>27</v>
      </c>
      <c r="D101" s="1">
        <v>1</v>
      </c>
    </row>
    <row r="102" spans="1:5" ht="14.25" customHeight="1" x14ac:dyDescent="0.3">
      <c r="A102" s="1" t="s">
        <v>130</v>
      </c>
      <c r="B102" s="1" t="s">
        <v>16</v>
      </c>
      <c r="D102" s="1">
        <v>1</v>
      </c>
    </row>
    <row r="103" spans="1:5" ht="14.25" customHeight="1" x14ac:dyDescent="0.3">
      <c r="A103" s="1" t="s">
        <v>131</v>
      </c>
      <c r="B103" s="1" t="s">
        <v>66</v>
      </c>
      <c r="D103" s="1">
        <v>1</v>
      </c>
    </row>
    <row r="104" spans="1:5" ht="14.25" customHeight="1" x14ac:dyDescent="0.3">
      <c r="A104" s="1" t="s">
        <v>132</v>
      </c>
      <c r="B104" s="1" t="s">
        <v>30</v>
      </c>
      <c r="D104" s="1">
        <v>1</v>
      </c>
    </row>
    <row r="105" spans="1:5" ht="14.25" customHeight="1" x14ac:dyDescent="0.3">
      <c r="A105" s="1" t="s">
        <v>133</v>
      </c>
      <c r="B105" s="1" t="s">
        <v>14</v>
      </c>
      <c r="C105" s="1">
        <v>1</v>
      </c>
    </row>
    <row r="106" spans="1:5" ht="14.25" customHeight="1" x14ac:dyDescent="0.3">
      <c r="A106" s="1" t="s">
        <v>134</v>
      </c>
      <c r="B106" s="1" t="s">
        <v>42</v>
      </c>
      <c r="C106" s="1">
        <v>1</v>
      </c>
    </row>
    <row r="107" spans="1:5" ht="14.25" customHeight="1" x14ac:dyDescent="0.3">
      <c r="A107" s="1" t="s">
        <v>135</v>
      </c>
      <c r="B107" s="1" t="s">
        <v>27</v>
      </c>
      <c r="D107" s="1">
        <v>1</v>
      </c>
    </row>
    <row r="108" spans="1:5" ht="14.25" customHeight="1" x14ac:dyDescent="0.3">
      <c r="A108" s="1" t="s">
        <v>136</v>
      </c>
      <c r="B108" s="1" t="s">
        <v>66</v>
      </c>
      <c r="D108" s="1">
        <v>1</v>
      </c>
    </row>
    <row r="109" spans="1:5" ht="14.25" customHeight="1" x14ac:dyDescent="0.3">
      <c r="A109" s="1" t="s">
        <v>137</v>
      </c>
      <c r="B109" s="1" t="s">
        <v>13</v>
      </c>
      <c r="D109" s="1">
        <v>1</v>
      </c>
    </row>
    <row r="110" spans="1:5" ht="14.25" customHeight="1" x14ac:dyDescent="0.3">
      <c r="A110" s="1" t="s">
        <v>138</v>
      </c>
      <c r="B110" s="1" t="s">
        <v>42</v>
      </c>
      <c r="C110" s="1">
        <v>1</v>
      </c>
    </row>
    <row r="111" spans="1:5" ht="14.25" customHeight="1" x14ac:dyDescent="0.3">
      <c r="A111" s="1" t="s">
        <v>139</v>
      </c>
      <c r="B111" s="1" t="s">
        <v>27</v>
      </c>
      <c r="E111" s="1">
        <v>1</v>
      </c>
    </row>
    <row r="112" spans="1:5" ht="14.25" customHeight="1" x14ac:dyDescent="0.3">
      <c r="A112" s="1" t="s">
        <v>140</v>
      </c>
      <c r="B112" s="1" t="s">
        <v>16</v>
      </c>
      <c r="E112" s="1">
        <v>1</v>
      </c>
    </row>
    <row r="113" spans="1:6" ht="14.25" customHeight="1" x14ac:dyDescent="0.3">
      <c r="A113" s="1" t="s">
        <v>141</v>
      </c>
      <c r="B113" s="1" t="s">
        <v>14</v>
      </c>
      <c r="C113" s="1">
        <v>1</v>
      </c>
    </row>
    <row r="114" spans="1:6" ht="14.25" customHeight="1" x14ac:dyDescent="0.3">
      <c r="A114" s="1" t="s">
        <v>142</v>
      </c>
      <c r="B114" s="1" t="s">
        <v>16</v>
      </c>
      <c r="D114" s="1">
        <v>1</v>
      </c>
    </row>
    <row r="115" spans="1:6" ht="14.25" customHeight="1" x14ac:dyDescent="0.3">
      <c r="A115" s="1" t="s">
        <v>143</v>
      </c>
      <c r="B115" s="1" t="s">
        <v>24</v>
      </c>
      <c r="C115" s="1">
        <v>1</v>
      </c>
    </row>
    <row r="116" spans="1:6" ht="14.25" customHeight="1" x14ac:dyDescent="0.3">
      <c r="A116" s="1" t="s">
        <v>144</v>
      </c>
      <c r="B116" s="1" t="s">
        <v>66</v>
      </c>
      <c r="D116" s="1">
        <v>1</v>
      </c>
    </row>
    <row r="117" spans="1:6" ht="14.25" customHeight="1" x14ac:dyDescent="0.3">
      <c r="A117" s="1" t="s">
        <v>145</v>
      </c>
      <c r="B117" s="1" t="s">
        <v>27</v>
      </c>
      <c r="C117" s="1">
        <v>1</v>
      </c>
    </row>
    <row r="118" spans="1:6" ht="14.25" customHeight="1" x14ac:dyDescent="0.3">
      <c r="A118" s="1" t="s">
        <v>146</v>
      </c>
      <c r="B118" s="1" t="s">
        <v>30</v>
      </c>
      <c r="D118" s="1">
        <v>1</v>
      </c>
    </row>
    <row r="119" spans="1:6" ht="14.25" customHeight="1" x14ac:dyDescent="0.3">
      <c r="A119" s="1" t="s">
        <v>147</v>
      </c>
      <c r="B119" s="1" t="s">
        <v>42</v>
      </c>
      <c r="C119" s="1">
        <v>1</v>
      </c>
    </row>
    <row r="120" spans="1:6" ht="14.25" customHeight="1" x14ac:dyDescent="0.3">
      <c r="A120" s="1" t="s">
        <v>148</v>
      </c>
      <c r="B120" s="1" t="s">
        <v>13</v>
      </c>
      <c r="D120" s="1">
        <v>1</v>
      </c>
    </row>
    <row r="121" spans="1:6" ht="14.25" customHeight="1" x14ac:dyDescent="0.3">
      <c r="A121" s="1" t="s">
        <v>149</v>
      </c>
      <c r="B121" s="1" t="s">
        <v>150</v>
      </c>
      <c r="F121" s="1">
        <v>1</v>
      </c>
    </row>
    <row r="122" spans="1:6" ht="14.25" customHeight="1" x14ac:dyDescent="0.3">
      <c r="A122" s="1" t="s">
        <v>151</v>
      </c>
      <c r="B122" s="1" t="s">
        <v>24</v>
      </c>
      <c r="C122" s="1">
        <v>1</v>
      </c>
    </row>
    <row r="123" spans="1:6" ht="14.25" customHeight="1" x14ac:dyDescent="0.3">
      <c r="A123" s="1" t="s">
        <v>152</v>
      </c>
      <c r="B123" s="1" t="s">
        <v>24</v>
      </c>
      <c r="C123" s="1">
        <v>1</v>
      </c>
    </row>
    <row r="124" spans="1:6" ht="14.25" customHeight="1" x14ac:dyDescent="0.3">
      <c r="A124" s="1" t="s">
        <v>153</v>
      </c>
      <c r="B124" s="1" t="s">
        <v>19</v>
      </c>
      <c r="F124" s="1">
        <v>1</v>
      </c>
    </row>
    <row r="125" spans="1:6" ht="14.25" customHeight="1" x14ac:dyDescent="0.3">
      <c r="A125" s="1" t="s">
        <v>154</v>
      </c>
      <c r="B125" s="1" t="s">
        <v>33</v>
      </c>
      <c r="C125" s="1">
        <v>1</v>
      </c>
    </row>
    <row r="126" spans="1:6" ht="14.25" customHeight="1" x14ac:dyDescent="0.3">
      <c r="A126" s="1" t="s">
        <v>155</v>
      </c>
      <c r="B126" s="1" t="s">
        <v>13</v>
      </c>
      <c r="D126" s="1">
        <v>1</v>
      </c>
    </row>
    <row r="127" spans="1:6" ht="14.25" customHeight="1" x14ac:dyDescent="0.3">
      <c r="A127" s="1" t="s">
        <v>156</v>
      </c>
      <c r="B127" s="1" t="s">
        <v>13</v>
      </c>
      <c r="D127" s="1">
        <v>1</v>
      </c>
    </row>
    <row r="128" spans="1:6" ht="14.25" customHeight="1" x14ac:dyDescent="0.3">
      <c r="A128" s="1" t="s">
        <v>157</v>
      </c>
      <c r="B128" s="1" t="s">
        <v>14</v>
      </c>
      <c r="C128" s="1">
        <v>1</v>
      </c>
    </row>
    <row r="129" spans="1:5" ht="14.25" customHeight="1" x14ac:dyDescent="0.3">
      <c r="A129" s="1" t="s">
        <v>158</v>
      </c>
      <c r="B129" s="1" t="s">
        <v>16</v>
      </c>
      <c r="C129" s="1">
        <v>1</v>
      </c>
    </row>
    <row r="130" spans="1:5" ht="14.25" customHeight="1" x14ac:dyDescent="0.3">
      <c r="A130" s="1" t="s">
        <v>159</v>
      </c>
      <c r="B130" s="1" t="s">
        <v>13</v>
      </c>
      <c r="D130" s="1">
        <v>1</v>
      </c>
    </row>
    <row r="131" spans="1:5" ht="14.25" customHeight="1" x14ac:dyDescent="0.3">
      <c r="A131" s="1" t="s">
        <v>160</v>
      </c>
      <c r="B131" s="1" t="s">
        <v>66</v>
      </c>
      <c r="E131" s="1">
        <v>1</v>
      </c>
    </row>
    <row r="132" spans="1:5" ht="14.25" customHeight="1" x14ac:dyDescent="0.3">
      <c r="A132" s="1" t="s">
        <v>161</v>
      </c>
      <c r="B132" s="1" t="s">
        <v>38</v>
      </c>
      <c r="D132" s="1">
        <v>1</v>
      </c>
    </row>
    <row r="133" spans="1:5" ht="14.25" customHeight="1" x14ac:dyDescent="0.3">
      <c r="A133" s="1" t="s">
        <v>162</v>
      </c>
      <c r="B133" s="1" t="s">
        <v>13</v>
      </c>
      <c r="D133" s="1">
        <v>1</v>
      </c>
    </row>
    <row r="134" spans="1:5" ht="14.25" customHeight="1" x14ac:dyDescent="0.3">
      <c r="A134" s="1" t="s">
        <v>163</v>
      </c>
      <c r="B134" s="1" t="s">
        <v>66</v>
      </c>
      <c r="D134" s="1">
        <v>1</v>
      </c>
    </row>
    <row r="135" spans="1:5" ht="14.25" customHeight="1" x14ac:dyDescent="0.3">
      <c r="A135" s="1" t="s">
        <v>164</v>
      </c>
      <c r="B135" s="1" t="s">
        <v>21</v>
      </c>
      <c r="C135" s="1">
        <v>1</v>
      </c>
    </row>
    <row r="136" spans="1:5" ht="14.25" customHeight="1" x14ac:dyDescent="0.3">
      <c r="A136" s="1" t="s">
        <v>165</v>
      </c>
      <c r="B136" s="1" t="s">
        <v>30</v>
      </c>
      <c r="D136" s="1">
        <v>1</v>
      </c>
    </row>
    <row r="137" spans="1:5" ht="14.25" customHeight="1" x14ac:dyDescent="0.3">
      <c r="A137" s="1" t="s">
        <v>166</v>
      </c>
      <c r="B137" s="1" t="s">
        <v>30</v>
      </c>
      <c r="D137" s="1">
        <v>1</v>
      </c>
    </row>
    <row r="138" spans="1:5" ht="14.25" customHeight="1" x14ac:dyDescent="0.3">
      <c r="A138" s="1" t="s">
        <v>167</v>
      </c>
      <c r="B138" s="1" t="s">
        <v>19</v>
      </c>
      <c r="C138" s="1">
        <v>1</v>
      </c>
    </row>
    <row r="139" spans="1:5" ht="14.25" customHeight="1" x14ac:dyDescent="0.3">
      <c r="A139" s="1" t="s">
        <v>168</v>
      </c>
      <c r="B139" s="1" t="s">
        <v>13</v>
      </c>
      <c r="D139" s="1">
        <v>1</v>
      </c>
    </row>
    <row r="140" spans="1:5" ht="14.25" customHeight="1" x14ac:dyDescent="0.3">
      <c r="A140" s="1" t="s">
        <v>169</v>
      </c>
      <c r="B140" s="1" t="s">
        <v>27</v>
      </c>
      <c r="D140" s="1">
        <v>1</v>
      </c>
    </row>
    <row r="141" spans="1:5" ht="14.25" customHeight="1" x14ac:dyDescent="0.3">
      <c r="A141" s="1" t="s">
        <v>170</v>
      </c>
      <c r="B141" s="1" t="s">
        <v>16</v>
      </c>
      <c r="E141" s="1">
        <v>1</v>
      </c>
    </row>
    <row r="142" spans="1:5" ht="14.25" customHeight="1" x14ac:dyDescent="0.3">
      <c r="A142" s="1" t="s">
        <v>171</v>
      </c>
      <c r="B142" s="1" t="s">
        <v>19</v>
      </c>
      <c r="C142" s="1">
        <v>1</v>
      </c>
    </row>
    <row r="143" spans="1:5" ht="14.25" customHeight="1" x14ac:dyDescent="0.3">
      <c r="A143" s="1" t="s">
        <v>172</v>
      </c>
      <c r="B143" s="1" t="s">
        <v>37</v>
      </c>
      <c r="C143" s="1">
        <v>1</v>
      </c>
    </row>
    <row r="144" spans="1:5" ht="14.25" customHeight="1" x14ac:dyDescent="0.3">
      <c r="A144" s="1" t="s">
        <v>173</v>
      </c>
      <c r="B144" s="1" t="s">
        <v>27</v>
      </c>
      <c r="C144" s="1">
        <v>1</v>
      </c>
    </row>
    <row r="145" spans="1:5" ht="14.25" customHeight="1" x14ac:dyDescent="0.3">
      <c r="A145" s="1" t="s">
        <v>174</v>
      </c>
      <c r="B145" s="1" t="s">
        <v>66</v>
      </c>
      <c r="D145" s="1">
        <v>1</v>
      </c>
    </row>
    <row r="146" spans="1:5" ht="14.25" customHeight="1" x14ac:dyDescent="0.3">
      <c r="A146" s="1" t="s">
        <v>175</v>
      </c>
      <c r="B146" s="1" t="s">
        <v>14</v>
      </c>
      <c r="C146" s="1">
        <v>1</v>
      </c>
    </row>
    <row r="147" spans="1:5" ht="14.25" customHeight="1" x14ac:dyDescent="0.3">
      <c r="A147" s="1" t="s">
        <v>176</v>
      </c>
      <c r="B147" s="1" t="s">
        <v>66</v>
      </c>
      <c r="E147" s="1">
        <v>1</v>
      </c>
    </row>
    <row r="148" spans="1:5" ht="14.25" customHeight="1" x14ac:dyDescent="0.3">
      <c r="A148" s="1" t="s">
        <v>177</v>
      </c>
      <c r="B148" s="1" t="s">
        <v>42</v>
      </c>
      <c r="C148" s="1">
        <v>1</v>
      </c>
    </row>
    <row r="149" spans="1:5" ht="14.25" customHeight="1" x14ac:dyDescent="0.3">
      <c r="A149" s="1" t="s">
        <v>178</v>
      </c>
      <c r="B149" s="1" t="s">
        <v>33</v>
      </c>
      <c r="C149" s="1">
        <v>1</v>
      </c>
    </row>
    <row r="150" spans="1:5" ht="14.25" customHeight="1" x14ac:dyDescent="0.3">
      <c r="A150" s="1" t="s">
        <v>179</v>
      </c>
      <c r="B150" s="1" t="s">
        <v>14</v>
      </c>
      <c r="C150" s="1">
        <v>1</v>
      </c>
    </row>
    <row r="151" spans="1:5" ht="14.25" customHeight="1" x14ac:dyDescent="0.3">
      <c r="A151" s="1" t="s">
        <v>180</v>
      </c>
      <c r="B151" s="1" t="s">
        <v>13</v>
      </c>
      <c r="D151" s="1">
        <v>1</v>
      </c>
    </row>
    <row r="152" spans="1:5" ht="14.25" customHeight="1" x14ac:dyDescent="0.3">
      <c r="A152" s="1" t="s">
        <v>181</v>
      </c>
      <c r="B152" s="1" t="s">
        <v>24</v>
      </c>
      <c r="C152" s="1">
        <v>1</v>
      </c>
    </row>
    <row r="153" spans="1:5" ht="14.25" customHeight="1" x14ac:dyDescent="0.3">
      <c r="A153" s="1" t="s">
        <v>182</v>
      </c>
      <c r="B153" s="1" t="s">
        <v>19</v>
      </c>
      <c r="C153" s="1">
        <v>1</v>
      </c>
    </row>
    <row r="154" spans="1:5" ht="14.25" customHeight="1" x14ac:dyDescent="0.3">
      <c r="A154" s="1" t="s">
        <v>183</v>
      </c>
      <c r="B154" s="1" t="s">
        <v>42</v>
      </c>
      <c r="C154" s="1">
        <v>1</v>
      </c>
    </row>
    <row r="155" spans="1:5" ht="14.25" customHeight="1" x14ac:dyDescent="0.3">
      <c r="A155" s="1" t="s">
        <v>184</v>
      </c>
      <c r="B155" s="1" t="s">
        <v>19</v>
      </c>
      <c r="C155" s="1">
        <v>1</v>
      </c>
    </row>
    <row r="156" spans="1:5" ht="14.25" customHeight="1" x14ac:dyDescent="0.3">
      <c r="A156" s="1" t="s">
        <v>185</v>
      </c>
      <c r="B156" s="1" t="s">
        <v>30</v>
      </c>
      <c r="D156" s="1">
        <v>1</v>
      </c>
    </row>
    <row r="157" spans="1:5" ht="14.25" customHeight="1" x14ac:dyDescent="0.3"/>
    <row r="158" spans="1:5" ht="14.25" customHeight="1" x14ac:dyDescent="0.3"/>
    <row r="159" spans="1:5" ht="14.25" customHeight="1" x14ac:dyDescent="0.3"/>
    <row r="160" spans="1:5" ht="14.25" customHeight="1" x14ac:dyDescent="0.3"/>
    <row r="161" s="1" customFormat="1" ht="14.25" customHeight="1" x14ac:dyDescent="0.3"/>
    <row r="162" s="1" customFormat="1" ht="14.25" customHeight="1" x14ac:dyDescent="0.3"/>
    <row r="163" s="1" customFormat="1" ht="14.25" customHeight="1" x14ac:dyDescent="0.3"/>
    <row r="164" s="1" customFormat="1" ht="14.25" customHeight="1" x14ac:dyDescent="0.3"/>
    <row r="165" s="1" customFormat="1" ht="14.25" customHeight="1" x14ac:dyDescent="0.3"/>
    <row r="166" s="1" customFormat="1" ht="14.25" customHeight="1" x14ac:dyDescent="0.3"/>
    <row r="167" s="1" customFormat="1" ht="14.25" customHeight="1" x14ac:dyDescent="0.3"/>
    <row r="168" s="1" customFormat="1" ht="14.25" customHeight="1" x14ac:dyDescent="0.3"/>
    <row r="169" s="1" customFormat="1" ht="14.25" customHeight="1" x14ac:dyDescent="0.3"/>
    <row r="170" s="1" customFormat="1" ht="14.25" customHeight="1" x14ac:dyDescent="0.3"/>
    <row r="171" s="1" customFormat="1" ht="14.25" customHeight="1" x14ac:dyDescent="0.3"/>
    <row r="172" s="1" customFormat="1" ht="14.25" customHeight="1" x14ac:dyDescent="0.3"/>
    <row r="173" s="1" customFormat="1" ht="14.25" customHeight="1" x14ac:dyDescent="0.3"/>
    <row r="174" s="1" customFormat="1" ht="14.25" customHeight="1" x14ac:dyDescent="0.3"/>
    <row r="175" s="1" customFormat="1" ht="14.25" customHeight="1" x14ac:dyDescent="0.3"/>
    <row r="176" s="1" customFormat="1" ht="14.25" customHeight="1" x14ac:dyDescent="0.3"/>
    <row r="177" s="1" customFormat="1" ht="14.25" customHeight="1" x14ac:dyDescent="0.3"/>
    <row r="178" s="1" customFormat="1" ht="14.25" customHeight="1" x14ac:dyDescent="0.3"/>
    <row r="179" s="1" customFormat="1" ht="14.25" customHeight="1" x14ac:dyDescent="0.3"/>
    <row r="180" s="1" customFormat="1" ht="14.25" customHeight="1" x14ac:dyDescent="0.3"/>
    <row r="181" s="1" customFormat="1" ht="14.25" customHeight="1" x14ac:dyDescent="0.3"/>
    <row r="182" s="1" customFormat="1" ht="14.25" customHeight="1" x14ac:dyDescent="0.3"/>
    <row r="183" s="1" customFormat="1" ht="14.25" customHeight="1" x14ac:dyDescent="0.3"/>
    <row r="184" s="1" customFormat="1" ht="14.25" customHeight="1" x14ac:dyDescent="0.3"/>
    <row r="185" s="1" customFormat="1" ht="14.25" customHeight="1" x14ac:dyDescent="0.3"/>
    <row r="186" s="1" customFormat="1" ht="14.25" customHeight="1" x14ac:dyDescent="0.3"/>
    <row r="187" s="1" customFormat="1" ht="14.25" customHeight="1" x14ac:dyDescent="0.3"/>
    <row r="188" s="1" customFormat="1" ht="14.25" customHeight="1" x14ac:dyDescent="0.3"/>
    <row r="189" s="1" customFormat="1" ht="14.25" customHeight="1" x14ac:dyDescent="0.3"/>
    <row r="190" s="1" customFormat="1" ht="14.25" customHeight="1" x14ac:dyDescent="0.3"/>
    <row r="191" s="1" customFormat="1" ht="14.25" customHeight="1" x14ac:dyDescent="0.3"/>
    <row r="192" s="1" customFormat="1" ht="14.25" customHeight="1" x14ac:dyDescent="0.3"/>
    <row r="193" s="1" customFormat="1" ht="14.25" customHeight="1" x14ac:dyDescent="0.3"/>
    <row r="194" s="1" customFormat="1" ht="14.25" customHeight="1" x14ac:dyDescent="0.3"/>
    <row r="195" s="1" customFormat="1" ht="14.25" customHeight="1" x14ac:dyDescent="0.3"/>
    <row r="196" s="1" customFormat="1" ht="14.25" customHeight="1" x14ac:dyDescent="0.3"/>
    <row r="197" s="1" customFormat="1" ht="14.25" customHeight="1" x14ac:dyDescent="0.3"/>
    <row r="198" s="1" customFormat="1" ht="14.25" customHeight="1" x14ac:dyDescent="0.3"/>
    <row r="199" s="1" customFormat="1" ht="14.25" customHeight="1" x14ac:dyDescent="0.3"/>
    <row r="200" s="1" customFormat="1" ht="14.25" customHeight="1" x14ac:dyDescent="0.3"/>
    <row r="201" s="1" customFormat="1" ht="14.25" customHeight="1" x14ac:dyDescent="0.3"/>
    <row r="202" s="1" customFormat="1" ht="14.25" customHeight="1" x14ac:dyDescent="0.3"/>
    <row r="203" s="1" customFormat="1" ht="14.25" customHeight="1" x14ac:dyDescent="0.3"/>
    <row r="204" s="1" customFormat="1" ht="14.25" customHeight="1" x14ac:dyDescent="0.3"/>
    <row r="205" s="1" customFormat="1" ht="14.25" customHeight="1" x14ac:dyDescent="0.3"/>
    <row r="206" s="1" customFormat="1" ht="14.25" customHeight="1" x14ac:dyDescent="0.3"/>
    <row r="207" s="1" customFormat="1" ht="14.25" customHeight="1" x14ac:dyDescent="0.3"/>
    <row r="208" s="1" customFormat="1" ht="14.25" customHeight="1" x14ac:dyDescent="0.3"/>
    <row r="209" s="1" customFormat="1" ht="14.25" customHeight="1" x14ac:dyDescent="0.3"/>
    <row r="210" s="1" customFormat="1" ht="14.25" customHeight="1" x14ac:dyDescent="0.3"/>
    <row r="211" s="1" customFormat="1" ht="14.25" customHeight="1" x14ac:dyDescent="0.3"/>
    <row r="212" s="1" customFormat="1" ht="14.25" customHeight="1" x14ac:dyDescent="0.3"/>
    <row r="213" s="1" customFormat="1" ht="14.25" customHeight="1" x14ac:dyDescent="0.3"/>
    <row r="214" s="1" customFormat="1" ht="14.25" customHeight="1" x14ac:dyDescent="0.3"/>
    <row r="215" s="1" customFormat="1" ht="14.25" customHeight="1" x14ac:dyDescent="0.3"/>
    <row r="216" s="1" customFormat="1" ht="14.25" customHeight="1" x14ac:dyDescent="0.3"/>
    <row r="217" s="1" customFormat="1" ht="14.25" customHeight="1" x14ac:dyDescent="0.3"/>
    <row r="218" s="1" customFormat="1" ht="14.25" customHeight="1" x14ac:dyDescent="0.3"/>
    <row r="219" s="1" customFormat="1" ht="14.25" customHeight="1" x14ac:dyDescent="0.3"/>
    <row r="220" s="1" customFormat="1" ht="14.25" customHeight="1" x14ac:dyDescent="0.3"/>
    <row r="221" s="1" customFormat="1" ht="14.25" customHeight="1" x14ac:dyDescent="0.3"/>
    <row r="222" s="1" customFormat="1" ht="14.25" customHeight="1" x14ac:dyDescent="0.3"/>
    <row r="223" s="1" customFormat="1" ht="14.25" customHeight="1" x14ac:dyDescent="0.3"/>
    <row r="224" s="1" customFormat="1" ht="14.25" customHeight="1" x14ac:dyDescent="0.3"/>
    <row r="225" s="1" customFormat="1" ht="14.25" customHeight="1" x14ac:dyDescent="0.3"/>
    <row r="226" s="1" customFormat="1" ht="14.25" customHeight="1" x14ac:dyDescent="0.3"/>
    <row r="227" s="1" customFormat="1" ht="14.25" customHeight="1" x14ac:dyDescent="0.3"/>
    <row r="228" s="1" customFormat="1" ht="14.25" customHeight="1" x14ac:dyDescent="0.3"/>
    <row r="229" s="1" customFormat="1" ht="14.25" customHeight="1" x14ac:dyDescent="0.3"/>
    <row r="230" s="1" customFormat="1" ht="14.25" customHeight="1" x14ac:dyDescent="0.3"/>
    <row r="231" s="1" customFormat="1" ht="14.25" customHeight="1" x14ac:dyDescent="0.3"/>
    <row r="232" s="1" customFormat="1" ht="14.25" customHeight="1" x14ac:dyDescent="0.3"/>
    <row r="233" s="1" customFormat="1" ht="14.25" customHeight="1" x14ac:dyDescent="0.3"/>
    <row r="234" s="1" customFormat="1" ht="14.25" customHeight="1" x14ac:dyDescent="0.3"/>
    <row r="235" s="1" customFormat="1" ht="14.25" customHeight="1" x14ac:dyDescent="0.3"/>
    <row r="236" s="1" customFormat="1" ht="14.25" customHeight="1" x14ac:dyDescent="0.3"/>
    <row r="237" s="1" customFormat="1" ht="14.25" customHeight="1" x14ac:dyDescent="0.3"/>
    <row r="238" s="1" customFormat="1" ht="14.25" customHeight="1" x14ac:dyDescent="0.3"/>
    <row r="239" s="1" customFormat="1" ht="14.25" customHeight="1" x14ac:dyDescent="0.3"/>
    <row r="240" s="1" customFormat="1" ht="14.25" customHeight="1" x14ac:dyDescent="0.3"/>
    <row r="241" s="1" customFormat="1" ht="14.25" customHeight="1" x14ac:dyDescent="0.3"/>
    <row r="242" s="1" customFormat="1" ht="14.25" customHeight="1" x14ac:dyDescent="0.3"/>
    <row r="243" s="1" customFormat="1" ht="14.25" customHeight="1" x14ac:dyDescent="0.3"/>
    <row r="244" s="1" customFormat="1" ht="14.25" customHeight="1" x14ac:dyDescent="0.3"/>
    <row r="245" s="1" customFormat="1" ht="14.25" customHeight="1" x14ac:dyDescent="0.3"/>
    <row r="246" s="1" customFormat="1" ht="14.25" customHeight="1" x14ac:dyDescent="0.3"/>
    <row r="247" s="1" customFormat="1" ht="14.25" customHeight="1" x14ac:dyDescent="0.3"/>
    <row r="248" s="1" customFormat="1" ht="14.25" customHeight="1" x14ac:dyDescent="0.3"/>
    <row r="249" s="1" customFormat="1" ht="14.25" customHeight="1" x14ac:dyDescent="0.3"/>
    <row r="250" s="1" customFormat="1" ht="14.25" customHeight="1" x14ac:dyDescent="0.3"/>
    <row r="251" s="1" customFormat="1" ht="14.25" customHeight="1" x14ac:dyDescent="0.3"/>
    <row r="252" s="1" customFormat="1" ht="14.25" customHeight="1" x14ac:dyDescent="0.3"/>
    <row r="253" s="1" customFormat="1" ht="14.25" customHeight="1" x14ac:dyDescent="0.3"/>
    <row r="254" s="1" customFormat="1" ht="14.25" customHeight="1" x14ac:dyDescent="0.3"/>
    <row r="255" s="1" customFormat="1" ht="14.25" customHeight="1" x14ac:dyDescent="0.3"/>
    <row r="256" s="1" customFormat="1" ht="14.25" customHeight="1" x14ac:dyDescent="0.3"/>
    <row r="257" s="1" customFormat="1" ht="14.25" customHeight="1" x14ac:dyDescent="0.3"/>
    <row r="258" s="1" customFormat="1" ht="14.25" customHeight="1" x14ac:dyDescent="0.3"/>
    <row r="259" s="1" customFormat="1" ht="14.25" customHeight="1" x14ac:dyDescent="0.3"/>
    <row r="260" s="1" customFormat="1" ht="14.25" customHeight="1" x14ac:dyDescent="0.3"/>
    <row r="261" s="1" customFormat="1" ht="14.25" customHeight="1" x14ac:dyDescent="0.3"/>
    <row r="262" s="1" customFormat="1" ht="14.25" customHeight="1" x14ac:dyDescent="0.3"/>
    <row r="263" s="1" customFormat="1" ht="14.25" customHeight="1" x14ac:dyDescent="0.3"/>
    <row r="264" s="1" customFormat="1" ht="14.25" customHeight="1" x14ac:dyDescent="0.3"/>
    <row r="265" s="1" customFormat="1" ht="14.25" customHeight="1" x14ac:dyDescent="0.3"/>
    <row r="266" s="1" customFormat="1" ht="14.25" customHeight="1" x14ac:dyDescent="0.3"/>
    <row r="267" s="1" customFormat="1" ht="14.25" customHeight="1" x14ac:dyDescent="0.3"/>
    <row r="268" s="1" customFormat="1" ht="14.25" customHeight="1" x14ac:dyDescent="0.3"/>
    <row r="269" s="1" customFormat="1" ht="14.25" customHeight="1" x14ac:dyDescent="0.3"/>
    <row r="270" s="1" customFormat="1" ht="14.25" customHeight="1" x14ac:dyDescent="0.3"/>
    <row r="271" s="1" customFormat="1" ht="14.25" customHeight="1" x14ac:dyDescent="0.3"/>
    <row r="272" s="1" customFormat="1" ht="14.25" customHeight="1" x14ac:dyDescent="0.3"/>
    <row r="273" s="1" customFormat="1" ht="14.25" customHeight="1" x14ac:dyDescent="0.3"/>
    <row r="274" s="1" customFormat="1" ht="14.25" customHeight="1" x14ac:dyDescent="0.3"/>
    <row r="275" s="1" customFormat="1" ht="14.25" customHeight="1" x14ac:dyDescent="0.3"/>
    <row r="276" s="1" customFormat="1" ht="14.25" customHeight="1" x14ac:dyDescent="0.3"/>
    <row r="277" s="1" customFormat="1" ht="14.25" customHeight="1" x14ac:dyDescent="0.3"/>
    <row r="278" s="1" customFormat="1" ht="14.25" customHeight="1" x14ac:dyDescent="0.3"/>
    <row r="279" s="1" customFormat="1" ht="14.25" customHeight="1" x14ac:dyDescent="0.3"/>
    <row r="280" s="1" customFormat="1" ht="14.25" customHeight="1" x14ac:dyDescent="0.3"/>
    <row r="281" s="1" customFormat="1" ht="14.25" customHeight="1" x14ac:dyDescent="0.3"/>
    <row r="282" s="1" customFormat="1" ht="14.25" customHeight="1" x14ac:dyDescent="0.3"/>
    <row r="283" s="1" customFormat="1" ht="14.25" customHeight="1" x14ac:dyDescent="0.3"/>
    <row r="284" s="1" customFormat="1" ht="14.25" customHeight="1" x14ac:dyDescent="0.3"/>
    <row r="285" s="1" customFormat="1" ht="14.25" customHeight="1" x14ac:dyDescent="0.3"/>
    <row r="286" s="1" customFormat="1" ht="14.25" customHeight="1" x14ac:dyDescent="0.3"/>
    <row r="287" s="1" customFormat="1" ht="14.25" customHeight="1" x14ac:dyDescent="0.3"/>
    <row r="288" s="1" customFormat="1" ht="14.25" customHeight="1" x14ac:dyDescent="0.3"/>
    <row r="289" s="1" customFormat="1" ht="14.25" customHeight="1" x14ac:dyDescent="0.3"/>
    <row r="290" s="1" customFormat="1" ht="14.25" customHeight="1" x14ac:dyDescent="0.3"/>
    <row r="291" s="1" customFormat="1" ht="14.25" customHeight="1" x14ac:dyDescent="0.3"/>
    <row r="292" s="1" customFormat="1" ht="14.25" customHeight="1" x14ac:dyDescent="0.3"/>
    <row r="293" s="1" customFormat="1" ht="14.25" customHeight="1" x14ac:dyDescent="0.3"/>
    <row r="294" s="1" customFormat="1" ht="14.25" customHeight="1" x14ac:dyDescent="0.3"/>
    <row r="295" s="1" customFormat="1" ht="14.25" customHeight="1" x14ac:dyDescent="0.3"/>
    <row r="296" s="1" customFormat="1" ht="14.25" customHeight="1" x14ac:dyDescent="0.3"/>
    <row r="297" s="1" customFormat="1" ht="14.25" customHeight="1" x14ac:dyDescent="0.3"/>
    <row r="298" s="1" customFormat="1" ht="14.25" customHeight="1" x14ac:dyDescent="0.3"/>
    <row r="299" s="1" customFormat="1" ht="14.25" customHeight="1" x14ac:dyDescent="0.3"/>
    <row r="300" s="1" customFormat="1" ht="14.25" customHeight="1" x14ac:dyDescent="0.3"/>
    <row r="301" s="1" customFormat="1" ht="14.25" customHeight="1" x14ac:dyDescent="0.3"/>
    <row r="302" s="1" customFormat="1" ht="14.25" customHeight="1" x14ac:dyDescent="0.3"/>
    <row r="303" s="1" customFormat="1" ht="14.25" customHeight="1" x14ac:dyDescent="0.3"/>
    <row r="304" s="1" customFormat="1" ht="14.25" customHeight="1" x14ac:dyDescent="0.3"/>
    <row r="305" s="1" customFormat="1" ht="14.25" customHeight="1" x14ac:dyDescent="0.3"/>
    <row r="306" s="1" customFormat="1" ht="14.25" customHeight="1" x14ac:dyDescent="0.3"/>
    <row r="307" s="1" customFormat="1" ht="14.25" customHeight="1" x14ac:dyDescent="0.3"/>
    <row r="308" s="1" customFormat="1" ht="14.25" customHeight="1" x14ac:dyDescent="0.3"/>
    <row r="309" s="1" customFormat="1" ht="14.25" customHeight="1" x14ac:dyDescent="0.3"/>
    <row r="310" s="1" customFormat="1" ht="14.25" customHeight="1" x14ac:dyDescent="0.3"/>
    <row r="311" s="1" customFormat="1" ht="14.25" customHeight="1" x14ac:dyDescent="0.3"/>
    <row r="312" s="1" customFormat="1" ht="14.25" customHeight="1" x14ac:dyDescent="0.3"/>
    <row r="313" s="1" customFormat="1" ht="14.25" customHeight="1" x14ac:dyDescent="0.3"/>
    <row r="314" s="1" customFormat="1" ht="14.25" customHeight="1" x14ac:dyDescent="0.3"/>
    <row r="315" s="1" customFormat="1" ht="14.25" customHeight="1" x14ac:dyDescent="0.3"/>
    <row r="316" s="1" customFormat="1" ht="14.25" customHeight="1" x14ac:dyDescent="0.3"/>
    <row r="317" s="1" customFormat="1" ht="14.25" customHeight="1" x14ac:dyDescent="0.3"/>
    <row r="318" s="1" customFormat="1" ht="14.25" customHeight="1" x14ac:dyDescent="0.3"/>
    <row r="319" s="1" customFormat="1" ht="14.25" customHeight="1" x14ac:dyDescent="0.3"/>
    <row r="320" s="1" customFormat="1" ht="14.25" customHeight="1" x14ac:dyDescent="0.3"/>
    <row r="321" s="1" customFormat="1" ht="14.25" customHeight="1" x14ac:dyDescent="0.3"/>
    <row r="322" s="1" customFormat="1" ht="14.25" customHeight="1" x14ac:dyDescent="0.3"/>
    <row r="323" s="1" customFormat="1" ht="14.25" customHeight="1" x14ac:dyDescent="0.3"/>
    <row r="324" s="1" customFormat="1" ht="14.25" customHeight="1" x14ac:dyDescent="0.3"/>
    <row r="325" s="1" customFormat="1" ht="14.25" customHeight="1" x14ac:dyDescent="0.3"/>
    <row r="326" s="1" customFormat="1" ht="14.25" customHeight="1" x14ac:dyDescent="0.3"/>
    <row r="327" s="1" customFormat="1" ht="14.25" customHeight="1" x14ac:dyDescent="0.3"/>
    <row r="328" s="1" customFormat="1" ht="14.25" customHeight="1" x14ac:dyDescent="0.3"/>
    <row r="329" s="1" customFormat="1" ht="14.25" customHeight="1" x14ac:dyDescent="0.3"/>
    <row r="330" s="1" customFormat="1" ht="14.25" customHeight="1" x14ac:dyDescent="0.3"/>
    <row r="331" s="1" customFormat="1" ht="14.25" customHeight="1" x14ac:dyDescent="0.3"/>
    <row r="332" s="1" customFormat="1" ht="14.25" customHeight="1" x14ac:dyDescent="0.3"/>
    <row r="333" s="1" customFormat="1" ht="14.25" customHeight="1" x14ac:dyDescent="0.3"/>
    <row r="334" s="1" customFormat="1" ht="14.25" customHeight="1" x14ac:dyDescent="0.3"/>
    <row r="335" s="1" customFormat="1" ht="14.25" customHeight="1" x14ac:dyDescent="0.3"/>
    <row r="336" s="1" customFormat="1" ht="14.25" customHeight="1" x14ac:dyDescent="0.3"/>
    <row r="337" s="1" customFormat="1" ht="14.25" customHeight="1" x14ac:dyDescent="0.3"/>
    <row r="338" s="1" customFormat="1" ht="14.25" customHeight="1" x14ac:dyDescent="0.3"/>
    <row r="339" s="1" customFormat="1" ht="14.25" customHeight="1" x14ac:dyDescent="0.3"/>
    <row r="340" s="1" customFormat="1" ht="14.25" customHeight="1" x14ac:dyDescent="0.3"/>
    <row r="341" s="1" customFormat="1" ht="14.25" customHeight="1" x14ac:dyDescent="0.3"/>
    <row r="342" s="1" customFormat="1" ht="14.25" customHeight="1" x14ac:dyDescent="0.3"/>
    <row r="343" s="1" customFormat="1" ht="14.25" customHeight="1" x14ac:dyDescent="0.3"/>
    <row r="344" s="1" customFormat="1" ht="14.25" customHeight="1" x14ac:dyDescent="0.3"/>
    <row r="345" s="1" customFormat="1" ht="14.25" customHeight="1" x14ac:dyDescent="0.3"/>
    <row r="346" s="1" customFormat="1" ht="14.25" customHeight="1" x14ac:dyDescent="0.3"/>
    <row r="347" s="1" customFormat="1" ht="14.25" customHeight="1" x14ac:dyDescent="0.3"/>
    <row r="348" s="1" customFormat="1" ht="14.25" customHeight="1" x14ac:dyDescent="0.3"/>
    <row r="349" s="1" customFormat="1" ht="14.25" customHeight="1" x14ac:dyDescent="0.3"/>
    <row r="350" s="1" customFormat="1" ht="14.25" customHeight="1" x14ac:dyDescent="0.3"/>
    <row r="351" s="1" customFormat="1" ht="14.25" customHeight="1" x14ac:dyDescent="0.3"/>
    <row r="352" s="1" customFormat="1" ht="14.25" customHeight="1" x14ac:dyDescent="0.3"/>
    <row r="353" s="1" customFormat="1" ht="14.25" customHeight="1" x14ac:dyDescent="0.3"/>
    <row r="354" s="1" customFormat="1" ht="14.25" customHeight="1" x14ac:dyDescent="0.3"/>
    <row r="355" s="1" customFormat="1" ht="14.25" customHeight="1" x14ac:dyDescent="0.3"/>
    <row r="356" s="1" customFormat="1" ht="14.25" customHeight="1" x14ac:dyDescent="0.3"/>
    <row r="357" s="1" customFormat="1" ht="14.25" customHeight="1" x14ac:dyDescent="0.3"/>
    <row r="358" s="1" customFormat="1" ht="14.25" customHeight="1" x14ac:dyDescent="0.3"/>
    <row r="359" s="1" customFormat="1" ht="14.25" customHeight="1" x14ac:dyDescent="0.3"/>
    <row r="360" s="1" customFormat="1" ht="14.25" customHeight="1" x14ac:dyDescent="0.3"/>
    <row r="361" s="1" customFormat="1" ht="14.25" customHeight="1" x14ac:dyDescent="0.3"/>
    <row r="362" s="1" customFormat="1" ht="14.25" customHeight="1" x14ac:dyDescent="0.3"/>
    <row r="363" s="1" customFormat="1" ht="14.25" customHeight="1" x14ac:dyDescent="0.3"/>
    <row r="364" s="1" customFormat="1" ht="14.25" customHeight="1" x14ac:dyDescent="0.3"/>
    <row r="365" s="1" customFormat="1" ht="14.25" customHeight="1" x14ac:dyDescent="0.3"/>
    <row r="366" s="1" customFormat="1" ht="14.25" customHeight="1" x14ac:dyDescent="0.3"/>
    <row r="367" s="1" customFormat="1" ht="14.25" customHeight="1" x14ac:dyDescent="0.3"/>
    <row r="368" s="1" customFormat="1" ht="14.25" customHeight="1" x14ac:dyDescent="0.3"/>
    <row r="369" s="1" customFormat="1" ht="14.25" customHeight="1" x14ac:dyDescent="0.3"/>
    <row r="370" s="1" customFormat="1" ht="14.25" customHeight="1" x14ac:dyDescent="0.3"/>
    <row r="371" s="1" customFormat="1" ht="14.25" customHeight="1" x14ac:dyDescent="0.3"/>
    <row r="372" s="1" customFormat="1" ht="14.25" customHeight="1" x14ac:dyDescent="0.3"/>
    <row r="373" s="1" customFormat="1" ht="14.25" customHeight="1" x14ac:dyDescent="0.3"/>
    <row r="374" s="1" customFormat="1" ht="14.25" customHeight="1" x14ac:dyDescent="0.3"/>
    <row r="375" s="1" customFormat="1" ht="14.25" customHeight="1" x14ac:dyDescent="0.3"/>
    <row r="376" s="1" customFormat="1" ht="14.25" customHeight="1" x14ac:dyDescent="0.3"/>
    <row r="377" s="1" customFormat="1" ht="14.25" customHeight="1" x14ac:dyDescent="0.3"/>
    <row r="378" s="1" customFormat="1" ht="14.25" customHeight="1" x14ac:dyDescent="0.3"/>
    <row r="379" s="1" customFormat="1" ht="14.25" customHeight="1" x14ac:dyDescent="0.3"/>
    <row r="380" s="1" customFormat="1" ht="14.25" customHeight="1" x14ac:dyDescent="0.3"/>
    <row r="381" s="1" customFormat="1" ht="14.25" customHeight="1" x14ac:dyDescent="0.3"/>
    <row r="382" s="1" customFormat="1" ht="14.25" customHeight="1" x14ac:dyDescent="0.3"/>
    <row r="383" s="1" customFormat="1" ht="14.25" customHeight="1" x14ac:dyDescent="0.3"/>
    <row r="384" s="1" customFormat="1" ht="14.25" customHeight="1" x14ac:dyDescent="0.3"/>
    <row r="385" s="1" customFormat="1" ht="14.25" customHeight="1" x14ac:dyDescent="0.3"/>
    <row r="386" s="1" customFormat="1" ht="14.25" customHeight="1" x14ac:dyDescent="0.3"/>
    <row r="387" s="1" customFormat="1" ht="14.25" customHeight="1" x14ac:dyDescent="0.3"/>
    <row r="388" s="1" customFormat="1" ht="14.25" customHeight="1" x14ac:dyDescent="0.3"/>
    <row r="389" s="1" customFormat="1" ht="14.25" customHeight="1" x14ac:dyDescent="0.3"/>
    <row r="390" s="1" customFormat="1" ht="14.25" customHeight="1" x14ac:dyDescent="0.3"/>
    <row r="391" s="1" customFormat="1" ht="14.25" customHeight="1" x14ac:dyDescent="0.3"/>
    <row r="392" s="1" customFormat="1" ht="14.25" customHeight="1" x14ac:dyDescent="0.3"/>
    <row r="393" s="1" customFormat="1" ht="14.25" customHeight="1" x14ac:dyDescent="0.3"/>
    <row r="394" s="1" customFormat="1" ht="14.25" customHeight="1" x14ac:dyDescent="0.3"/>
    <row r="395" s="1" customFormat="1" ht="14.25" customHeight="1" x14ac:dyDescent="0.3"/>
    <row r="396" s="1" customFormat="1" ht="14.25" customHeight="1" x14ac:dyDescent="0.3"/>
    <row r="397" s="1" customFormat="1" ht="14.25" customHeight="1" x14ac:dyDescent="0.3"/>
    <row r="398" s="1" customFormat="1" ht="14.25" customHeight="1" x14ac:dyDescent="0.3"/>
    <row r="399" s="1" customFormat="1" ht="14.25" customHeight="1" x14ac:dyDescent="0.3"/>
    <row r="400" s="1" customFormat="1" ht="14.25" customHeight="1" x14ac:dyDescent="0.3"/>
    <row r="401" s="1" customFormat="1" ht="14.25" customHeight="1" x14ac:dyDescent="0.3"/>
    <row r="402" s="1" customFormat="1" ht="14.25" customHeight="1" x14ac:dyDescent="0.3"/>
    <row r="403" s="1" customFormat="1" ht="14.25" customHeight="1" x14ac:dyDescent="0.3"/>
    <row r="404" s="1" customFormat="1" ht="14.25" customHeight="1" x14ac:dyDescent="0.3"/>
    <row r="405" s="1" customFormat="1" ht="14.25" customHeight="1" x14ac:dyDescent="0.3"/>
    <row r="406" s="1" customFormat="1" ht="14.25" customHeight="1" x14ac:dyDescent="0.3"/>
    <row r="407" s="1" customFormat="1" ht="14.25" customHeight="1" x14ac:dyDescent="0.3"/>
    <row r="408" s="1" customFormat="1" ht="14.25" customHeight="1" x14ac:dyDescent="0.3"/>
    <row r="409" s="1" customFormat="1" ht="14.25" customHeight="1" x14ac:dyDescent="0.3"/>
    <row r="410" s="1" customFormat="1" ht="14.25" customHeight="1" x14ac:dyDescent="0.3"/>
    <row r="411" s="1" customFormat="1" ht="14.25" customHeight="1" x14ac:dyDescent="0.3"/>
    <row r="412" s="1" customFormat="1" ht="14.25" customHeight="1" x14ac:dyDescent="0.3"/>
    <row r="413" s="1" customFormat="1" ht="14.25" customHeight="1" x14ac:dyDescent="0.3"/>
    <row r="414" s="1" customFormat="1" ht="14.25" customHeight="1" x14ac:dyDescent="0.3"/>
    <row r="415" s="1" customFormat="1" ht="14.25" customHeight="1" x14ac:dyDescent="0.3"/>
    <row r="416" s="1" customFormat="1" ht="14.25" customHeight="1" x14ac:dyDescent="0.3"/>
    <row r="417" s="1" customFormat="1" ht="14.25" customHeight="1" x14ac:dyDescent="0.3"/>
    <row r="418" s="1" customFormat="1" ht="14.25" customHeight="1" x14ac:dyDescent="0.3"/>
    <row r="419" s="1" customFormat="1" ht="14.25" customHeight="1" x14ac:dyDescent="0.3"/>
    <row r="420" s="1" customFormat="1" ht="14.25" customHeight="1" x14ac:dyDescent="0.3"/>
    <row r="421" s="1" customFormat="1" ht="14.25" customHeight="1" x14ac:dyDescent="0.3"/>
    <row r="422" s="1" customFormat="1" ht="14.25" customHeight="1" x14ac:dyDescent="0.3"/>
    <row r="423" s="1" customFormat="1" ht="14.25" customHeight="1" x14ac:dyDescent="0.3"/>
    <row r="424" s="1" customFormat="1" ht="14.25" customHeight="1" x14ac:dyDescent="0.3"/>
    <row r="425" s="1" customFormat="1" ht="14.25" customHeight="1" x14ac:dyDescent="0.3"/>
    <row r="426" s="1" customFormat="1" ht="14.25" customHeight="1" x14ac:dyDescent="0.3"/>
    <row r="427" s="1" customFormat="1" ht="14.25" customHeight="1" x14ac:dyDescent="0.3"/>
    <row r="428" s="1" customFormat="1" ht="14.25" customHeight="1" x14ac:dyDescent="0.3"/>
    <row r="429" s="1" customFormat="1" ht="14.25" customHeight="1" x14ac:dyDescent="0.3"/>
    <row r="430" s="1" customFormat="1" ht="14.25" customHeight="1" x14ac:dyDescent="0.3"/>
    <row r="431" s="1" customFormat="1" ht="14.25" customHeight="1" x14ac:dyDescent="0.3"/>
    <row r="432" s="1" customFormat="1" ht="14.25" customHeight="1" x14ac:dyDescent="0.3"/>
    <row r="433" s="1" customFormat="1" ht="14.25" customHeight="1" x14ac:dyDescent="0.3"/>
    <row r="434" s="1" customFormat="1" ht="14.25" customHeight="1" x14ac:dyDescent="0.3"/>
    <row r="435" s="1" customFormat="1" ht="14.25" customHeight="1" x14ac:dyDescent="0.3"/>
    <row r="436" s="1" customFormat="1" ht="14.25" customHeight="1" x14ac:dyDescent="0.3"/>
    <row r="437" s="1" customFormat="1" ht="14.25" customHeight="1" x14ac:dyDescent="0.3"/>
    <row r="438" s="1" customFormat="1" ht="14.25" customHeight="1" x14ac:dyDescent="0.3"/>
    <row r="439" s="1" customFormat="1" ht="14.25" customHeight="1" x14ac:dyDescent="0.3"/>
    <row r="440" s="1" customFormat="1" ht="14.25" customHeight="1" x14ac:dyDescent="0.3"/>
    <row r="441" s="1" customFormat="1" ht="14.25" customHeight="1" x14ac:dyDescent="0.3"/>
    <row r="442" s="1" customFormat="1" ht="14.25" customHeight="1" x14ac:dyDescent="0.3"/>
    <row r="443" s="1" customFormat="1" ht="14.25" customHeight="1" x14ac:dyDescent="0.3"/>
    <row r="444" s="1" customFormat="1" ht="14.25" customHeight="1" x14ac:dyDescent="0.3"/>
    <row r="445" s="1" customFormat="1" ht="14.25" customHeight="1" x14ac:dyDescent="0.3"/>
    <row r="446" s="1" customFormat="1" ht="14.25" customHeight="1" x14ac:dyDescent="0.3"/>
    <row r="447" s="1" customFormat="1" ht="14.25" customHeight="1" x14ac:dyDescent="0.3"/>
    <row r="448" s="1" customFormat="1" ht="14.25" customHeight="1" x14ac:dyDescent="0.3"/>
    <row r="449" s="1" customFormat="1" ht="14.25" customHeight="1" x14ac:dyDescent="0.3"/>
    <row r="450" s="1" customFormat="1" ht="14.25" customHeight="1" x14ac:dyDescent="0.3"/>
    <row r="451" s="1" customFormat="1" ht="14.25" customHeight="1" x14ac:dyDescent="0.3"/>
    <row r="452" s="1" customFormat="1" ht="14.25" customHeight="1" x14ac:dyDescent="0.3"/>
    <row r="453" s="1" customFormat="1" ht="14.25" customHeight="1" x14ac:dyDescent="0.3"/>
    <row r="454" s="1" customFormat="1" ht="14.25" customHeight="1" x14ac:dyDescent="0.3"/>
    <row r="455" s="1" customFormat="1" ht="14.25" customHeight="1" x14ac:dyDescent="0.3"/>
    <row r="456" s="1" customFormat="1" ht="14.25" customHeight="1" x14ac:dyDescent="0.3"/>
    <row r="457" s="1" customFormat="1" ht="14.25" customHeight="1" x14ac:dyDescent="0.3"/>
    <row r="458" s="1" customFormat="1" ht="14.25" customHeight="1" x14ac:dyDescent="0.3"/>
    <row r="459" s="1" customFormat="1" ht="14.25" customHeight="1" x14ac:dyDescent="0.3"/>
    <row r="460" s="1" customFormat="1" ht="14.25" customHeight="1" x14ac:dyDescent="0.3"/>
    <row r="461" s="1" customFormat="1" ht="14.25" customHeight="1" x14ac:dyDescent="0.3"/>
    <row r="462" s="1" customFormat="1" ht="14.25" customHeight="1" x14ac:dyDescent="0.3"/>
    <row r="463" s="1" customFormat="1" ht="14.25" customHeight="1" x14ac:dyDescent="0.3"/>
    <row r="464" s="1" customFormat="1" ht="14.25" customHeight="1" x14ac:dyDescent="0.3"/>
    <row r="465" s="1" customFormat="1" ht="14.25" customHeight="1" x14ac:dyDescent="0.3"/>
    <row r="466" s="1" customFormat="1" ht="14.25" customHeight="1" x14ac:dyDescent="0.3"/>
    <row r="467" s="1" customFormat="1" ht="14.25" customHeight="1" x14ac:dyDescent="0.3"/>
    <row r="468" s="1" customFormat="1" ht="14.25" customHeight="1" x14ac:dyDescent="0.3"/>
    <row r="469" s="1" customFormat="1" ht="14.25" customHeight="1" x14ac:dyDescent="0.3"/>
    <row r="470" s="1" customFormat="1" ht="14.25" customHeight="1" x14ac:dyDescent="0.3"/>
    <row r="471" s="1" customFormat="1" ht="14.25" customHeight="1" x14ac:dyDescent="0.3"/>
    <row r="472" s="1" customFormat="1" ht="14.25" customHeight="1" x14ac:dyDescent="0.3"/>
    <row r="473" s="1" customFormat="1" ht="14.25" customHeight="1" x14ac:dyDescent="0.3"/>
    <row r="474" s="1" customFormat="1" ht="14.25" customHeight="1" x14ac:dyDescent="0.3"/>
    <row r="475" s="1" customFormat="1" ht="14.25" customHeight="1" x14ac:dyDescent="0.3"/>
    <row r="476" s="1" customFormat="1" ht="14.25" customHeight="1" x14ac:dyDescent="0.3"/>
    <row r="477" s="1" customFormat="1" ht="14.25" customHeight="1" x14ac:dyDescent="0.3"/>
    <row r="478" s="1" customFormat="1" ht="14.25" customHeight="1" x14ac:dyDescent="0.3"/>
    <row r="479" s="1" customFormat="1" ht="14.25" customHeight="1" x14ac:dyDescent="0.3"/>
    <row r="480" s="1" customFormat="1" ht="14.25" customHeight="1" x14ac:dyDescent="0.3"/>
    <row r="481" s="1" customFormat="1" ht="14.25" customHeight="1" x14ac:dyDescent="0.3"/>
    <row r="482" s="1" customFormat="1" ht="14.25" customHeight="1" x14ac:dyDescent="0.3"/>
    <row r="483" s="1" customFormat="1" ht="14.25" customHeight="1" x14ac:dyDescent="0.3"/>
    <row r="484" s="1" customFormat="1" ht="14.25" customHeight="1" x14ac:dyDescent="0.3"/>
    <row r="485" s="1" customFormat="1" ht="14.25" customHeight="1" x14ac:dyDescent="0.3"/>
    <row r="486" s="1" customFormat="1" ht="14.25" customHeight="1" x14ac:dyDescent="0.3"/>
    <row r="487" s="1" customFormat="1" ht="14.25" customHeight="1" x14ac:dyDescent="0.3"/>
    <row r="488" s="1" customFormat="1" ht="14.25" customHeight="1" x14ac:dyDescent="0.3"/>
    <row r="489" s="1" customFormat="1" ht="14.25" customHeight="1" x14ac:dyDescent="0.3"/>
    <row r="490" s="1" customFormat="1" ht="14.25" customHeight="1" x14ac:dyDescent="0.3"/>
    <row r="491" s="1" customFormat="1" ht="14.25" customHeight="1" x14ac:dyDescent="0.3"/>
    <row r="492" s="1" customFormat="1" ht="14.25" customHeight="1" x14ac:dyDescent="0.3"/>
    <row r="493" s="1" customFormat="1" ht="14.25" customHeight="1" x14ac:dyDescent="0.3"/>
    <row r="494" s="1" customFormat="1" ht="14.25" customHeight="1" x14ac:dyDescent="0.3"/>
    <row r="495" s="1" customFormat="1" ht="14.25" customHeight="1" x14ac:dyDescent="0.3"/>
    <row r="496" s="1" customFormat="1" ht="14.25" customHeight="1" x14ac:dyDescent="0.3"/>
    <row r="497" s="1" customFormat="1" ht="14.25" customHeight="1" x14ac:dyDescent="0.3"/>
    <row r="498" s="1" customFormat="1" ht="14.25" customHeight="1" x14ac:dyDescent="0.3"/>
    <row r="499" s="1" customFormat="1" ht="14.25" customHeight="1" x14ac:dyDescent="0.3"/>
    <row r="500" s="1" customFormat="1" ht="14.25" customHeight="1" x14ac:dyDescent="0.3"/>
    <row r="501" s="1" customFormat="1" ht="14.25" customHeight="1" x14ac:dyDescent="0.3"/>
    <row r="502" s="1" customFormat="1" ht="14.25" customHeight="1" x14ac:dyDescent="0.3"/>
    <row r="503" s="1" customFormat="1" ht="14.25" customHeight="1" x14ac:dyDescent="0.3"/>
    <row r="504" s="1" customFormat="1" ht="14.25" customHeight="1" x14ac:dyDescent="0.3"/>
    <row r="505" s="1" customFormat="1" ht="14.25" customHeight="1" x14ac:dyDescent="0.3"/>
    <row r="506" s="1" customFormat="1" ht="14.25" customHeight="1" x14ac:dyDescent="0.3"/>
    <row r="507" s="1" customFormat="1" ht="14.25" customHeight="1" x14ac:dyDescent="0.3"/>
    <row r="508" s="1" customFormat="1" ht="14.25" customHeight="1" x14ac:dyDescent="0.3"/>
    <row r="509" s="1" customFormat="1" ht="14.25" customHeight="1" x14ac:dyDescent="0.3"/>
    <row r="510" s="1" customFormat="1" ht="14.25" customHeight="1" x14ac:dyDescent="0.3"/>
    <row r="511" s="1" customFormat="1" ht="14.25" customHeight="1" x14ac:dyDescent="0.3"/>
    <row r="512" s="1" customFormat="1" ht="14.25" customHeight="1" x14ac:dyDescent="0.3"/>
    <row r="513" s="1" customFormat="1" ht="14.25" customHeight="1" x14ac:dyDescent="0.3"/>
    <row r="514" s="1" customFormat="1" ht="14.25" customHeight="1" x14ac:dyDescent="0.3"/>
    <row r="515" s="1" customFormat="1" ht="14.25" customHeight="1" x14ac:dyDescent="0.3"/>
    <row r="516" s="1" customFormat="1" ht="14.25" customHeight="1" x14ac:dyDescent="0.3"/>
    <row r="517" s="1" customFormat="1" ht="14.25" customHeight="1" x14ac:dyDescent="0.3"/>
    <row r="518" s="1" customFormat="1" ht="14.25" customHeight="1" x14ac:dyDescent="0.3"/>
    <row r="519" s="1" customFormat="1" ht="14.25" customHeight="1" x14ac:dyDescent="0.3"/>
    <row r="520" s="1" customFormat="1" ht="14.25" customHeight="1" x14ac:dyDescent="0.3"/>
    <row r="521" s="1" customFormat="1" ht="14.25" customHeight="1" x14ac:dyDescent="0.3"/>
    <row r="522" s="1" customFormat="1" ht="14.25" customHeight="1" x14ac:dyDescent="0.3"/>
    <row r="523" s="1" customFormat="1" ht="14.25" customHeight="1" x14ac:dyDescent="0.3"/>
    <row r="524" s="1" customFormat="1" ht="14.25" customHeight="1" x14ac:dyDescent="0.3"/>
    <row r="525" s="1" customFormat="1" ht="14.25" customHeight="1" x14ac:dyDescent="0.3"/>
    <row r="526" s="1" customFormat="1" ht="14.25" customHeight="1" x14ac:dyDescent="0.3"/>
    <row r="527" s="1" customFormat="1" ht="14.25" customHeight="1" x14ac:dyDescent="0.3"/>
    <row r="528" s="1" customFormat="1" ht="14.25" customHeight="1" x14ac:dyDescent="0.3"/>
    <row r="529" s="1" customFormat="1" ht="14.25" customHeight="1" x14ac:dyDescent="0.3"/>
    <row r="530" s="1" customFormat="1" ht="14.25" customHeight="1" x14ac:dyDescent="0.3"/>
    <row r="531" s="1" customFormat="1" ht="14.25" customHeight="1" x14ac:dyDescent="0.3"/>
    <row r="532" s="1" customFormat="1" ht="14.25" customHeight="1" x14ac:dyDescent="0.3"/>
    <row r="533" s="1" customFormat="1" ht="14.25" customHeight="1" x14ac:dyDescent="0.3"/>
    <row r="534" s="1" customFormat="1" ht="14.25" customHeight="1" x14ac:dyDescent="0.3"/>
    <row r="535" s="1" customFormat="1" ht="14.25" customHeight="1" x14ac:dyDescent="0.3"/>
    <row r="536" s="1" customFormat="1" ht="14.25" customHeight="1" x14ac:dyDescent="0.3"/>
    <row r="537" s="1" customFormat="1" ht="14.25" customHeight="1" x14ac:dyDescent="0.3"/>
    <row r="538" s="1" customFormat="1" ht="14.25" customHeight="1" x14ac:dyDescent="0.3"/>
    <row r="539" s="1" customFormat="1" ht="14.25" customHeight="1" x14ac:dyDescent="0.3"/>
    <row r="540" s="1" customFormat="1" ht="14.25" customHeight="1" x14ac:dyDescent="0.3"/>
    <row r="541" s="1" customFormat="1" ht="14.25" customHeight="1" x14ac:dyDescent="0.3"/>
    <row r="542" s="1" customFormat="1" ht="14.25" customHeight="1" x14ac:dyDescent="0.3"/>
    <row r="543" s="1" customFormat="1" ht="14.25" customHeight="1" x14ac:dyDescent="0.3"/>
    <row r="544" s="1" customFormat="1" ht="14.25" customHeight="1" x14ac:dyDescent="0.3"/>
    <row r="545" s="1" customFormat="1" ht="14.25" customHeight="1" x14ac:dyDescent="0.3"/>
    <row r="546" s="1" customFormat="1" ht="14.25" customHeight="1" x14ac:dyDescent="0.3"/>
    <row r="547" s="1" customFormat="1" ht="14.25" customHeight="1" x14ac:dyDescent="0.3"/>
    <row r="548" s="1" customFormat="1" ht="14.25" customHeight="1" x14ac:dyDescent="0.3"/>
    <row r="549" s="1" customFormat="1" ht="14.25" customHeight="1" x14ac:dyDescent="0.3"/>
    <row r="550" s="1" customFormat="1" ht="14.25" customHeight="1" x14ac:dyDescent="0.3"/>
    <row r="551" s="1" customFormat="1" ht="14.25" customHeight="1" x14ac:dyDescent="0.3"/>
    <row r="552" s="1" customFormat="1" ht="14.25" customHeight="1" x14ac:dyDescent="0.3"/>
    <row r="553" s="1" customFormat="1" ht="14.25" customHeight="1" x14ac:dyDescent="0.3"/>
    <row r="554" s="1" customFormat="1" ht="14.25" customHeight="1" x14ac:dyDescent="0.3"/>
    <row r="555" s="1" customFormat="1" ht="14.25" customHeight="1" x14ac:dyDescent="0.3"/>
    <row r="556" s="1" customFormat="1" ht="14.25" customHeight="1" x14ac:dyDescent="0.3"/>
    <row r="557" s="1" customFormat="1" ht="14.25" customHeight="1" x14ac:dyDescent="0.3"/>
    <row r="558" s="1" customFormat="1" ht="14.25" customHeight="1" x14ac:dyDescent="0.3"/>
    <row r="559" s="1" customFormat="1" ht="14.25" customHeight="1" x14ac:dyDescent="0.3"/>
    <row r="560" s="1" customFormat="1" ht="14.25" customHeight="1" x14ac:dyDescent="0.3"/>
    <row r="561" s="1" customFormat="1" ht="14.25" customHeight="1" x14ac:dyDescent="0.3"/>
    <row r="562" s="1" customFormat="1" ht="14.25" customHeight="1" x14ac:dyDescent="0.3"/>
    <row r="563" s="1" customFormat="1" ht="14.25" customHeight="1" x14ac:dyDescent="0.3"/>
    <row r="564" s="1" customFormat="1" ht="14.25" customHeight="1" x14ac:dyDescent="0.3"/>
    <row r="565" s="1" customFormat="1" ht="14.25" customHeight="1" x14ac:dyDescent="0.3"/>
    <row r="566" s="1" customFormat="1" ht="14.25" customHeight="1" x14ac:dyDescent="0.3"/>
    <row r="567" s="1" customFormat="1" ht="14.25" customHeight="1" x14ac:dyDescent="0.3"/>
    <row r="568" s="1" customFormat="1" ht="14.25" customHeight="1" x14ac:dyDescent="0.3"/>
    <row r="569" s="1" customFormat="1" ht="14.25" customHeight="1" x14ac:dyDescent="0.3"/>
    <row r="570" s="1" customFormat="1" ht="14.25" customHeight="1" x14ac:dyDescent="0.3"/>
    <row r="571" s="1" customFormat="1" ht="14.25" customHeight="1" x14ac:dyDescent="0.3"/>
    <row r="572" s="1" customFormat="1" ht="14.25" customHeight="1" x14ac:dyDescent="0.3"/>
    <row r="573" s="1" customFormat="1" ht="14.25" customHeight="1" x14ac:dyDescent="0.3"/>
    <row r="574" s="1" customFormat="1" ht="14.25" customHeight="1" x14ac:dyDescent="0.3"/>
    <row r="575" s="1" customFormat="1" ht="14.25" customHeight="1" x14ac:dyDescent="0.3"/>
    <row r="576" s="1" customFormat="1" ht="14.25" customHeight="1" x14ac:dyDescent="0.3"/>
    <row r="577" s="1" customFormat="1" ht="14.25" customHeight="1" x14ac:dyDescent="0.3"/>
    <row r="578" s="1" customFormat="1" ht="14.25" customHeight="1" x14ac:dyDescent="0.3"/>
    <row r="579" s="1" customFormat="1" ht="14.25" customHeight="1" x14ac:dyDescent="0.3"/>
    <row r="580" s="1" customFormat="1" ht="14.25" customHeight="1" x14ac:dyDescent="0.3"/>
    <row r="581" s="1" customFormat="1" ht="14.25" customHeight="1" x14ac:dyDescent="0.3"/>
    <row r="582" s="1" customFormat="1" ht="14.25" customHeight="1" x14ac:dyDescent="0.3"/>
    <row r="583" s="1" customFormat="1" ht="14.25" customHeight="1" x14ac:dyDescent="0.3"/>
    <row r="584" s="1" customFormat="1" ht="14.25" customHeight="1" x14ac:dyDescent="0.3"/>
    <row r="585" s="1" customFormat="1" ht="14.25" customHeight="1" x14ac:dyDescent="0.3"/>
    <row r="586" s="1" customFormat="1" ht="14.25" customHeight="1" x14ac:dyDescent="0.3"/>
    <row r="587" s="1" customFormat="1" ht="14.25" customHeight="1" x14ac:dyDescent="0.3"/>
    <row r="588" s="1" customFormat="1" ht="14.25" customHeight="1" x14ac:dyDescent="0.3"/>
    <row r="589" s="1" customFormat="1" ht="14.25" customHeight="1" x14ac:dyDescent="0.3"/>
    <row r="590" s="1" customFormat="1" ht="14.25" customHeight="1" x14ac:dyDescent="0.3"/>
    <row r="591" s="1" customFormat="1" ht="14.25" customHeight="1" x14ac:dyDescent="0.3"/>
    <row r="592" s="1" customFormat="1" ht="14.25" customHeight="1" x14ac:dyDescent="0.3"/>
    <row r="593" s="1" customFormat="1" ht="14.25" customHeight="1" x14ac:dyDescent="0.3"/>
    <row r="594" s="1" customFormat="1" ht="14.25" customHeight="1" x14ac:dyDescent="0.3"/>
    <row r="595" s="1" customFormat="1" ht="14.25" customHeight="1" x14ac:dyDescent="0.3"/>
    <row r="596" s="1" customFormat="1" ht="14.25" customHeight="1" x14ac:dyDescent="0.3"/>
    <row r="597" s="1" customFormat="1" ht="14.25" customHeight="1" x14ac:dyDescent="0.3"/>
    <row r="598" s="1" customFormat="1" ht="14.25" customHeight="1" x14ac:dyDescent="0.3"/>
    <row r="599" s="1" customFormat="1" ht="14.25" customHeight="1" x14ac:dyDescent="0.3"/>
    <row r="600" s="1" customFormat="1" ht="14.25" customHeight="1" x14ac:dyDescent="0.3"/>
    <row r="601" s="1" customFormat="1" ht="14.25" customHeight="1" x14ac:dyDescent="0.3"/>
    <row r="602" s="1" customFormat="1" ht="14.25" customHeight="1" x14ac:dyDescent="0.3"/>
    <row r="603" s="1" customFormat="1" ht="14.25" customHeight="1" x14ac:dyDescent="0.3"/>
    <row r="604" s="1" customFormat="1" ht="14.25" customHeight="1" x14ac:dyDescent="0.3"/>
    <row r="605" s="1" customFormat="1" ht="14.25" customHeight="1" x14ac:dyDescent="0.3"/>
    <row r="606" s="1" customFormat="1" ht="14.25" customHeight="1" x14ac:dyDescent="0.3"/>
    <row r="607" s="1" customFormat="1" ht="14.25" customHeight="1" x14ac:dyDescent="0.3"/>
    <row r="608" s="1" customFormat="1" ht="14.25" customHeight="1" x14ac:dyDescent="0.3"/>
    <row r="609" s="1" customFormat="1" ht="14.25" customHeight="1" x14ac:dyDescent="0.3"/>
    <row r="610" s="1" customFormat="1" ht="14.25" customHeight="1" x14ac:dyDescent="0.3"/>
    <row r="611" s="1" customFormat="1" ht="14.25" customHeight="1" x14ac:dyDescent="0.3"/>
    <row r="612" s="1" customFormat="1" ht="14.25" customHeight="1" x14ac:dyDescent="0.3"/>
    <row r="613" s="1" customFormat="1" ht="14.25" customHeight="1" x14ac:dyDescent="0.3"/>
    <row r="614" s="1" customFormat="1" ht="14.25" customHeight="1" x14ac:dyDescent="0.3"/>
    <row r="615" s="1" customFormat="1" ht="14.25" customHeight="1" x14ac:dyDescent="0.3"/>
    <row r="616" s="1" customFormat="1" ht="14.25" customHeight="1" x14ac:dyDescent="0.3"/>
    <row r="617" s="1" customFormat="1" ht="14.25" customHeight="1" x14ac:dyDescent="0.3"/>
    <row r="618" s="1" customFormat="1" ht="14.25" customHeight="1" x14ac:dyDescent="0.3"/>
    <row r="619" s="1" customFormat="1" ht="14.25" customHeight="1" x14ac:dyDescent="0.3"/>
    <row r="620" s="1" customFormat="1" ht="14.25" customHeight="1" x14ac:dyDescent="0.3"/>
    <row r="621" s="1" customFormat="1" ht="14.25" customHeight="1" x14ac:dyDescent="0.3"/>
    <row r="622" s="1" customFormat="1" ht="14.25" customHeight="1" x14ac:dyDescent="0.3"/>
    <row r="623" s="1" customFormat="1" ht="14.25" customHeight="1" x14ac:dyDescent="0.3"/>
    <row r="624" s="1" customFormat="1" ht="14.25" customHeight="1" x14ac:dyDescent="0.3"/>
    <row r="625" s="1" customFormat="1" ht="14.25" customHeight="1" x14ac:dyDescent="0.3"/>
    <row r="626" s="1" customFormat="1" ht="14.25" customHeight="1" x14ac:dyDescent="0.3"/>
    <row r="627" s="1" customFormat="1" ht="14.25" customHeight="1" x14ac:dyDescent="0.3"/>
    <row r="628" s="1" customFormat="1" ht="14.25" customHeight="1" x14ac:dyDescent="0.3"/>
    <row r="629" s="1" customFormat="1" ht="14.25" customHeight="1" x14ac:dyDescent="0.3"/>
    <row r="630" s="1" customFormat="1" ht="14.25" customHeight="1" x14ac:dyDescent="0.3"/>
    <row r="631" s="1" customFormat="1" ht="14.25" customHeight="1" x14ac:dyDescent="0.3"/>
    <row r="632" s="1" customFormat="1" ht="14.25" customHeight="1" x14ac:dyDescent="0.3"/>
    <row r="633" s="1" customFormat="1" ht="14.25" customHeight="1" x14ac:dyDescent="0.3"/>
    <row r="634" s="1" customFormat="1" ht="14.25" customHeight="1" x14ac:dyDescent="0.3"/>
    <row r="635" s="1" customFormat="1" ht="14.25" customHeight="1" x14ac:dyDescent="0.3"/>
    <row r="636" s="1" customFormat="1" ht="14.25" customHeight="1" x14ac:dyDescent="0.3"/>
    <row r="637" s="1" customFormat="1" ht="14.25" customHeight="1" x14ac:dyDescent="0.3"/>
    <row r="638" s="1" customFormat="1" ht="14.25" customHeight="1" x14ac:dyDescent="0.3"/>
    <row r="639" s="1" customFormat="1" ht="14.25" customHeight="1" x14ac:dyDescent="0.3"/>
    <row r="640" s="1" customFormat="1" ht="14.25" customHeight="1" x14ac:dyDescent="0.3"/>
    <row r="641" s="1" customFormat="1" ht="14.25" customHeight="1" x14ac:dyDescent="0.3"/>
    <row r="642" s="1" customFormat="1" ht="14.25" customHeight="1" x14ac:dyDescent="0.3"/>
    <row r="643" s="1" customFormat="1" ht="14.25" customHeight="1" x14ac:dyDescent="0.3"/>
    <row r="644" s="1" customFormat="1" ht="14.25" customHeight="1" x14ac:dyDescent="0.3"/>
    <row r="645" s="1" customFormat="1" ht="14.25" customHeight="1" x14ac:dyDescent="0.3"/>
    <row r="646" s="1" customFormat="1" ht="14.25" customHeight="1" x14ac:dyDescent="0.3"/>
    <row r="647" s="1" customFormat="1" ht="14.25" customHeight="1" x14ac:dyDescent="0.3"/>
    <row r="648" s="1" customFormat="1" ht="14.25" customHeight="1" x14ac:dyDescent="0.3"/>
    <row r="649" s="1" customFormat="1" ht="14.25" customHeight="1" x14ac:dyDescent="0.3"/>
    <row r="650" s="1" customFormat="1" ht="14.25" customHeight="1" x14ac:dyDescent="0.3"/>
    <row r="651" s="1" customFormat="1" ht="14.25" customHeight="1" x14ac:dyDescent="0.3"/>
    <row r="652" s="1" customFormat="1" ht="14.25" customHeight="1" x14ac:dyDescent="0.3"/>
    <row r="653" s="1" customFormat="1" ht="14.25" customHeight="1" x14ac:dyDescent="0.3"/>
    <row r="654" s="1" customFormat="1" ht="14.25" customHeight="1" x14ac:dyDescent="0.3"/>
    <row r="655" s="1" customFormat="1" ht="14.25" customHeight="1" x14ac:dyDescent="0.3"/>
    <row r="656" s="1" customFormat="1" ht="14.25" customHeight="1" x14ac:dyDescent="0.3"/>
    <row r="657" s="1" customFormat="1" ht="14.25" customHeight="1" x14ac:dyDescent="0.3"/>
    <row r="658" s="1" customFormat="1" ht="14.25" customHeight="1" x14ac:dyDescent="0.3"/>
    <row r="659" s="1" customFormat="1" ht="14.25" customHeight="1" x14ac:dyDescent="0.3"/>
    <row r="660" s="1" customFormat="1" ht="14.25" customHeight="1" x14ac:dyDescent="0.3"/>
    <row r="661" s="1" customFormat="1" ht="14.25" customHeight="1" x14ac:dyDescent="0.3"/>
    <row r="662" s="1" customFormat="1" ht="14.25" customHeight="1" x14ac:dyDescent="0.3"/>
    <row r="663" s="1" customFormat="1" ht="14.25" customHeight="1" x14ac:dyDescent="0.3"/>
    <row r="664" s="1" customFormat="1" ht="14.25" customHeight="1" x14ac:dyDescent="0.3"/>
    <row r="665" s="1" customFormat="1" ht="14.25" customHeight="1" x14ac:dyDescent="0.3"/>
    <row r="666" s="1" customFormat="1" ht="14.25" customHeight="1" x14ac:dyDescent="0.3"/>
    <row r="667" s="1" customFormat="1" ht="14.25" customHeight="1" x14ac:dyDescent="0.3"/>
    <row r="668" s="1" customFormat="1" ht="14.25" customHeight="1" x14ac:dyDescent="0.3"/>
    <row r="669" s="1" customFormat="1" ht="14.25" customHeight="1" x14ac:dyDescent="0.3"/>
    <row r="670" s="1" customFormat="1" ht="14.25" customHeight="1" x14ac:dyDescent="0.3"/>
    <row r="671" s="1" customFormat="1" ht="14.25" customHeight="1" x14ac:dyDescent="0.3"/>
    <row r="672" s="1" customFormat="1" ht="14.25" customHeight="1" x14ac:dyDescent="0.3"/>
    <row r="673" s="1" customFormat="1" ht="14.25" customHeight="1" x14ac:dyDescent="0.3"/>
    <row r="674" s="1" customFormat="1" ht="14.25" customHeight="1" x14ac:dyDescent="0.3"/>
    <row r="675" s="1" customFormat="1" ht="14.25" customHeight="1" x14ac:dyDescent="0.3"/>
    <row r="676" s="1" customFormat="1" ht="14.25" customHeight="1" x14ac:dyDescent="0.3"/>
    <row r="677" s="1" customFormat="1" ht="14.25" customHeight="1" x14ac:dyDescent="0.3"/>
    <row r="678" s="1" customFormat="1" ht="14.25" customHeight="1" x14ac:dyDescent="0.3"/>
    <row r="679" s="1" customFormat="1" ht="14.25" customHeight="1" x14ac:dyDescent="0.3"/>
    <row r="680" s="1" customFormat="1" ht="14.25" customHeight="1" x14ac:dyDescent="0.3"/>
    <row r="681" s="1" customFormat="1" ht="14.25" customHeight="1" x14ac:dyDescent="0.3"/>
    <row r="682" s="1" customFormat="1" ht="14.25" customHeight="1" x14ac:dyDescent="0.3"/>
    <row r="683" s="1" customFormat="1" ht="14.25" customHeight="1" x14ac:dyDescent="0.3"/>
    <row r="684" s="1" customFormat="1" ht="14.25" customHeight="1" x14ac:dyDescent="0.3"/>
    <row r="685" s="1" customFormat="1" ht="14.25" customHeight="1" x14ac:dyDescent="0.3"/>
    <row r="686" s="1" customFormat="1" ht="14.25" customHeight="1" x14ac:dyDescent="0.3"/>
    <row r="687" s="1" customFormat="1" ht="14.25" customHeight="1" x14ac:dyDescent="0.3"/>
    <row r="688" s="1" customFormat="1" ht="14.25" customHeight="1" x14ac:dyDescent="0.3"/>
    <row r="689" s="1" customFormat="1" ht="14.25" customHeight="1" x14ac:dyDescent="0.3"/>
    <row r="690" s="1" customFormat="1" ht="14.25" customHeight="1" x14ac:dyDescent="0.3"/>
    <row r="691" s="1" customFormat="1" ht="14.25" customHeight="1" x14ac:dyDescent="0.3"/>
    <row r="692" s="1" customFormat="1" ht="14.25" customHeight="1" x14ac:dyDescent="0.3"/>
    <row r="693" s="1" customFormat="1" ht="14.25" customHeight="1" x14ac:dyDescent="0.3"/>
    <row r="694" s="1" customFormat="1" ht="14.25" customHeight="1" x14ac:dyDescent="0.3"/>
    <row r="695" s="1" customFormat="1" ht="14.25" customHeight="1" x14ac:dyDescent="0.3"/>
    <row r="696" s="1" customFormat="1" ht="14.25" customHeight="1" x14ac:dyDescent="0.3"/>
    <row r="697" s="1" customFormat="1" ht="14.25" customHeight="1" x14ac:dyDescent="0.3"/>
    <row r="698" s="1" customFormat="1" ht="14.25" customHeight="1" x14ac:dyDescent="0.3"/>
    <row r="699" s="1" customFormat="1" ht="14.25" customHeight="1" x14ac:dyDescent="0.3"/>
    <row r="700" s="1" customFormat="1" ht="14.25" customHeight="1" x14ac:dyDescent="0.3"/>
    <row r="701" s="1" customFormat="1" ht="14.25" customHeight="1" x14ac:dyDescent="0.3"/>
    <row r="702" s="1" customFormat="1" ht="14.25" customHeight="1" x14ac:dyDescent="0.3"/>
    <row r="703" s="1" customFormat="1" ht="14.25" customHeight="1" x14ac:dyDescent="0.3"/>
    <row r="704" s="1" customFormat="1" ht="14.25" customHeight="1" x14ac:dyDescent="0.3"/>
    <row r="705" s="1" customFormat="1" ht="14.25" customHeight="1" x14ac:dyDescent="0.3"/>
    <row r="706" s="1" customFormat="1" ht="14.25" customHeight="1" x14ac:dyDescent="0.3"/>
    <row r="707" s="1" customFormat="1" ht="14.25" customHeight="1" x14ac:dyDescent="0.3"/>
    <row r="708" s="1" customFormat="1" ht="14.25" customHeight="1" x14ac:dyDescent="0.3"/>
    <row r="709" s="1" customFormat="1" ht="14.25" customHeight="1" x14ac:dyDescent="0.3"/>
    <row r="710" s="1" customFormat="1" ht="14.25" customHeight="1" x14ac:dyDescent="0.3"/>
    <row r="711" s="1" customFormat="1" ht="14.25" customHeight="1" x14ac:dyDescent="0.3"/>
    <row r="712" s="1" customFormat="1" ht="14.25" customHeight="1" x14ac:dyDescent="0.3"/>
    <row r="713" s="1" customFormat="1" ht="14.25" customHeight="1" x14ac:dyDescent="0.3"/>
    <row r="714" s="1" customFormat="1" ht="14.25" customHeight="1" x14ac:dyDescent="0.3"/>
    <row r="715" s="1" customFormat="1" ht="14.25" customHeight="1" x14ac:dyDescent="0.3"/>
    <row r="716" s="1" customFormat="1" ht="14.25" customHeight="1" x14ac:dyDescent="0.3"/>
    <row r="717" s="1" customFormat="1" ht="14.25" customHeight="1" x14ac:dyDescent="0.3"/>
    <row r="718" s="1" customFormat="1" ht="14.25" customHeight="1" x14ac:dyDescent="0.3"/>
    <row r="719" s="1" customFormat="1" ht="14.25" customHeight="1" x14ac:dyDescent="0.3"/>
    <row r="720" s="1" customFormat="1" ht="14.25" customHeight="1" x14ac:dyDescent="0.3"/>
    <row r="721" s="1" customFormat="1" ht="14.25" customHeight="1" x14ac:dyDescent="0.3"/>
    <row r="722" s="1" customFormat="1" ht="14.25" customHeight="1" x14ac:dyDescent="0.3"/>
    <row r="723" s="1" customFormat="1" ht="14.25" customHeight="1" x14ac:dyDescent="0.3"/>
    <row r="724" s="1" customFormat="1" ht="14.25" customHeight="1" x14ac:dyDescent="0.3"/>
    <row r="725" s="1" customFormat="1" ht="14.25" customHeight="1" x14ac:dyDescent="0.3"/>
    <row r="726" s="1" customFormat="1" ht="14.25" customHeight="1" x14ac:dyDescent="0.3"/>
    <row r="727" s="1" customFormat="1" ht="14.25" customHeight="1" x14ac:dyDescent="0.3"/>
    <row r="728" s="1" customFormat="1" ht="14.25" customHeight="1" x14ac:dyDescent="0.3"/>
    <row r="729" s="1" customFormat="1" ht="14.25" customHeight="1" x14ac:dyDescent="0.3"/>
    <row r="730" s="1" customFormat="1" ht="14.25" customHeight="1" x14ac:dyDescent="0.3"/>
    <row r="731" s="1" customFormat="1" ht="14.25" customHeight="1" x14ac:dyDescent="0.3"/>
    <row r="732" s="1" customFormat="1" ht="14.25" customHeight="1" x14ac:dyDescent="0.3"/>
    <row r="733" s="1" customFormat="1" ht="14.25" customHeight="1" x14ac:dyDescent="0.3"/>
    <row r="734" s="1" customFormat="1" ht="14.25" customHeight="1" x14ac:dyDescent="0.3"/>
    <row r="735" s="1" customFormat="1" ht="14.25" customHeight="1" x14ac:dyDescent="0.3"/>
    <row r="736" s="1" customFormat="1" ht="14.25" customHeight="1" x14ac:dyDescent="0.3"/>
    <row r="737" s="1" customFormat="1" ht="14.25" customHeight="1" x14ac:dyDescent="0.3"/>
    <row r="738" s="1" customFormat="1" ht="14.25" customHeight="1" x14ac:dyDescent="0.3"/>
    <row r="739" s="1" customFormat="1" ht="14.25" customHeight="1" x14ac:dyDescent="0.3"/>
    <row r="740" s="1" customFormat="1" ht="14.25" customHeight="1" x14ac:dyDescent="0.3"/>
    <row r="741" s="1" customFormat="1" ht="14.25" customHeight="1" x14ac:dyDescent="0.3"/>
    <row r="742" s="1" customFormat="1" ht="14.25" customHeight="1" x14ac:dyDescent="0.3"/>
    <row r="743" s="1" customFormat="1" ht="14.25" customHeight="1" x14ac:dyDescent="0.3"/>
    <row r="744" s="1" customFormat="1" ht="14.25" customHeight="1" x14ac:dyDescent="0.3"/>
    <row r="745" s="1" customFormat="1" ht="14.25" customHeight="1" x14ac:dyDescent="0.3"/>
    <row r="746" s="1" customFormat="1" ht="14.25" customHeight="1" x14ac:dyDescent="0.3"/>
    <row r="747" s="1" customFormat="1" ht="14.25" customHeight="1" x14ac:dyDescent="0.3"/>
    <row r="748" s="1" customFormat="1" ht="14.25" customHeight="1" x14ac:dyDescent="0.3"/>
    <row r="749" s="1" customFormat="1" ht="14.25" customHeight="1" x14ac:dyDescent="0.3"/>
    <row r="750" s="1" customFormat="1" ht="14.25" customHeight="1" x14ac:dyDescent="0.3"/>
    <row r="751" s="1" customFormat="1" ht="14.25" customHeight="1" x14ac:dyDescent="0.3"/>
    <row r="752" s="1" customFormat="1" ht="14.25" customHeight="1" x14ac:dyDescent="0.3"/>
    <row r="753" s="1" customFormat="1" ht="14.25" customHeight="1" x14ac:dyDescent="0.3"/>
    <row r="754" s="1" customFormat="1" ht="14.25" customHeight="1" x14ac:dyDescent="0.3"/>
    <row r="755" s="1" customFormat="1" ht="14.25" customHeight="1" x14ac:dyDescent="0.3"/>
    <row r="756" s="1" customFormat="1" ht="14.25" customHeight="1" x14ac:dyDescent="0.3"/>
    <row r="757" s="1" customFormat="1" ht="14.25" customHeight="1" x14ac:dyDescent="0.3"/>
    <row r="758" s="1" customFormat="1" ht="14.25" customHeight="1" x14ac:dyDescent="0.3"/>
    <row r="759" s="1" customFormat="1" ht="14.25" customHeight="1" x14ac:dyDescent="0.3"/>
    <row r="760" s="1" customFormat="1" ht="14.25" customHeight="1" x14ac:dyDescent="0.3"/>
    <row r="761" s="1" customFormat="1" ht="14.25" customHeight="1" x14ac:dyDescent="0.3"/>
    <row r="762" s="1" customFormat="1" ht="14.25" customHeight="1" x14ac:dyDescent="0.3"/>
    <row r="763" s="1" customFormat="1" ht="14.25" customHeight="1" x14ac:dyDescent="0.3"/>
    <row r="764" s="1" customFormat="1" ht="14.25" customHeight="1" x14ac:dyDescent="0.3"/>
    <row r="765" s="1" customFormat="1" ht="14.25" customHeight="1" x14ac:dyDescent="0.3"/>
    <row r="766" s="1" customFormat="1" ht="14.25" customHeight="1" x14ac:dyDescent="0.3"/>
    <row r="767" s="1" customFormat="1" ht="14.25" customHeight="1" x14ac:dyDescent="0.3"/>
    <row r="768" s="1" customFormat="1" ht="14.25" customHeight="1" x14ac:dyDescent="0.3"/>
    <row r="769" s="1" customFormat="1" ht="14.25" customHeight="1" x14ac:dyDescent="0.3"/>
    <row r="770" s="1" customFormat="1" ht="14.25" customHeight="1" x14ac:dyDescent="0.3"/>
    <row r="771" s="1" customFormat="1" ht="14.25" customHeight="1" x14ac:dyDescent="0.3"/>
    <row r="772" s="1" customFormat="1" ht="14.25" customHeight="1" x14ac:dyDescent="0.3"/>
    <row r="773" s="1" customFormat="1" ht="14.25" customHeight="1" x14ac:dyDescent="0.3"/>
    <row r="774" s="1" customFormat="1" ht="14.25" customHeight="1" x14ac:dyDescent="0.3"/>
    <row r="775" s="1" customFormat="1" ht="14.25" customHeight="1" x14ac:dyDescent="0.3"/>
    <row r="776" s="1" customFormat="1" ht="14.25" customHeight="1" x14ac:dyDescent="0.3"/>
    <row r="777" s="1" customFormat="1" ht="14.25" customHeight="1" x14ac:dyDescent="0.3"/>
    <row r="778" s="1" customFormat="1" ht="14.25" customHeight="1" x14ac:dyDescent="0.3"/>
    <row r="779" s="1" customFormat="1" ht="14.25" customHeight="1" x14ac:dyDescent="0.3"/>
    <row r="780" s="1" customFormat="1" ht="14.25" customHeight="1" x14ac:dyDescent="0.3"/>
    <row r="781" s="1" customFormat="1" ht="14.25" customHeight="1" x14ac:dyDescent="0.3"/>
    <row r="782" s="1" customFormat="1" ht="14.25" customHeight="1" x14ac:dyDescent="0.3"/>
    <row r="783" s="1" customFormat="1" ht="14.25" customHeight="1" x14ac:dyDescent="0.3"/>
    <row r="784" s="1" customFormat="1" ht="14.25" customHeight="1" x14ac:dyDescent="0.3"/>
    <row r="785" s="1" customFormat="1" ht="14.25" customHeight="1" x14ac:dyDescent="0.3"/>
    <row r="786" s="1" customFormat="1" ht="14.25" customHeight="1" x14ac:dyDescent="0.3"/>
    <row r="787" s="1" customFormat="1" ht="14.25" customHeight="1" x14ac:dyDescent="0.3"/>
    <row r="788" s="1" customFormat="1" ht="14.25" customHeight="1" x14ac:dyDescent="0.3"/>
    <row r="789" s="1" customFormat="1" ht="14.25" customHeight="1" x14ac:dyDescent="0.3"/>
    <row r="790" s="1" customFormat="1" ht="14.25" customHeight="1" x14ac:dyDescent="0.3"/>
    <row r="791" s="1" customFormat="1" ht="14.25" customHeight="1" x14ac:dyDescent="0.3"/>
    <row r="792" s="1" customFormat="1" ht="14.25" customHeight="1" x14ac:dyDescent="0.3"/>
    <row r="793" s="1" customFormat="1" ht="14.25" customHeight="1" x14ac:dyDescent="0.3"/>
    <row r="794" s="1" customFormat="1" ht="14.25" customHeight="1" x14ac:dyDescent="0.3"/>
    <row r="795" s="1" customFormat="1" ht="14.25" customHeight="1" x14ac:dyDescent="0.3"/>
    <row r="796" s="1" customFormat="1" ht="14.25" customHeight="1" x14ac:dyDescent="0.3"/>
    <row r="797" s="1" customFormat="1" ht="14.25" customHeight="1" x14ac:dyDescent="0.3"/>
    <row r="798" s="1" customFormat="1" ht="14.25" customHeight="1" x14ac:dyDescent="0.3"/>
    <row r="799" s="1" customFormat="1" ht="14.25" customHeight="1" x14ac:dyDescent="0.3"/>
    <row r="800" s="1" customFormat="1" ht="14.25" customHeight="1" x14ac:dyDescent="0.3"/>
    <row r="801" s="1" customFormat="1" ht="14.25" customHeight="1" x14ac:dyDescent="0.3"/>
    <row r="802" s="1" customFormat="1" ht="14.25" customHeight="1" x14ac:dyDescent="0.3"/>
    <row r="803" s="1" customFormat="1" ht="14.25" customHeight="1" x14ac:dyDescent="0.3"/>
    <row r="804" s="1" customFormat="1" ht="14.25" customHeight="1" x14ac:dyDescent="0.3"/>
    <row r="805" s="1" customFormat="1" ht="14.25" customHeight="1" x14ac:dyDescent="0.3"/>
    <row r="806" s="1" customFormat="1" ht="14.25" customHeight="1" x14ac:dyDescent="0.3"/>
    <row r="807" s="1" customFormat="1" ht="14.25" customHeight="1" x14ac:dyDescent="0.3"/>
    <row r="808" s="1" customFormat="1" ht="14.25" customHeight="1" x14ac:dyDescent="0.3"/>
    <row r="809" s="1" customFormat="1" ht="14.25" customHeight="1" x14ac:dyDescent="0.3"/>
    <row r="810" s="1" customFormat="1" ht="14.25" customHeight="1" x14ac:dyDescent="0.3"/>
    <row r="811" s="1" customFormat="1" ht="14.25" customHeight="1" x14ac:dyDescent="0.3"/>
    <row r="812" s="1" customFormat="1" ht="14.25" customHeight="1" x14ac:dyDescent="0.3"/>
    <row r="813" s="1" customFormat="1" ht="14.25" customHeight="1" x14ac:dyDescent="0.3"/>
    <row r="814" s="1" customFormat="1" ht="14.25" customHeight="1" x14ac:dyDescent="0.3"/>
    <row r="815" s="1" customFormat="1" ht="14.25" customHeight="1" x14ac:dyDescent="0.3"/>
    <row r="816" s="1" customFormat="1" ht="14.25" customHeight="1" x14ac:dyDescent="0.3"/>
    <row r="817" s="1" customFormat="1" ht="14.25" customHeight="1" x14ac:dyDescent="0.3"/>
    <row r="818" s="1" customFormat="1" ht="14.25" customHeight="1" x14ac:dyDescent="0.3"/>
    <row r="819" s="1" customFormat="1" ht="14.25" customHeight="1" x14ac:dyDescent="0.3"/>
    <row r="820" s="1" customFormat="1" ht="14.25" customHeight="1" x14ac:dyDescent="0.3"/>
    <row r="821" s="1" customFormat="1" ht="14.25" customHeight="1" x14ac:dyDescent="0.3"/>
    <row r="822" s="1" customFormat="1" ht="14.25" customHeight="1" x14ac:dyDescent="0.3"/>
    <row r="823" s="1" customFormat="1" ht="14.25" customHeight="1" x14ac:dyDescent="0.3"/>
    <row r="824" s="1" customFormat="1" ht="14.25" customHeight="1" x14ac:dyDescent="0.3"/>
    <row r="825" s="1" customFormat="1" ht="14.25" customHeight="1" x14ac:dyDescent="0.3"/>
    <row r="826" s="1" customFormat="1" ht="14.25" customHeight="1" x14ac:dyDescent="0.3"/>
    <row r="827" s="1" customFormat="1" ht="14.25" customHeight="1" x14ac:dyDescent="0.3"/>
    <row r="828" s="1" customFormat="1" ht="14.25" customHeight="1" x14ac:dyDescent="0.3"/>
    <row r="829" s="1" customFormat="1" ht="14.25" customHeight="1" x14ac:dyDescent="0.3"/>
    <row r="830" s="1" customFormat="1" ht="14.25" customHeight="1" x14ac:dyDescent="0.3"/>
    <row r="831" s="1" customFormat="1" ht="14.25" customHeight="1" x14ac:dyDescent="0.3"/>
    <row r="832" s="1" customFormat="1" ht="14.25" customHeight="1" x14ac:dyDescent="0.3"/>
    <row r="833" s="1" customFormat="1" ht="14.25" customHeight="1" x14ac:dyDescent="0.3"/>
    <row r="834" s="1" customFormat="1" ht="14.25" customHeight="1" x14ac:dyDescent="0.3"/>
    <row r="835" s="1" customFormat="1" ht="14.25" customHeight="1" x14ac:dyDescent="0.3"/>
    <row r="836" s="1" customFormat="1" ht="14.25" customHeight="1" x14ac:dyDescent="0.3"/>
    <row r="837" s="1" customFormat="1" ht="14.25" customHeight="1" x14ac:dyDescent="0.3"/>
    <row r="838" s="1" customFormat="1" ht="14.25" customHeight="1" x14ac:dyDescent="0.3"/>
    <row r="839" s="1" customFormat="1" ht="14.25" customHeight="1" x14ac:dyDescent="0.3"/>
    <row r="840" s="1" customFormat="1" ht="14.25" customHeight="1" x14ac:dyDescent="0.3"/>
    <row r="841" s="1" customFormat="1" ht="14.25" customHeight="1" x14ac:dyDescent="0.3"/>
    <row r="842" s="1" customFormat="1" ht="14.25" customHeight="1" x14ac:dyDescent="0.3"/>
    <row r="843" s="1" customFormat="1" ht="14.25" customHeight="1" x14ac:dyDescent="0.3"/>
    <row r="844" s="1" customFormat="1" ht="14.25" customHeight="1" x14ac:dyDescent="0.3"/>
    <row r="845" s="1" customFormat="1" ht="14.25" customHeight="1" x14ac:dyDescent="0.3"/>
    <row r="846" s="1" customFormat="1" ht="14.25" customHeight="1" x14ac:dyDescent="0.3"/>
    <row r="847" s="1" customFormat="1" ht="14.25" customHeight="1" x14ac:dyDescent="0.3"/>
    <row r="848" s="1" customFormat="1" ht="14.25" customHeight="1" x14ac:dyDescent="0.3"/>
    <row r="849" s="1" customFormat="1" ht="14.25" customHeight="1" x14ac:dyDescent="0.3"/>
    <row r="850" s="1" customFormat="1" ht="14.25" customHeight="1" x14ac:dyDescent="0.3"/>
    <row r="851" s="1" customFormat="1" ht="14.25" customHeight="1" x14ac:dyDescent="0.3"/>
    <row r="852" s="1" customFormat="1" ht="14.25" customHeight="1" x14ac:dyDescent="0.3"/>
    <row r="853" s="1" customFormat="1" ht="14.25" customHeight="1" x14ac:dyDescent="0.3"/>
    <row r="854" s="1" customFormat="1" ht="14.25" customHeight="1" x14ac:dyDescent="0.3"/>
    <row r="855" s="1" customFormat="1" ht="14.25" customHeight="1" x14ac:dyDescent="0.3"/>
    <row r="856" s="1" customFormat="1" ht="14.25" customHeight="1" x14ac:dyDescent="0.3"/>
    <row r="857" s="1" customFormat="1" ht="14.25" customHeight="1" x14ac:dyDescent="0.3"/>
    <row r="858" s="1" customFormat="1" ht="14.25" customHeight="1" x14ac:dyDescent="0.3"/>
    <row r="859" s="1" customFormat="1" ht="14.25" customHeight="1" x14ac:dyDescent="0.3"/>
    <row r="860" s="1" customFormat="1" ht="14.25" customHeight="1" x14ac:dyDescent="0.3"/>
    <row r="861" s="1" customFormat="1" ht="14.25" customHeight="1" x14ac:dyDescent="0.3"/>
    <row r="862" s="1" customFormat="1" ht="14.25" customHeight="1" x14ac:dyDescent="0.3"/>
    <row r="863" s="1" customFormat="1" ht="14.25" customHeight="1" x14ac:dyDescent="0.3"/>
    <row r="864" s="1" customFormat="1" ht="14.25" customHeight="1" x14ac:dyDescent="0.3"/>
    <row r="865" s="1" customFormat="1" ht="14.25" customHeight="1" x14ac:dyDescent="0.3"/>
    <row r="866" s="1" customFormat="1" ht="14.25" customHeight="1" x14ac:dyDescent="0.3"/>
    <row r="867" s="1" customFormat="1" ht="14.25" customHeight="1" x14ac:dyDescent="0.3"/>
    <row r="868" s="1" customFormat="1" ht="14.25" customHeight="1" x14ac:dyDescent="0.3"/>
    <row r="869" s="1" customFormat="1" ht="14.25" customHeight="1" x14ac:dyDescent="0.3"/>
    <row r="870" s="1" customFormat="1" ht="14.25" customHeight="1" x14ac:dyDescent="0.3"/>
    <row r="871" s="1" customFormat="1" ht="14.25" customHeight="1" x14ac:dyDescent="0.3"/>
    <row r="872" s="1" customFormat="1" ht="14.25" customHeight="1" x14ac:dyDescent="0.3"/>
    <row r="873" s="1" customFormat="1" ht="14.25" customHeight="1" x14ac:dyDescent="0.3"/>
    <row r="874" s="1" customFormat="1" ht="14.25" customHeight="1" x14ac:dyDescent="0.3"/>
    <row r="875" s="1" customFormat="1" ht="14.25" customHeight="1" x14ac:dyDescent="0.3"/>
    <row r="876" s="1" customFormat="1" ht="14.25" customHeight="1" x14ac:dyDescent="0.3"/>
    <row r="877" s="1" customFormat="1" ht="14.25" customHeight="1" x14ac:dyDescent="0.3"/>
    <row r="878" s="1" customFormat="1" ht="14.25" customHeight="1" x14ac:dyDescent="0.3"/>
    <row r="879" s="1" customFormat="1" ht="14.25" customHeight="1" x14ac:dyDescent="0.3"/>
    <row r="880" s="1" customFormat="1" ht="14.25" customHeight="1" x14ac:dyDescent="0.3"/>
    <row r="881" s="1" customFormat="1" ht="14.25" customHeight="1" x14ac:dyDescent="0.3"/>
    <row r="882" s="1" customFormat="1" ht="14.25" customHeight="1" x14ac:dyDescent="0.3"/>
    <row r="883" s="1" customFormat="1" ht="14.25" customHeight="1" x14ac:dyDescent="0.3"/>
    <row r="884" s="1" customFormat="1" ht="14.25" customHeight="1" x14ac:dyDescent="0.3"/>
    <row r="885" s="1" customFormat="1" ht="14.25" customHeight="1" x14ac:dyDescent="0.3"/>
    <row r="886" s="1" customFormat="1" ht="14.25" customHeight="1" x14ac:dyDescent="0.3"/>
    <row r="887" s="1" customFormat="1" ht="14.25" customHeight="1" x14ac:dyDescent="0.3"/>
    <row r="888" s="1" customFormat="1" ht="14.25" customHeight="1" x14ac:dyDescent="0.3"/>
    <row r="889" s="1" customFormat="1" ht="14.25" customHeight="1" x14ac:dyDescent="0.3"/>
    <row r="890" s="1" customFormat="1" ht="14.25" customHeight="1" x14ac:dyDescent="0.3"/>
    <row r="891" s="1" customFormat="1" ht="14.25" customHeight="1" x14ac:dyDescent="0.3"/>
    <row r="892" s="1" customFormat="1" ht="14.25" customHeight="1" x14ac:dyDescent="0.3"/>
    <row r="893" s="1" customFormat="1" ht="14.25" customHeight="1" x14ac:dyDescent="0.3"/>
    <row r="894" s="1" customFormat="1" ht="14.25" customHeight="1" x14ac:dyDescent="0.3"/>
    <row r="895" s="1" customFormat="1" ht="14.25" customHeight="1" x14ac:dyDescent="0.3"/>
    <row r="896" s="1" customFormat="1" ht="14.25" customHeight="1" x14ac:dyDescent="0.3"/>
    <row r="897" s="1" customFormat="1" ht="14.25" customHeight="1" x14ac:dyDescent="0.3"/>
    <row r="898" s="1" customFormat="1" ht="14.25" customHeight="1" x14ac:dyDescent="0.3"/>
    <row r="899" s="1" customFormat="1" ht="14.25" customHeight="1" x14ac:dyDescent="0.3"/>
    <row r="900" s="1" customFormat="1" ht="14.25" customHeight="1" x14ac:dyDescent="0.3"/>
    <row r="901" s="1" customFormat="1" ht="14.25" customHeight="1" x14ac:dyDescent="0.3"/>
    <row r="902" s="1" customFormat="1" ht="14.25" customHeight="1" x14ac:dyDescent="0.3"/>
    <row r="903" s="1" customFormat="1" ht="14.25" customHeight="1" x14ac:dyDescent="0.3"/>
    <row r="904" s="1" customFormat="1" ht="14.25" customHeight="1" x14ac:dyDescent="0.3"/>
    <row r="905" s="1" customFormat="1" ht="14.25" customHeight="1" x14ac:dyDescent="0.3"/>
    <row r="906" s="1" customFormat="1" ht="14.25" customHeight="1" x14ac:dyDescent="0.3"/>
    <row r="907" s="1" customFormat="1" ht="14.25" customHeight="1" x14ac:dyDescent="0.3"/>
    <row r="908" s="1" customFormat="1" ht="14.25" customHeight="1" x14ac:dyDescent="0.3"/>
    <row r="909" s="1" customFormat="1" ht="14.25" customHeight="1" x14ac:dyDescent="0.3"/>
    <row r="910" s="1" customFormat="1" ht="14.25" customHeight="1" x14ac:dyDescent="0.3"/>
    <row r="911" s="1" customFormat="1" ht="14.25" customHeight="1" x14ac:dyDescent="0.3"/>
    <row r="912" s="1" customFormat="1" ht="14.25" customHeight="1" x14ac:dyDescent="0.3"/>
    <row r="913" s="1" customFormat="1" ht="14.25" customHeight="1" x14ac:dyDescent="0.3"/>
    <row r="914" s="1" customFormat="1" ht="14.25" customHeight="1" x14ac:dyDescent="0.3"/>
    <row r="915" s="1" customFormat="1" ht="14.25" customHeight="1" x14ac:dyDescent="0.3"/>
    <row r="916" s="1" customFormat="1" ht="14.25" customHeight="1" x14ac:dyDescent="0.3"/>
    <row r="917" s="1" customFormat="1" ht="14.25" customHeight="1" x14ac:dyDescent="0.3"/>
    <row r="918" s="1" customFormat="1" ht="14.25" customHeight="1" x14ac:dyDescent="0.3"/>
    <row r="919" s="1" customFormat="1" ht="14.25" customHeight="1" x14ac:dyDescent="0.3"/>
    <row r="920" s="1" customFormat="1" ht="14.25" customHeight="1" x14ac:dyDescent="0.3"/>
    <row r="921" s="1" customFormat="1" ht="14.25" customHeight="1" x14ac:dyDescent="0.3"/>
    <row r="922" s="1" customFormat="1" ht="14.25" customHeight="1" x14ac:dyDescent="0.3"/>
    <row r="923" s="1" customFormat="1" ht="14.25" customHeight="1" x14ac:dyDescent="0.3"/>
    <row r="924" s="1" customFormat="1" ht="14.25" customHeight="1" x14ac:dyDescent="0.3"/>
    <row r="925" s="1" customFormat="1" ht="14.25" customHeight="1" x14ac:dyDescent="0.3"/>
    <row r="926" s="1" customFormat="1" ht="14.25" customHeight="1" x14ac:dyDescent="0.3"/>
    <row r="927" s="1" customFormat="1" ht="14.25" customHeight="1" x14ac:dyDescent="0.3"/>
    <row r="928" s="1" customFormat="1" ht="14.25" customHeight="1" x14ac:dyDescent="0.3"/>
    <row r="929" s="1" customFormat="1" ht="14.25" customHeight="1" x14ac:dyDescent="0.3"/>
    <row r="930" s="1" customFormat="1" ht="14.25" customHeight="1" x14ac:dyDescent="0.3"/>
    <row r="931" s="1" customFormat="1" ht="14.25" customHeight="1" x14ac:dyDescent="0.3"/>
    <row r="932" s="1" customFormat="1" ht="14.25" customHeight="1" x14ac:dyDescent="0.3"/>
    <row r="933" s="1" customFormat="1" ht="14.25" customHeight="1" x14ac:dyDescent="0.3"/>
    <row r="934" s="1" customFormat="1" ht="14.25" customHeight="1" x14ac:dyDescent="0.3"/>
    <row r="935" s="1" customFormat="1" ht="14.25" customHeight="1" x14ac:dyDescent="0.3"/>
    <row r="936" s="1" customFormat="1" ht="14.25" customHeight="1" x14ac:dyDescent="0.3"/>
    <row r="937" s="1" customFormat="1" ht="14.25" customHeight="1" x14ac:dyDescent="0.3"/>
    <row r="938" s="1" customFormat="1" ht="14.25" customHeight="1" x14ac:dyDescent="0.3"/>
    <row r="939" s="1" customFormat="1" ht="14.25" customHeight="1" x14ac:dyDescent="0.3"/>
    <row r="940" s="1" customFormat="1" ht="14.25" customHeight="1" x14ac:dyDescent="0.3"/>
    <row r="941" s="1" customFormat="1" ht="14.25" customHeight="1" x14ac:dyDescent="0.3"/>
    <row r="942" s="1" customFormat="1" ht="14.25" customHeight="1" x14ac:dyDescent="0.3"/>
    <row r="943" s="1" customFormat="1" ht="14.25" customHeight="1" x14ac:dyDescent="0.3"/>
    <row r="944" s="1" customFormat="1" ht="14.25" customHeight="1" x14ac:dyDescent="0.3"/>
    <row r="945" s="1" customFormat="1" ht="14.25" customHeight="1" x14ac:dyDescent="0.3"/>
    <row r="946" s="1" customFormat="1" ht="14.25" customHeight="1" x14ac:dyDescent="0.3"/>
    <row r="947" s="1" customFormat="1" ht="14.25" customHeight="1" x14ac:dyDescent="0.3"/>
    <row r="948" s="1" customFormat="1" ht="14.25" customHeight="1" x14ac:dyDescent="0.3"/>
    <row r="949" s="1" customFormat="1" ht="14.25" customHeight="1" x14ac:dyDescent="0.3"/>
    <row r="950" s="1" customFormat="1" ht="14.25" customHeight="1" x14ac:dyDescent="0.3"/>
    <row r="951" s="1" customFormat="1" ht="14.25" customHeight="1" x14ac:dyDescent="0.3"/>
    <row r="952" s="1" customFormat="1" ht="14.25" customHeight="1" x14ac:dyDescent="0.3"/>
    <row r="953" s="1" customFormat="1" ht="14.25" customHeight="1" x14ac:dyDescent="0.3"/>
    <row r="954" s="1" customFormat="1" ht="14.25" customHeight="1" x14ac:dyDescent="0.3"/>
    <row r="955" s="1" customFormat="1" ht="14.25" customHeight="1" x14ac:dyDescent="0.3"/>
    <row r="956" s="1" customFormat="1" ht="14.25" customHeight="1" x14ac:dyDescent="0.3"/>
    <row r="957" s="1" customFormat="1" ht="14.25" customHeight="1" x14ac:dyDescent="0.3"/>
    <row r="958" s="1" customFormat="1" ht="14.25" customHeight="1" x14ac:dyDescent="0.3"/>
    <row r="959" s="1" customFormat="1" ht="14.25" customHeight="1" x14ac:dyDescent="0.3"/>
    <row r="960" s="1" customFormat="1" ht="14.25" customHeight="1" x14ac:dyDescent="0.3"/>
    <row r="961" s="1" customFormat="1" ht="14.25" customHeight="1" x14ac:dyDescent="0.3"/>
    <row r="962" s="1" customFormat="1" ht="14.25" customHeight="1" x14ac:dyDescent="0.3"/>
    <row r="963" s="1" customFormat="1" ht="14.25" customHeight="1" x14ac:dyDescent="0.3"/>
    <row r="964" s="1" customFormat="1" ht="14.25" customHeight="1" x14ac:dyDescent="0.3"/>
    <row r="965" s="1" customFormat="1" ht="14.25" customHeight="1" x14ac:dyDescent="0.3"/>
    <row r="966" s="1" customFormat="1" ht="14.25" customHeight="1" x14ac:dyDescent="0.3"/>
    <row r="967" s="1" customFormat="1" ht="14.25" customHeight="1" x14ac:dyDescent="0.3"/>
    <row r="968" s="1" customFormat="1" ht="14.25" customHeight="1" x14ac:dyDescent="0.3"/>
    <row r="969" s="1" customFormat="1" ht="14.25" customHeight="1" x14ac:dyDescent="0.3"/>
    <row r="970" s="1" customFormat="1" ht="14.25" customHeight="1" x14ac:dyDescent="0.3"/>
    <row r="971" s="1" customFormat="1" ht="14.25" customHeight="1" x14ac:dyDescent="0.3"/>
    <row r="972" s="1" customFormat="1" ht="14.25" customHeight="1" x14ac:dyDescent="0.3"/>
    <row r="973" s="1" customFormat="1" ht="14.25" customHeight="1" x14ac:dyDescent="0.3"/>
    <row r="974" s="1" customFormat="1" ht="14.25" customHeight="1" x14ac:dyDescent="0.3"/>
    <row r="975" s="1" customFormat="1" ht="14.25" customHeight="1" x14ac:dyDescent="0.3"/>
    <row r="976" s="1" customFormat="1" ht="14.25" customHeight="1" x14ac:dyDescent="0.3"/>
    <row r="977" s="1" customFormat="1" ht="14.25" customHeight="1" x14ac:dyDescent="0.3"/>
    <row r="978" s="1" customFormat="1" ht="14.25" customHeight="1" x14ac:dyDescent="0.3"/>
    <row r="979" s="1" customFormat="1" ht="14.25" customHeight="1" x14ac:dyDescent="0.3"/>
    <row r="980" s="1" customFormat="1" ht="14.25" customHeight="1" x14ac:dyDescent="0.3"/>
    <row r="981" s="1" customFormat="1" ht="14.25" customHeight="1" x14ac:dyDescent="0.3"/>
    <row r="982" s="1" customFormat="1" ht="14.25" customHeight="1" x14ac:dyDescent="0.3"/>
    <row r="983" s="1" customFormat="1" ht="14.25" customHeight="1" x14ac:dyDescent="0.3"/>
    <row r="984" s="1" customFormat="1" ht="14.25" customHeight="1" x14ac:dyDescent="0.3"/>
    <row r="985" s="1" customFormat="1" ht="14.25" customHeight="1" x14ac:dyDescent="0.3"/>
    <row r="986" s="1" customFormat="1" ht="14.25" customHeight="1" x14ac:dyDescent="0.3"/>
    <row r="987" s="1" customFormat="1" ht="14.25" customHeight="1" x14ac:dyDescent="0.3"/>
    <row r="988" s="1" customFormat="1" ht="14.25" customHeight="1" x14ac:dyDescent="0.3"/>
    <row r="989" s="1" customFormat="1" ht="14.25" customHeight="1" x14ac:dyDescent="0.3"/>
    <row r="990" s="1" customFormat="1" ht="14.25" customHeight="1" x14ac:dyDescent="0.3"/>
    <row r="991" s="1" customFormat="1" ht="14.25" customHeight="1" x14ac:dyDescent="0.3"/>
    <row r="992" s="1" customFormat="1" ht="14.25" customHeight="1" x14ac:dyDescent="0.3"/>
    <row r="993" s="1" customFormat="1" ht="14.25" customHeight="1" x14ac:dyDescent="0.3"/>
    <row r="994" s="1" customFormat="1" ht="14.25" customHeight="1" x14ac:dyDescent="0.3"/>
    <row r="995" s="1" customFormat="1" ht="14.25" customHeight="1" x14ac:dyDescent="0.3"/>
    <row r="996" s="1" customFormat="1" ht="14.25" customHeight="1" x14ac:dyDescent="0.3"/>
    <row r="997" s="1" customFormat="1" ht="14.25" customHeight="1" x14ac:dyDescent="0.3"/>
    <row r="998" s="1" customFormat="1" ht="14.25" customHeight="1" x14ac:dyDescent="0.3"/>
    <row r="999" s="1" customFormat="1" ht="14.25" customHeight="1" x14ac:dyDescent="0.3"/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6AC69-CBBD-4EEC-BB1E-F5E4CEE2F509}">
  <dimension ref="A1:M999"/>
  <sheetViews>
    <sheetView workbookViewId="0"/>
  </sheetViews>
  <sheetFormatPr baseColWidth="10" defaultColWidth="12.6328125" defaultRowHeight="15" customHeight="1" x14ac:dyDescent="0.3"/>
  <cols>
    <col min="1" max="1" width="15.7265625" style="1" customWidth="1"/>
    <col min="2" max="7" width="10.6328125" style="1" customWidth="1"/>
    <col min="8" max="8" width="11.36328125" style="1" customWidth="1"/>
    <col min="9" max="25" width="10.6328125" style="1" customWidth="1"/>
    <col min="26" max="16384" width="12.6328125" style="1"/>
  </cols>
  <sheetData>
    <row r="1" spans="1:13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4.25" customHeight="1" x14ac:dyDescent="0.3">
      <c r="A2" s="1" t="s">
        <v>12</v>
      </c>
      <c r="B2" s="1" t="s">
        <v>13</v>
      </c>
      <c r="C2" s="1">
        <v>1</v>
      </c>
      <c r="H2" s="2" t="s">
        <v>14</v>
      </c>
      <c r="I2" s="3">
        <f t="shared" ref="I2:L2" si="0">SUM(C22+C37+C55+C65+C66+C96+C105+C113+C128+C146+C150)</f>
        <v>11</v>
      </c>
      <c r="J2" s="3">
        <f t="shared" si="0"/>
        <v>0</v>
      </c>
      <c r="K2" s="3">
        <f t="shared" si="0"/>
        <v>0</v>
      </c>
      <c r="L2" s="3">
        <f t="shared" si="0"/>
        <v>0</v>
      </c>
      <c r="M2" s="3">
        <f t="shared" ref="M2:M13" si="1">SUM(I2:L2)</f>
        <v>11</v>
      </c>
    </row>
    <row r="3" spans="1:13" ht="14.25" customHeight="1" x14ac:dyDescent="0.3">
      <c r="A3" s="1" t="s">
        <v>15</v>
      </c>
      <c r="B3" s="1" t="s">
        <v>16</v>
      </c>
      <c r="C3" s="1">
        <v>1</v>
      </c>
      <c r="H3" s="2" t="s">
        <v>17</v>
      </c>
      <c r="I3" s="3">
        <f t="shared" ref="I3:L3" si="2">SUM(C6+C32+C50+C52+C58+C69+C76+C94+C115+C122+C123+C152)</f>
        <v>12</v>
      </c>
      <c r="J3" s="3">
        <f t="shared" si="2"/>
        <v>0</v>
      </c>
      <c r="K3" s="3">
        <f t="shared" si="2"/>
        <v>0</v>
      </c>
      <c r="L3" s="3">
        <f t="shared" si="2"/>
        <v>0</v>
      </c>
      <c r="M3" s="3">
        <f t="shared" si="1"/>
        <v>12</v>
      </c>
    </row>
    <row r="4" spans="1:13" ht="14.25" customHeight="1" x14ac:dyDescent="0.3">
      <c r="A4" s="1" t="s">
        <v>18</v>
      </c>
      <c r="B4" s="1" t="s">
        <v>13</v>
      </c>
      <c r="C4" s="1">
        <v>1</v>
      </c>
      <c r="H4" s="2" t="s">
        <v>19</v>
      </c>
      <c r="I4" s="3">
        <f t="shared" ref="I4:L4" si="3">SUM(C26+C14+C27+C62+C68+C124+C138+C142+C153+C155)</f>
        <v>10</v>
      </c>
      <c r="J4" s="3">
        <f t="shared" si="3"/>
        <v>0</v>
      </c>
      <c r="K4" s="3">
        <f t="shared" si="3"/>
        <v>0</v>
      </c>
      <c r="L4" s="3">
        <f t="shared" si="3"/>
        <v>0</v>
      </c>
      <c r="M4" s="3">
        <f t="shared" si="1"/>
        <v>10</v>
      </c>
    </row>
    <row r="5" spans="1:13" ht="14.25" customHeight="1" x14ac:dyDescent="0.3">
      <c r="A5" s="1" t="s">
        <v>20</v>
      </c>
      <c r="B5" s="1" t="s">
        <v>21</v>
      </c>
      <c r="C5" s="1">
        <v>1</v>
      </c>
      <c r="H5" s="2" t="s">
        <v>22</v>
      </c>
      <c r="I5" s="3">
        <f t="shared" ref="I5:L5" si="4">SUM(C5+C36+C56+C63+C73+C85+C87+C95+C135)</f>
        <v>8</v>
      </c>
      <c r="J5" s="3">
        <f t="shared" si="4"/>
        <v>0</v>
      </c>
      <c r="K5" s="3">
        <f t="shared" si="4"/>
        <v>0</v>
      </c>
      <c r="L5" s="3">
        <f t="shared" si="4"/>
        <v>1</v>
      </c>
      <c r="M5" s="3">
        <f t="shared" si="1"/>
        <v>9</v>
      </c>
    </row>
    <row r="6" spans="1:13" ht="14.25" customHeight="1" x14ac:dyDescent="0.3">
      <c r="A6" s="1" t="s">
        <v>23</v>
      </c>
      <c r="B6" s="1" t="s">
        <v>24</v>
      </c>
      <c r="C6" s="1">
        <v>1</v>
      </c>
      <c r="H6" s="2" t="s">
        <v>25</v>
      </c>
      <c r="I6" s="3">
        <f t="shared" ref="I6:L6" si="5">SUM(C12+C15+C18+C28+C41+C59+C78+C64+C82+C83+C86+C106+C119+C143+C148+C154)</f>
        <v>16</v>
      </c>
      <c r="J6" s="3">
        <f t="shared" si="5"/>
        <v>0</v>
      </c>
      <c r="K6" s="3">
        <f t="shared" si="5"/>
        <v>0</v>
      </c>
      <c r="L6" s="3">
        <f t="shared" si="5"/>
        <v>0</v>
      </c>
      <c r="M6" s="3">
        <f t="shared" si="1"/>
        <v>16</v>
      </c>
    </row>
    <row r="7" spans="1:13" ht="14.25" customHeight="1" x14ac:dyDescent="0.3">
      <c r="A7" s="1" t="s">
        <v>26</v>
      </c>
      <c r="B7" s="1" t="s">
        <v>27</v>
      </c>
      <c r="C7" s="1">
        <v>1</v>
      </c>
      <c r="H7" s="2" t="s">
        <v>28</v>
      </c>
      <c r="I7" s="3">
        <f t="shared" ref="I7:L7" si="6">SUM(C3+C20+C46+C49+C54+C89+C90+C102+C112+C114+C129+C141)</f>
        <v>10</v>
      </c>
      <c r="J7" s="3">
        <f t="shared" si="6"/>
        <v>0</v>
      </c>
      <c r="K7" s="3">
        <f t="shared" si="6"/>
        <v>2</v>
      </c>
      <c r="L7" s="3">
        <f t="shared" si="6"/>
        <v>0</v>
      </c>
      <c r="M7" s="3">
        <f t="shared" si="1"/>
        <v>12</v>
      </c>
    </row>
    <row r="8" spans="1:13" ht="14.25" customHeight="1" x14ac:dyDescent="0.3">
      <c r="A8" s="1" t="s">
        <v>29</v>
      </c>
      <c r="B8" s="1" t="s">
        <v>30</v>
      </c>
      <c r="D8" s="1">
        <v>1</v>
      </c>
      <c r="H8" s="2" t="s">
        <v>27</v>
      </c>
      <c r="I8" s="3">
        <f t="shared" ref="I8:L8" si="7">SUM(C7+C30+C29+C44+C51+C60+C72+C79+C101+C99+C107+C111+C117+C140+C144)</f>
        <v>13</v>
      </c>
      <c r="J8" s="3">
        <f t="shared" si="7"/>
        <v>1</v>
      </c>
      <c r="K8" s="3">
        <f t="shared" si="7"/>
        <v>1</v>
      </c>
      <c r="L8" s="3">
        <f t="shared" si="7"/>
        <v>0</v>
      </c>
      <c r="M8" s="3">
        <f t="shared" si="1"/>
        <v>15</v>
      </c>
    </row>
    <row r="9" spans="1:13" ht="14.25" customHeight="1" x14ac:dyDescent="0.3">
      <c r="A9" s="1" t="s">
        <v>31</v>
      </c>
      <c r="B9" s="1" t="s">
        <v>13</v>
      </c>
      <c r="C9" s="1">
        <v>1</v>
      </c>
      <c r="H9" s="2" t="s">
        <v>13</v>
      </c>
      <c r="I9" s="3">
        <f t="shared" ref="I9:J9" si="8">SUM(C4+C9+C17+C19+C2+C48+C92+C120+C126+C127+C130+C133+C151)</f>
        <v>10</v>
      </c>
      <c r="J9" s="3">
        <f t="shared" si="8"/>
        <v>2</v>
      </c>
      <c r="K9" s="3">
        <f>SUM(D4+D9+D17+D19+D2+D48+D92+D120+D126+D127+D130+D133+D151)</f>
        <v>2</v>
      </c>
      <c r="L9" s="3">
        <f>SUM(F4+F9+F17+F19+F2+F48+F92+F120+F126+F127+F130+F133+F151)</f>
        <v>0</v>
      </c>
      <c r="M9" s="3">
        <f t="shared" si="1"/>
        <v>14</v>
      </c>
    </row>
    <row r="10" spans="1:13" ht="14.25" customHeight="1" x14ac:dyDescent="0.3">
      <c r="A10" s="1" t="s">
        <v>32</v>
      </c>
      <c r="B10" s="1" t="s">
        <v>33</v>
      </c>
      <c r="C10" s="1">
        <v>1</v>
      </c>
      <c r="H10" s="2" t="s">
        <v>30</v>
      </c>
      <c r="I10" s="3">
        <f t="shared" ref="I10:L10" si="9">SUM(C8+C13+C16+C25+C31+C35+C43+C45+C70+C71+C75+C81+C88+C93+C98+C100+C104+C118+C136+C137+C156)</f>
        <v>0</v>
      </c>
      <c r="J10" s="3">
        <f t="shared" si="9"/>
        <v>20</v>
      </c>
      <c r="K10" s="3">
        <f t="shared" si="9"/>
        <v>1</v>
      </c>
      <c r="L10" s="3">
        <f t="shared" si="9"/>
        <v>0</v>
      </c>
      <c r="M10" s="3">
        <f t="shared" si="1"/>
        <v>21</v>
      </c>
    </row>
    <row r="11" spans="1:13" ht="14.25" customHeight="1" x14ac:dyDescent="0.3">
      <c r="A11" s="1" t="s">
        <v>34</v>
      </c>
      <c r="B11" s="1" t="s">
        <v>33</v>
      </c>
      <c r="C11" s="1">
        <v>1</v>
      </c>
      <c r="H11" s="2" t="s">
        <v>35</v>
      </c>
      <c r="I11" s="3">
        <f t="shared" ref="I11:L11" si="10">SUM(C38+C42+C47+C53+C74+C77+C80+C91+C97+C103+C108+C116+C131+C145+C147)</f>
        <v>1</v>
      </c>
      <c r="J11" s="3">
        <f t="shared" si="10"/>
        <v>7</v>
      </c>
      <c r="K11" s="3">
        <f t="shared" si="10"/>
        <v>7</v>
      </c>
      <c r="L11" s="3">
        <f t="shared" si="10"/>
        <v>0</v>
      </c>
      <c r="M11" s="3">
        <f t="shared" si="1"/>
        <v>15</v>
      </c>
    </row>
    <row r="12" spans="1:13" ht="14.25" customHeight="1" x14ac:dyDescent="0.3">
      <c r="A12" s="1" t="s">
        <v>36</v>
      </c>
      <c r="B12" s="1" t="s">
        <v>37</v>
      </c>
      <c r="C12" s="1">
        <v>1</v>
      </c>
      <c r="H12" s="2" t="s">
        <v>38</v>
      </c>
      <c r="I12" s="3">
        <f t="shared" ref="I12:L12" si="11">SUM(C21+C24+C34+C40+C67+C84+C132)</f>
        <v>5</v>
      </c>
      <c r="J12" s="3">
        <f t="shared" si="11"/>
        <v>1</v>
      </c>
      <c r="K12" s="3">
        <f t="shared" si="11"/>
        <v>1</v>
      </c>
      <c r="L12" s="3">
        <f t="shared" si="11"/>
        <v>0</v>
      </c>
      <c r="M12" s="3">
        <f t="shared" si="1"/>
        <v>7</v>
      </c>
    </row>
    <row r="13" spans="1:13" ht="14.25" customHeight="1" x14ac:dyDescent="0.3">
      <c r="A13" s="1" t="s">
        <v>39</v>
      </c>
      <c r="B13" s="1" t="s">
        <v>30</v>
      </c>
      <c r="D13" s="1">
        <v>1</v>
      </c>
      <c r="H13" s="2" t="s">
        <v>33</v>
      </c>
      <c r="I13" s="3">
        <f t="shared" ref="I13:L13" si="12">SUM(C10+C11+C57+C125+C149)</f>
        <v>5</v>
      </c>
      <c r="J13" s="3">
        <f t="shared" si="12"/>
        <v>0</v>
      </c>
      <c r="K13" s="3">
        <f t="shared" si="12"/>
        <v>0</v>
      </c>
      <c r="L13" s="3">
        <f t="shared" si="12"/>
        <v>0</v>
      </c>
      <c r="M13" s="3">
        <f t="shared" si="1"/>
        <v>5</v>
      </c>
    </row>
    <row r="14" spans="1:13" ht="14.25" customHeight="1" x14ac:dyDescent="0.3">
      <c r="A14" s="1" t="s">
        <v>40</v>
      </c>
      <c r="B14" s="1" t="s">
        <v>19</v>
      </c>
      <c r="C14" s="1">
        <v>1</v>
      </c>
      <c r="I14" s="4"/>
      <c r="J14" s="4"/>
      <c r="K14" s="4"/>
      <c r="L14" s="4"/>
    </row>
    <row r="15" spans="1:13" ht="14.25" customHeight="1" x14ac:dyDescent="0.3">
      <c r="A15" s="1" t="s">
        <v>41</v>
      </c>
      <c r="B15" s="1" t="s">
        <v>42</v>
      </c>
      <c r="C15" s="1">
        <v>1</v>
      </c>
      <c r="I15" s="4"/>
      <c r="J15" s="4"/>
      <c r="K15" s="4"/>
      <c r="L15" s="4"/>
    </row>
    <row r="16" spans="1:13" ht="14.25" customHeight="1" x14ac:dyDescent="0.3">
      <c r="A16" s="1" t="s">
        <v>43</v>
      </c>
      <c r="B16" s="1" t="s">
        <v>30</v>
      </c>
      <c r="D16" s="1">
        <v>1</v>
      </c>
      <c r="I16" s="4"/>
      <c r="J16" s="4"/>
      <c r="K16" s="4"/>
      <c r="L16" s="4"/>
    </row>
    <row r="17" spans="1:12" ht="14.25" customHeight="1" x14ac:dyDescent="0.3">
      <c r="A17" s="1" t="s">
        <v>44</v>
      </c>
      <c r="B17" s="1" t="s">
        <v>13</v>
      </c>
      <c r="D17" s="1">
        <v>1</v>
      </c>
      <c r="I17" s="4"/>
      <c r="J17" s="4"/>
      <c r="K17" s="4"/>
      <c r="L17" s="4"/>
    </row>
    <row r="18" spans="1:12" ht="14.25" customHeight="1" x14ac:dyDescent="0.3">
      <c r="A18" s="1" t="s">
        <v>45</v>
      </c>
      <c r="B18" s="1" t="s">
        <v>37</v>
      </c>
      <c r="C18" s="1">
        <v>1</v>
      </c>
      <c r="I18" s="4"/>
      <c r="J18" s="4"/>
      <c r="K18" s="4"/>
      <c r="L18" s="4"/>
    </row>
    <row r="19" spans="1:12" ht="14.25" customHeight="1" x14ac:dyDescent="0.3">
      <c r="A19" s="1" t="s">
        <v>46</v>
      </c>
      <c r="B19" s="1" t="s">
        <v>13</v>
      </c>
      <c r="D19" s="1">
        <v>1</v>
      </c>
    </row>
    <row r="20" spans="1:12" ht="14.25" customHeight="1" x14ac:dyDescent="0.3">
      <c r="A20" s="1" t="s">
        <v>47</v>
      </c>
      <c r="B20" s="1" t="s">
        <v>16</v>
      </c>
      <c r="C20" s="1">
        <v>1</v>
      </c>
    </row>
    <row r="21" spans="1:12" ht="14.25" customHeight="1" x14ac:dyDescent="0.3">
      <c r="A21" s="1" t="s">
        <v>48</v>
      </c>
      <c r="B21" s="1" t="s">
        <v>38</v>
      </c>
      <c r="C21" s="1">
        <v>1</v>
      </c>
    </row>
    <row r="22" spans="1:12" ht="14.25" customHeight="1" x14ac:dyDescent="0.3">
      <c r="A22" s="1" t="s">
        <v>49</v>
      </c>
      <c r="B22" s="1" t="s">
        <v>14</v>
      </c>
      <c r="C22" s="1">
        <v>1</v>
      </c>
    </row>
    <row r="23" spans="1:12" ht="14.25" customHeight="1" x14ac:dyDescent="0.3">
      <c r="A23" s="1" t="s">
        <v>50</v>
      </c>
      <c r="B23" s="1" t="s">
        <v>13</v>
      </c>
      <c r="C23" s="1">
        <v>1</v>
      </c>
    </row>
    <row r="24" spans="1:12" ht="14.25" customHeight="1" x14ac:dyDescent="0.3">
      <c r="A24" s="1" t="s">
        <v>51</v>
      </c>
      <c r="B24" s="1" t="s">
        <v>38</v>
      </c>
      <c r="C24" s="1">
        <v>1</v>
      </c>
    </row>
    <row r="25" spans="1:12" ht="14.25" customHeight="1" x14ac:dyDescent="0.3">
      <c r="A25" s="1" t="s">
        <v>52</v>
      </c>
      <c r="B25" s="1" t="s">
        <v>30</v>
      </c>
      <c r="D25" s="1">
        <v>1</v>
      </c>
    </row>
    <row r="26" spans="1:12" ht="14.25" customHeight="1" x14ac:dyDescent="0.3">
      <c r="A26" s="1" t="s">
        <v>53</v>
      </c>
      <c r="B26" s="1" t="s">
        <v>19</v>
      </c>
      <c r="C26" s="1">
        <v>1</v>
      </c>
    </row>
    <row r="27" spans="1:12" ht="14.25" customHeight="1" x14ac:dyDescent="0.3">
      <c r="A27" s="1" t="s">
        <v>54</v>
      </c>
      <c r="B27" s="1" t="s">
        <v>19</v>
      </c>
      <c r="C27" s="1">
        <v>1</v>
      </c>
    </row>
    <row r="28" spans="1:12" ht="14.25" customHeight="1" x14ac:dyDescent="0.3">
      <c r="A28" s="1" t="s">
        <v>55</v>
      </c>
      <c r="B28" s="1" t="s">
        <v>37</v>
      </c>
      <c r="C28" s="1">
        <v>1</v>
      </c>
    </row>
    <row r="29" spans="1:12" ht="14.25" customHeight="1" x14ac:dyDescent="0.3">
      <c r="A29" s="1" t="s">
        <v>56</v>
      </c>
      <c r="B29" s="1" t="s">
        <v>27</v>
      </c>
      <c r="C29" s="1">
        <v>1</v>
      </c>
    </row>
    <row r="30" spans="1:12" ht="14.25" customHeight="1" x14ac:dyDescent="0.3">
      <c r="A30" s="1" t="s">
        <v>57</v>
      </c>
      <c r="B30" s="1" t="s">
        <v>27</v>
      </c>
      <c r="C30" s="1">
        <v>1</v>
      </c>
    </row>
    <row r="31" spans="1:12" ht="14.25" customHeight="1" x14ac:dyDescent="0.3">
      <c r="A31" s="1" t="s">
        <v>58</v>
      </c>
      <c r="B31" s="1" t="s">
        <v>30</v>
      </c>
      <c r="D31" s="1">
        <v>1</v>
      </c>
    </row>
    <row r="32" spans="1:12" ht="14.25" customHeight="1" x14ac:dyDescent="0.3">
      <c r="A32" s="1" t="s">
        <v>59</v>
      </c>
      <c r="B32" s="1" t="s">
        <v>24</v>
      </c>
      <c r="C32" s="1">
        <v>1</v>
      </c>
    </row>
    <row r="33" spans="1:12" ht="14.25" customHeight="1" x14ac:dyDescent="0.3">
      <c r="A33" s="1" t="s">
        <v>60</v>
      </c>
      <c r="B33" s="1" t="s">
        <v>27</v>
      </c>
      <c r="C33" s="1">
        <v>1</v>
      </c>
    </row>
    <row r="34" spans="1:12" ht="14.25" customHeight="1" x14ac:dyDescent="0.3">
      <c r="A34" s="1" t="s">
        <v>61</v>
      </c>
      <c r="B34" s="1" t="s">
        <v>38</v>
      </c>
      <c r="E34" s="1">
        <v>1</v>
      </c>
    </row>
    <row r="35" spans="1:12" ht="14.25" customHeight="1" x14ac:dyDescent="0.3">
      <c r="A35" s="1" t="s">
        <v>62</v>
      </c>
      <c r="B35" s="1" t="s">
        <v>30</v>
      </c>
      <c r="D35" s="1">
        <v>1</v>
      </c>
    </row>
    <row r="36" spans="1:12" ht="14.25" customHeight="1" x14ac:dyDescent="0.3">
      <c r="A36" s="1" t="s">
        <v>63</v>
      </c>
      <c r="B36" s="1" t="s">
        <v>21</v>
      </c>
      <c r="C36" s="1">
        <v>1</v>
      </c>
    </row>
    <row r="37" spans="1:12" ht="14.25" customHeight="1" x14ac:dyDescent="0.3">
      <c r="A37" s="1" t="s">
        <v>64</v>
      </c>
      <c r="B37" s="1" t="s">
        <v>14</v>
      </c>
      <c r="C37" s="1">
        <v>1</v>
      </c>
    </row>
    <row r="38" spans="1:12" ht="14.25" customHeight="1" x14ac:dyDescent="0.3">
      <c r="A38" s="1" t="s">
        <v>65</v>
      </c>
      <c r="B38" s="1" t="s">
        <v>66</v>
      </c>
      <c r="E38" s="1">
        <v>1</v>
      </c>
    </row>
    <row r="39" spans="1:12" ht="14.25" customHeight="1" x14ac:dyDescent="0.3">
      <c r="A39" s="1" t="s">
        <v>67</v>
      </c>
      <c r="B39" s="1" t="s">
        <v>16</v>
      </c>
      <c r="D39" s="1">
        <v>1</v>
      </c>
    </row>
    <row r="40" spans="1:12" ht="14.25" customHeight="1" x14ac:dyDescent="0.3">
      <c r="A40" s="1" t="s">
        <v>68</v>
      </c>
      <c r="B40" s="1" t="s">
        <v>38</v>
      </c>
      <c r="C40" s="1">
        <v>1</v>
      </c>
    </row>
    <row r="41" spans="1:12" ht="14.25" customHeight="1" x14ac:dyDescent="0.3">
      <c r="A41" s="1" t="s">
        <v>69</v>
      </c>
      <c r="B41" s="1" t="s">
        <v>37</v>
      </c>
      <c r="C41" s="1">
        <v>1</v>
      </c>
    </row>
    <row r="42" spans="1:12" ht="14.25" customHeight="1" x14ac:dyDescent="0.3">
      <c r="A42" s="1" t="s">
        <v>70</v>
      </c>
      <c r="B42" s="1" t="s">
        <v>66</v>
      </c>
      <c r="E42" s="1">
        <v>1</v>
      </c>
    </row>
    <row r="43" spans="1:12" ht="14.25" customHeight="1" x14ac:dyDescent="0.3">
      <c r="A43" s="1" t="s">
        <v>71</v>
      </c>
      <c r="B43" s="1" t="s">
        <v>30</v>
      </c>
      <c r="D43" s="1">
        <v>1</v>
      </c>
    </row>
    <row r="44" spans="1:12" ht="14.25" customHeight="1" x14ac:dyDescent="0.3">
      <c r="A44" s="1" t="s">
        <v>72</v>
      </c>
      <c r="B44" s="1" t="s">
        <v>27</v>
      </c>
      <c r="C44" s="1">
        <v>1</v>
      </c>
    </row>
    <row r="45" spans="1:12" ht="14.25" customHeight="1" x14ac:dyDescent="0.3">
      <c r="A45" s="1" t="s">
        <v>73</v>
      </c>
      <c r="B45" s="1" t="s">
        <v>30</v>
      </c>
      <c r="D45" s="1">
        <v>1</v>
      </c>
      <c r="H45" s="1" t="s">
        <v>6</v>
      </c>
      <c r="I45" s="1" t="s">
        <v>7</v>
      </c>
      <c r="J45" s="1" t="s">
        <v>8</v>
      </c>
      <c r="K45" s="1" t="s">
        <v>9</v>
      </c>
      <c r="L45" s="1" t="s">
        <v>10</v>
      </c>
    </row>
    <row r="46" spans="1:12" ht="14.25" customHeight="1" x14ac:dyDescent="0.3">
      <c r="A46" s="1" t="s">
        <v>74</v>
      </c>
      <c r="B46" s="1" t="s">
        <v>16</v>
      </c>
      <c r="C46" s="1">
        <v>1</v>
      </c>
      <c r="H46" s="2" t="s">
        <v>14</v>
      </c>
      <c r="I46" s="4">
        <f t="shared" ref="I46:I57" si="13">I2/M2</f>
        <v>1</v>
      </c>
      <c r="J46" s="4">
        <f t="shared" ref="J46:J57" si="14">J2/M2</f>
        <v>0</v>
      </c>
      <c r="K46" s="4">
        <f t="shared" ref="K46:K57" si="15">K2/M2</f>
        <v>0</v>
      </c>
      <c r="L46" s="4">
        <f t="shared" ref="L46:L57" si="16">L2/M2</f>
        <v>0</v>
      </c>
    </row>
    <row r="47" spans="1:12" ht="14.25" customHeight="1" x14ac:dyDescent="0.3">
      <c r="A47" s="1" t="s">
        <v>75</v>
      </c>
      <c r="B47" s="1" t="s">
        <v>66</v>
      </c>
      <c r="D47" s="1">
        <v>1</v>
      </c>
      <c r="H47" s="2" t="s">
        <v>17</v>
      </c>
      <c r="I47" s="4">
        <f t="shared" si="13"/>
        <v>1</v>
      </c>
      <c r="J47" s="4">
        <f t="shared" si="14"/>
        <v>0</v>
      </c>
      <c r="K47" s="4">
        <f t="shared" si="15"/>
        <v>0</v>
      </c>
      <c r="L47" s="4">
        <f t="shared" si="16"/>
        <v>0</v>
      </c>
    </row>
    <row r="48" spans="1:12" ht="14.25" customHeight="1" x14ac:dyDescent="0.3">
      <c r="A48" s="1" t="s">
        <v>76</v>
      </c>
      <c r="B48" s="1" t="s">
        <v>13</v>
      </c>
      <c r="C48" s="1">
        <v>1</v>
      </c>
      <c r="H48" s="2" t="s">
        <v>19</v>
      </c>
      <c r="I48" s="4">
        <f t="shared" si="13"/>
        <v>1</v>
      </c>
      <c r="J48" s="4">
        <f t="shared" si="14"/>
        <v>0</v>
      </c>
      <c r="K48" s="4">
        <f t="shared" si="15"/>
        <v>0</v>
      </c>
      <c r="L48" s="4">
        <f t="shared" si="16"/>
        <v>0</v>
      </c>
    </row>
    <row r="49" spans="1:12" ht="14.25" customHeight="1" x14ac:dyDescent="0.3">
      <c r="A49" s="1" t="s">
        <v>77</v>
      </c>
      <c r="B49" s="1" t="s">
        <v>16</v>
      </c>
      <c r="C49" s="1">
        <v>1</v>
      </c>
      <c r="H49" s="2" t="s">
        <v>22</v>
      </c>
      <c r="I49" s="4">
        <f t="shared" si="13"/>
        <v>0.88888888888888884</v>
      </c>
      <c r="J49" s="4">
        <f t="shared" si="14"/>
        <v>0</v>
      </c>
      <c r="K49" s="4">
        <f t="shared" si="15"/>
        <v>0</v>
      </c>
      <c r="L49" s="4">
        <f t="shared" si="16"/>
        <v>0.1111111111111111</v>
      </c>
    </row>
    <row r="50" spans="1:12" ht="14.25" customHeight="1" x14ac:dyDescent="0.3">
      <c r="A50" s="1" t="s">
        <v>78</v>
      </c>
      <c r="B50" s="1" t="s">
        <v>24</v>
      </c>
      <c r="C50" s="1">
        <v>1</v>
      </c>
      <c r="H50" s="2" t="s">
        <v>25</v>
      </c>
      <c r="I50" s="4">
        <f t="shared" si="13"/>
        <v>1</v>
      </c>
      <c r="J50" s="4">
        <f t="shared" si="14"/>
        <v>0</v>
      </c>
      <c r="K50" s="4">
        <f t="shared" si="15"/>
        <v>0</v>
      </c>
      <c r="L50" s="4">
        <f t="shared" si="16"/>
        <v>0</v>
      </c>
    </row>
    <row r="51" spans="1:12" ht="14.25" customHeight="1" x14ac:dyDescent="0.3">
      <c r="A51" s="1" t="s">
        <v>79</v>
      </c>
      <c r="B51" s="1" t="s">
        <v>27</v>
      </c>
      <c r="E51" s="1">
        <v>1</v>
      </c>
      <c r="H51" s="2" t="s">
        <v>28</v>
      </c>
      <c r="I51" s="4">
        <f t="shared" si="13"/>
        <v>0.83333333333333337</v>
      </c>
      <c r="J51" s="4">
        <f t="shared" si="14"/>
        <v>0</v>
      </c>
      <c r="K51" s="4">
        <f t="shared" si="15"/>
        <v>0.16666666666666666</v>
      </c>
      <c r="L51" s="4">
        <f t="shared" si="16"/>
        <v>0</v>
      </c>
    </row>
    <row r="52" spans="1:12" ht="14.25" customHeight="1" x14ac:dyDescent="0.3">
      <c r="A52" s="1" t="s">
        <v>80</v>
      </c>
      <c r="B52" s="1" t="s">
        <v>24</v>
      </c>
      <c r="C52" s="1">
        <v>1</v>
      </c>
      <c r="H52" s="2" t="s">
        <v>27</v>
      </c>
      <c r="I52" s="4">
        <f t="shared" si="13"/>
        <v>0.8666666666666667</v>
      </c>
      <c r="J52" s="4">
        <f t="shared" si="14"/>
        <v>6.6666666666666666E-2</v>
      </c>
      <c r="K52" s="4">
        <f t="shared" si="15"/>
        <v>6.6666666666666666E-2</v>
      </c>
      <c r="L52" s="4">
        <f t="shared" si="16"/>
        <v>0</v>
      </c>
    </row>
    <row r="53" spans="1:12" ht="14.25" customHeight="1" x14ac:dyDescent="0.3">
      <c r="A53" s="1" t="s">
        <v>81</v>
      </c>
      <c r="B53" s="1" t="s">
        <v>66</v>
      </c>
      <c r="D53" s="1">
        <v>1</v>
      </c>
      <c r="H53" s="2" t="s">
        <v>13</v>
      </c>
      <c r="I53" s="4">
        <f t="shared" si="13"/>
        <v>0.7142857142857143</v>
      </c>
      <c r="J53" s="4">
        <f t="shared" si="14"/>
        <v>0.14285714285714285</v>
      </c>
      <c r="K53" s="4">
        <f t="shared" si="15"/>
        <v>0.14285714285714285</v>
      </c>
      <c r="L53" s="4">
        <f t="shared" si="16"/>
        <v>0</v>
      </c>
    </row>
    <row r="54" spans="1:12" ht="14.25" customHeight="1" x14ac:dyDescent="0.3">
      <c r="A54" s="1" t="s">
        <v>82</v>
      </c>
      <c r="B54" s="1" t="s">
        <v>16</v>
      </c>
      <c r="E54" s="1">
        <v>1</v>
      </c>
      <c r="H54" s="2" t="s">
        <v>30</v>
      </c>
      <c r="I54" s="4">
        <f t="shared" si="13"/>
        <v>0</v>
      </c>
      <c r="J54" s="4">
        <f t="shared" si="14"/>
        <v>0.95238095238095233</v>
      </c>
      <c r="K54" s="4">
        <f t="shared" si="15"/>
        <v>4.7619047619047616E-2</v>
      </c>
      <c r="L54" s="4">
        <f t="shared" si="16"/>
        <v>0</v>
      </c>
    </row>
    <row r="55" spans="1:12" ht="14.25" customHeight="1" x14ac:dyDescent="0.3">
      <c r="A55" s="1" t="s">
        <v>83</v>
      </c>
      <c r="B55" s="1" t="s">
        <v>14</v>
      </c>
      <c r="C55" s="1">
        <v>1</v>
      </c>
      <c r="H55" s="2" t="s">
        <v>35</v>
      </c>
      <c r="I55" s="4">
        <f t="shared" si="13"/>
        <v>6.6666666666666666E-2</v>
      </c>
      <c r="J55" s="4">
        <f t="shared" si="14"/>
        <v>0.46666666666666667</v>
      </c>
      <c r="K55" s="4">
        <f t="shared" si="15"/>
        <v>0.46666666666666667</v>
      </c>
      <c r="L55" s="4">
        <f t="shared" si="16"/>
        <v>0</v>
      </c>
    </row>
    <row r="56" spans="1:12" ht="14.25" customHeight="1" x14ac:dyDescent="0.3">
      <c r="A56" s="1" t="s">
        <v>84</v>
      </c>
      <c r="B56" s="1" t="s">
        <v>21</v>
      </c>
      <c r="C56" s="1">
        <v>1</v>
      </c>
      <c r="H56" s="2" t="s">
        <v>38</v>
      </c>
      <c r="I56" s="4">
        <f t="shared" si="13"/>
        <v>0.7142857142857143</v>
      </c>
      <c r="J56" s="4">
        <f t="shared" si="14"/>
        <v>0.14285714285714285</v>
      </c>
      <c r="K56" s="4">
        <f t="shared" si="15"/>
        <v>0.14285714285714285</v>
      </c>
      <c r="L56" s="4">
        <f t="shared" si="16"/>
        <v>0</v>
      </c>
    </row>
    <row r="57" spans="1:12" ht="14.25" customHeight="1" x14ac:dyDescent="0.3">
      <c r="A57" s="1" t="s">
        <v>85</v>
      </c>
      <c r="B57" s="1" t="s">
        <v>33</v>
      </c>
      <c r="C57" s="1">
        <v>1</v>
      </c>
      <c r="H57" s="2" t="s">
        <v>33</v>
      </c>
      <c r="I57" s="4">
        <f t="shared" si="13"/>
        <v>1</v>
      </c>
      <c r="J57" s="4">
        <f t="shared" si="14"/>
        <v>0</v>
      </c>
      <c r="K57" s="4">
        <f t="shared" si="15"/>
        <v>0</v>
      </c>
      <c r="L57" s="4">
        <f t="shared" si="16"/>
        <v>0</v>
      </c>
    </row>
    <row r="58" spans="1:12" ht="14.25" customHeight="1" x14ac:dyDescent="0.3">
      <c r="A58" s="1" t="s">
        <v>86</v>
      </c>
      <c r="B58" s="1" t="s">
        <v>24</v>
      </c>
      <c r="C58" s="1">
        <v>1</v>
      </c>
    </row>
    <row r="59" spans="1:12" ht="14.25" customHeight="1" x14ac:dyDescent="0.3">
      <c r="A59" s="1" t="s">
        <v>87</v>
      </c>
      <c r="B59" s="1" t="s">
        <v>37</v>
      </c>
      <c r="C59" s="1">
        <v>1</v>
      </c>
    </row>
    <row r="60" spans="1:12" ht="14.25" customHeight="1" x14ac:dyDescent="0.3">
      <c r="A60" s="1" t="s">
        <v>88</v>
      </c>
      <c r="B60" s="1" t="s">
        <v>27</v>
      </c>
      <c r="C60" s="1">
        <v>1</v>
      </c>
    </row>
    <row r="61" spans="1:12" ht="14.25" customHeight="1" x14ac:dyDescent="0.3">
      <c r="A61" s="1" t="s">
        <v>89</v>
      </c>
      <c r="B61" s="1" t="s">
        <v>13</v>
      </c>
      <c r="C61" s="1">
        <v>1</v>
      </c>
    </row>
    <row r="62" spans="1:12" ht="14.25" customHeight="1" x14ac:dyDescent="0.3">
      <c r="A62" s="1" t="s">
        <v>90</v>
      </c>
      <c r="B62" s="1" t="s">
        <v>19</v>
      </c>
      <c r="C62" s="1">
        <v>1</v>
      </c>
    </row>
    <row r="63" spans="1:12" ht="14.25" customHeight="1" x14ac:dyDescent="0.3">
      <c r="A63" s="1" t="s">
        <v>91</v>
      </c>
      <c r="B63" s="1" t="s">
        <v>21</v>
      </c>
      <c r="F63" s="1">
        <v>1</v>
      </c>
    </row>
    <row r="64" spans="1:12" ht="14.25" customHeight="1" x14ac:dyDescent="0.3">
      <c r="A64" s="1" t="s">
        <v>92</v>
      </c>
      <c r="B64" s="1" t="s">
        <v>42</v>
      </c>
      <c r="C64" s="1">
        <v>1</v>
      </c>
    </row>
    <row r="65" spans="1:5" ht="14.25" customHeight="1" x14ac:dyDescent="0.3">
      <c r="A65" s="1" t="s">
        <v>93</v>
      </c>
      <c r="B65" s="1" t="s">
        <v>14</v>
      </c>
      <c r="C65" s="1">
        <v>1</v>
      </c>
    </row>
    <row r="66" spans="1:5" ht="14.25" customHeight="1" x14ac:dyDescent="0.3">
      <c r="A66" s="1" t="s">
        <v>94</v>
      </c>
      <c r="B66" s="1" t="s">
        <v>14</v>
      </c>
      <c r="C66" s="1">
        <v>1</v>
      </c>
    </row>
    <row r="67" spans="1:5" ht="14.25" customHeight="1" x14ac:dyDescent="0.3">
      <c r="A67" s="1" t="s">
        <v>95</v>
      </c>
      <c r="B67" s="1" t="s">
        <v>38</v>
      </c>
      <c r="D67" s="1">
        <v>1</v>
      </c>
    </row>
    <row r="68" spans="1:5" ht="14.25" customHeight="1" x14ac:dyDescent="0.3">
      <c r="A68" s="1" t="s">
        <v>96</v>
      </c>
      <c r="B68" s="1" t="s">
        <v>19</v>
      </c>
      <c r="C68" s="1">
        <v>1</v>
      </c>
    </row>
    <row r="69" spans="1:5" ht="14.25" customHeight="1" x14ac:dyDescent="0.3">
      <c r="A69" s="1" t="s">
        <v>97</v>
      </c>
      <c r="B69" s="1" t="s">
        <v>24</v>
      </c>
      <c r="C69" s="1">
        <v>1</v>
      </c>
    </row>
    <row r="70" spans="1:5" ht="14.25" customHeight="1" x14ac:dyDescent="0.3">
      <c r="A70" s="1" t="s">
        <v>98</v>
      </c>
      <c r="B70" s="1" t="s">
        <v>30</v>
      </c>
      <c r="D70" s="1">
        <v>1</v>
      </c>
    </row>
    <row r="71" spans="1:5" ht="14.25" customHeight="1" x14ac:dyDescent="0.3">
      <c r="A71" s="1" t="s">
        <v>99</v>
      </c>
      <c r="B71" s="1" t="s">
        <v>30</v>
      </c>
      <c r="D71" s="1">
        <v>1</v>
      </c>
    </row>
    <row r="72" spans="1:5" ht="14.25" customHeight="1" x14ac:dyDescent="0.3">
      <c r="A72" s="1" t="s">
        <v>100</v>
      </c>
      <c r="B72" s="1" t="s">
        <v>27</v>
      </c>
      <c r="D72" s="1">
        <v>1</v>
      </c>
    </row>
    <row r="73" spans="1:5" ht="14.25" customHeight="1" x14ac:dyDescent="0.3">
      <c r="A73" s="1" t="s">
        <v>101</v>
      </c>
      <c r="B73" s="1" t="s">
        <v>21</v>
      </c>
      <c r="C73" s="1">
        <v>1</v>
      </c>
    </row>
    <row r="74" spans="1:5" ht="14.25" customHeight="1" x14ac:dyDescent="0.3">
      <c r="A74" s="1" t="s">
        <v>102</v>
      </c>
      <c r="B74" s="1" t="s">
        <v>66</v>
      </c>
      <c r="D74" s="1">
        <v>1</v>
      </c>
    </row>
    <row r="75" spans="1:5" ht="14.25" customHeight="1" x14ac:dyDescent="0.3">
      <c r="A75" s="1" t="s">
        <v>103</v>
      </c>
      <c r="B75" s="1" t="s">
        <v>30</v>
      </c>
      <c r="D75" s="1">
        <v>1</v>
      </c>
    </row>
    <row r="76" spans="1:5" ht="14.25" customHeight="1" x14ac:dyDescent="0.3">
      <c r="A76" s="1" t="s">
        <v>104</v>
      </c>
      <c r="B76" s="1" t="s">
        <v>24</v>
      </c>
      <c r="C76" s="1">
        <v>1</v>
      </c>
    </row>
    <row r="77" spans="1:5" ht="14.25" customHeight="1" x14ac:dyDescent="0.3">
      <c r="A77" s="1" t="s">
        <v>105</v>
      </c>
      <c r="B77" s="1" t="s">
        <v>66</v>
      </c>
      <c r="E77" s="1">
        <v>1</v>
      </c>
    </row>
    <row r="78" spans="1:5" ht="14.25" customHeight="1" x14ac:dyDescent="0.3">
      <c r="A78" s="1" t="s">
        <v>106</v>
      </c>
      <c r="B78" s="1" t="s">
        <v>42</v>
      </c>
      <c r="C78" s="1">
        <v>1</v>
      </c>
    </row>
    <row r="79" spans="1:5" ht="14.25" customHeight="1" x14ac:dyDescent="0.3">
      <c r="A79" s="1" t="s">
        <v>107</v>
      </c>
      <c r="B79" s="1" t="s">
        <v>27</v>
      </c>
      <c r="C79" s="1">
        <v>1</v>
      </c>
    </row>
    <row r="80" spans="1:5" ht="14.25" customHeight="1" x14ac:dyDescent="0.3">
      <c r="A80" s="1" t="s">
        <v>108</v>
      </c>
      <c r="B80" s="1" t="s">
        <v>66</v>
      </c>
      <c r="D80" s="1">
        <v>1</v>
      </c>
    </row>
    <row r="81" spans="1:4" ht="14.25" customHeight="1" x14ac:dyDescent="0.3">
      <c r="A81" s="1" t="s">
        <v>109</v>
      </c>
      <c r="B81" s="1" t="s">
        <v>30</v>
      </c>
      <c r="D81" s="1">
        <v>1</v>
      </c>
    </row>
    <row r="82" spans="1:4" ht="14.25" customHeight="1" x14ac:dyDescent="0.3">
      <c r="A82" s="1" t="s">
        <v>110</v>
      </c>
      <c r="B82" s="1" t="s">
        <v>37</v>
      </c>
      <c r="C82" s="1">
        <v>1</v>
      </c>
    </row>
    <row r="83" spans="1:4" ht="14.25" customHeight="1" x14ac:dyDescent="0.3">
      <c r="A83" s="1" t="s">
        <v>111</v>
      </c>
      <c r="B83" s="1" t="s">
        <v>37</v>
      </c>
      <c r="C83" s="1">
        <v>1</v>
      </c>
    </row>
    <row r="84" spans="1:4" ht="14.25" customHeight="1" x14ac:dyDescent="0.3">
      <c r="A84" s="1" t="s">
        <v>112</v>
      </c>
      <c r="B84" s="1" t="s">
        <v>38</v>
      </c>
      <c r="C84" s="1">
        <v>1</v>
      </c>
    </row>
    <row r="85" spans="1:4" ht="14.25" customHeight="1" x14ac:dyDescent="0.3">
      <c r="A85" s="1" t="s">
        <v>113</v>
      </c>
      <c r="B85" s="1" t="s">
        <v>21</v>
      </c>
      <c r="C85" s="1">
        <v>1</v>
      </c>
    </row>
    <row r="86" spans="1:4" ht="14.25" customHeight="1" x14ac:dyDescent="0.3">
      <c r="A86" s="1" t="s">
        <v>114</v>
      </c>
      <c r="B86" s="1" t="s">
        <v>42</v>
      </c>
      <c r="C86" s="1">
        <v>1</v>
      </c>
    </row>
    <row r="87" spans="1:4" ht="14.25" customHeight="1" x14ac:dyDescent="0.3">
      <c r="A87" s="1" t="s">
        <v>115</v>
      </c>
      <c r="B87" s="1" t="s">
        <v>21</v>
      </c>
      <c r="C87" s="1">
        <v>1</v>
      </c>
    </row>
    <row r="88" spans="1:4" ht="14.25" customHeight="1" x14ac:dyDescent="0.3">
      <c r="A88" s="1" t="s">
        <v>116</v>
      </c>
      <c r="B88" s="1" t="s">
        <v>30</v>
      </c>
      <c r="D88" s="1">
        <v>1</v>
      </c>
    </row>
    <row r="89" spans="1:4" ht="14.25" customHeight="1" x14ac:dyDescent="0.3">
      <c r="A89" s="1" t="s">
        <v>117</v>
      </c>
      <c r="B89" s="1" t="s">
        <v>16</v>
      </c>
      <c r="C89" s="1">
        <v>1</v>
      </c>
    </row>
    <row r="90" spans="1:4" ht="14.25" customHeight="1" x14ac:dyDescent="0.3">
      <c r="A90" s="1" t="s">
        <v>118</v>
      </c>
      <c r="B90" s="1" t="s">
        <v>16</v>
      </c>
      <c r="C90" s="1">
        <v>1</v>
      </c>
    </row>
    <row r="91" spans="1:4" ht="14.25" customHeight="1" x14ac:dyDescent="0.3">
      <c r="A91" s="1" t="s">
        <v>119</v>
      </c>
      <c r="B91" s="1" t="s">
        <v>66</v>
      </c>
      <c r="D91" s="1">
        <v>1</v>
      </c>
    </row>
    <row r="92" spans="1:4" ht="14.25" customHeight="1" x14ac:dyDescent="0.3">
      <c r="A92" s="1" t="s">
        <v>120</v>
      </c>
      <c r="B92" s="1" t="s">
        <v>13</v>
      </c>
      <c r="C92" s="1">
        <v>1</v>
      </c>
    </row>
    <row r="93" spans="1:4" ht="14.25" customHeight="1" x14ac:dyDescent="0.3">
      <c r="A93" s="1" t="s">
        <v>121</v>
      </c>
      <c r="B93" s="1" t="s">
        <v>30</v>
      </c>
      <c r="D93" s="1">
        <v>1</v>
      </c>
    </row>
    <row r="94" spans="1:4" ht="14.25" customHeight="1" x14ac:dyDescent="0.3">
      <c r="A94" s="1" t="s">
        <v>122</v>
      </c>
      <c r="B94" s="1" t="s">
        <v>24</v>
      </c>
      <c r="C94" s="1">
        <v>1</v>
      </c>
    </row>
    <row r="95" spans="1:4" ht="14.25" customHeight="1" x14ac:dyDescent="0.3">
      <c r="A95" s="1" t="s">
        <v>123</v>
      </c>
      <c r="B95" s="1" t="s">
        <v>21</v>
      </c>
      <c r="C95" s="1">
        <v>1</v>
      </c>
    </row>
    <row r="96" spans="1:4" ht="14.25" customHeight="1" x14ac:dyDescent="0.3">
      <c r="A96" s="1" t="s">
        <v>124</v>
      </c>
      <c r="B96" s="1" t="s">
        <v>14</v>
      </c>
      <c r="C96" s="1">
        <v>1</v>
      </c>
    </row>
    <row r="97" spans="1:5" ht="14.25" customHeight="1" x14ac:dyDescent="0.3">
      <c r="A97" s="1" t="s">
        <v>125</v>
      </c>
      <c r="B97" s="1" t="s">
        <v>66</v>
      </c>
      <c r="E97" s="1">
        <v>1</v>
      </c>
    </row>
    <row r="98" spans="1:5" ht="14.25" customHeight="1" x14ac:dyDescent="0.3">
      <c r="A98" s="1" t="s">
        <v>126</v>
      </c>
      <c r="B98" s="1" t="s">
        <v>30</v>
      </c>
      <c r="D98" s="1">
        <v>1</v>
      </c>
    </row>
    <row r="99" spans="1:5" ht="14.25" customHeight="1" x14ac:dyDescent="0.3">
      <c r="A99" s="1" t="s">
        <v>127</v>
      </c>
      <c r="B99" s="1" t="s">
        <v>27</v>
      </c>
      <c r="C99" s="1">
        <v>1</v>
      </c>
    </row>
    <row r="100" spans="1:5" ht="14.25" customHeight="1" x14ac:dyDescent="0.3">
      <c r="A100" s="1" t="s">
        <v>128</v>
      </c>
      <c r="B100" s="1" t="s">
        <v>30</v>
      </c>
      <c r="D100" s="1">
        <v>1</v>
      </c>
    </row>
    <row r="101" spans="1:5" ht="14.25" customHeight="1" x14ac:dyDescent="0.3">
      <c r="A101" s="1" t="s">
        <v>129</v>
      </c>
      <c r="B101" s="1" t="s">
        <v>27</v>
      </c>
      <c r="C101" s="1">
        <v>1</v>
      </c>
    </row>
    <row r="102" spans="1:5" ht="14.25" customHeight="1" x14ac:dyDescent="0.3">
      <c r="A102" s="1" t="s">
        <v>130</v>
      </c>
      <c r="B102" s="1" t="s">
        <v>16</v>
      </c>
      <c r="C102" s="1">
        <v>1</v>
      </c>
    </row>
    <row r="103" spans="1:5" ht="14.25" customHeight="1" x14ac:dyDescent="0.3">
      <c r="A103" s="1" t="s">
        <v>131</v>
      </c>
      <c r="B103" s="1" t="s">
        <v>66</v>
      </c>
      <c r="E103" s="1">
        <v>1</v>
      </c>
    </row>
    <row r="104" spans="1:5" ht="14.25" customHeight="1" x14ac:dyDescent="0.3">
      <c r="A104" s="1" t="s">
        <v>132</v>
      </c>
      <c r="B104" s="1" t="s">
        <v>30</v>
      </c>
      <c r="D104" s="1">
        <v>1</v>
      </c>
    </row>
    <row r="105" spans="1:5" ht="14.25" customHeight="1" x14ac:dyDescent="0.3">
      <c r="A105" s="1" t="s">
        <v>133</v>
      </c>
      <c r="B105" s="1" t="s">
        <v>14</v>
      </c>
      <c r="C105" s="1">
        <v>1</v>
      </c>
    </row>
    <row r="106" spans="1:5" ht="14.25" customHeight="1" x14ac:dyDescent="0.3">
      <c r="A106" s="1" t="s">
        <v>134</v>
      </c>
      <c r="B106" s="1" t="s">
        <v>42</v>
      </c>
      <c r="C106" s="1">
        <v>1</v>
      </c>
    </row>
    <row r="107" spans="1:5" ht="14.25" customHeight="1" x14ac:dyDescent="0.3">
      <c r="A107" s="1" t="s">
        <v>135</v>
      </c>
      <c r="B107" s="1" t="s">
        <v>27</v>
      </c>
      <c r="C107" s="1">
        <v>1</v>
      </c>
    </row>
    <row r="108" spans="1:5" ht="14.25" customHeight="1" x14ac:dyDescent="0.3">
      <c r="A108" s="1" t="s">
        <v>136</v>
      </c>
      <c r="B108" s="1" t="s">
        <v>66</v>
      </c>
      <c r="D108" s="1">
        <v>1</v>
      </c>
    </row>
    <row r="109" spans="1:5" ht="14.25" customHeight="1" x14ac:dyDescent="0.3">
      <c r="A109" s="1" t="s">
        <v>137</v>
      </c>
      <c r="B109" s="1" t="s">
        <v>13</v>
      </c>
      <c r="D109" s="1">
        <v>1</v>
      </c>
    </row>
    <row r="110" spans="1:5" ht="14.25" customHeight="1" x14ac:dyDescent="0.3">
      <c r="A110" s="1" t="s">
        <v>138</v>
      </c>
      <c r="B110" s="1" t="s">
        <v>42</v>
      </c>
      <c r="C110" s="1">
        <v>1</v>
      </c>
    </row>
    <row r="111" spans="1:5" ht="14.25" customHeight="1" x14ac:dyDescent="0.3">
      <c r="A111" s="1" t="s">
        <v>139</v>
      </c>
      <c r="B111" s="1" t="s">
        <v>27</v>
      </c>
      <c r="C111" s="1">
        <v>1</v>
      </c>
    </row>
    <row r="112" spans="1:5" ht="14.25" customHeight="1" x14ac:dyDescent="0.3">
      <c r="A112" s="1" t="s">
        <v>140</v>
      </c>
      <c r="B112" s="1" t="s">
        <v>16</v>
      </c>
      <c r="C112" s="1">
        <v>1</v>
      </c>
    </row>
    <row r="113" spans="1:6" ht="14.25" customHeight="1" x14ac:dyDescent="0.3">
      <c r="A113" s="1" t="s">
        <v>141</v>
      </c>
      <c r="B113" s="1" t="s">
        <v>14</v>
      </c>
      <c r="C113" s="1">
        <v>1</v>
      </c>
    </row>
    <row r="114" spans="1:6" ht="14.25" customHeight="1" x14ac:dyDescent="0.3">
      <c r="A114" s="1" t="s">
        <v>142</v>
      </c>
      <c r="B114" s="1" t="s">
        <v>16</v>
      </c>
      <c r="E114" s="1">
        <v>1</v>
      </c>
    </row>
    <row r="115" spans="1:6" ht="14.25" customHeight="1" x14ac:dyDescent="0.3">
      <c r="A115" s="1" t="s">
        <v>143</v>
      </c>
      <c r="B115" s="1" t="s">
        <v>24</v>
      </c>
      <c r="C115" s="1">
        <v>1</v>
      </c>
    </row>
    <row r="116" spans="1:6" ht="14.25" customHeight="1" x14ac:dyDescent="0.3">
      <c r="A116" s="1" t="s">
        <v>144</v>
      </c>
      <c r="B116" s="1" t="s">
        <v>66</v>
      </c>
      <c r="E116" s="1">
        <v>1</v>
      </c>
    </row>
    <row r="117" spans="1:6" ht="14.25" customHeight="1" x14ac:dyDescent="0.3">
      <c r="A117" s="1" t="s">
        <v>145</v>
      </c>
      <c r="B117" s="1" t="s">
        <v>27</v>
      </c>
      <c r="C117" s="1">
        <v>1</v>
      </c>
    </row>
    <row r="118" spans="1:6" ht="14.25" customHeight="1" x14ac:dyDescent="0.3">
      <c r="A118" s="1" t="s">
        <v>146</v>
      </c>
      <c r="B118" s="1" t="s">
        <v>30</v>
      </c>
      <c r="E118" s="1">
        <v>1</v>
      </c>
    </row>
    <row r="119" spans="1:6" ht="14.25" customHeight="1" x14ac:dyDescent="0.3">
      <c r="A119" s="1" t="s">
        <v>147</v>
      </c>
      <c r="B119" s="1" t="s">
        <v>42</v>
      </c>
      <c r="C119" s="1">
        <v>1</v>
      </c>
    </row>
    <row r="120" spans="1:6" ht="14.25" customHeight="1" x14ac:dyDescent="0.3">
      <c r="A120" s="1" t="s">
        <v>148</v>
      </c>
      <c r="B120" s="1" t="s">
        <v>13</v>
      </c>
      <c r="C120" s="1">
        <v>1</v>
      </c>
    </row>
    <row r="121" spans="1:6" ht="14.25" customHeight="1" x14ac:dyDescent="0.3">
      <c r="A121" s="1" t="s">
        <v>149</v>
      </c>
      <c r="B121" s="1" t="s">
        <v>150</v>
      </c>
      <c r="F121" s="1">
        <v>1</v>
      </c>
    </row>
    <row r="122" spans="1:6" ht="14.25" customHeight="1" x14ac:dyDescent="0.3">
      <c r="A122" s="1" t="s">
        <v>151</v>
      </c>
      <c r="B122" s="1" t="s">
        <v>24</v>
      </c>
      <c r="C122" s="1">
        <v>1</v>
      </c>
    </row>
    <row r="123" spans="1:6" ht="14.25" customHeight="1" x14ac:dyDescent="0.3">
      <c r="A123" s="1" t="s">
        <v>152</v>
      </c>
      <c r="B123" s="1" t="s">
        <v>24</v>
      </c>
      <c r="C123" s="1">
        <v>1</v>
      </c>
    </row>
    <row r="124" spans="1:6" ht="14.25" customHeight="1" x14ac:dyDescent="0.3">
      <c r="A124" s="1" t="s">
        <v>153</v>
      </c>
      <c r="B124" s="1" t="s">
        <v>19</v>
      </c>
      <c r="C124" s="1">
        <v>1</v>
      </c>
    </row>
    <row r="125" spans="1:6" ht="14.25" customHeight="1" x14ac:dyDescent="0.3">
      <c r="A125" s="1" t="s">
        <v>154</v>
      </c>
      <c r="B125" s="1" t="s">
        <v>33</v>
      </c>
      <c r="C125" s="1">
        <v>1</v>
      </c>
    </row>
    <row r="126" spans="1:6" ht="14.25" customHeight="1" x14ac:dyDescent="0.3">
      <c r="A126" s="1" t="s">
        <v>155</v>
      </c>
      <c r="B126" s="1" t="s">
        <v>13</v>
      </c>
      <c r="C126" s="1">
        <v>1</v>
      </c>
    </row>
    <row r="127" spans="1:6" ht="14.25" customHeight="1" x14ac:dyDescent="0.3">
      <c r="A127" s="1" t="s">
        <v>156</v>
      </c>
      <c r="B127" s="1" t="s">
        <v>13</v>
      </c>
      <c r="C127" s="1">
        <v>1</v>
      </c>
    </row>
    <row r="128" spans="1:6" ht="14.25" customHeight="1" x14ac:dyDescent="0.3">
      <c r="A128" s="1" t="s">
        <v>157</v>
      </c>
      <c r="B128" s="1" t="s">
        <v>14</v>
      </c>
      <c r="C128" s="1">
        <v>1</v>
      </c>
    </row>
    <row r="129" spans="1:5" ht="14.25" customHeight="1" x14ac:dyDescent="0.3">
      <c r="A129" s="1" t="s">
        <v>158</v>
      </c>
      <c r="B129" s="1" t="s">
        <v>16</v>
      </c>
      <c r="C129" s="1">
        <v>1</v>
      </c>
    </row>
    <row r="130" spans="1:5" ht="14.25" customHeight="1" x14ac:dyDescent="0.3">
      <c r="A130" s="1" t="s">
        <v>159</v>
      </c>
      <c r="B130" s="1" t="s">
        <v>13</v>
      </c>
      <c r="C130" s="1">
        <v>1</v>
      </c>
    </row>
    <row r="131" spans="1:5" ht="14.25" customHeight="1" x14ac:dyDescent="0.3">
      <c r="A131" s="1" t="s">
        <v>160</v>
      </c>
      <c r="B131" s="1" t="s">
        <v>66</v>
      </c>
      <c r="C131" s="1">
        <v>1</v>
      </c>
    </row>
    <row r="132" spans="1:5" ht="14.25" customHeight="1" x14ac:dyDescent="0.3">
      <c r="A132" s="1" t="s">
        <v>161</v>
      </c>
      <c r="B132" s="1" t="s">
        <v>38</v>
      </c>
      <c r="C132" s="1">
        <v>1</v>
      </c>
    </row>
    <row r="133" spans="1:5" ht="14.25" customHeight="1" x14ac:dyDescent="0.3">
      <c r="A133" s="1" t="s">
        <v>162</v>
      </c>
      <c r="B133" s="1" t="s">
        <v>13</v>
      </c>
      <c r="C133" s="1">
        <v>1</v>
      </c>
    </row>
    <row r="134" spans="1:5" ht="14.25" customHeight="1" x14ac:dyDescent="0.3">
      <c r="A134" s="1" t="s">
        <v>163</v>
      </c>
      <c r="B134" s="1" t="s">
        <v>66</v>
      </c>
      <c r="E134" s="1">
        <v>1</v>
      </c>
    </row>
    <row r="135" spans="1:5" ht="14.25" customHeight="1" x14ac:dyDescent="0.3">
      <c r="A135" s="1" t="s">
        <v>164</v>
      </c>
      <c r="B135" s="1" t="s">
        <v>21</v>
      </c>
      <c r="C135" s="1">
        <v>1</v>
      </c>
    </row>
    <row r="136" spans="1:5" ht="14.25" customHeight="1" x14ac:dyDescent="0.3">
      <c r="A136" s="1" t="s">
        <v>165</v>
      </c>
      <c r="B136" s="1" t="s">
        <v>30</v>
      </c>
      <c r="D136" s="1">
        <v>1</v>
      </c>
    </row>
    <row r="137" spans="1:5" ht="14.25" customHeight="1" x14ac:dyDescent="0.3">
      <c r="A137" s="1" t="s">
        <v>166</v>
      </c>
      <c r="B137" s="1" t="s">
        <v>30</v>
      </c>
      <c r="D137" s="1">
        <v>1</v>
      </c>
    </row>
    <row r="138" spans="1:5" ht="14.25" customHeight="1" x14ac:dyDescent="0.3">
      <c r="A138" s="1" t="s">
        <v>167</v>
      </c>
      <c r="B138" s="1" t="s">
        <v>19</v>
      </c>
      <c r="C138" s="1">
        <v>1</v>
      </c>
    </row>
    <row r="139" spans="1:5" ht="14.25" customHeight="1" x14ac:dyDescent="0.3">
      <c r="A139" s="1" t="s">
        <v>168</v>
      </c>
      <c r="B139" s="1" t="s">
        <v>13</v>
      </c>
      <c r="C139" s="1">
        <v>1</v>
      </c>
    </row>
    <row r="140" spans="1:5" ht="14.25" customHeight="1" x14ac:dyDescent="0.3">
      <c r="A140" s="1" t="s">
        <v>169</v>
      </c>
      <c r="B140" s="1" t="s">
        <v>27</v>
      </c>
      <c r="C140" s="1">
        <v>1</v>
      </c>
    </row>
    <row r="141" spans="1:5" ht="14.25" customHeight="1" x14ac:dyDescent="0.3">
      <c r="A141" s="1" t="s">
        <v>170</v>
      </c>
      <c r="B141" s="1" t="s">
        <v>16</v>
      </c>
      <c r="C141" s="1">
        <v>1</v>
      </c>
    </row>
    <row r="142" spans="1:5" ht="14.25" customHeight="1" x14ac:dyDescent="0.3">
      <c r="A142" s="1" t="s">
        <v>171</v>
      </c>
      <c r="B142" s="1" t="s">
        <v>19</v>
      </c>
      <c r="C142" s="1">
        <v>1</v>
      </c>
    </row>
    <row r="143" spans="1:5" ht="14.25" customHeight="1" x14ac:dyDescent="0.3">
      <c r="A143" s="1" t="s">
        <v>172</v>
      </c>
      <c r="B143" s="1" t="s">
        <v>37</v>
      </c>
      <c r="C143" s="1">
        <v>1</v>
      </c>
    </row>
    <row r="144" spans="1:5" ht="14.25" customHeight="1" x14ac:dyDescent="0.3">
      <c r="A144" s="1" t="s">
        <v>173</v>
      </c>
      <c r="B144" s="1" t="s">
        <v>27</v>
      </c>
      <c r="C144" s="1">
        <v>1</v>
      </c>
    </row>
    <row r="145" spans="1:5" ht="14.25" customHeight="1" x14ac:dyDescent="0.3">
      <c r="A145" s="1" t="s">
        <v>174</v>
      </c>
      <c r="B145" s="1" t="s">
        <v>66</v>
      </c>
      <c r="D145" s="1">
        <v>1</v>
      </c>
    </row>
    <row r="146" spans="1:5" ht="14.25" customHeight="1" x14ac:dyDescent="0.3">
      <c r="A146" s="1" t="s">
        <v>175</v>
      </c>
      <c r="B146" s="1" t="s">
        <v>14</v>
      </c>
      <c r="C146" s="1">
        <v>1</v>
      </c>
    </row>
    <row r="147" spans="1:5" ht="14.25" customHeight="1" x14ac:dyDescent="0.3">
      <c r="A147" s="1" t="s">
        <v>176</v>
      </c>
      <c r="B147" s="1" t="s">
        <v>66</v>
      </c>
      <c r="E147" s="1">
        <v>1</v>
      </c>
    </row>
    <row r="148" spans="1:5" ht="14.25" customHeight="1" x14ac:dyDescent="0.3">
      <c r="A148" s="1" t="s">
        <v>177</v>
      </c>
      <c r="B148" s="1" t="s">
        <v>42</v>
      </c>
      <c r="C148" s="1">
        <v>1</v>
      </c>
    </row>
    <row r="149" spans="1:5" ht="14.25" customHeight="1" x14ac:dyDescent="0.3">
      <c r="A149" s="1" t="s">
        <v>178</v>
      </c>
      <c r="B149" s="1" t="s">
        <v>33</v>
      </c>
      <c r="C149" s="1">
        <v>1</v>
      </c>
    </row>
    <row r="150" spans="1:5" ht="14.25" customHeight="1" x14ac:dyDescent="0.3">
      <c r="A150" s="1" t="s">
        <v>179</v>
      </c>
      <c r="B150" s="1" t="s">
        <v>14</v>
      </c>
      <c r="C150" s="1">
        <v>1</v>
      </c>
    </row>
    <row r="151" spans="1:5" ht="14.25" customHeight="1" x14ac:dyDescent="0.3">
      <c r="A151" s="1" t="s">
        <v>180</v>
      </c>
      <c r="B151" s="1" t="s">
        <v>13</v>
      </c>
      <c r="E151" s="1">
        <v>1</v>
      </c>
    </row>
    <row r="152" spans="1:5" ht="14.25" customHeight="1" x14ac:dyDescent="0.3">
      <c r="A152" s="1" t="s">
        <v>181</v>
      </c>
      <c r="B152" s="1" t="s">
        <v>24</v>
      </c>
      <c r="C152" s="1">
        <v>1</v>
      </c>
    </row>
    <row r="153" spans="1:5" ht="14.25" customHeight="1" x14ac:dyDescent="0.3">
      <c r="A153" s="1" t="s">
        <v>182</v>
      </c>
      <c r="B153" s="1" t="s">
        <v>19</v>
      </c>
      <c r="C153" s="1">
        <v>1</v>
      </c>
    </row>
    <row r="154" spans="1:5" ht="14.25" customHeight="1" x14ac:dyDescent="0.3">
      <c r="A154" s="1" t="s">
        <v>183</v>
      </c>
      <c r="B154" s="1" t="s">
        <v>42</v>
      </c>
      <c r="C154" s="1">
        <v>1</v>
      </c>
    </row>
    <row r="155" spans="1:5" ht="14.25" customHeight="1" x14ac:dyDescent="0.3">
      <c r="A155" s="1" t="s">
        <v>184</v>
      </c>
      <c r="B155" s="1" t="s">
        <v>19</v>
      </c>
      <c r="C155" s="1">
        <v>1</v>
      </c>
    </row>
    <row r="156" spans="1:5" ht="14.25" customHeight="1" x14ac:dyDescent="0.3">
      <c r="A156" s="1" t="s">
        <v>185</v>
      </c>
      <c r="B156" s="1" t="s">
        <v>30</v>
      </c>
      <c r="D156" s="1">
        <v>1</v>
      </c>
    </row>
    <row r="157" spans="1:5" ht="14.25" customHeight="1" x14ac:dyDescent="0.3"/>
    <row r="158" spans="1:5" ht="14.25" customHeight="1" x14ac:dyDescent="0.3"/>
    <row r="159" spans="1:5" ht="14.25" customHeight="1" x14ac:dyDescent="0.3"/>
    <row r="160" spans="1:5" ht="14.25" customHeight="1" x14ac:dyDescent="0.3"/>
    <row r="161" s="1" customFormat="1" ht="14.25" customHeight="1" x14ac:dyDescent="0.3"/>
    <row r="162" s="1" customFormat="1" ht="14.25" customHeight="1" x14ac:dyDescent="0.3"/>
    <row r="163" s="1" customFormat="1" ht="14.25" customHeight="1" x14ac:dyDescent="0.3"/>
    <row r="164" s="1" customFormat="1" ht="14.25" customHeight="1" x14ac:dyDescent="0.3"/>
    <row r="165" s="1" customFormat="1" ht="14.25" customHeight="1" x14ac:dyDescent="0.3"/>
    <row r="166" s="1" customFormat="1" ht="14.25" customHeight="1" x14ac:dyDescent="0.3"/>
    <row r="167" s="1" customFormat="1" ht="14.25" customHeight="1" x14ac:dyDescent="0.3"/>
    <row r="168" s="1" customFormat="1" ht="14.25" customHeight="1" x14ac:dyDescent="0.3"/>
    <row r="169" s="1" customFormat="1" ht="14.25" customHeight="1" x14ac:dyDescent="0.3"/>
    <row r="170" s="1" customFormat="1" ht="14.25" customHeight="1" x14ac:dyDescent="0.3"/>
    <row r="171" s="1" customFormat="1" ht="14.25" customHeight="1" x14ac:dyDescent="0.3"/>
    <row r="172" s="1" customFormat="1" ht="14.25" customHeight="1" x14ac:dyDescent="0.3"/>
    <row r="173" s="1" customFormat="1" ht="14.25" customHeight="1" x14ac:dyDescent="0.3"/>
    <row r="174" s="1" customFormat="1" ht="14.25" customHeight="1" x14ac:dyDescent="0.3"/>
    <row r="175" s="1" customFormat="1" ht="14.25" customHeight="1" x14ac:dyDescent="0.3"/>
    <row r="176" s="1" customFormat="1" ht="14.25" customHeight="1" x14ac:dyDescent="0.3"/>
    <row r="177" s="1" customFormat="1" ht="14.25" customHeight="1" x14ac:dyDescent="0.3"/>
    <row r="178" s="1" customFormat="1" ht="14.25" customHeight="1" x14ac:dyDescent="0.3"/>
    <row r="179" s="1" customFormat="1" ht="14.25" customHeight="1" x14ac:dyDescent="0.3"/>
    <row r="180" s="1" customFormat="1" ht="14.25" customHeight="1" x14ac:dyDescent="0.3"/>
    <row r="181" s="1" customFormat="1" ht="14.25" customHeight="1" x14ac:dyDescent="0.3"/>
    <row r="182" s="1" customFormat="1" ht="14.25" customHeight="1" x14ac:dyDescent="0.3"/>
    <row r="183" s="1" customFormat="1" ht="14.25" customHeight="1" x14ac:dyDescent="0.3"/>
    <row r="184" s="1" customFormat="1" ht="14.25" customHeight="1" x14ac:dyDescent="0.3"/>
    <row r="185" s="1" customFormat="1" ht="14.25" customHeight="1" x14ac:dyDescent="0.3"/>
    <row r="186" s="1" customFormat="1" ht="14.25" customHeight="1" x14ac:dyDescent="0.3"/>
    <row r="187" s="1" customFormat="1" ht="14.25" customHeight="1" x14ac:dyDescent="0.3"/>
    <row r="188" s="1" customFormat="1" ht="14.25" customHeight="1" x14ac:dyDescent="0.3"/>
    <row r="189" s="1" customFormat="1" ht="14.25" customHeight="1" x14ac:dyDescent="0.3"/>
    <row r="190" s="1" customFormat="1" ht="14.25" customHeight="1" x14ac:dyDescent="0.3"/>
    <row r="191" s="1" customFormat="1" ht="14.25" customHeight="1" x14ac:dyDescent="0.3"/>
    <row r="192" s="1" customFormat="1" ht="14.25" customHeight="1" x14ac:dyDescent="0.3"/>
    <row r="193" s="1" customFormat="1" ht="14.25" customHeight="1" x14ac:dyDescent="0.3"/>
    <row r="194" s="1" customFormat="1" ht="14.25" customHeight="1" x14ac:dyDescent="0.3"/>
    <row r="195" s="1" customFormat="1" ht="14.25" customHeight="1" x14ac:dyDescent="0.3"/>
    <row r="196" s="1" customFormat="1" ht="14.25" customHeight="1" x14ac:dyDescent="0.3"/>
    <row r="197" s="1" customFormat="1" ht="14.25" customHeight="1" x14ac:dyDescent="0.3"/>
    <row r="198" s="1" customFormat="1" ht="14.25" customHeight="1" x14ac:dyDescent="0.3"/>
    <row r="199" s="1" customFormat="1" ht="14.25" customHeight="1" x14ac:dyDescent="0.3"/>
    <row r="200" s="1" customFormat="1" ht="14.25" customHeight="1" x14ac:dyDescent="0.3"/>
    <row r="201" s="1" customFormat="1" ht="14.25" customHeight="1" x14ac:dyDescent="0.3"/>
    <row r="202" s="1" customFormat="1" ht="14.25" customHeight="1" x14ac:dyDescent="0.3"/>
    <row r="203" s="1" customFormat="1" ht="14.25" customHeight="1" x14ac:dyDescent="0.3"/>
    <row r="204" s="1" customFormat="1" ht="14.25" customHeight="1" x14ac:dyDescent="0.3"/>
    <row r="205" s="1" customFormat="1" ht="14.25" customHeight="1" x14ac:dyDescent="0.3"/>
    <row r="206" s="1" customFormat="1" ht="14.25" customHeight="1" x14ac:dyDescent="0.3"/>
    <row r="207" s="1" customFormat="1" ht="14.25" customHeight="1" x14ac:dyDescent="0.3"/>
    <row r="208" s="1" customFormat="1" ht="14.25" customHeight="1" x14ac:dyDescent="0.3"/>
    <row r="209" s="1" customFormat="1" ht="14.25" customHeight="1" x14ac:dyDescent="0.3"/>
    <row r="210" s="1" customFormat="1" ht="14.25" customHeight="1" x14ac:dyDescent="0.3"/>
    <row r="211" s="1" customFormat="1" ht="14.25" customHeight="1" x14ac:dyDescent="0.3"/>
    <row r="212" s="1" customFormat="1" ht="14.25" customHeight="1" x14ac:dyDescent="0.3"/>
    <row r="213" s="1" customFormat="1" ht="14.25" customHeight="1" x14ac:dyDescent="0.3"/>
    <row r="214" s="1" customFormat="1" ht="14.25" customHeight="1" x14ac:dyDescent="0.3"/>
    <row r="215" s="1" customFormat="1" ht="14.25" customHeight="1" x14ac:dyDescent="0.3"/>
    <row r="216" s="1" customFormat="1" ht="14.25" customHeight="1" x14ac:dyDescent="0.3"/>
    <row r="217" s="1" customFormat="1" ht="14.25" customHeight="1" x14ac:dyDescent="0.3"/>
    <row r="218" s="1" customFormat="1" ht="14.25" customHeight="1" x14ac:dyDescent="0.3"/>
    <row r="219" s="1" customFormat="1" ht="14.25" customHeight="1" x14ac:dyDescent="0.3"/>
    <row r="220" s="1" customFormat="1" ht="14.25" customHeight="1" x14ac:dyDescent="0.3"/>
    <row r="221" s="1" customFormat="1" ht="14.25" customHeight="1" x14ac:dyDescent="0.3"/>
    <row r="222" s="1" customFormat="1" ht="14.25" customHeight="1" x14ac:dyDescent="0.3"/>
    <row r="223" s="1" customFormat="1" ht="14.25" customHeight="1" x14ac:dyDescent="0.3"/>
    <row r="224" s="1" customFormat="1" ht="14.25" customHeight="1" x14ac:dyDescent="0.3"/>
    <row r="225" s="1" customFormat="1" ht="14.25" customHeight="1" x14ac:dyDescent="0.3"/>
    <row r="226" s="1" customFormat="1" ht="14.25" customHeight="1" x14ac:dyDescent="0.3"/>
    <row r="227" s="1" customFormat="1" ht="14.25" customHeight="1" x14ac:dyDescent="0.3"/>
    <row r="228" s="1" customFormat="1" ht="14.25" customHeight="1" x14ac:dyDescent="0.3"/>
    <row r="229" s="1" customFormat="1" ht="14.25" customHeight="1" x14ac:dyDescent="0.3"/>
    <row r="230" s="1" customFormat="1" ht="14.25" customHeight="1" x14ac:dyDescent="0.3"/>
    <row r="231" s="1" customFormat="1" ht="14.25" customHeight="1" x14ac:dyDescent="0.3"/>
    <row r="232" s="1" customFormat="1" ht="14.25" customHeight="1" x14ac:dyDescent="0.3"/>
    <row r="233" s="1" customFormat="1" ht="14.25" customHeight="1" x14ac:dyDescent="0.3"/>
    <row r="234" s="1" customFormat="1" ht="14.25" customHeight="1" x14ac:dyDescent="0.3"/>
    <row r="235" s="1" customFormat="1" ht="14.25" customHeight="1" x14ac:dyDescent="0.3"/>
    <row r="236" s="1" customFormat="1" ht="14.25" customHeight="1" x14ac:dyDescent="0.3"/>
    <row r="237" s="1" customFormat="1" ht="14.25" customHeight="1" x14ac:dyDescent="0.3"/>
    <row r="238" s="1" customFormat="1" ht="14.25" customHeight="1" x14ac:dyDescent="0.3"/>
    <row r="239" s="1" customFormat="1" ht="14.25" customHeight="1" x14ac:dyDescent="0.3"/>
    <row r="240" s="1" customFormat="1" ht="14.25" customHeight="1" x14ac:dyDescent="0.3"/>
    <row r="241" s="1" customFormat="1" ht="14.25" customHeight="1" x14ac:dyDescent="0.3"/>
    <row r="242" s="1" customFormat="1" ht="14.25" customHeight="1" x14ac:dyDescent="0.3"/>
    <row r="243" s="1" customFormat="1" ht="14.25" customHeight="1" x14ac:dyDescent="0.3"/>
    <row r="244" s="1" customFormat="1" ht="14.25" customHeight="1" x14ac:dyDescent="0.3"/>
    <row r="245" s="1" customFormat="1" ht="14.25" customHeight="1" x14ac:dyDescent="0.3"/>
    <row r="246" s="1" customFormat="1" ht="14.25" customHeight="1" x14ac:dyDescent="0.3"/>
    <row r="247" s="1" customFormat="1" ht="14.25" customHeight="1" x14ac:dyDescent="0.3"/>
    <row r="248" s="1" customFormat="1" ht="14.25" customHeight="1" x14ac:dyDescent="0.3"/>
    <row r="249" s="1" customFormat="1" ht="14.25" customHeight="1" x14ac:dyDescent="0.3"/>
    <row r="250" s="1" customFormat="1" ht="14.25" customHeight="1" x14ac:dyDescent="0.3"/>
    <row r="251" s="1" customFormat="1" ht="14.25" customHeight="1" x14ac:dyDescent="0.3"/>
    <row r="252" s="1" customFormat="1" ht="14.25" customHeight="1" x14ac:dyDescent="0.3"/>
    <row r="253" s="1" customFormat="1" ht="14.25" customHeight="1" x14ac:dyDescent="0.3"/>
    <row r="254" s="1" customFormat="1" ht="14.25" customHeight="1" x14ac:dyDescent="0.3"/>
    <row r="255" s="1" customFormat="1" ht="14.25" customHeight="1" x14ac:dyDescent="0.3"/>
    <row r="256" s="1" customFormat="1" ht="14.25" customHeight="1" x14ac:dyDescent="0.3"/>
    <row r="257" s="1" customFormat="1" ht="14.25" customHeight="1" x14ac:dyDescent="0.3"/>
    <row r="258" s="1" customFormat="1" ht="14.25" customHeight="1" x14ac:dyDescent="0.3"/>
    <row r="259" s="1" customFormat="1" ht="14.25" customHeight="1" x14ac:dyDescent="0.3"/>
    <row r="260" s="1" customFormat="1" ht="14.25" customHeight="1" x14ac:dyDescent="0.3"/>
    <row r="261" s="1" customFormat="1" ht="14.25" customHeight="1" x14ac:dyDescent="0.3"/>
    <row r="262" s="1" customFormat="1" ht="14.25" customHeight="1" x14ac:dyDescent="0.3"/>
    <row r="263" s="1" customFormat="1" ht="14.25" customHeight="1" x14ac:dyDescent="0.3"/>
    <row r="264" s="1" customFormat="1" ht="14.25" customHeight="1" x14ac:dyDescent="0.3"/>
    <row r="265" s="1" customFormat="1" ht="14.25" customHeight="1" x14ac:dyDescent="0.3"/>
    <row r="266" s="1" customFormat="1" ht="14.25" customHeight="1" x14ac:dyDescent="0.3"/>
    <row r="267" s="1" customFormat="1" ht="14.25" customHeight="1" x14ac:dyDescent="0.3"/>
    <row r="268" s="1" customFormat="1" ht="14.25" customHeight="1" x14ac:dyDescent="0.3"/>
    <row r="269" s="1" customFormat="1" ht="14.25" customHeight="1" x14ac:dyDescent="0.3"/>
    <row r="270" s="1" customFormat="1" ht="14.25" customHeight="1" x14ac:dyDescent="0.3"/>
    <row r="271" s="1" customFormat="1" ht="14.25" customHeight="1" x14ac:dyDescent="0.3"/>
    <row r="272" s="1" customFormat="1" ht="14.25" customHeight="1" x14ac:dyDescent="0.3"/>
    <row r="273" s="1" customFormat="1" ht="14.25" customHeight="1" x14ac:dyDescent="0.3"/>
    <row r="274" s="1" customFormat="1" ht="14.25" customHeight="1" x14ac:dyDescent="0.3"/>
    <row r="275" s="1" customFormat="1" ht="14.25" customHeight="1" x14ac:dyDescent="0.3"/>
    <row r="276" s="1" customFormat="1" ht="14.25" customHeight="1" x14ac:dyDescent="0.3"/>
    <row r="277" s="1" customFormat="1" ht="14.25" customHeight="1" x14ac:dyDescent="0.3"/>
    <row r="278" s="1" customFormat="1" ht="14.25" customHeight="1" x14ac:dyDescent="0.3"/>
    <row r="279" s="1" customFormat="1" ht="14.25" customHeight="1" x14ac:dyDescent="0.3"/>
    <row r="280" s="1" customFormat="1" ht="14.25" customHeight="1" x14ac:dyDescent="0.3"/>
    <row r="281" s="1" customFormat="1" ht="14.25" customHeight="1" x14ac:dyDescent="0.3"/>
    <row r="282" s="1" customFormat="1" ht="14.25" customHeight="1" x14ac:dyDescent="0.3"/>
    <row r="283" s="1" customFormat="1" ht="14.25" customHeight="1" x14ac:dyDescent="0.3"/>
    <row r="284" s="1" customFormat="1" ht="14.25" customHeight="1" x14ac:dyDescent="0.3"/>
    <row r="285" s="1" customFormat="1" ht="14.25" customHeight="1" x14ac:dyDescent="0.3"/>
    <row r="286" s="1" customFormat="1" ht="14.25" customHeight="1" x14ac:dyDescent="0.3"/>
    <row r="287" s="1" customFormat="1" ht="14.25" customHeight="1" x14ac:dyDescent="0.3"/>
    <row r="288" s="1" customFormat="1" ht="14.25" customHeight="1" x14ac:dyDescent="0.3"/>
    <row r="289" s="1" customFormat="1" ht="14.25" customHeight="1" x14ac:dyDescent="0.3"/>
    <row r="290" s="1" customFormat="1" ht="14.25" customHeight="1" x14ac:dyDescent="0.3"/>
    <row r="291" s="1" customFormat="1" ht="14.25" customHeight="1" x14ac:dyDescent="0.3"/>
    <row r="292" s="1" customFormat="1" ht="14.25" customHeight="1" x14ac:dyDescent="0.3"/>
    <row r="293" s="1" customFormat="1" ht="14.25" customHeight="1" x14ac:dyDescent="0.3"/>
    <row r="294" s="1" customFormat="1" ht="14.25" customHeight="1" x14ac:dyDescent="0.3"/>
    <row r="295" s="1" customFormat="1" ht="14.25" customHeight="1" x14ac:dyDescent="0.3"/>
    <row r="296" s="1" customFormat="1" ht="14.25" customHeight="1" x14ac:dyDescent="0.3"/>
    <row r="297" s="1" customFormat="1" ht="14.25" customHeight="1" x14ac:dyDescent="0.3"/>
    <row r="298" s="1" customFormat="1" ht="14.25" customHeight="1" x14ac:dyDescent="0.3"/>
    <row r="299" s="1" customFormat="1" ht="14.25" customHeight="1" x14ac:dyDescent="0.3"/>
    <row r="300" s="1" customFormat="1" ht="14.25" customHeight="1" x14ac:dyDescent="0.3"/>
    <row r="301" s="1" customFormat="1" ht="14.25" customHeight="1" x14ac:dyDescent="0.3"/>
    <row r="302" s="1" customFormat="1" ht="14.25" customHeight="1" x14ac:dyDescent="0.3"/>
    <row r="303" s="1" customFormat="1" ht="14.25" customHeight="1" x14ac:dyDescent="0.3"/>
    <row r="304" s="1" customFormat="1" ht="14.25" customHeight="1" x14ac:dyDescent="0.3"/>
    <row r="305" s="1" customFormat="1" ht="14.25" customHeight="1" x14ac:dyDescent="0.3"/>
    <row r="306" s="1" customFormat="1" ht="14.25" customHeight="1" x14ac:dyDescent="0.3"/>
    <row r="307" s="1" customFormat="1" ht="14.25" customHeight="1" x14ac:dyDescent="0.3"/>
    <row r="308" s="1" customFormat="1" ht="14.25" customHeight="1" x14ac:dyDescent="0.3"/>
    <row r="309" s="1" customFormat="1" ht="14.25" customHeight="1" x14ac:dyDescent="0.3"/>
    <row r="310" s="1" customFormat="1" ht="14.25" customHeight="1" x14ac:dyDescent="0.3"/>
    <row r="311" s="1" customFormat="1" ht="14.25" customHeight="1" x14ac:dyDescent="0.3"/>
    <row r="312" s="1" customFormat="1" ht="14.25" customHeight="1" x14ac:dyDescent="0.3"/>
    <row r="313" s="1" customFormat="1" ht="14.25" customHeight="1" x14ac:dyDescent="0.3"/>
    <row r="314" s="1" customFormat="1" ht="14.25" customHeight="1" x14ac:dyDescent="0.3"/>
    <row r="315" s="1" customFormat="1" ht="14.25" customHeight="1" x14ac:dyDescent="0.3"/>
    <row r="316" s="1" customFormat="1" ht="14.25" customHeight="1" x14ac:dyDescent="0.3"/>
    <row r="317" s="1" customFormat="1" ht="14.25" customHeight="1" x14ac:dyDescent="0.3"/>
    <row r="318" s="1" customFormat="1" ht="14.25" customHeight="1" x14ac:dyDescent="0.3"/>
    <row r="319" s="1" customFormat="1" ht="14.25" customHeight="1" x14ac:dyDescent="0.3"/>
    <row r="320" s="1" customFormat="1" ht="14.25" customHeight="1" x14ac:dyDescent="0.3"/>
    <row r="321" s="1" customFormat="1" ht="14.25" customHeight="1" x14ac:dyDescent="0.3"/>
    <row r="322" s="1" customFormat="1" ht="14.25" customHeight="1" x14ac:dyDescent="0.3"/>
    <row r="323" s="1" customFormat="1" ht="14.25" customHeight="1" x14ac:dyDescent="0.3"/>
    <row r="324" s="1" customFormat="1" ht="14.25" customHeight="1" x14ac:dyDescent="0.3"/>
    <row r="325" s="1" customFormat="1" ht="14.25" customHeight="1" x14ac:dyDescent="0.3"/>
    <row r="326" s="1" customFormat="1" ht="14.25" customHeight="1" x14ac:dyDescent="0.3"/>
    <row r="327" s="1" customFormat="1" ht="14.25" customHeight="1" x14ac:dyDescent="0.3"/>
    <row r="328" s="1" customFormat="1" ht="14.25" customHeight="1" x14ac:dyDescent="0.3"/>
    <row r="329" s="1" customFormat="1" ht="14.25" customHeight="1" x14ac:dyDescent="0.3"/>
    <row r="330" s="1" customFormat="1" ht="14.25" customHeight="1" x14ac:dyDescent="0.3"/>
    <row r="331" s="1" customFormat="1" ht="14.25" customHeight="1" x14ac:dyDescent="0.3"/>
    <row r="332" s="1" customFormat="1" ht="14.25" customHeight="1" x14ac:dyDescent="0.3"/>
    <row r="333" s="1" customFormat="1" ht="14.25" customHeight="1" x14ac:dyDescent="0.3"/>
    <row r="334" s="1" customFormat="1" ht="14.25" customHeight="1" x14ac:dyDescent="0.3"/>
    <row r="335" s="1" customFormat="1" ht="14.25" customHeight="1" x14ac:dyDescent="0.3"/>
    <row r="336" s="1" customFormat="1" ht="14.25" customHeight="1" x14ac:dyDescent="0.3"/>
    <row r="337" s="1" customFormat="1" ht="14.25" customHeight="1" x14ac:dyDescent="0.3"/>
    <row r="338" s="1" customFormat="1" ht="14.25" customHeight="1" x14ac:dyDescent="0.3"/>
    <row r="339" s="1" customFormat="1" ht="14.25" customHeight="1" x14ac:dyDescent="0.3"/>
    <row r="340" s="1" customFormat="1" ht="14.25" customHeight="1" x14ac:dyDescent="0.3"/>
    <row r="341" s="1" customFormat="1" ht="14.25" customHeight="1" x14ac:dyDescent="0.3"/>
    <row r="342" s="1" customFormat="1" ht="14.25" customHeight="1" x14ac:dyDescent="0.3"/>
    <row r="343" s="1" customFormat="1" ht="14.25" customHeight="1" x14ac:dyDescent="0.3"/>
    <row r="344" s="1" customFormat="1" ht="14.25" customHeight="1" x14ac:dyDescent="0.3"/>
    <row r="345" s="1" customFormat="1" ht="14.25" customHeight="1" x14ac:dyDescent="0.3"/>
    <row r="346" s="1" customFormat="1" ht="14.25" customHeight="1" x14ac:dyDescent="0.3"/>
    <row r="347" s="1" customFormat="1" ht="14.25" customHeight="1" x14ac:dyDescent="0.3"/>
    <row r="348" s="1" customFormat="1" ht="14.25" customHeight="1" x14ac:dyDescent="0.3"/>
    <row r="349" s="1" customFormat="1" ht="14.25" customHeight="1" x14ac:dyDescent="0.3"/>
    <row r="350" s="1" customFormat="1" ht="14.25" customHeight="1" x14ac:dyDescent="0.3"/>
    <row r="351" s="1" customFormat="1" ht="14.25" customHeight="1" x14ac:dyDescent="0.3"/>
    <row r="352" s="1" customFormat="1" ht="14.25" customHeight="1" x14ac:dyDescent="0.3"/>
    <row r="353" s="1" customFormat="1" ht="14.25" customHeight="1" x14ac:dyDescent="0.3"/>
    <row r="354" s="1" customFormat="1" ht="14.25" customHeight="1" x14ac:dyDescent="0.3"/>
    <row r="355" s="1" customFormat="1" ht="14.25" customHeight="1" x14ac:dyDescent="0.3"/>
    <row r="356" s="1" customFormat="1" ht="14.25" customHeight="1" x14ac:dyDescent="0.3"/>
    <row r="357" s="1" customFormat="1" ht="14.25" customHeight="1" x14ac:dyDescent="0.3"/>
    <row r="358" s="1" customFormat="1" ht="14.25" customHeight="1" x14ac:dyDescent="0.3"/>
    <row r="359" s="1" customFormat="1" ht="14.25" customHeight="1" x14ac:dyDescent="0.3"/>
    <row r="360" s="1" customFormat="1" ht="14.25" customHeight="1" x14ac:dyDescent="0.3"/>
    <row r="361" s="1" customFormat="1" ht="14.25" customHeight="1" x14ac:dyDescent="0.3"/>
    <row r="362" s="1" customFormat="1" ht="14.25" customHeight="1" x14ac:dyDescent="0.3"/>
    <row r="363" s="1" customFormat="1" ht="14.25" customHeight="1" x14ac:dyDescent="0.3"/>
    <row r="364" s="1" customFormat="1" ht="14.25" customHeight="1" x14ac:dyDescent="0.3"/>
    <row r="365" s="1" customFormat="1" ht="14.25" customHeight="1" x14ac:dyDescent="0.3"/>
    <row r="366" s="1" customFormat="1" ht="14.25" customHeight="1" x14ac:dyDescent="0.3"/>
    <row r="367" s="1" customFormat="1" ht="14.25" customHeight="1" x14ac:dyDescent="0.3"/>
    <row r="368" s="1" customFormat="1" ht="14.25" customHeight="1" x14ac:dyDescent="0.3"/>
    <row r="369" s="1" customFormat="1" ht="14.25" customHeight="1" x14ac:dyDescent="0.3"/>
    <row r="370" s="1" customFormat="1" ht="14.25" customHeight="1" x14ac:dyDescent="0.3"/>
    <row r="371" s="1" customFormat="1" ht="14.25" customHeight="1" x14ac:dyDescent="0.3"/>
    <row r="372" s="1" customFormat="1" ht="14.25" customHeight="1" x14ac:dyDescent="0.3"/>
    <row r="373" s="1" customFormat="1" ht="14.25" customHeight="1" x14ac:dyDescent="0.3"/>
    <row r="374" s="1" customFormat="1" ht="14.25" customHeight="1" x14ac:dyDescent="0.3"/>
    <row r="375" s="1" customFormat="1" ht="14.25" customHeight="1" x14ac:dyDescent="0.3"/>
    <row r="376" s="1" customFormat="1" ht="14.25" customHeight="1" x14ac:dyDescent="0.3"/>
    <row r="377" s="1" customFormat="1" ht="14.25" customHeight="1" x14ac:dyDescent="0.3"/>
    <row r="378" s="1" customFormat="1" ht="14.25" customHeight="1" x14ac:dyDescent="0.3"/>
    <row r="379" s="1" customFormat="1" ht="14.25" customHeight="1" x14ac:dyDescent="0.3"/>
    <row r="380" s="1" customFormat="1" ht="14.25" customHeight="1" x14ac:dyDescent="0.3"/>
    <row r="381" s="1" customFormat="1" ht="14.25" customHeight="1" x14ac:dyDescent="0.3"/>
    <row r="382" s="1" customFormat="1" ht="14.25" customHeight="1" x14ac:dyDescent="0.3"/>
    <row r="383" s="1" customFormat="1" ht="14.25" customHeight="1" x14ac:dyDescent="0.3"/>
    <row r="384" s="1" customFormat="1" ht="14.25" customHeight="1" x14ac:dyDescent="0.3"/>
    <row r="385" s="1" customFormat="1" ht="14.25" customHeight="1" x14ac:dyDescent="0.3"/>
    <row r="386" s="1" customFormat="1" ht="14.25" customHeight="1" x14ac:dyDescent="0.3"/>
    <row r="387" s="1" customFormat="1" ht="14.25" customHeight="1" x14ac:dyDescent="0.3"/>
    <row r="388" s="1" customFormat="1" ht="14.25" customHeight="1" x14ac:dyDescent="0.3"/>
    <row r="389" s="1" customFormat="1" ht="14.25" customHeight="1" x14ac:dyDescent="0.3"/>
    <row r="390" s="1" customFormat="1" ht="14.25" customHeight="1" x14ac:dyDescent="0.3"/>
    <row r="391" s="1" customFormat="1" ht="14.25" customHeight="1" x14ac:dyDescent="0.3"/>
    <row r="392" s="1" customFormat="1" ht="14.25" customHeight="1" x14ac:dyDescent="0.3"/>
    <row r="393" s="1" customFormat="1" ht="14.25" customHeight="1" x14ac:dyDescent="0.3"/>
    <row r="394" s="1" customFormat="1" ht="14.25" customHeight="1" x14ac:dyDescent="0.3"/>
    <row r="395" s="1" customFormat="1" ht="14.25" customHeight="1" x14ac:dyDescent="0.3"/>
    <row r="396" s="1" customFormat="1" ht="14.25" customHeight="1" x14ac:dyDescent="0.3"/>
    <row r="397" s="1" customFormat="1" ht="14.25" customHeight="1" x14ac:dyDescent="0.3"/>
    <row r="398" s="1" customFormat="1" ht="14.25" customHeight="1" x14ac:dyDescent="0.3"/>
    <row r="399" s="1" customFormat="1" ht="14.25" customHeight="1" x14ac:dyDescent="0.3"/>
    <row r="400" s="1" customFormat="1" ht="14.25" customHeight="1" x14ac:dyDescent="0.3"/>
    <row r="401" s="1" customFormat="1" ht="14.25" customHeight="1" x14ac:dyDescent="0.3"/>
    <row r="402" s="1" customFormat="1" ht="14.25" customHeight="1" x14ac:dyDescent="0.3"/>
    <row r="403" s="1" customFormat="1" ht="14.25" customHeight="1" x14ac:dyDescent="0.3"/>
    <row r="404" s="1" customFormat="1" ht="14.25" customHeight="1" x14ac:dyDescent="0.3"/>
    <row r="405" s="1" customFormat="1" ht="14.25" customHeight="1" x14ac:dyDescent="0.3"/>
    <row r="406" s="1" customFormat="1" ht="14.25" customHeight="1" x14ac:dyDescent="0.3"/>
    <row r="407" s="1" customFormat="1" ht="14.25" customHeight="1" x14ac:dyDescent="0.3"/>
    <row r="408" s="1" customFormat="1" ht="14.25" customHeight="1" x14ac:dyDescent="0.3"/>
    <row r="409" s="1" customFormat="1" ht="14.25" customHeight="1" x14ac:dyDescent="0.3"/>
    <row r="410" s="1" customFormat="1" ht="14.25" customHeight="1" x14ac:dyDescent="0.3"/>
    <row r="411" s="1" customFormat="1" ht="14.25" customHeight="1" x14ac:dyDescent="0.3"/>
    <row r="412" s="1" customFormat="1" ht="14.25" customHeight="1" x14ac:dyDescent="0.3"/>
    <row r="413" s="1" customFormat="1" ht="14.25" customHeight="1" x14ac:dyDescent="0.3"/>
    <row r="414" s="1" customFormat="1" ht="14.25" customHeight="1" x14ac:dyDescent="0.3"/>
    <row r="415" s="1" customFormat="1" ht="14.25" customHeight="1" x14ac:dyDescent="0.3"/>
    <row r="416" s="1" customFormat="1" ht="14.25" customHeight="1" x14ac:dyDescent="0.3"/>
    <row r="417" s="1" customFormat="1" ht="14.25" customHeight="1" x14ac:dyDescent="0.3"/>
    <row r="418" s="1" customFormat="1" ht="14.25" customHeight="1" x14ac:dyDescent="0.3"/>
    <row r="419" s="1" customFormat="1" ht="14.25" customHeight="1" x14ac:dyDescent="0.3"/>
    <row r="420" s="1" customFormat="1" ht="14.25" customHeight="1" x14ac:dyDescent="0.3"/>
    <row r="421" s="1" customFormat="1" ht="14.25" customHeight="1" x14ac:dyDescent="0.3"/>
    <row r="422" s="1" customFormat="1" ht="14.25" customHeight="1" x14ac:dyDescent="0.3"/>
    <row r="423" s="1" customFormat="1" ht="14.25" customHeight="1" x14ac:dyDescent="0.3"/>
    <row r="424" s="1" customFormat="1" ht="14.25" customHeight="1" x14ac:dyDescent="0.3"/>
    <row r="425" s="1" customFormat="1" ht="14.25" customHeight="1" x14ac:dyDescent="0.3"/>
    <row r="426" s="1" customFormat="1" ht="14.25" customHeight="1" x14ac:dyDescent="0.3"/>
    <row r="427" s="1" customFormat="1" ht="14.25" customHeight="1" x14ac:dyDescent="0.3"/>
    <row r="428" s="1" customFormat="1" ht="14.25" customHeight="1" x14ac:dyDescent="0.3"/>
    <row r="429" s="1" customFormat="1" ht="14.25" customHeight="1" x14ac:dyDescent="0.3"/>
    <row r="430" s="1" customFormat="1" ht="14.25" customHeight="1" x14ac:dyDescent="0.3"/>
    <row r="431" s="1" customFormat="1" ht="14.25" customHeight="1" x14ac:dyDescent="0.3"/>
    <row r="432" s="1" customFormat="1" ht="14.25" customHeight="1" x14ac:dyDescent="0.3"/>
    <row r="433" s="1" customFormat="1" ht="14.25" customHeight="1" x14ac:dyDescent="0.3"/>
    <row r="434" s="1" customFormat="1" ht="14.25" customHeight="1" x14ac:dyDescent="0.3"/>
    <row r="435" s="1" customFormat="1" ht="14.25" customHeight="1" x14ac:dyDescent="0.3"/>
    <row r="436" s="1" customFormat="1" ht="14.25" customHeight="1" x14ac:dyDescent="0.3"/>
    <row r="437" s="1" customFormat="1" ht="14.25" customHeight="1" x14ac:dyDescent="0.3"/>
    <row r="438" s="1" customFormat="1" ht="14.25" customHeight="1" x14ac:dyDescent="0.3"/>
    <row r="439" s="1" customFormat="1" ht="14.25" customHeight="1" x14ac:dyDescent="0.3"/>
    <row r="440" s="1" customFormat="1" ht="14.25" customHeight="1" x14ac:dyDescent="0.3"/>
    <row r="441" s="1" customFormat="1" ht="14.25" customHeight="1" x14ac:dyDescent="0.3"/>
    <row r="442" s="1" customFormat="1" ht="14.25" customHeight="1" x14ac:dyDescent="0.3"/>
    <row r="443" s="1" customFormat="1" ht="14.25" customHeight="1" x14ac:dyDescent="0.3"/>
    <row r="444" s="1" customFormat="1" ht="14.25" customHeight="1" x14ac:dyDescent="0.3"/>
    <row r="445" s="1" customFormat="1" ht="14.25" customHeight="1" x14ac:dyDescent="0.3"/>
    <row r="446" s="1" customFormat="1" ht="14.25" customHeight="1" x14ac:dyDescent="0.3"/>
    <row r="447" s="1" customFormat="1" ht="14.25" customHeight="1" x14ac:dyDescent="0.3"/>
    <row r="448" s="1" customFormat="1" ht="14.25" customHeight="1" x14ac:dyDescent="0.3"/>
    <row r="449" s="1" customFormat="1" ht="14.25" customHeight="1" x14ac:dyDescent="0.3"/>
    <row r="450" s="1" customFormat="1" ht="14.25" customHeight="1" x14ac:dyDescent="0.3"/>
    <row r="451" s="1" customFormat="1" ht="14.25" customHeight="1" x14ac:dyDescent="0.3"/>
    <row r="452" s="1" customFormat="1" ht="14.25" customHeight="1" x14ac:dyDescent="0.3"/>
    <row r="453" s="1" customFormat="1" ht="14.25" customHeight="1" x14ac:dyDescent="0.3"/>
    <row r="454" s="1" customFormat="1" ht="14.25" customHeight="1" x14ac:dyDescent="0.3"/>
    <row r="455" s="1" customFormat="1" ht="14.25" customHeight="1" x14ac:dyDescent="0.3"/>
    <row r="456" s="1" customFormat="1" ht="14.25" customHeight="1" x14ac:dyDescent="0.3"/>
    <row r="457" s="1" customFormat="1" ht="14.25" customHeight="1" x14ac:dyDescent="0.3"/>
    <row r="458" s="1" customFormat="1" ht="14.25" customHeight="1" x14ac:dyDescent="0.3"/>
    <row r="459" s="1" customFormat="1" ht="14.25" customHeight="1" x14ac:dyDescent="0.3"/>
    <row r="460" s="1" customFormat="1" ht="14.25" customHeight="1" x14ac:dyDescent="0.3"/>
    <row r="461" s="1" customFormat="1" ht="14.25" customHeight="1" x14ac:dyDescent="0.3"/>
    <row r="462" s="1" customFormat="1" ht="14.25" customHeight="1" x14ac:dyDescent="0.3"/>
    <row r="463" s="1" customFormat="1" ht="14.25" customHeight="1" x14ac:dyDescent="0.3"/>
    <row r="464" s="1" customFormat="1" ht="14.25" customHeight="1" x14ac:dyDescent="0.3"/>
    <row r="465" s="1" customFormat="1" ht="14.25" customHeight="1" x14ac:dyDescent="0.3"/>
    <row r="466" s="1" customFormat="1" ht="14.25" customHeight="1" x14ac:dyDescent="0.3"/>
    <row r="467" s="1" customFormat="1" ht="14.25" customHeight="1" x14ac:dyDescent="0.3"/>
    <row r="468" s="1" customFormat="1" ht="14.25" customHeight="1" x14ac:dyDescent="0.3"/>
    <row r="469" s="1" customFormat="1" ht="14.25" customHeight="1" x14ac:dyDescent="0.3"/>
    <row r="470" s="1" customFormat="1" ht="14.25" customHeight="1" x14ac:dyDescent="0.3"/>
    <row r="471" s="1" customFormat="1" ht="14.25" customHeight="1" x14ac:dyDescent="0.3"/>
    <row r="472" s="1" customFormat="1" ht="14.25" customHeight="1" x14ac:dyDescent="0.3"/>
    <row r="473" s="1" customFormat="1" ht="14.25" customHeight="1" x14ac:dyDescent="0.3"/>
    <row r="474" s="1" customFormat="1" ht="14.25" customHeight="1" x14ac:dyDescent="0.3"/>
    <row r="475" s="1" customFormat="1" ht="14.25" customHeight="1" x14ac:dyDescent="0.3"/>
    <row r="476" s="1" customFormat="1" ht="14.25" customHeight="1" x14ac:dyDescent="0.3"/>
    <row r="477" s="1" customFormat="1" ht="14.25" customHeight="1" x14ac:dyDescent="0.3"/>
    <row r="478" s="1" customFormat="1" ht="14.25" customHeight="1" x14ac:dyDescent="0.3"/>
    <row r="479" s="1" customFormat="1" ht="14.25" customHeight="1" x14ac:dyDescent="0.3"/>
    <row r="480" s="1" customFormat="1" ht="14.25" customHeight="1" x14ac:dyDescent="0.3"/>
    <row r="481" s="1" customFormat="1" ht="14.25" customHeight="1" x14ac:dyDescent="0.3"/>
    <row r="482" s="1" customFormat="1" ht="14.25" customHeight="1" x14ac:dyDescent="0.3"/>
    <row r="483" s="1" customFormat="1" ht="14.25" customHeight="1" x14ac:dyDescent="0.3"/>
    <row r="484" s="1" customFormat="1" ht="14.25" customHeight="1" x14ac:dyDescent="0.3"/>
    <row r="485" s="1" customFormat="1" ht="14.25" customHeight="1" x14ac:dyDescent="0.3"/>
    <row r="486" s="1" customFormat="1" ht="14.25" customHeight="1" x14ac:dyDescent="0.3"/>
    <row r="487" s="1" customFormat="1" ht="14.25" customHeight="1" x14ac:dyDescent="0.3"/>
    <row r="488" s="1" customFormat="1" ht="14.25" customHeight="1" x14ac:dyDescent="0.3"/>
    <row r="489" s="1" customFormat="1" ht="14.25" customHeight="1" x14ac:dyDescent="0.3"/>
    <row r="490" s="1" customFormat="1" ht="14.25" customHeight="1" x14ac:dyDescent="0.3"/>
    <row r="491" s="1" customFormat="1" ht="14.25" customHeight="1" x14ac:dyDescent="0.3"/>
    <row r="492" s="1" customFormat="1" ht="14.25" customHeight="1" x14ac:dyDescent="0.3"/>
    <row r="493" s="1" customFormat="1" ht="14.25" customHeight="1" x14ac:dyDescent="0.3"/>
    <row r="494" s="1" customFormat="1" ht="14.25" customHeight="1" x14ac:dyDescent="0.3"/>
    <row r="495" s="1" customFormat="1" ht="14.25" customHeight="1" x14ac:dyDescent="0.3"/>
    <row r="496" s="1" customFormat="1" ht="14.25" customHeight="1" x14ac:dyDescent="0.3"/>
    <row r="497" s="1" customFormat="1" ht="14.25" customHeight="1" x14ac:dyDescent="0.3"/>
    <row r="498" s="1" customFormat="1" ht="14.25" customHeight="1" x14ac:dyDescent="0.3"/>
    <row r="499" s="1" customFormat="1" ht="14.25" customHeight="1" x14ac:dyDescent="0.3"/>
    <row r="500" s="1" customFormat="1" ht="14.25" customHeight="1" x14ac:dyDescent="0.3"/>
    <row r="501" s="1" customFormat="1" ht="14.25" customHeight="1" x14ac:dyDescent="0.3"/>
    <row r="502" s="1" customFormat="1" ht="14.25" customHeight="1" x14ac:dyDescent="0.3"/>
    <row r="503" s="1" customFormat="1" ht="14.25" customHeight="1" x14ac:dyDescent="0.3"/>
    <row r="504" s="1" customFormat="1" ht="14.25" customHeight="1" x14ac:dyDescent="0.3"/>
    <row r="505" s="1" customFormat="1" ht="14.25" customHeight="1" x14ac:dyDescent="0.3"/>
    <row r="506" s="1" customFormat="1" ht="14.25" customHeight="1" x14ac:dyDescent="0.3"/>
    <row r="507" s="1" customFormat="1" ht="14.25" customHeight="1" x14ac:dyDescent="0.3"/>
    <row r="508" s="1" customFormat="1" ht="14.25" customHeight="1" x14ac:dyDescent="0.3"/>
    <row r="509" s="1" customFormat="1" ht="14.25" customHeight="1" x14ac:dyDescent="0.3"/>
    <row r="510" s="1" customFormat="1" ht="14.25" customHeight="1" x14ac:dyDescent="0.3"/>
    <row r="511" s="1" customFormat="1" ht="14.25" customHeight="1" x14ac:dyDescent="0.3"/>
    <row r="512" s="1" customFormat="1" ht="14.25" customHeight="1" x14ac:dyDescent="0.3"/>
    <row r="513" s="1" customFormat="1" ht="14.25" customHeight="1" x14ac:dyDescent="0.3"/>
    <row r="514" s="1" customFormat="1" ht="14.25" customHeight="1" x14ac:dyDescent="0.3"/>
    <row r="515" s="1" customFormat="1" ht="14.25" customHeight="1" x14ac:dyDescent="0.3"/>
    <row r="516" s="1" customFormat="1" ht="14.25" customHeight="1" x14ac:dyDescent="0.3"/>
    <row r="517" s="1" customFormat="1" ht="14.25" customHeight="1" x14ac:dyDescent="0.3"/>
    <row r="518" s="1" customFormat="1" ht="14.25" customHeight="1" x14ac:dyDescent="0.3"/>
    <row r="519" s="1" customFormat="1" ht="14.25" customHeight="1" x14ac:dyDescent="0.3"/>
    <row r="520" s="1" customFormat="1" ht="14.25" customHeight="1" x14ac:dyDescent="0.3"/>
    <row r="521" s="1" customFormat="1" ht="14.25" customHeight="1" x14ac:dyDescent="0.3"/>
    <row r="522" s="1" customFormat="1" ht="14.25" customHeight="1" x14ac:dyDescent="0.3"/>
    <row r="523" s="1" customFormat="1" ht="14.25" customHeight="1" x14ac:dyDescent="0.3"/>
    <row r="524" s="1" customFormat="1" ht="14.25" customHeight="1" x14ac:dyDescent="0.3"/>
    <row r="525" s="1" customFormat="1" ht="14.25" customHeight="1" x14ac:dyDescent="0.3"/>
    <row r="526" s="1" customFormat="1" ht="14.25" customHeight="1" x14ac:dyDescent="0.3"/>
    <row r="527" s="1" customFormat="1" ht="14.25" customHeight="1" x14ac:dyDescent="0.3"/>
    <row r="528" s="1" customFormat="1" ht="14.25" customHeight="1" x14ac:dyDescent="0.3"/>
    <row r="529" s="1" customFormat="1" ht="14.25" customHeight="1" x14ac:dyDescent="0.3"/>
    <row r="530" s="1" customFormat="1" ht="14.25" customHeight="1" x14ac:dyDescent="0.3"/>
    <row r="531" s="1" customFormat="1" ht="14.25" customHeight="1" x14ac:dyDescent="0.3"/>
    <row r="532" s="1" customFormat="1" ht="14.25" customHeight="1" x14ac:dyDescent="0.3"/>
    <row r="533" s="1" customFormat="1" ht="14.25" customHeight="1" x14ac:dyDescent="0.3"/>
    <row r="534" s="1" customFormat="1" ht="14.25" customHeight="1" x14ac:dyDescent="0.3"/>
    <row r="535" s="1" customFormat="1" ht="14.25" customHeight="1" x14ac:dyDescent="0.3"/>
    <row r="536" s="1" customFormat="1" ht="14.25" customHeight="1" x14ac:dyDescent="0.3"/>
    <row r="537" s="1" customFormat="1" ht="14.25" customHeight="1" x14ac:dyDescent="0.3"/>
    <row r="538" s="1" customFormat="1" ht="14.25" customHeight="1" x14ac:dyDescent="0.3"/>
    <row r="539" s="1" customFormat="1" ht="14.25" customHeight="1" x14ac:dyDescent="0.3"/>
    <row r="540" s="1" customFormat="1" ht="14.25" customHeight="1" x14ac:dyDescent="0.3"/>
    <row r="541" s="1" customFormat="1" ht="14.25" customHeight="1" x14ac:dyDescent="0.3"/>
    <row r="542" s="1" customFormat="1" ht="14.25" customHeight="1" x14ac:dyDescent="0.3"/>
    <row r="543" s="1" customFormat="1" ht="14.25" customHeight="1" x14ac:dyDescent="0.3"/>
    <row r="544" s="1" customFormat="1" ht="14.25" customHeight="1" x14ac:dyDescent="0.3"/>
    <row r="545" s="1" customFormat="1" ht="14.25" customHeight="1" x14ac:dyDescent="0.3"/>
    <row r="546" s="1" customFormat="1" ht="14.25" customHeight="1" x14ac:dyDescent="0.3"/>
    <row r="547" s="1" customFormat="1" ht="14.25" customHeight="1" x14ac:dyDescent="0.3"/>
    <row r="548" s="1" customFormat="1" ht="14.25" customHeight="1" x14ac:dyDescent="0.3"/>
    <row r="549" s="1" customFormat="1" ht="14.25" customHeight="1" x14ac:dyDescent="0.3"/>
    <row r="550" s="1" customFormat="1" ht="14.25" customHeight="1" x14ac:dyDescent="0.3"/>
    <row r="551" s="1" customFormat="1" ht="14.25" customHeight="1" x14ac:dyDescent="0.3"/>
    <row r="552" s="1" customFormat="1" ht="14.25" customHeight="1" x14ac:dyDescent="0.3"/>
    <row r="553" s="1" customFormat="1" ht="14.25" customHeight="1" x14ac:dyDescent="0.3"/>
    <row r="554" s="1" customFormat="1" ht="14.25" customHeight="1" x14ac:dyDescent="0.3"/>
    <row r="555" s="1" customFormat="1" ht="14.25" customHeight="1" x14ac:dyDescent="0.3"/>
    <row r="556" s="1" customFormat="1" ht="14.25" customHeight="1" x14ac:dyDescent="0.3"/>
    <row r="557" s="1" customFormat="1" ht="14.25" customHeight="1" x14ac:dyDescent="0.3"/>
    <row r="558" s="1" customFormat="1" ht="14.25" customHeight="1" x14ac:dyDescent="0.3"/>
    <row r="559" s="1" customFormat="1" ht="14.25" customHeight="1" x14ac:dyDescent="0.3"/>
    <row r="560" s="1" customFormat="1" ht="14.25" customHeight="1" x14ac:dyDescent="0.3"/>
    <row r="561" s="1" customFormat="1" ht="14.25" customHeight="1" x14ac:dyDescent="0.3"/>
    <row r="562" s="1" customFormat="1" ht="14.25" customHeight="1" x14ac:dyDescent="0.3"/>
    <row r="563" s="1" customFormat="1" ht="14.25" customHeight="1" x14ac:dyDescent="0.3"/>
    <row r="564" s="1" customFormat="1" ht="14.25" customHeight="1" x14ac:dyDescent="0.3"/>
    <row r="565" s="1" customFormat="1" ht="14.25" customHeight="1" x14ac:dyDescent="0.3"/>
    <row r="566" s="1" customFormat="1" ht="14.25" customHeight="1" x14ac:dyDescent="0.3"/>
    <row r="567" s="1" customFormat="1" ht="14.25" customHeight="1" x14ac:dyDescent="0.3"/>
    <row r="568" s="1" customFormat="1" ht="14.25" customHeight="1" x14ac:dyDescent="0.3"/>
    <row r="569" s="1" customFormat="1" ht="14.25" customHeight="1" x14ac:dyDescent="0.3"/>
    <row r="570" s="1" customFormat="1" ht="14.25" customHeight="1" x14ac:dyDescent="0.3"/>
    <row r="571" s="1" customFormat="1" ht="14.25" customHeight="1" x14ac:dyDescent="0.3"/>
    <row r="572" s="1" customFormat="1" ht="14.25" customHeight="1" x14ac:dyDescent="0.3"/>
    <row r="573" s="1" customFormat="1" ht="14.25" customHeight="1" x14ac:dyDescent="0.3"/>
    <row r="574" s="1" customFormat="1" ht="14.25" customHeight="1" x14ac:dyDescent="0.3"/>
    <row r="575" s="1" customFormat="1" ht="14.25" customHeight="1" x14ac:dyDescent="0.3"/>
    <row r="576" s="1" customFormat="1" ht="14.25" customHeight="1" x14ac:dyDescent="0.3"/>
    <row r="577" s="1" customFormat="1" ht="14.25" customHeight="1" x14ac:dyDescent="0.3"/>
    <row r="578" s="1" customFormat="1" ht="14.25" customHeight="1" x14ac:dyDescent="0.3"/>
    <row r="579" s="1" customFormat="1" ht="14.25" customHeight="1" x14ac:dyDescent="0.3"/>
    <row r="580" s="1" customFormat="1" ht="14.25" customHeight="1" x14ac:dyDescent="0.3"/>
    <row r="581" s="1" customFormat="1" ht="14.25" customHeight="1" x14ac:dyDescent="0.3"/>
    <row r="582" s="1" customFormat="1" ht="14.25" customHeight="1" x14ac:dyDescent="0.3"/>
    <row r="583" s="1" customFormat="1" ht="14.25" customHeight="1" x14ac:dyDescent="0.3"/>
    <row r="584" s="1" customFormat="1" ht="14.25" customHeight="1" x14ac:dyDescent="0.3"/>
    <row r="585" s="1" customFormat="1" ht="14.25" customHeight="1" x14ac:dyDescent="0.3"/>
    <row r="586" s="1" customFormat="1" ht="14.25" customHeight="1" x14ac:dyDescent="0.3"/>
    <row r="587" s="1" customFormat="1" ht="14.25" customHeight="1" x14ac:dyDescent="0.3"/>
    <row r="588" s="1" customFormat="1" ht="14.25" customHeight="1" x14ac:dyDescent="0.3"/>
    <row r="589" s="1" customFormat="1" ht="14.25" customHeight="1" x14ac:dyDescent="0.3"/>
    <row r="590" s="1" customFormat="1" ht="14.25" customHeight="1" x14ac:dyDescent="0.3"/>
    <row r="591" s="1" customFormat="1" ht="14.25" customHeight="1" x14ac:dyDescent="0.3"/>
    <row r="592" s="1" customFormat="1" ht="14.25" customHeight="1" x14ac:dyDescent="0.3"/>
    <row r="593" s="1" customFormat="1" ht="14.25" customHeight="1" x14ac:dyDescent="0.3"/>
    <row r="594" s="1" customFormat="1" ht="14.25" customHeight="1" x14ac:dyDescent="0.3"/>
    <row r="595" s="1" customFormat="1" ht="14.25" customHeight="1" x14ac:dyDescent="0.3"/>
    <row r="596" s="1" customFormat="1" ht="14.25" customHeight="1" x14ac:dyDescent="0.3"/>
    <row r="597" s="1" customFormat="1" ht="14.25" customHeight="1" x14ac:dyDescent="0.3"/>
    <row r="598" s="1" customFormat="1" ht="14.25" customHeight="1" x14ac:dyDescent="0.3"/>
    <row r="599" s="1" customFormat="1" ht="14.25" customHeight="1" x14ac:dyDescent="0.3"/>
    <row r="600" s="1" customFormat="1" ht="14.25" customHeight="1" x14ac:dyDescent="0.3"/>
    <row r="601" s="1" customFormat="1" ht="14.25" customHeight="1" x14ac:dyDescent="0.3"/>
    <row r="602" s="1" customFormat="1" ht="14.25" customHeight="1" x14ac:dyDescent="0.3"/>
    <row r="603" s="1" customFormat="1" ht="14.25" customHeight="1" x14ac:dyDescent="0.3"/>
    <row r="604" s="1" customFormat="1" ht="14.25" customHeight="1" x14ac:dyDescent="0.3"/>
    <row r="605" s="1" customFormat="1" ht="14.25" customHeight="1" x14ac:dyDescent="0.3"/>
    <row r="606" s="1" customFormat="1" ht="14.25" customHeight="1" x14ac:dyDescent="0.3"/>
    <row r="607" s="1" customFormat="1" ht="14.25" customHeight="1" x14ac:dyDescent="0.3"/>
    <row r="608" s="1" customFormat="1" ht="14.25" customHeight="1" x14ac:dyDescent="0.3"/>
    <row r="609" s="1" customFormat="1" ht="14.25" customHeight="1" x14ac:dyDescent="0.3"/>
    <row r="610" s="1" customFormat="1" ht="14.25" customHeight="1" x14ac:dyDescent="0.3"/>
    <row r="611" s="1" customFormat="1" ht="14.25" customHeight="1" x14ac:dyDescent="0.3"/>
    <row r="612" s="1" customFormat="1" ht="14.25" customHeight="1" x14ac:dyDescent="0.3"/>
    <row r="613" s="1" customFormat="1" ht="14.25" customHeight="1" x14ac:dyDescent="0.3"/>
    <row r="614" s="1" customFormat="1" ht="14.25" customHeight="1" x14ac:dyDescent="0.3"/>
    <row r="615" s="1" customFormat="1" ht="14.25" customHeight="1" x14ac:dyDescent="0.3"/>
    <row r="616" s="1" customFormat="1" ht="14.25" customHeight="1" x14ac:dyDescent="0.3"/>
    <row r="617" s="1" customFormat="1" ht="14.25" customHeight="1" x14ac:dyDescent="0.3"/>
    <row r="618" s="1" customFormat="1" ht="14.25" customHeight="1" x14ac:dyDescent="0.3"/>
    <row r="619" s="1" customFormat="1" ht="14.25" customHeight="1" x14ac:dyDescent="0.3"/>
    <row r="620" s="1" customFormat="1" ht="14.25" customHeight="1" x14ac:dyDescent="0.3"/>
    <row r="621" s="1" customFormat="1" ht="14.25" customHeight="1" x14ac:dyDescent="0.3"/>
    <row r="622" s="1" customFormat="1" ht="14.25" customHeight="1" x14ac:dyDescent="0.3"/>
    <row r="623" s="1" customFormat="1" ht="14.25" customHeight="1" x14ac:dyDescent="0.3"/>
    <row r="624" s="1" customFormat="1" ht="14.25" customHeight="1" x14ac:dyDescent="0.3"/>
    <row r="625" s="1" customFormat="1" ht="14.25" customHeight="1" x14ac:dyDescent="0.3"/>
    <row r="626" s="1" customFormat="1" ht="14.25" customHeight="1" x14ac:dyDescent="0.3"/>
    <row r="627" s="1" customFormat="1" ht="14.25" customHeight="1" x14ac:dyDescent="0.3"/>
    <row r="628" s="1" customFormat="1" ht="14.25" customHeight="1" x14ac:dyDescent="0.3"/>
    <row r="629" s="1" customFormat="1" ht="14.25" customHeight="1" x14ac:dyDescent="0.3"/>
    <row r="630" s="1" customFormat="1" ht="14.25" customHeight="1" x14ac:dyDescent="0.3"/>
    <row r="631" s="1" customFormat="1" ht="14.25" customHeight="1" x14ac:dyDescent="0.3"/>
    <row r="632" s="1" customFormat="1" ht="14.25" customHeight="1" x14ac:dyDescent="0.3"/>
    <row r="633" s="1" customFormat="1" ht="14.25" customHeight="1" x14ac:dyDescent="0.3"/>
    <row r="634" s="1" customFormat="1" ht="14.25" customHeight="1" x14ac:dyDescent="0.3"/>
    <row r="635" s="1" customFormat="1" ht="14.25" customHeight="1" x14ac:dyDescent="0.3"/>
    <row r="636" s="1" customFormat="1" ht="14.25" customHeight="1" x14ac:dyDescent="0.3"/>
    <row r="637" s="1" customFormat="1" ht="14.25" customHeight="1" x14ac:dyDescent="0.3"/>
    <row r="638" s="1" customFormat="1" ht="14.25" customHeight="1" x14ac:dyDescent="0.3"/>
    <row r="639" s="1" customFormat="1" ht="14.25" customHeight="1" x14ac:dyDescent="0.3"/>
    <row r="640" s="1" customFormat="1" ht="14.25" customHeight="1" x14ac:dyDescent="0.3"/>
    <row r="641" s="1" customFormat="1" ht="14.25" customHeight="1" x14ac:dyDescent="0.3"/>
    <row r="642" s="1" customFormat="1" ht="14.25" customHeight="1" x14ac:dyDescent="0.3"/>
    <row r="643" s="1" customFormat="1" ht="14.25" customHeight="1" x14ac:dyDescent="0.3"/>
    <row r="644" s="1" customFormat="1" ht="14.25" customHeight="1" x14ac:dyDescent="0.3"/>
    <row r="645" s="1" customFormat="1" ht="14.25" customHeight="1" x14ac:dyDescent="0.3"/>
    <row r="646" s="1" customFormat="1" ht="14.25" customHeight="1" x14ac:dyDescent="0.3"/>
    <row r="647" s="1" customFormat="1" ht="14.25" customHeight="1" x14ac:dyDescent="0.3"/>
    <row r="648" s="1" customFormat="1" ht="14.25" customHeight="1" x14ac:dyDescent="0.3"/>
    <row r="649" s="1" customFormat="1" ht="14.25" customHeight="1" x14ac:dyDescent="0.3"/>
    <row r="650" s="1" customFormat="1" ht="14.25" customHeight="1" x14ac:dyDescent="0.3"/>
    <row r="651" s="1" customFormat="1" ht="14.25" customHeight="1" x14ac:dyDescent="0.3"/>
    <row r="652" s="1" customFormat="1" ht="14.25" customHeight="1" x14ac:dyDescent="0.3"/>
    <row r="653" s="1" customFormat="1" ht="14.25" customHeight="1" x14ac:dyDescent="0.3"/>
    <row r="654" s="1" customFormat="1" ht="14.25" customHeight="1" x14ac:dyDescent="0.3"/>
    <row r="655" s="1" customFormat="1" ht="14.25" customHeight="1" x14ac:dyDescent="0.3"/>
    <row r="656" s="1" customFormat="1" ht="14.25" customHeight="1" x14ac:dyDescent="0.3"/>
    <row r="657" s="1" customFormat="1" ht="14.25" customHeight="1" x14ac:dyDescent="0.3"/>
    <row r="658" s="1" customFormat="1" ht="14.25" customHeight="1" x14ac:dyDescent="0.3"/>
    <row r="659" s="1" customFormat="1" ht="14.25" customHeight="1" x14ac:dyDescent="0.3"/>
    <row r="660" s="1" customFormat="1" ht="14.25" customHeight="1" x14ac:dyDescent="0.3"/>
    <row r="661" s="1" customFormat="1" ht="14.25" customHeight="1" x14ac:dyDescent="0.3"/>
    <row r="662" s="1" customFormat="1" ht="14.25" customHeight="1" x14ac:dyDescent="0.3"/>
    <row r="663" s="1" customFormat="1" ht="14.25" customHeight="1" x14ac:dyDescent="0.3"/>
    <row r="664" s="1" customFormat="1" ht="14.25" customHeight="1" x14ac:dyDescent="0.3"/>
    <row r="665" s="1" customFormat="1" ht="14.25" customHeight="1" x14ac:dyDescent="0.3"/>
    <row r="666" s="1" customFormat="1" ht="14.25" customHeight="1" x14ac:dyDescent="0.3"/>
    <row r="667" s="1" customFormat="1" ht="14.25" customHeight="1" x14ac:dyDescent="0.3"/>
    <row r="668" s="1" customFormat="1" ht="14.25" customHeight="1" x14ac:dyDescent="0.3"/>
    <row r="669" s="1" customFormat="1" ht="14.25" customHeight="1" x14ac:dyDescent="0.3"/>
    <row r="670" s="1" customFormat="1" ht="14.25" customHeight="1" x14ac:dyDescent="0.3"/>
    <row r="671" s="1" customFormat="1" ht="14.25" customHeight="1" x14ac:dyDescent="0.3"/>
    <row r="672" s="1" customFormat="1" ht="14.25" customHeight="1" x14ac:dyDescent="0.3"/>
    <row r="673" s="1" customFormat="1" ht="14.25" customHeight="1" x14ac:dyDescent="0.3"/>
    <row r="674" s="1" customFormat="1" ht="14.25" customHeight="1" x14ac:dyDescent="0.3"/>
    <row r="675" s="1" customFormat="1" ht="14.25" customHeight="1" x14ac:dyDescent="0.3"/>
    <row r="676" s="1" customFormat="1" ht="14.25" customHeight="1" x14ac:dyDescent="0.3"/>
    <row r="677" s="1" customFormat="1" ht="14.25" customHeight="1" x14ac:dyDescent="0.3"/>
    <row r="678" s="1" customFormat="1" ht="14.25" customHeight="1" x14ac:dyDescent="0.3"/>
    <row r="679" s="1" customFormat="1" ht="14.25" customHeight="1" x14ac:dyDescent="0.3"/>
    <row r="680" s="1" customFormat="1" ht="14.25" customHeight="1" x14ac:dyDescent="0.3"/>
    <row r="681" s="1" customFormat="1" ht="14.25" customHeight="1" x14ac:dyDescent="0.3"/>
    <row r="682" s="1" customFormat="1" ht="14.25" customHeight="1" x14ac:dyDescent="0.3"/>
    <row r="683" s="1" customFormat="1" ht="14.25" customHeight="1" x14ac:dyDescent="0.3"/>
    <row r="684" s="1" customFormat="1" ht="14.25" customHeight="1" x14ac:dyDescent="0.3"/>
    <row r="685" s="1" customFormat="1" ht="14.25" customHeight="1" x14ac:dyDescent="0.3"/>
    <row r="686" s="1" customFormat="1" ht="14.25" customHeight="1" x14ac:dyDescent="0.3"/>
    <row r="687" s="1" customFormat="1" ht="14.25" customHeight="1" x14ac:dyDescent="0.3"/>
    <row r="688" s="1" customFormat="1" ht="14.25" customHeight="1" x14ac:dyDescent="0.3"/>
    <row r="689" s="1" customFormat="1" ht="14.25" customHeight="1" x14ac:dyDescent="0.3"/>
    <row r="690" s="1" customFormat="1" ht="14.25" customHeight="1" x14ac:dyDescent="0.3"/>
    <row r="691" s="1" customFormat="1" ht="14.25" customHeight="1" x14ac:dyDescent="0.3"/>
    <row r="692" s="1" customFormat="1" ht="14.25" customHeight="1" x14ac:dyDescent="0.3"/>
    <row r="693" s="1" customFormat="1" ht="14.25" customHeight="1" x14ac:dyDescent="0.3"/>
    <row r="694" s="1" customFormat="1" ht="14.25" customHeight="1" x14ac:dyDescent="0.3"/>
    <row r="695" s="1" customFormat="1" ht="14.25" customHeight="1" x14ac:dyDescent="0.3"/>
    <row r="696" s="1" customFormat="1" ht="14.25" customHeight="1" x14ac:dyDescent="0.3"/>
    <row r="697" s="1" customFormat="1" ht="14.25" customHeight="1" x14ac:dyDescent="0.3"/>
    <row r="698" s="1" customFormat="1" ht="14.25" customHeight="1" x14ac:dyDescent="0.3"/>
    <row r="699" s="1" customFormat="1" ht="14.25" customHeight="1" x14ac:dyDescent="0.3"/>
    <row r="700" s="1" customFormat="1" ht="14.25" customHeight="1" x14ac:dyDescent="0.3"/>
    <row r="701" s="1" customFormat="1" ht="14.25" customHeight="1" x14ac:dyDescent="0.3"/>
    <row r="702" s="1" customFormat="1" ht="14.25" customHeight="1" x14ac:dyDescent="0.3"/>
    <row r="703" s="1" customFormat="1" ht="14.25" customHeight="1" x14ac:dyDescent="0.3"/>
    <row r="704" s="1" customFormat="1" ht="14.25" customHeight="1" x14ac:dyDescent="0.3"/>
    <row r="705" s="1" customFormat="1" ht="14.25" customHeight="1" x14ac:dyDescent="0.3"/>
    <row r="706" s="1" customFormat="1" ht="14.25" customHeight="1" x14ac:dyDescent="0.3"/>
    <row r="707" s="1" customFormat="1" ht="14.25" customHeight="1" x14ac:dyDescent="0.3"/>
    <row r="708" s="1" customFormat="1" ht="14.25" customHeight="1" x14ac:dyDescent="0.3"/>
    <row r="709" s="1" customFormat="1" ht="14.25" customHeight="1" x14ac:dyDescent="0.3"/>
    <row r="710" s="1" customFormat="1" ht="14.25" customHeight="1" x14ac:dyDescent="0.3"/>
    <row r="711" s="1" customFormat="1" ht="14.25" customHeight="1" x14ac:dyDescent="0.3"/>
    <row r="712" s="1" customFormat="1" ht="14.25" customHeight="1" x14ac:dyDescent="0.3"/>
    <row r="713" s="1" customFormat="1" ht="14.25" customHeight="1" x14ac:dyDescent="0.3"/>
    <row r="714" s="1" customFormat="1" ht="14.25" customHeight="1" x14ac:dyDescent="0.3"/>
    <row r="715" s="1" customFormat="1" ht="14.25" customHeight="1" x14ac:dyDescent="0.3"/>
    <row r="716" s="1" customFormat="1" ht="14.25" customHeight="1" x14ac:dyDescent="0.3"/>
    <row r="717" s="1" customFormat="1" ht="14.25" customHeight="1" x14ac:dyDescent="0.3"/>
    <row r="718" s="1" customFormat="1" ht="14.25" customHeight="1" x14ac:dyDescent="0.3"/>
    <row r="719" s="1" customFormat="1" ht="14.25" customHeight="1" x14ac:dyDescent="0.3"/>
    <row r="720" s="1" customFormat="1" ht="14.25" customHeight="1" x14ac:dyDescent="0.3"/>
    <row r="721" s="1" customFormat="1" ht="14.25" customHeight="1" x14ac:dyDescent="0.3"/>
    <row r="722" s="1" customFormat="1" ht="14.25" customHeight="1" x14ac:dyDescent="0.3"/>
    <row r="723" s="1" customFormat="1" ht="14.25" customHeight="1" x14ac:dyDescent="0.3"/>
    <row r="724" s="1" customFormat="1" ht="14.25" customHeight="1" x14ac:dyDescent="0.3"/>
    <row r="725" s="1" customFormat="1" ht="14.25" customHeight="1" x14ac:dyDescent="0.3"/>
    <row r="726" s="1" customFormat="1" ht="14.25" customHeight="1" x14ac:dyDescent="0.3"/>
    <row r="727" s="1" customFormat="1" ht="14.25" customHeight="1" x14ac:dyDescent="0.3"/>
    <row r="728" s="1" customFormat="1" ht="14.25" customHeight="1" x14ac:dyDescent="0.3"/>
    <row r="729" s="1" customFormat="1" ht="14.25" customHeight="1" x14ac:dyDescent="0.3"/>
    <row r="730" s="1" customFormat="1" ht="14.25" customHeight="1" x14ac:dyDescent="0.3"/>
    <row r="731" s="1" customFormat="1" ht="14.25" customHeight="1" x14ac:dyDescent="0.3"/>
    <row r="732" s="1" customFormat="1" ht="14.25" customHeight="1" x14ac:dyDescent="0.3"/>
    <row r="733" s="1" customFormat="1" ht="14.25" customHeight="1" x14ac:dyDescent="0.3"/>
    <row r="734" s="1" customFormat="1" ht="14.25" customHeight="1" x14ac:dyDescent="0.3"/>
    <row r="735" s="1" customFormat="1" ht="14.25" customHeight="1" x14ac:dyDescent="0.3"/>
    <row r="736" s="1" customFormat="1" ht="14.25" customHeight="1" x14ac:dyDescent="0.3"/>
    <row r="737" s="1" customFormat="1" ht="14.25" customHeight="1" x14ac:dyDescent="0.3"/>
    <row r="738" s="1" customFormat="1" ht="14.25" customHeight="1" x14ac:dyDescent="0.3"/>
    <row r="739" s="1" customFormat="1" ht="14.25" customHeight="1" x14ac:dyDescent="0.3"/>
    <row r="740" s="1" customFormat="1" ht="14.25" customHeight="1" x14ac:dyDescent="0.3"/>
    <row r="741" s="1" customFormat="1" ht="14.25" customHeight="1" x14ac:dyDescent="0.3"/>
    <row r="742" s="1" customFormat="1" ht="14.25" customHeight="1" x14ac:dyDescent="0.3"/>
    <row r="743" s="1" customFormat="1" ht="14.25" customHeight="1" x14ac:dyDescent="0.3"/>
    <row r="744" s="1" customFormat="1" ht="14.25" customHeight="1" x14ac:dyDescent="0.3"/>
    <row r="745" s="1" customFormat="1" ht="14.25" customHeight="1" x14ac:dyDescent="0.3"/>
    <row r="746" s="1" customFormat="1" ht="14.25" customHeight="1" x14ac:dyDescent="0.3"/>
    <row r="747" s="1" customFormat="1" ht="14.25" customHeight="1" x14ac:dyDescent="0.3"/>
    <row r="748" s="1" customFormat="1" ht="14.25" customHeight="1" x14ac:dyDescent="0.3"/>
    <row r="749" s="1" customFormat="1" ht="14.25" customHeight="1" x14ac:dyDescent="0.3"/>
    <row r="750" s="1" customFormat="1" ht="14.25" customHeight="1" x14ac:dyDescent="0.3"/>
    <row r="751" s="1" customFormat="1" ht="14.25" customHeight="1" x14ac:dyDescent="0.3"/>
    <row r="752" s="1" customFormat="1" ht="14.25" customHeight="1" x14ac:dyDescent="0.3"/>
    <row r="753" s="1" customFormat="1" ht="14.25" customHeight="1" x14ac:dyDescent="0.3"/>
    <row r="754" s="1" customFormat="1" ht="14.25" customHeight="1" x14ac:dyDescent="0.3"/>
    <row r="755" s="1" customFormat="1" ht="14.25" customHeight="1" x14ac:dyDescent="0.3"/>
    <row r="756" s="1" customFormat="1" ht="14.25" customHeight="1" x14ac:dyDescent="0.3"/>
    <row r="757" s="1" customFormat="1" ht="14.25" customHeight="1" x14ac:dyDescent="0.3"/>
    <row r="758" s="1" customFormat="1" ht="14.25" customHeight="1" x14ac:dyDescent="0.3"/>
    <row r="759" s="1" customFormat="1" ht="14.25" customHeight="1" x14ac:dyDescent="0.3"/>
    <row r="760" s="1" customFormat="1" ht="14.25" customHeight="1" x14ac:dyDescent="0.3"/>
    <row r="761" s="1" customFormat="1" ht="14.25" customHeight="1" x14ac:dyDescent="0.3"/>
    <row r="762" s="1" customFormat="1" ht="14.25" customHeight="1" x14ac:dyDescent="0.3"/>
    <row r="763" s="1" customFormat="1" ht="14.25" customHeight="1" x14ac:dyDescent="0.3"/>
    <row r="764" s="1" customFormat="1" ht="14.25" customHeight="1" x14ac:dyDescent="0.3"/>
    <row r="765" s="1" customFormat="1" ht="14.25" customHeight="1" x14ac:dyDescent="0.3"/>
    <row r="766" s="1" customFormat="1" ht="14.25" customHeight="1" x14ac:dyDescent="0.3"/>
    <row r="767" s="1" customFormat="1" ht="14.25" customHeight="1" x14ac:dyDescent="0.3"/>
    <row r="768" s="1" customFormat="1" ht="14.25" customHeight="1" x14ac:dyDescent="0.3"/>
    <row r="769" s="1" customFormat="1" ht="14.25" customHeight="1" x14ac:dyDescent="0.3"/>
    <row r="770" s="1" customFormat="1" ht="14.25" customHeight="1" x14ac:dyDescent="0.3"/>
    <row r="771" s="1" customFormat="1" ht="14.25" customHeight="1" x14ac:dyDescent="0.3"/>
    <row r="772" s="1" customFormat="1" ht="14.25" customHeight="1" x14ac:dyDescent="0.3"/>
    <row r="773" s="1" customFormat="1" ht="14.25" customHeight="1" x14ac:dyDescent="0.3"/>
    <row r="774" s="1" customFormat="1" ht="14.25" customHeight="1" x14ac:dyDescent="0.3"/>
    <row r="775" s="1" customFormat="1" ht="14.25" customHeight="1" x14ac:dyDescent="0.3"/>
    <row r="776" s="1" customFormat="1" ht="14.25" customHeight="1" x14ac:dyDescent="0.3"/>
    <row r="777" s="1" customFormat="1" ht="14.25" customHeight="1" x14ac:dyDescent="0.3"/>
    <row r="778" s="1" customFormat="1" ht="14.25" customHeight="1" x14ac:dyDescent="0.3"/>
    <row r="779" s="1" customFormat="1" ht="14.25" customHeight="1" x14ac:dyDescent="0.3"/>
    <row r="780" s="1" customFormat="1" ht="14.25" customHeight="1" x14ac:dyDescent="0.3"/>
    <row r="781" s="1" customFormat="1" ht="14.25" customHeight="1" x14ac:dyDescent="0.3"/>
    <row r="782" s="1" customFormat="1" ht="14.25" customHeight="1" x14ac:dyDescent="0.3"/>
    <row r="783" s="1" customFormat="1" ht="14.25" customHeight="1" x14ac:dyDescent="0.3"/>
    <row r="784" s="1" customFormat="1" ht="14.25" customHeight="1" x14ac:dyDescent="0.3"/>
    <row r="785" s="1" customFormat="1" ht="14.25" customHeight="1" x14ac:dyDescent="0.3"/>
    <row r="786" s="1" customFormat="1" ht="14.25" customHeight="1" x14ac:dyDescent="0.3"/>
    <row r="787" s="1" customFormat="1" ht="14.25" customHeight="1" x14ac:dyDescent="0.3"/>
    <row r="788" s="1" customFormat="1" ht="14.25" customHeight="1" x14ac:dyDescent="0.3"/>
    <row r="789" s="1" customFormat="1" ht="14.25" customHeight="1" x14ac:dyDescent="0.3"/>
    <row r="790" s="1" customFormat="1" ht="14.25" customHeight="1" x14ac:dyDescent="0.3"/>
    <row r="791" s="1" customFormat="1" ht="14.25" customHeight="1" x14ac:dyDescent="0.3"/>
    <row r="792" s="1" customFormat="1" ht="14.25" customHeight="1" x14ac:dyDescent="0.3"/>
    <row r="793" s="1" customFormat="1" ht="14.25" customHeight="1" x14ac:dyDescent="0.3"/>
    <row r="794" s="1" customFormat="1" ht="14.25" customHeight="1" x14ac:dyDescent="0.3"/>
    <row r="795" s="1" customFormat="1" ht="14.25" customHeight="1" x14ac:dyDescent="0.3"/>
    <row r="796" s="1" customFormat="1" ht="14.25" customHeight="1" x14ac:dyDescent="0.3"/>
    <row r="797" s="1" customFormat="1" ht="14.25" customHeight="1" x14ac:dyDescent="0.3"/>
    <row r="798" s="1" customFormat="1" ht="14.25" customHeight="1" x14ac:dyDescent="0.3"/>
    <row r="799" s="1" customFormat="1" ht="14.25" customHeight="1" x14ac:dyDescent="0.3"/>
    <row r="800" s="1" customFormat="1" ht="14.25" customHeight="1" x14ac:dyDescent="0.3"/>
    <row r="801" s="1" customFormat="1" ht="14.25" customHeight="1" x14ac:dyDescent="0.3"/>
    <row r="802" s="1" customFormat="1" ht="14.25" customHeight="1" x14ac:dyDescent="0.3"/>
    <row r="803" s="1" customFormat="1" ht="14.25" customHeight="1" x14ac:dyDescent="0.3"/>
    <row r="804" s="1" customFormat="1" ht="14.25" customHeight="1" x14ac:dyDescent="0.3"/>
    <row r="805" s="1" customFormat="1" ht="14.25" customHeight="1" x14ac:dyDescent="0.3"/>
    <row r="806" s="1" customFormat="1" ht="14.25" customHeight="1" x14ac:dyDescent="0.3"/>
    <row r="807" s="1" customFormat="1" ht="14.25" customHeight="1" x14ac:dyDescent="0.3"/>
    <row r="808" s="1" customFormat="1" ht="14.25" customHeight="1" x14ac:dyDescent="0.3"/>
    <row r="809" s="1" customFormat="1" ht="14.25" customHeight="1" x14ac:dyDescent="0.3"/>
    <row r="810" s="1" customFormat="1" ht="14.25" customHeight="1" x14ac:dyDescent="0.3"/>
    <row r="811" s="1" customFormat="1" ht="14.25" customHeight="1" x14ac:dyDescent="0.3"/>
    <row r="812" s="1" customFormat="1" ht="14.25" customHeight="1" x14ac:dyDescent="0.3"/>
    <row r="813" s="1" customFormat="1" ht="14.25" customHeight="1" x14ac:dyDescent="0.3"/>
    <row r="814" s="1" customFormat="1" ht="14.25" customHeight="1" x14ac:dyDescent="0.3"/>
    <row r="815" s="1" customFormat="1" ht="14.25" customHeight="1" x14ac:dyDescent="0.3"/>
    <row r="816" s="1" customFormat="1" ht="14.25" customHeight="1" x14ac:dyDescent="0.3"/>
    <row r="817" s="1" customFormat="1" ht="14.25" customHeight="1" x14ac:dyDescent="0.3"/>
    <row r="818" s="1" customFormat="1" ht="14.25" customHeight="1" x14ac:dyDescent="0.3"/>
    <row r="819" s="1" customFormat="1" ht="14.25" customHeight="1" x14ac:dyDescent="0.3"/>
    <row r="820" s="1" customFormat="1" ht="14.25" customHeight="1" x14ac:dyDescent="0.3"/>
    <row r="821" s="1" customFormat="1" ht="14.25" customHeight="1" x14ac:dyDescent="0.3"/>
    <row r="822" s="1" customFormat="1" ht="14.25" customHeight="1" x14ac:dyDescent="0.3"/>
    <row r="823" s="1" customFormat="1" ht="14.25" customHeight="1" x14ac:dyDescent="0.3"/>
    <row r="824" s="1" customFormat="1" ht="14.25" customHeight="1" x14ac:dyDescent="0.3"/>
    <row r="825" s="1" customFormat="1" ht="14.25" customHeight="1" x14ac:dyDescent="0.3"/>
    <row r="826" s="1" customFormat="1" ht="14.25" customHeight="1" x14ac:dyDescent="0.3"/>
    <row r="827" s="1" customFormat="1" ht="14.25" customHeight="1" x14ac:dyDescent="0.3"/>
    <row r="828" s="1" customFormat="1" ht="14.25" customHeight="1" x14ac:dyDescent="0.3"/>
    <row r="829" s="1" customFormat="1" ht="14.25" customHeight="1" x14ac:dyDescent="0.3"/>
    <row r="830" s="1" customFormat="1" ht="14.25" customHeight="1" x14ac:dyDescent="0.3"/>
    <row r="831" s="1" customFormat="1" ht="14.25" customHeight="1" x14ac:dyDescent="0.3"/>
    <row r="832" s="1" customFormat="1" ht="14.25" customHeight="1" x14ac:dyDescent="0.3"/>
    <row r="833" s="1" customFormat="1" ht="14.25" customHeight="1" x14ac:dyDescent="0.3"/>
    <row r="834" s="1" customFormat="1" ht="14.25" customHeight="1" x14ac:dyDescent="0.3"/>
    <row r="835" s="1" customFormat="1" ht="14.25" customHeight="1" x14ac:dyDescent="0.3"/>
    <row r="836" s="1" customFormat="1" ht="14.25" customHeight="1" x14ac:dyDescent="0.3"/>
    <row r="837" s="1" customFormat="1" ht="14.25" customHeight="1" x14ac:dyDescent="0.3"/>
    <row r="838" s="1" customFormat="1" ht="14.25" customHeight="1" x14ac:dyDescent="0.3"/>
    <row r="839" s="1" customFormat="1" ht="14.25" customHeight="1" x14ac:dyDescent="0.3"/>
    <row r="840" s="1" customFormat="1" ht="14.25" customHeight="1" x14ac:dyDescent="0.3"/>
    <row r="841" s="1" customFormat="1" ht="14.25" customHeight="1" x14ac:dyDescent="0.3"/>
    <row r="842" s="1" customFormat="1" ht="14.25" customHeight="1" x14ac:dyDescent="0.3"/>
    <row r="843" s="1" customFormat="1" ht="14.25" customHeight="1" x14ac:dyDescent="0.3"/>
    <row r="844" s="1" customFormat="1" ht="14.25" customHeight="1" x14ac:dyDescent="0.3"/>
    <row r="845" s="1" customFormat="1" ht="14.25" customHeight="1" x14ac:dyDescent="0.3"/>
    <row r="846" s="1" customFormat="1" ht="14.25" customHeight="1" x14ac:dyDescent="0.3"/>
    <row r="847" s="1" customFormat="1" ht="14.25" customHeight="1" x14ac:dyDescent="0.3"/>
    <row r="848" s="1" customFormat="1" ht="14.25" customHeight="1" x14ac:dyDescent="0.3"/>
    <row r="849" s="1" customFormat="1" ht="14.25" customHeight="1" x14ac:dyDescent="0.3"/>
    <row r="850" s="1" customFormat="1" ht="14.25" customHeight="1" x14ac:dyDescent="0.3"/>
    <row r="851" s="1" customFormat="1" ht="14.25" customHeight="1" x14ac:dyDescent="0.3"/>
    <row r="852" s="1" customFormat="1" ht="14.25" customHeight="1" x14ac:dyDescent="0.3"/>
    <row r="853" s="1" customFormat="1" ht="14.25" customHeight="1" x14ac:dyDescent="0.3"/>
    <row r="854" s="1" customFormat="1" ht="14.25" customHeight="1" x14ac:dyDescent="0.3"/>
    <row r="855" s="1" customFormat="1" ht="14.25" customHeight="1" x14ac:dyDescent="0.3"/>
    <row r="856" s="1" customFormat="1" ht="14.25" customHeight="1" x14ac:dyDescent="0.3"/>
    <row r="857" s="1" customFormat="1" ht="14.25" customHeight="1" x14ac:dyDescent="0.3"/>
    <row r="858" s="1" customFormat="1" ht="14.25" customHeight="1" x14ac:dyDescent="0.3"/>
    <row r="859" s="1" customFormat="1" ht="14.25" customHeight="1" x14ac:dyDescent="0.3"/>
    <row r="860" s="1" customFormat="1" ht="14.25" customHeight="1" x14ac:dyDescent="0.3"/>
    <row r="861" s="1" customFormat="1" ht="14.25" customHeight="1" x14ac:dyDescent="0.3"/>
    <row r="862" s="1" customFormat="1" ht="14.25" customHeight="1" x14ac:dyDescent="0.3"/>
    <row r="863" s="1" customFormat="1" ht="14.25" customHeight="1" x14ac:dyDescent="0.3"/>
    <row r="864" s="1" customFormat="1" ht="14.25" customHeight="1" x14ac:dyDescent="0.3"/>
    <row r="865" s="1" customFormat="1" ht="14.25" customHeight="1" x14ac:dyDescent="0.3"/>
    <row r="866" s="1" customFormat="1" ht="14.25" customHeight="1" x14ac:dyDescent="0.3"/>
    <row r="867" s="1" customFormat="1" ht="14.25" customHeight="1" x14ac:dyDescent="0.3"/>
    <row r="868" s="1" customFormat="1" ht="14.25" customHeight="1" x14ac:dyDescent="0.3"/>
    <row r="869" s="1" customFormat="1" ht="14.25" customHeight="1" x14ac:dyDescent="0.3"/>
    <row r="870" s="1" customFormat="1" ht="14.25" customHeight="1" x14ac:dyDescent="0.3"/>
    <row r="871" s="1" customFormat="1" ht="14.25" customHeight="1" x14ac:dyDescent="0.3"/>
    <row r="872" s="1" customFormat="1" ht="14.25" customHeight="1" x14ac:dyDescent="0.3"/>
    <row r="873" s="1" customFormat="1" ht="14.25" customHeight="1" x14ac:dyDescent="0.3"/>
    <row r="874" s="1" customFormat="1" ht="14.25" customHeight="1" x14ac:dyDescent="0.3"/>
    <row r="875" s="1" customFormat="1" ht="14.25" customHeight="1" x14ac:dyDescent="0.3"/>
    <row r="876" s="1" customFormat="1" ht="14.25" customHeight="1" x14ac:dyDescent="0.3"/>
    <row r="877" s="1" customFormat="1" ht="14.25" customHeight="1" x14ac:dyDescent="0.3"/>
    <row r="878" s="1" customFormat="1" ht="14.25" customHeight="1" x14ac:dyDescent="0.3"/>
    <row r="879" s="1" customFormat="1" ht="14.25" customHeight="1" x14ac:dyDescent="0.3"/>
    <row r="880" s="1" customFormat="1" ht="14.25" customHeight="1" x14ac:dyDescent="0.3"/>
    <row r="881" s="1" customFormat="1" ht="14.25" customHeight="1" x14ac:dyDescent="0.3"/>
    <row r="882" s="1" customFormat="1" ht="14.25" customHeight="1" x14ac:dyDescent="0.3"/>
    <row r="883" s="1" customFormat="1" ht="14.25" customHeight="1" x14ac:dyDescent="0.3"/>
    <row r="884" s="1" customFormat="1" ht="14.25" customHeight="1" x14ac:dyDescent="0.3"/>
    <row r="885" s="1" customFormat="1" ht="14.25" customHeight="1" x14ac:dyDescent="0.3"/>
    <row r="886" s="1" customFormat="1" ht="14.25" customHeight="1" x14ac:dyDescent="0.3"/>
    <row r="887" s="1" customFormat="1" ht="14.25" customHeight="1" x14ac:dyDescent="0.3"/>
    <row r="888" s="1" customFormat="1" ht="14.25" customHeight="1" x14ac:dyDescent="0.3"/>
    <row r="889" s="1" customFormat="1" ht="14.25" customHeight="1" x14ac:dyDescent="0.3"/>
    <row r="890" s="1" customFormat="1" ht="14.25" customHeight="1" x14ac:dyDescent="0.3"/>
    <row r="891" s="1" customFormat="1" ht="14.25" customHeight="1" x14ac:dyDescent="0.3"/>
    <row r="892" s="1" customFormat="1" ht="14.25" customHeight="1" x14ac:dyDescent="0.3"/>
    <row r="893" s="1" customFormat="1" ht="14.25" customHeight="1" x14ac:dyDescent="0.3"/>
    <row r="894" s="1" customFormat="1" ht="14.25" customHeight="1" x14ac:dyDescent="0.3"/>
    <row r="895" s="1" customFormat="1" ht="14.25" customHeight="1" x14ac:dyDescent="0.3"/>
    <row r="896" s="1" customFormat="1" ht="14.25" customHeight="1" x14ac:dyDescent="0.3"/>
    <row r="897" s="1" customFormat="1" ht="14.25" customHeight="1" x14ac:dyDescent="0.3"/>
    <row r="898" s="1" customFormat="1" ht="14.25" customHeight="1" x14ac:dyDescent="0.3"/>
    <row r="899" s="1" customFormat="1" ht="14.25" customHeight="1" x14ac:dyDescent="0.3"/>
    <row r="900" s="1" customFormat="1" ht="14.25" customHeight="1" x14ac:dyDescent="0.3"/>
    <row r="901" s="1" customFormat="1" ht="14.25" customHeight="1" x14ac:dyDescent="0.3"/>
    <row r="902" s="1" customFormat="1" ht="14.25" customHeight="1" x14ac:dyDescent="0.3"/>
    <row r="903" s="1" customFormat="1" ht="14.25" customHeight="1" x14ac:dyDescent="0.3"/>
    <row r="904" s="1" customFormat="1" ht="14.25" customHeight="1" x14ac:dyDescent="0.3"/>
    <row r="905" s="1" customFormat="1" ht="14.25" customHeight="1" x14ac:dyDescent="0.3"/>
    <row r="906" s="1" customFormat="1" ht="14.25" customHeight="1" x14ac:dyDescent="0.3"/>
    <row r="907" s="1" customFormat="1" ht="14.25" customHeight="1" x14ac:dyDescent="0.3"/>
    <row r="908" s="1" customFormat="1" ht="14.25" customHeight="1" x14ac:dyDescent="0.3"/>
    <row r="909" s="1" customFormat="1" ht="14.25" customHeight="1" x14ac:dyDescent="0.3"/>
    <row r="910" s="1" customFormat="1" ht="14.25" customHeight="1" x14ac:dyDescent="0.3"/>
    <row r="911" s="1" customFormat="1" ht="14.25" customHeight="1" x14ac:dyDescent="0.3"/>
    <row r="912" s="1" customFormat="1" ht="14.25" customHeight="1" x14ac:dyDescent="0.3"/>
    <row r="913" s="1" customFormat="1" ht="14.25" customHeight="1" x14ac:dyDescent="0.3"/>
    <row r="914" s="1" customFormat="1" ht="14.25" customHeight="1" x14ac:dyDescent="0.3"/>
    <row r="915" s="1" customFormat="1" ht="14.25" customHeight="1" x14ac:dyDescent="0.3"/>
    <row r="916" s="1" customFormat="1" ht="14.25" customHeight="1" x14ac:dyDescent="0.3"/>
    <row r="917" s="1" customFormat="1" ht="14.25" customHeight="1" x14ac:dyDescent="0.3"/>
    <row r="918" s="1" customFormat="1" ht="14.25" customHeight="1" x14ac:dyDescent="0.3"/>
    <row r="919" s="1" customFormat="1" ht="14.25" customHeight="1" x14ac:dyDescent="0.3"/>
    <row r="920" s="1" customFormat="1" ht="14.25" customHeight="1" x14ac:dyDescent="0.3"/>
    <row r="921" s="1" customFormat="1" ht="14.25" customHeight="1" x14ac:dyDescent="0.3"/>
    <row r="922" s="1" customFormat="1" ht="14.25" customHeight="1" x14ac:dyDescent="0.3"/>
    <row r="923" s="1" customFormat="1" ht="14.25" customHeight="1" x14ac:dyDescent="0.3"/>
    <row r="924" s="1" customFormat="1" ht="14.25" customHeight="1" x14ac:dyDescent="0.3"/>
    <row r="925" s="1" customFormat="1" ht="14.25" customHeight="1" x14ac:dyDescent="0.3"/>
    <row r="926" s="1" customFormat="1" ht="14.25" customHeight="1" x14ac:dyDescent="0.3"/>
    <row r="927" s="1" customFormat="1" ht="14.25" customHeight="1" x14ac:dyDescent="0.3"/>
    <row r="928" s="1" customFormat="1" ht="14.25" customHeight="1" x14ac:dyDescent="0.3"/>
    <row r="929" s="1" customFormat="1" ht="14.25" customHeight="1" x14ac:dyDescent="0.3"/>
    <row r="930" s="1" customFormat="1" ht="14.25" customHeight="1" x14ac:dyDescent="0.3"/>
    <row r="931" s="1" customFormat="1" ht="14.25" customHeight="1" x14ac:dyDescent="0.3"/>
    <row r="932" s="1" customFormat="1" ht="14.25" customHeight="1" x14ac:dyDescent="0.3"/>
    <row r="933" s="1" customFormat="1" ht="14.25" customHeight="1" x14ac:dyDescent="0.3"/>
    <row r="934" s="1" customFormat="1" ht="14.25" customHeight="1" x14ac:dyDescent="0.3"/>
    <row r="935" s="1" customFormat="1" ht="14.25" customHeight="1" x14ac:dyDescent="0.3"/>
    <row r="936" s="1" customFormat="1" ht="14.25" customHeight="1" x14ac:dyDescent="0.3"/>
    <row r="937" s="1" customFormat="1" ht="14.25" customHeight="1" x14ac:dyDescent="0.3"/>
    <row r="938" s="1" customFormat="1" ht="14.25" customHeight="1" x14ac:dyDescent="0.3"/>
    <row r="939" s="1" customFormat="1" ht="14.25" customHeight="1" x14ac:dyDescent="0.3"/>
    <row r="940" s="1" customFormat="1" ht="14.25" customHeight="1" x14ac:dyDescent="0.3"/>
    <row r="941" s="1" customFormat="1" ht="14.25" customHeight="1" x14ac:dyDescent="0.3"/>
    <row r="942" s="1" customFormat="1" ht="14.25" customHeight="1" x14ac:dyDescent="0.3"/>
    <row r="943" s="1" customFormat="1" ht="14.25" customHeight="1" x14ac:dyDescent="0.3"/>
    <row r="944" s="1" customFormat="1" ht="14.25" customHeight="1" x14ac:dyDescent="0.3"/>
    <row r="945" s="1" customFormat="1" ht="14.25" customHeight="1" x14ac:dyDescent="0.3"/>
    <row r="946" s="1" customFormat="1" ht="14.25" customHeight="1" x14ac:dyDescent="0.3"/>
    <row r="947" s="1" customFormat="1" ht="14.25" customHeight="1" x14ac:dyDescent="0.3"/>
    <row r="948" s="1" customFormat="1" ht="14.25" customHeight="1" x14ac:dyDescent="0.3"/>
    <row r="949" s="1" customFormat="1" ht="14.25" customHeight="1" x14ac:dyDescent="0.3"/>
    <row r="950" s="1" customFormat="1" ht="14.25" customHeight="1" x14ac:dyDescent="0.3"/>
    <row r="951" s="1" customFormat="1" ht="14.25" customHeight="1" x14ac:dyDescent="0.3"/>
    <row r="952" s="1" customFormat="1" ht="14.25" customHeight="1" x14ac:dyDescent="0.3"/>
    <row r="953" s="1" customFormat="1" ht="14.25" customHeight="1" x14ac:dyDescent="0.3"/>
    <row r="954" s="1" customFormat="1" ht="14.25" customHeight="1" x14ac:dyDescent="0.3"/>
    <row r="955" s="1" customFormat="1" ht="14.25" customHeight="1" x14ac:dyDescent="0.3"/>
    <row r="956" s="1" customFormat="1" ht="14.25" customHeight="1" x14ac:dyDescent="0.3"/>
    <row r="957" s="1" customFormat="1" ht="14.25" customHeight="1" x14ac:dyDescent="0.3"/>
    <row r="958" s="1" customFormat="1" ht="14.25" customHeight="1" x14ac:dyDescent="0.3"/>
    <row r="959" s="1" customFormat="1" ht="14.25" customHeight="1" x14ac:dyDescent="0.3"/>
    <row r="960" s="1" customFormat="1" ht="14.25" customHeight="1" x14ac:dyDescent="0.3"/>
    <row r="961" s="1" customFormat="1" ht="14.25" customHeight="1" x14ac:dyDescent="0.3"/>
    <row r="962" s="1" customFormat="1" ht="14.25" customHeight="1" x14ac:dyDescent="0.3"/>
    <row r="963" s="1" customFormat="1" ht="14.25" customHeight="1" x14ac:dyDescent="0.3"/>
    <row r="964" s="1" customFormat="1" ht="14.25" customHeight="1" x14ac:dyDescent="0.3"/>
    <row r="965" s="1" customFormat="1" ht="14.25" customHeight="1" x14ac:dyDescent="0.3"/>
    <row r="966" s="1" customFormat="1" ht="14.25" customHeight="1" x14ac:dyDescent="0.3"/>
    <row r="967" s="1" customFormat="1" ht="14.25" customHeight="1" x14ac:dyDescent="0.3"/>
    <row r="968" s="1" customFormat="1" ht="14.25" customHeight="1" x14ac:dyDescent="0.3"/>
    <row r="969" s="1" customFormat="1" ht="14.25" customHeight="1" x14ac:dyDescent="0.3"/>
    <row r="970" s="1" customFormat="1" ht="14.25" customHeight="1" x14ac:dyDescent="0.3"/>
    <row r="971" s="1" customFormat="1" ht="14.25" customHeight="1" x14ac:dyDescent="0.3"/>
    <row r="972" s="1" customFormat="1" ht="14.25" customHeight="1" x14ac:dyDescent="0.3"/>
    <row r="973" s="1" customFormat="1" ht="14.25" customHeight="1" x14ac:dyDescent="0.3"/>
    <row r="974" s="1" customFormat="1" ht="14.25" customHeight="1" x14ac:dyDescent="0.3"/>
    <row r="975" s="1" customFormat="1" ht="14.25" customHeight="1" x14ac:dyDescent="0.3"/>
    <row r="976" s="1" customFormat="1" ht="14.25" customHeight="1" x14ac:dyDescent="0.3"/>
    <row r="977" s="1" customFormat="1" ht="14.25" customHeight="1" x14ac:dyDescent="0.3"/>
    <row r="978" s="1" customFormat="1" ht="14.25" customHeight="1" x14ac:dyDescent="0.3"/>
    <row r="979" s="1" customFormat="1" ht="14.25" customHeight="1" x14ac:dyDescent="0.3"/>
    <row r="980" s="1" customFormat="1" ht="14.25" customHeight="1" x14ac:dyDescent="0.3"/>
    <row r="981" s="1" customFormat="1" ht="14.25" customHeight="1" x14ac:dyDescent="0.3"/>
    <row r="982" s="1" customFormat="1" ht="14.25" customHeight="1" x14ac:dyDescent="0.3"/>
    <row r="983" s="1" customFormat="1" ht="14.25" customHeight="1" x14ac:dyDescent="0.3"/>
    <row r="984" s="1" customFormat="1" ht="14.25" customHeight="1" x14ac:dyDescent="0.3"/>
    <row r="985" s="1" customFormat="1" ht="14.25" customHeight="1" x14ac:dyDescent="0.3"/>
    <row r="986" s="1" customFormat="1" ht="14.25" customHeight="1" x14ac:dyDescent="0.3"/>
    <row r="987" s="1" customFormat="1" ht="14.25" customHeight="1" x14ac:dyDescent="0.3"/>
    <row r="988" s="1" customFormat="1" ht="14.25" customHeight="1" x14ac:dyDescent="0.3"/>
    <row r="989" s="1" customFormat="1" ht="14.25" customHeight="1" x14ac:dyDescent="0.3"/>
    <row r="990" s="1" customFormat="1" ht="14.25" customHeight="1" x14ac:dyDescent="0.3"/>
    <row r="991" s="1" customFormat="1" ht="14.25" customHeight="1" x14ac:dyDescent="0.3"/>
    <row r="992" s="1" customFormat="1" ht="14.25" customHeight="1" x14ac:dyDescent="0.3"/>
    <row r="993" s="1" customFormat="1" ht="14.25" customHeight="1" x14ac:dyDescent="0.3"/>
    <row r="994" s="1" customFormat="1" ht="14.25" customHeight="1" x14ac:dyDescent="0.3"/>
    <row r="995" s="1" customFormat="1" ht="14.25" customHeight="1" x14ac:dyDescent="0.3"/>
    <row r="996" s="1" customFormat="1" ht="14.25" customHeight="1" x14ac:dyDescent="0.3"/>
    <row r="997" s="1" customFormat="1" ht="14.25" customHeight="1" x14ac:dyDescent="0.3"/>
    <row r="998" s="1" customFormat="1" ht="14.25" customHeight="1" x14ac:dyDescent="0.3"/>
    <row r="999" s="1" customFormat="1" ht="14.25" customHeight="1" x14ac:dyDescent="0.3"/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8424F-9A54-4591-8B42-AAC15D4600B2}">
  <dimension ref="A1:M999"/>
  <sheetViews>
    <sheetView workbookViewId="0">
      <selection sqref="A1:XFD1048576"/>
    </sheetView>
  </sheetViews>
  <sheetFormatPr baseColWidth="10" defaultColWidth="12.6328125" defaultRowHeight="15" customHeight="1" x14ac:dyDescent="0.3"/>
  <cols>
    <col min="1" max="1" width="15.7265625" style="1" customWidth="1"/>
    <col min="2" max="7" width="10.6328125" style="1" customWidth="1"/>
    <col min="8" max="8" width="11.36328125" style="1" customWidth="1"/>
    <col min="9" max="25" width="10.6328125" style="1" customWidth="1"/>
    <col min="26" max="16384" width="12.6328125" style="1"/>
  </cols>
  <sheetData>
    <row r="1" spans="1:13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4.25" customHeight="1" x14ac:dyDescent="0.3">
      <c r="A2" s="1" t="s">
        <v>12</v>
      </c>
      <c r="B2" s="1" t="s">
        <v>13</v>
      </c>
      <c r="E2" s="1">
        <v>1</v>
      </c>
      <c r="H2" s="2" t="s">
        <v>14</v>
      </c>
      <c r="I2" s="3">
        <f t="shared" ref="I2:L2" si="0">SUM(C22+C37+C55+C65+C66+C96+C105+C113+C128+C146+C150)</f>
        <v>9</v>
      </c>
      <c r="J2" s="3">
        <f t="shared" si="0"/>
        <v>0</v>
      </c>
      <c r="K2" s="3">
        <f t="shared" si="0"/>
        <v>1</v>
      </c>
      <c r="L2" s="3">
        <f t="shared" si="0"/>
        <v>1</v>
      </c>
      <c r="M2" s="3">
        <f t="shared" ref="M2:M13" si="1">SUM(I2:L2)</f>
        <v>11</v>
      </c>
    </row>
    <row r="3" spans="1:13" ht="14.25" customHeight="1" x14ac:dyDescent="0.3">
      <c r="A3" s="1" t="s">
        <v>15</v>
      </c>
      <c r="B3" s="1" t="s">
        <v>16</v>
      </c>
      <c r="C3" s="1">
        <v>1</v>
      </c>
      <c r="H3" s="2" t="s">
        <v>17</v>
      </c>
      <c r="I3" s="3">
        <f t="shared" ref="I3:L3" si="2">SUM(C6+C32+C50+C52+C58+C69+C76+C94+C115+C122+C123+C152)</f>
        <v>12</v>
      </c>
      <c r="J3" s="3">
        <f t="shared" si="2"/>
        <v>0</v>
      </c>
      <c r="K3" s="3">
        <f t="shared" si="2"/>
        <v>0</v>
      </c>
      <c r="L3" s="3">
        <f t="shared" si="2"/>
        <v>0</v>
      </c>
      <c r="M3" s="3">
        <f t="shared" si="1"/>
        <v>12</v>
      </c>
    </row>
    <row r="4" spans="1:13" ht="14.25" customHeight="1" x14ac:dyDescent="0.3">
      <c r="A4" s="1" t="s">
        <v>18</v>
      </c>
      <c r="B4" s="1" t="s">
        <v>13</v>
      </c>
      <c r="E4" s="1">
        <v>1</v>
      </c>
      <c r="H4" s="2" t="s">
        <v>19</v>
      </c>
      <c r="I4" s="3">
        <f t="shared" ref="I4:L4" si="3">SUM(C26+C14+C27+C62+C68+C124+C138+C142+C153+C155)</f>
        <v>9</v>
      </c>
      <c r="J4" s="3">
        <f t="shared" si="3"/>
        <v>1</v>
      </c>
      <c r="K4" s="3">
        <f t="shared" si="3"/>
        <v>0</v>
      </c>
      <c r="L4" s="3">
        <f t="shared" si="3"/>
        <v>0</v>
      </c>
      <c r="M4" s="3">
        <f t="shared" si="1"/>
        <v>10</v>
      </c>
    </row>
    <row r="5" spans="1:13" ht="14.25" customHeight="1" x14ac:dyDescent="0.3">
      <c r="A5" s="1" t="s">
        <v>20</v>
      </c>
      <c r="B5" s="1" t="s">
        <v>21</v>
      </c>
      <c r="D5" s="1">
        <v>1</v>
      </c>
      <c r="H5" s="2" t="s">
        <v>22</v>
      </c>
      <c r="I5" s="3">
        <f t="shared" ref="I5:L5" si="4">SUM(C5+C36+C56+C63+C73+C85+C87+C95+C135)</f>
        <v>0</v>
      </c>
      <c r="J5" s="3">
        <f t="shared" si="4"/>
        <v>8</v>
      </c>
      <c r="K5" s="3">
        <f t="shared" si="4"/>
        <v>0</v>
      </c>
      <c r="L5" s="3">
        <f t="shared" si="4"/>
        <v>1</v>
      </c>
      <c r="M5" s="3">
        <f t="shared" si="1"/>
        <v>9</v>
      </c>
    </row>
    <row r="6" spans="1:13" ht="14.25" customHeight="1" x14ac:dyDescent="0.3">
      <c r="A6" s="1" t="s">
        <v>23</v>
      </c>
      <c r="B6" s="1" t="s">
        <v>24</v>
      </c>
      <c r="C6" s="1">
        <v>1</v>
      </c>
      <c r="H6" s="2" t="s">
        <v>25</v>
      </c>
      <c r="I6" s="3">
        <f t="shared" ref="I6:L6" si="5">SUM(C12+C15+C18+C28+C41+C59+C78+C64+C82+C83+C86+C106+C119+C143+C148+C154)</f>
        <v>15</v>
      </c>
      <c r="J6" s="3">
        <f t="shared" si="5"/>
        <v>0</v>
      </c>
      <c r="K6" s="3">
        <f t="shared" si="5"/>
        <v>0</v>
      </c>
      <c r="L6" s="3">
        <f t="shared" si="5"/>
        <v>1</v>
      </c>
      <c r="M6" s="3">
        <f t="shared" si="1"/>
        <v>16</v>
      </c>
    </row>
    <row r="7" spans="1:13" ht="14.25" customHeight="1" x14ac:dyDescent="0.3">
      <c r="A7" s="1" t="s">
        <v>26</v>
      </c>
      <c r="B7" s="1" t="s">
        <v>27</v>
      </c>
      <c r="C7" s="1">
        <v>1</v>
      </c>
      <c r="H7" s="2" t="s">
        <v>28</v>
      </c>
      <c r="I7" s="3">
        <f t="shared" ref="I7:L7" si="6">SUM(C3+C20+C46+C49+C54+C89+C90+C102+C112+C114+C129+C141)</f>
        <v>9</v>
      </c>
      <c r="J7" s="3">
        <f t="shared" si="6"/>
        <v>3</v>
      </c>
      <c r="K7" s="3">
        <f t="shared" si="6"/>
        <v>0</v>
      </c>
      <c r="L7" s="3">
        <f t="shared" si="6"/>
        <v>0</v>
      </c>
      <c r="M7" s="3">
        <f t="shared" si="1"/>
        <v>12</v>
      </c>
    </row>
    <row r="8" spans="1:13" ht="14.25" customHeight="1" x14ac:dyDescent="0.3">
      <c r="A8" s="1" t="s">
        <v>29</v>
      </c>
      <c r="B8" s="1" t="s">
        <v>30</v>
      </c>
      <c r="E8" s="1">
        <v>1</v>
      </c>
      <c r="H8" s="2" t="s">
        <v>27</v>
      </c>
      <c r="I8" s="3">
        <f t="shared" ref="I8:L8" si="7">SUM(C7+C30+C29+C44+C51+C60+C72+C79+C101+C99+C107+C111+C117+C140+C144)</f>
        <v>7</v>
      </c>
      <c r="J8" s="3">
        <f t="shared" si="7"/>
        <v>5</v>
      </c>
      <c r="K8" s="3">
        <f t="shared" si="7"/>
        <v>3</v>
      </c>
      <c r="L8" s="3">
        <f t="shared" si="7"/>
        <v>0</v>
      </c>
      <c r="M8" s="3">
        <f t="shared" si="1"/>
        <v>15</v>
      </c>
    </row>
    <row r="9" spans="1:13" ht="14.25" customHeight="1" x14ac:dyDescent="0.3">
      <c r="A9" s="1" t="s">
        <v>31</v>
      </c>
      <c r="B9" s="1" t="s">
        <v>13</v>
      </c>
      <c r="D9" s="1">
        <v>1</v>
      </c>
      <c r="H9" s="2" t="s">
        <v>13</v>
      </c>
      <c r="I9" s="3">
        <f t="shared" ref="I9:J9" si="8">SUM(C4+C9+C17+C19+C2+C48+C92+C120+C126+C127+C130+C133+C151)</f>
        <v>1</v>
      </c>
      <c r="J9" s="3">
        <f t="shared" si="8"/>
        <v>6</v>
      </c>
      <c r="K9" s="3">
        <f>SUM(D4+D9+D17+D19+D2+D48+D92+D120+D126+D127+D130+D133+D151)</f>
        <v>6</v>
      </c>
      <c r="L9" s="3">
        <f>SUM(F4+F9+F17+F19+F2+F48+F92+F120+F126+F127+F130+F133+F151)</f>
        <v>0</v>
      </c>
      <c r="M9" s="3">
        <f t="shared" si="1"/>
        <v>13</v>
      </c>
    </row>
    <row r="10" spans="1:13" ht="14.25" customHeight="1" x14ac:dyDescent="0.3">
      <c r="A10" s="1" t="s">
        <v>32</v>
      </c>
      <c r="B10" s="1" t="s">
        <v>33</v>
      </c>
      <c r="E10" s="1">
        <v>1</v>
      </c>
      <c r="H10" s="2" t="s">
        <v>30</v>
      </c>
      <c r="I10" s="3">
        <f t="shared" ref="I10:L10" si="9">SUM(C8+C13+C16+C25+C31+C35+C43+C45+C70+C71+C75+C81+C88+C93+C98+C100+C104+C118+C136+C137+C156)</f>
        <v>0</v>
      </c>
      <c r="J10" s="3">
        <f t="shared" si="9"/>
        <v>5</v>
      </c>
      <c r="K10" s="3">
        <f t="shared" si="9"/>
        <v>16</v>
      </c>
      <c r="L10" s="3">
        <f t="shared" si="9"/>
        <v>0</v>
      </c>
      <c r="M10" s="3">
        <f t="shared" si="1"/>
        <v>21</v>
      </c>
    </row>
    <row r="11" spans="1:13" ht="14.25" customHeight="1" x14ac:dyDescent="0.3">
      <c r="A11" s="1" t="s">
        <v>34</v>
      </c>
      <c r="B11" s="1" t="s">
        <v>33</v>
      </c>
      <c r="C11" s="1">
        <v>1</v>
      </c>
      <c r="H11" s="2" t="s">
        <v>35</v>
      </c>
      <c r="I11" s="3">
        <f t="shared" ref="I11:L11" si="10">SUM(C38+C42+C47+C53+C74+C77+C80+C91+C97+C103+C108+C116+C131+C145+C147)</f>
        <v>1</v>
      </c>
      <c r="J11" s="3">
        <f t="shared" si="10"/>
        <v>2</v>
      </c>
      <c r="K11" s="3">
        <f t="shared" si="10"/>
        <v>12</v>
      </c>
      <c r="L11" s="3">
        <f t="shared" si="10"/>
        <v>0</v>
      </c>
      <c r="M11" s="3">
        <f t="shared" si="1"/>
        <v>15</v>
      </c>
    </row>
    <row r="12" spans="1:13" ht="14.25" customHeight="1" x14ac:dyDescent="0.3">
      <c r="A12" s="1" t="s">
        <v>36</v>
      </c>
      <c r="B12" s="1" t="s">
        <v>37</v>
      </c>
      <c r="C12" s="1">
        <v>1</v>
      </c>
      <c r="H12" s="2" t="s">
        <v>38</v>
      </c>
      <c r="I12" s="3">
        <f t="shared" ref="I12:L12" si="11">SUM(C21+C24+C34+C40+C67+C84+C132)</f>
        <v>2</v>
      </c>
      <c r="J12" s="3">
        <f t="shared" si="11"/>
        <v>3</v>
      </c>
      <c r="K12" s="3">
        <f t="shared" si="11"/>
        <v>2</v>
      </c>
      <c r="L12" s="3">
        <f t="shared" si="11"/>
        <v>0</v>
      </c>
      <c r="M12" s="3">
        <f t="shared" si="1"/>
        <v>7</v>
      </c>
    </row>
    <row r="13" spans="1:13" ht="14.25" customHeight="1" x14ac:dyDescent="0.3">
      <c r="A13" s="1" t="s">
        <v>39</v>
      </c>
      <c r="B13" s="1" t="s">
        <v>30</v>
      </c>
      <c r="E13" s="1">
        <v>1</v>
      </c>
      <c r="H13" s="2" t="s">
        <v>33</v>
      </c>
      <c r="I13" s="3">
        <f t="shared" ref="I13:L13" si="12">SUM(C10+C11+C57+C125+C149)</f>
        <v>3</v>
      </c>
      <c r="J13" s="3">
        <f t="shared" si="12"/>
        <v>1</v>
      </c>
      <c r="K13" s="3">
        <f t="shared" si="12"/>
        <v>1</v>
      </c>
      <c r="L13" s="3">
        <f t="shared" si="12"/>
        <v>0</v>
      </c>
      <c r="M13" s="3">
        <f t="shared" si="1"/>
        <v>5</v>
      </c>
    </row>
    <row r="14" spans="1:13" ht="14.25" customHeight="1" x14ac:dyDescent="0.3">
      <c r="A14" s="1" t="s">
        <v>40</v>
      </c>
      <c r="B14" s="1" t="s">
        <v>19</v>
      </c>
      <c r="C14" s="1">
        <v>1</v>
      </c>
      <c r="I14" s="4"/>
      <c r="J14" s="4"/>
      <c r="K14" s="4"/>
      <c r="L14" s="4"/>
    </row>
    <row r="15" spans="1:13" ht="14.25" customHeight="1" x14ac:dyDescent="0.3">
      <c r="A15" s="1" t="s">
        <v>41</v>
      </c>
      <c r="B15" s="1" t="s">
        <v>42</v>
      </c>
      <c r="C15" s="1">
        <v>1</v>
      </c>
      <c r="I15" s="4"/>
      <c r="J15" s="4"/>
      <c r="K15" s="4"/>
      <c r="L15" s="4"/>
    </row>
    <row r="16" spans="1:13" ht="14.25" customHeight="1" x14ac:dyDescent="0.3">
      <c r="A16" s="1" t="s">
        <v>43</v>
      </c>
      <c r="B16" s="1" t="s">
        <v>30</v>
      </c>
      <c r="E16" s="1">
        <v>1</v>
      </c>
      <c r="I16" s="4"/>
      <c r="J16" s="4"/>
      <c r="K16" s="4"/>
      <c r="L16" s="4"/>
    </row>
    <row r="17" spans="1:12" ht="14.25" customHeight="1" x14ac:dyDescent="0.3">
      <c r="A17" s="1" t="s">
        <v>44</v>
      </c>
      <c r="B17" s="1" t="s">
        <v>13</v>
      </c>
      <c r="D17" s="1">
        <v>1</v>
      </c>
      <c r="I17" s="4"/>
      <c r="J17" s="4"/>
      <c r="K17" s="4"/>
      <c r="L17" s="4"/>
    </row>
    <row r="18" spans="1:12" ht="14.25" customHeight="1" x14ac:dyDescent="0.3">
      <c r="A18" s="1" t="s">
        <v>45</v>
      </c>
      <c r="B18" s="1" t="s">
        <v>37</v>
      </c>
      <c r="C18" s="1">
        <v>1</v>
      </c>
      <c r="I18" s="4"/>
      <c r="J18" s="4"/>
      <c r="K18" s="4"/>
      <c r="L18" s="4"/>
    </row>
    <row r="19" spans="1:12" ht="14.25" customHeight="1" x14ac:dyDescent="0.3">
      <c r="A19" s="1" t="s">
        <v>46</v>
      </c>
      <c r="B19" s="1" t="s">
        <v>13</v>
      </c>
      <c r="D19" s="1">
        <v>1</v>
      </c>
    </row>
    <row r="20" spans="1:12" ht="14.25" customHeight="1" x14ac:dyDescent="0.3">
      <c r="A20" s="1" t="s">
        <v>47</v>
      </c>
      <c r="B20" s="1" t="s">
        <v>16</v>
      </c>
      <c r="C20" s="1">
        <v>1</v>
      </c>
    </row>
    <row r="21" spans="1:12" ht="14.25" customHeight="1" x14ac:dyDescent="0.3">
      <c r="A21" s="1" t="s">
        <v>48</v>
      </c>
      <c r="B21" s="1" t="s">
        <v>38</v>
      </c>
      <c r="C21" s="1">
        <v>1</v>
      </c>
    </row>
    <row r="22" spans="1:12" ht="14.25" customHeight="1" x14ac:dyDescent="0.3">
      <c r="A22" s="1" t="s">
        <v>49</v>
      </c>
      <c r="B22" s="1" t="s">
        <v>14</v>
      </c>
      <c r="C22" s="1">
        <v>1</v>
      </c>
    </row>
    <row r="23" spans="1:12" ht="14.25" customHeight="1" x14ac:dyDescent="0.3">
      <c r="A23" s="1" t="s">
        <v>50</v>
      </c>
      <c r="B23" s="1" t="s">
        <v>13</v>
      </c>
      <c r="E23" s="1">
        <v>1</v>
      </c>
    </row>
    <row r="24" spans="1:12" ht="14.25" customHeight="1" x14ac:dyDescent="0.3">
      <c r="A24" s="1" t="s">
        <v>51</v>
      </c>
      <c r="B24" s="1" t="s">
        <v>38</v>
      </c>
      <c r="C24" s="1">
        <v>1</v>
      </c>
    </row>
    <row r="25" spans="1:12" ht="14.25" customHeight="1" x14ac:dyDescent="0.3">
      <c r="A25" s="1" t="s">
        <v>52</v>
      </c>
      <c r="B25" s="1" t="s">
        <v>30</v>
      </c>
      <c r="E25" s="1">
        <v>1</v>
      </c>
    </row>
    <row r="26" spans="1:12" ht="14.25" customHeight="1" x14ac:dyDescent="0.3">
      <c r="A26" s="1" t="s">
        <v>53</v>
      </c>
      <c r="B26" s="1" t="s">
        <v>19</v>
      </c>
      <c r="D26" s="1">
        <v>1</v>
      </c>
    </row>
    <row r="27" spans="1:12" ht="14.25" customHeight="1" x14ac:dyDescent="0.3">
      <c r="A27" s="1" t="s">
        <v>54</v>
      </c>
      <c r="B27" s="1" t="s">
        <v>19</v>
      </c>
      <c r="C27" s="1">
        <v>1</v>
      </c>
    </row>
    <row r="28" spans="1:12" ht="14.25" customHeight="1" x14ac:dyDescent="0.3">
      <c r="A28" s="1" t="s">
        <v>55</v>
      </c>
      <c r="B28" s="1" t="s">
        <v>37</v>
      </c>
      <c r="C28" s="1">
        <v>1</v>
      </c>
    </row>
    <row r="29" spans="1:12" ht="14.25" customHeight="1" x14ac:dyDescent="0.3">
      <c r="A29" s="1" t="s">
        <v>56</v>
      </c>
      <c r="B29" s="1" t="s">
        <v>27</v>
      </c>
      <c r="D29" s="1">
        <v>1</v>
      </c>
    </row>
    <row r="30" spans="1:12" ht="14.25" customHeight="1" x14ac:dyDescent="0.3">
      <c r="A30" s="1" t="s">
        <v>57</v>
      </c>
      <c r="B30" s="1" t="s">
        <v>27</v>
      </c>
      <c r="C30" s="1">
        <v>1</v>
      </c>
    </row>
    <row r="31" spans="1:12" ht="14.25" customHeight="1" x14ac:dyDescent="0.3">
      <c r="A31" s="1" t="s">
        <v>58</v>
      </c>
      <c r="B31" s="1" t="s">
        <v>30</v>
      </c>
      <c r="D31" s="1">
        <v>1</v>
      </c>
    </row>
    <row r="32" spans="1:12" ht="14.25" customHeight="1" x14ac:dyDescent="0.3">
      <c r="A32" s="1" t="s">
        <v>59</v>
      </c>
      <c r="B32" s="1" t="s">
        <v>24</v>
      </c>
      <c r="C32" s="1">
        <v>1</v>
      </c>
    </row>
    <row r="33" spans="1:12" ht="14.25" customHeight="1" x14ac:dyDescent="0.3">
      <c r="A33" s="1" t="s">
        <v>60</v>
      </c>
      <c r="B33" s="1" t="s">
        <v>27</v>
      </c>
      <c r="C33" s="1">
        <v>1</v>
      </c>
    </row>
    <row r="34" spans="1:12" ht="14.25" customHeight="1" x14ac:dyDescent="0.3">
      <c r="A34" s="1" t="s">
        <v>61</v>
      </c>
      <c r="B34" s="1" t="s">
        <v>38</v>
      </c>
      <c r="D34" s="1">
        <v>1</v>
      </c>
    </row>
    <row r="35" spans="1:12" ht="14.25" customHeight="1" x14ac:dyDescent="0.3">
      <c r="A35" s="1" t="s">
        <v>62</v>
      </c>
      <c r="B35" s="1" t="s">
        <v>30</v>
      </c>
      <c r="E35" s="1">
        <v>1</v>
      </c>
    </row>
    <row r="36" spans="1:12" ht="14.25" customHeight="1" x14ac:dyDescent="0.3">
      <c r="A36" s="1" t="s">
        <v>63</v>
      </c>
      <c r="B36" s="1" t="s">
        <v>21</v>
      </c>
      <c r="D36" s="1">
        <v>1</v>
      </c>
    </row>
    <row r="37" spans="1:12" ht="14.25" customHeight="1" x14ac:dyDescent="0.3">
      <c r="A37" s="1" t="s">
        <v>64</v>
      </c>
      <c r="B37" s="1" t="s">
        <v>14</v>
      </c>
      <c r="E37" s="1">
        <v>1</v>
      </c>
    </row>
    <row r="38" spans="1:12" ht="14.25" customHeight="1" x14ac:dyDescent="0.3">
      <c r="A38" s="1" t="s">
        <v>65</v>
      </c>
      <c r="B38" s="1" t="s">
        <v>66</v>
      </c>
      <c r="E38" s="1">
        <v>1</v>
      </c>
    </row>
    <row r="39" spans="1:12" ht="14.25" customHeight="1" x14ac:dyDescent="0.3">
      <c r="A39" s="1" t="s">
        <v>67</v>
      </c>
      <c r="B39" s="1" t="s">
        <v>16</v>
      </c>
      <c r="D39" s="1">
        <v>1</v>
      </c>
    </row>
    <row r="40" spans="1:12" ht="14.25" customHeight="1" x14ac:dyDescent="0.3">
      <c r="A40" s="1" t="s">
        <v>68</v>
      </c>
      <c r="B40" s="1" t="s">
        <v>38</v>
      </c>
      <c r="D40" s="1">
        <v>1</v>
      </c>
    </row>
    <row r="41" spans="1:12" ht="14.25" customHeight="1" x14ac:dyDescent="0.3">
      <c r="A41" s="1" t="s">
        <v>69</v>
      </c>
      <c r="B41" s="1" t="s">
        <v>37</v>
      </c>
      <c r="C41" s="1">
        <v>1</v>
      </c>
    </row>
    <row r="42" spans="1:12" ht="14.25" customHeight="1" x14ac:dyDescent="0.3">
      <c r="A42" s="1" t="s">
        <v>70</v>
      </c>
      <c r="B42" s="1" t="s">
        <v>66</v>
      </c>
      <c r="E42" s="1">
        <v>1</v>
      </c>
    </row>
    <row r="43" spans="1:12" ht="14.25" customHeight="1" x14ac:dyDescent="0.3">
      <c r="A43" s="1" t="s">
        <v>71</v>
      </c>
      <c r="B43" s="1" t="s">
        <v>30</v>
      </c>
      <c r="E43" s="1">
        <v>1</v>
      </c>
    </row>
    <row r="44" spans="1:12" ht="14.25" customHeight="1" x14ac:dyDescent="0.3">
      <c r="A44" s="1" t="s">
        <v>72</v>
      </c>
      <c r="B44" s="1" t="s">
        <v>27</v>
      </c>
      <c r="D44" s="1">
        <v>1</v>
      </c>
    </row>
    <row r="45" spans="1:12" ht="14.25" customHeight="1" x14ac:dyDescent="0.3">
      <c r="A45" s="1" t="s">
        <v>73</v>
      </c>
      <c r="B45" s="1" t="s">
        <v>30</v>
      </c>
      <c r="E45" s="1">
        <v>1</v>
      </c>
      <c r="H45" s="1" t="s">
        <v>6</v>
      </c>
      <c r="I45" s="1" t="s">
        <v>7</v>
      </c>
      <c r="J45" s="1" t="s">
        <v>8</v>
      </c>
      <c r="K45" s="1" t="s">
        <v>9</v>
      </c>
      <c r="L45" s="1" t="s">
        <v>10</v>
      </c>
    </row>
    <row r="46" spans="1:12" ht="14.25" customHeight="1" x14ac:dyDescent="0.3">
      <c r="A46" s="1" t="s">
        <v>74</v>
      </c>
      <c r="B46" s="1" t="s">
        <v>16</v>
      </c>
      <c r="D46" s="1">
        <v>1</v>
      </c>
      <c r="H46" s="2" t="s">
        <v>14</v>
      </c>
      <c r="I46" s="4">
        <f t="shared" ref="I46:I57" si="13">I2/M2</f>
        <v>0.81818181818181823</v>
      </c>
      <c r="J46" s="4">
        <f t="shared" ref="J46:J57" si="14">J2/M2</f>
        <v>0</v>
      </c>
      <c r="K46" s="4">
        <f t="shared" ref="K46:K57" si="15">K2/M2</f>
        <v>9.0909090909090912E-2</v>
      </c>
      <c r="L46" s="4">
        <f t="shared" ref="L46:L57" si="16">L2/M2</f>
        <v>9.0909090909090912E-2</v>
      </c>
    </row>
    <row r="47" spans="1:12" ht="14.25" customHeight="1" x14ac:dyDescent="0.3">
      <c r="A47" s="1" t="s">
        <v>75</v>
      </c>
      <c r="B47" s="1" t="s">
        <v>66</v>
      </c>
      <c r="E47" s="1">
        <v>1</v>
      </c>
      <c r="H47" s="2" t="s">
        <v>17</v>
      </c>
      <c r="I47" s="4">
        <f t="shared" si="13"/>
        <v>1</v>
      </c>
      <c r="J47" s="4">
        <f t="shared" si="14"/>
        <v>0</v>
      </c>
      <c r="K47" s="4">
        <f t="shared" si="15"/>
        <v>0</v>
      </c>
      <c r="L47" s="4">
        <f t="shared" si="16"/>
        <v>0</v>
      </c>
    </row>
    <row r="48" spans="1:12" ht="14.25" customHeight="1" x14ac:dyDescent="0.3">
      <c r="A48" s="1" t="s">
        <v>76</v>
      </c>
      <c r="B48" s="1" t="s">
        <v>13</v>
      </c>
      <c r="E48" s="1">
        <v>1</v>
      </c>
      <c r="H48" s="2" t="s">
        <v>19</v>
      </c>
      <c r="I48" s="4">
        <f t="shared" si="13"/>
        <v>0.9</v>
      </c>
      <c r="J48" s="4">
        <f t="shared" si="14"/>
        <v>0.1</v>
      </c>
      <c r="K48" s="4">
        <f t="shared" si="15"/>
        <v>0</v>
      </c>
      <c r="L48" s="4">
        <f t="shared" si="16"/>
        <v>0</v>
      </c>
    </row>
    <row r="49" spans="1:12" ht="14.25" customHeight="1" x14ac:dyDescent="0.3">
      <c r="A49" s="1" t="s">
        <v>77</v>
      </c>
      <c r="B49" s="1" t="s">
        <v>16</v>
      </c>
      <c r="C49" s="1">
        <v>1</v>
      </c>
      <c r="H49" s="2" t="s">
        <v>22</v>
      </c>
      <c r="I49" s="4">
        <f t="shared" si="13"/>
        <v>0</v>
      </c>
      <c r="J49" s="4">
        <f t="shared" si="14"/>
        <v>0.88888888888888884</v>
      </c>
      <c r="K49" s="4">
        <f t="shared" si="15"/>
        <v>0</v>
      </c>
      <c r="L49" s="4">
        <f t="shared" si="16"/>
        <v>0.1111111111111111</v>
      </c>
    </row>
    <row r="50" spans="1:12" ht="14.25" customHeight="1" x14ac:dyDescent="0.3">
      <c r="A50" s="1" t="s">
        <v>78</v>
      </c>
      <c r="B50" s="1" t="s">
        <v>24</v>
      </c>
      <c r="C50" s="1">
        <v>1</v>
      </c>
      <c r="H50" s="2" t="s">
        <v>25</v>
      </c>
      <c r="I50" s="4">
        <f t="shared" si="13"/>
        <v>0.9375</v>
      </c>
      <c r="J50" s="4">
        <f t="shared" si="14"/>
        <v>0</v>
      </c>
      <c r="K50" s="4">
        <f t="shared" si="15"/>
        <v>0</v>
      </c>
      <c r="L50" s="4">
        <f t="shared" si="16"/>
        <v>6.25E-2</v>
      </c>
    </row>
    <row r="51" spans="1:12" ht="14.25" customHeight="1" x14ac:dyDescent="0.3">
      <c r="A51" s="1" t="s">
        <v>79</v>
      </c>
      <c r="B51" s="1" t="s">
        <v>27</v>
      </c>
      <c r="E51" s="1">
        <v>1</v>
      </c>
      <c r="H51" s="2" t="s">
        <v>28</v>
      </c>
      <c r="I51" s="4">
        <f t="shared" si="13"/>
        <v>0.75</v>
      </c>
      <c r="J51" s="4">
        <f t="shared" si="14"/>
        <v>0.25</v>
      </c>
      <c r="K51" s="4">
        <f t="shared" si="15"/>
        <v>0</v>
      </c>
      <c r="L51" s="4">
        <f t="shared" si="16"/>
        <v>0</v>
      </c>
    </row>
    <row r="52" spans="1:12" ht="14.25" customHeight="1" x14ac:dyDescent="0.3">
      <c r="A52" s="1" t="s">
        <v>80</v>
      </c>
      <c r="B52" s="1" t="s">
        <v>24</v>
      </c>
      <c r="C52" s="1">
        <v>1</v>
      </c>
      <c r="H52" s="2" t="s">
        <v>27</v>
      </c>
      <c r="I52" s="4">
        <f t="shared" si="13"/>
        <v>0.46666666666666667</v>
      </c>
      <c r="J52" s="4">
        <f t="shared" si="14"/>
        <v>0.33333333333333331</v>
      </c>
      <c r="K52" s="4">
        <f t="shared" si="15"/>
        <v>0.2</v>
      </c>
      <c r="L52" s="4">
        <f t="shared" si="16"/>
        <v>0</v>
      </c>
    </row>
    <row r="53" spans="1:12" ht="14.25" customHeight="1" x14ac:dyDescent="0.3">
      <c r="A53" s="1" t="s">
        <v>81</v>
      </c>
      <c r="B53" s="1" t="s">
        <v>66</v>
      </c>
      <c r="E53" s="1">
        <v>1</v>
      </c>
      <c r="H53" s="2" t="s">
        <v>13</v>
      </c>
      <c r="I53" s="4">
        <f t="shared" si="13"/>
        <v>7.6923076923076927E-2</v>
      </c>
      <c r="J53" s="4">
        <f t="shared" si="14"/>
        <v>0.46153846153846156</v>
      </c>
      <c r="K53" s="4">
        <f t="shared" si="15"/>
        <v>0.46153846153846156</v>
      </c>
      <c r="L53" s="4">
        <f t="shared" si="16"/>
        <v>0</v>
      </c>
    </row>
    <row r="54" spans="1:12" ht="14.25" customHeight="1" x14ac:dyDescent="0.3">
      <c r="A54" s="1" t="s">
        <v>82</v>
      </c>
      <c r="B54" s="1" t="s">
        <v>16</v>
      </c>
      <c r="D54" s="1">
        <v>1</v>
      </c>
      <c r="H54" s="2" t="s">
        <v>30</v>
      </c>
      <c r="I54" s="4">
        <f t="shared" si="13"/>
        <v>0</v>
      </c>
      <c r="J54" s="4">
        <f t="shared" si="14"/>
        <v>0.23809523809523808</v>
      </c>
      <c r="K54" s="4">
        <f t="shared" si="15"/>
        <v>0.76190476190476186</v>
      </c>
      <c r="L54" s="4">
        <f t="shared" si="16"/>
        <v>0</v>
      </c>
    </row>
    <row r="55" spans="1:12" ht="14.25" customHeight="1" x14ac:dyDescent="0.3">
      <c r="A55" s="1" t="s">
        <v>83</v>
      </c>
      <c r="B55" s="1" t="s">
        <v>14</v>
      </c>
      <c r="C55" s="1">
        <v>1</v>
      </c>
      <c r="H55" s="2" t="s">
        <v>35</v>
      </c>
      <c r="I55" s="4">
        <f t="shared" si="13"/>
        <v>6.6666666666666666E-2</v>
      </c>
      <c r="J55" s="4">
        <f t="shared" si="14"/>
        <v>0.13333333333333333</v>
      </c>
      <c r="K55" s="4">
        <f t="shared" si="15"/>
        <v>0.8</v>
      </c>
      <c r="L55" s="4">
        <f t="shared" si="16"/>
        <v>0</v>
      </c>
    </row>
    <row r="56" spans="1:12" ht="14.25" customHeight="1" x14ac:dyDescent="0.3">
      <c r="A56" s="1" t="s">
        <v>84</v>
      </c>
      <c r="B56" s="1" t="s">
        <v>21</v>
      </c>
      <c r="D56" s="1">
        <v>1</v>
      </c>
      <c r="H56" s="2" t="s">
        <v>38</v>
      </c>
      <c r="I56" s="4">
        <f t="shared" si="13"/>
        <v>0.2857142857142857</v>
      </c>
      <c r="J56" s="4">
        <f t="shared" si="14"/>
        <v>0.42857142857142855</v>
      </c>
      <c r="K56" s="4">
        <f t="shared" si="15"/>
        <v>0.2857142857142857</v>
      </c>
      <c r="L56" s="4">
        <f t="shared" si="16"/>
        <v>0</v>
      </c>
    </row>
    <row r="57" spans="1:12" ht="14.25" customHeight="1" x14ac:dyDescent="0.3">
      <c r="A57" s="1" t="s">
        <v>85</v>
      </c>
      <c r="B57" s="1" t="s">
        <v>33</v>
      </c>
      <c r="D57" s="1">
        <v>1</v>
      </c>
      <c r="H57" s="2" t="s">
        <v>33</v>
      </c>
      <c r="I57" s="4">
        <f t="shared" si="13"/>
        <v>0.6</v>
      </c>
      <c r="J57" s="4">
        <f t="shared" si="14"/>
        <v>0.2</v>
      </c>
      <c r="K57" s="4">
        <f t="shared" si="15"/>
        <v>0.2</v>
      </c>
      <c r="L57" s="4">
        <f t="shared" si="16"/>
        <v>0</v>
      </c>
    </row>
    <row r="58" spans="1:12" ht="14.25" customHeight="1" x14ac:dyDescent="0.3">
      <c r="A58" s="1" t="s">
        <v>86</v>
      </c>
      <c r="B58" s="1" t="s">
        <v>24</v>
      </c>
      <c r="C58" s="1">
        <v>1</v>
      </c>
    </row>
    <row r="59" spans="1:12" ht="14.25" customHeight="1" x14ac:dyDescent="0.3">
      <c r="A59" s="1" t="s">
        <v>87</v>
      </c>
      <c r="B59" s="1" t="s">
        <v>37</v>
      </c>
      <c r="C59" s="1">
        <v>1</v>
      </c>
    </row>
    <row r="60" spans="1:12" ht="14.25" customHeight="1" x14ac:dyDescent="0.3">
      <c r="A60" s="1" t="s">
        <v>88</v>
      </c>
      <c r="B60" s="1" t="s">
        <v>27</v>
      </c>
      <c r="C60" s="1">
        <v>1</v>
      </c>
    </row>
    <row r="61" spans="1:12" ht="14.25" customHeight="1" x14ac:dyDescent="0.3">
      <c r="A61" s="1" t="s">
        <v>89</v>
      </c>
      <c r="B61" s="1" t="s">
        <v>13</v>
      </c>
      <c r="E61" s="1">
        <v>1</v>
      </c>
    </row>
    <row r="62" spans="1:12" ht="14.25" customHeight="1" x14ac:dyDescent="0.3">
      <c r="A62" s="1" t="s">
        <v>90</v>
      </c>
      <c r="B62" s="1" t="s">
        <v>19</v>
      </c>
      <c r="C62" s="1">
        <v>1</v>
      </c>
    </row>
    <row r="63" spans="1:12" ht="14.25" customHeight="1" x14ac:dyDescent="0.3">
      <c r="A63" s="1" t="s">
        <v>91</v>
      </c>
      <c r="B63" s="1" t="s">
        <v>21</v>
      </c>
      <c r="F63" s="1">
        <v>1</v>
      </c>
    </row>
    <row r="64" spans="1:12" ht="14.25" customHeight="1" x14ac:dyDescent="0.3">
      <c r="A64" s="1" t="s">
        <v>92</v>
      </c>
      <c r="B64" s="1" t="s">
        <v>42</v>
      </c>
      <c r="C64" s="1">
        <v>1</v>
      </c>
    </row>
    <row r="65" spans="1:5" ht="14.25" customHeight="1" x14ac:dyDescent="0.3">
      <c r="A65" s="1" t="s">
        <v>93</v>
      </c>
      <c r="B65" s="1" t="s">
        <v>14</v>
      </c>
      <c r="C65" s="1">
        <v>1</v>
      </c>
    </row>
    <row r="66" spans="1:5" ht="14.25" customHeight="1" x14ac:dyDescent="0.3">
      <c r="A66" s="1" t="s">
        <v>94</v>
      </c>
      <c r="B66" s="1" t="s">
        <v>14</v>
      </c>
      <c r="C66" s="1">
        <v>1</v>
      </c>
    </row>
    <row r="67" spans="1:5" ht="14.25" customHeight="1" x14ac:dyDescent="0.3">
      <c r="A67" s="1" t="s">
        <v>95</v>
      </c>
      <c r="B67" s="1" t="s">
        <v>38</v>
      </c>
      <c r="D67" s="1">
        <v>1</v>
      </c>
    </row>
    <row r="68" spans="1:5" ht="14.25" customHeight="1" x14ac:dyDescent="0.3">
      <c r="A68" s="1" t="s">
        <v>96</v>
      </c>
      <c r="B68" s="1" t="s">
        <v>19</v>
      </c>
      <c r="C68" s="1">
        <v>1</v>
      </c>
    </row>
    <row r="69" spans="1:5" ht="14.25" customHeight="1" x14ac:dyDescent="0.3">
      <c r="A69" s="1" t="s">
        <v>97</v>
      </c>
      <c r="B69" s="1" t="s">
        <v>24</v>
      </c>
      <c r="C69" s="1">
        <v>1</v>
      </c>
    </row>
    <row r="70" spans="1:5" ht="14.25" customHeight="1" x14ac:dyDescent="0.3">
      <c r="A70" s="1" t="s">
        <v>98</v>
      </c>
      <c r="B70" s="1" t="s">
        <v>30</v>
      </c>
      <c r="E70" s="1">
        <v>1</v>
      </c>
    </row>
    <row r="71" spans="1:5" ht="14.25" customHeight="1" x14ac:dyDescent="0.3">
      <c r="A71" s="1" t="s">
        <v>99</v>
      </c>
      <c r="B71" s="1" t="s">
        <v>30</v>
      </c>
      <c r="D71" s="1">
        <v>1</v>
      </c>
    </row>
    <row r="72" spans="1:5" ht="14.25" customHeight="1" x14ac:dyDescent="0.3">
      <c r="A72" s="1" t="s">
        <v>100</v>
      </c>
      <c r="B72" s="1" t="s">
        <v>27</v>
      </c>
      <c r="D72" s="1">
        <v>1</v>
      </c>
    </row>
    <row r="73" spans="1:5" ht="14.25" customHeight="1" x14ac:dyDescent="0.3">
      <c r="A73" s="1" t="s">
        <v>101</v>
      </c>
      <c r="B73" s="1" t="s">
        <v>21</v>
      </c>
      <c r="D73" s="1">
        <v>1</v>
      </c>
    </row>
    <row r="74" spans="1:5" ht="14.25" customHeight="1" x14ac:dyDescent="0.3">
      <c r="A74" s="1" t="s">
        <v>102</v>
      </c>
      <c r="B74" s="1" t="s">
        <v>66</v>
      </c>
      <c r="E74" s="1">
        <v>1</v>
      </c>
    </row>
    <row r="75" spans="1:5" ht="14.25" customHeight="1" x14ac:dyDescent="0.3">
      <c r="A75" s="1" t="s">
        <v>103</v>
      </c>
      <c r="B75" s="1" t="s">
        <v>30</v>
      </c>
      <c r="E75" s="1">
        <v>1</v>
      </c>
    </row>
    <row r="76" spans="1:5" ht="14.25" customHeight="1" x14ac:dyDescent="0.3">
      <c r="A76" s="1" t="s">
        <v>104</v>
      </c>
      <c r="B76" s="1" t="s">
        <v>24</v>
      </c>
      <c r="C76" s="1">
        <v>1</v>
      </c>
    </row>
    <row r="77" spans="1:5" ht="14.25" customHeight="1" x14ac:dyDescent="0.3">
      <c r="A77" s="1" t="s">
        <v>105</v>
      </c>
      <c r="B77" s="1" t="s">
        <v>66</v>
      </c>
      <c r="E77" s="1">
        <v>1</v>
      </c>
    </row>
    <row r="78" spans="1:5" ht="14.25" customHeight="1" x14ac:dyDescent="0.3">
      <c r="A78" s="1" t="s">
        <v>106</v>
      </c>
      <c r="B78" s="1" t="s">
        <v>42</v>
      </c>
      <c r="C78" s="1">
        <v>1</v>
      </c>
    </row>
    <row r="79" spans="1:5" ht="14.25" customHeight="1" x14ac:dyDescent="0.3">
      <c r="A79" s="1" t="s">
        <v>107</v>
      </c>
      <c r="B79" s="1" t="s">
        <v>27</v>
      </c>
      <c r="C79" s="1">
        <v>1</v>
      </c>
    </row>
    <row r="80" spans="1:5" ht="14.25" customHeight="1" x14ac:dyDescent="0.3">
      <c r="A80" s="1" t="s">
        <v>108</v>
      </c>
      <c r="B80" s="1" t="s">
        <v>66</v>
      </c>
      <c r="E80" s="1">
        <v>1</v>
      </c>
    </row>
    <row r="81" spans="1:5" ht="14.25" customHeight="1" x14ac:dyDescent="0.3">
      <c r="A81" s="1" t="s">
        <v>109</v>
      </c>
      <c r="B81" s="1" t="s">
        <v>30</v>
      </c>
      <c r="E81" s="1">
        <v>1</v>
      </c>
    </row>
    <row r="82" spans="1:5" ht="14.25" customHeight="1" x14ac:dyDescent="0.3">
      <c r="A82" s="1" t="s">
        <v>110</v>
      </c>
      <c r="B82" s="1" t="s">
        <v>37</v>
      </c>
      <c r="C82" s="1">
        <v>1</v>
      </c>
    </row>
    <row r="83" spans="1:5" ht="14.25" customHeight="1" x14ac:dyDescent="0.3">
      <c r="A83" s="1" t="s">
        <v>111</v>
      </c>
      <c r="B83" s="1" t="s">
        <v>37</v>
      </c>
      <c r="C83" s="1">
        <v>1</v>
      </c>
    </row>
    <row r="84" spans="1:5" ht="14.25" customHeight="1" x14ac:dyDescent="0.3">
      <c r="A84" s="1" t="s">
        <v>112</v>
      </c>
      <c r="B84" s="1" t="s">
        <v>38</v>
      </c>
      <c r="E84" s="1">
        <v>1</v>
      </c>
    </row>
    <row r="85" spans="1:5" ht="14.25" customHeight="1" x14ac:dyDescent="0.3">
      <c r="A85" s="1" t="s">
        <v>113</v>
      </c>
      <c r="B85" s="1" t="s">
        <v>21</v>
      </c>
      <c r="D85" s="1">
        <v>1</v>
      </c>
    </row>
    <row r="86" spans="1:5" ht="14.25" customHeight="1" x14ac:dyDescent="0.3">
      <c r="A86" s="1" t="s">
        <v>114</v>
      </c>
      <c r="B86" s="1" t="s">
        <v>42</v>
      </c>
      <c r="C86" s="1">
        <v>1</v>
      </c>
    </row>
    <row r="87" spans="1:5" ht="14.25" customHeight="1" x14ac:dyDescent="0.3">
      <c r="A87" s="1" t="s">
        <v>115</v>
      </c>
      <c r="B87" s="1" t="s">
        <v>21</v>
      </c>
      <c r="D87" s="1">
        <v>1</v>
      </c>
    </row>
    <row r="88" spans="1:5" ht="14.25" customHeight="1" x14ac:dyDescent="0.3">
      <c r="A88" s="1" t="s">
        <v>116</v>
      </c>
      <c r="B88" s="1" t="s">
        <v>30</v>
      </c>
      <c r="D88" s="1">
        <v>1</v>
      </c>
    </row>
    <row r="89" spans="1:5" ht="14.25" customHeight="1" x14ac:dyDescent="0.3">
      <c r="A89" s="1" t="s">
        <v>117</v>
      </c>
      <c r="B89" s="1" t="s">
        <v>16</v>
      </c>
      <c r="C89" s="1">
        <v>1</v>
      </c>
    </row>
    <row r="90" spans="1:5" ht="14.25" customHeight="1" x14ac:dyDescent="0.3">
      <c r="A90" s="1" t="s">
        <v>118</v>
      </c>
      <c r="B90" s="1" t="s">
        <v>16</v>
      </c>
      <c r="C90" s="1">
        <v>1</v>
      </c>
    </row>
    <row r="91" spans="1:5" ht="14.25" customHeight="1" x14ac:dyDescent="0.3">
      <c r="A91" s="1" t="s">
        <v>119</v>
      </c>
      <c r="B91" s="1" t="s">
        <v>66</v>
      </c>
      <c r="D91" s="1">
        <v>1</v>
      </c>
    </row>
    <row r="92" spans="1:5" ht="14.25" customHeight="1" x14ac:dyDescent="0.3">
      <c r="A92" s="1" t="s">
        <v>120</v>
      </c>
      <c r="B92" s="1" t="s">
        <v>13</v>
      </c>
      <c r="E92" s="1">
        <v>1</v>
      </c>
    </row>
    <row r="93" spans="1:5" ht="14.25" customHeight="1" x14ac:dyDescent="0.3">
      <c r="A93" s="1" t="s">
        <v>121</v>
      </c>
      <c r="B93" s="1" t="s">
        <v>30</v>
      </c>
      <c r="D93" s="1">
        <v>1</v>
      </c>
    </row>
    <row r="94" spans="1:5" ht="14.25" customHeight="1" x14ac:dyDescent="0.3">
      <c r="A94" s="1" t="s">
        <v>122</v>
      </c>
      <c r="B94" s="1" t="s">
        <v>24</v>
      </c>
      <c r="C94" s="1">
        <v>1</v>
      </c>
    </row>
    <row r="95" spans="1:5" ht="14.25" customHeight="1" x14ac:dyDescent="0.3">
      <c r="A95" s="1" t="s">
        <v>123</v>
      </c>
      <c r="B95" s="1" t="s">
        <v>21</v>
      </c>
      <c r="D95" s="1">
        <v>1</v>
      </c>
    </row>
    <row r="96" spans="1:5" ht="14.25" customHeight="1" x14ac:dyDescent="0.3">
      <c r="A96" s="1" t="s">
        <v>124</v>
      </c>
      <c r="B96" s="1" t="s">
        <v>14</v>
      </c>
      <c r="C96" s="1">
        <v>1</v>
      </c>
    </row>
    <row r="97" spans="1:5" ht="14.25" customHeight="1" x14ac:dyDescent="0.3">
      <c r="A97" s="1" t="s">
        <v>125</v>
      </c>
      <c r="B97" s="1" t="s">
        <v>66</v>
      </c>
      <c r="E97" s="1">
        <v>1</v>
      </c>
    </row>
    <row r="98" spans="1:5" ht="14.25" customHeight="1" x14ac:dyDescent="0.3">
      <c r="A98" s="1" t="s">
        <v>126</v>
      </c>
      <c r="B98" s="1" t="s">
        <v>30</v>
      </c>
      <c r="E98" s="1">
        <v>1</v>
      </c>
    </row>
    <row r="99" spans="1:5" ht="14.25" customHeight="1" x14ac:dyDescent="0.3">
      <c r="A99" s="1" t="s">
        <v>127</v>
      </c>
      <c r="B99" s="1" t="s">
        <v>27</v>
      </c>
      <c r="E99" s="1">
        <v>1</v>
      </c>
    </row>
    <row r="100" spans="1:5" ht="14.25" customHeight="1" x14ac:dyDescent="0.3">
      <c r="A100" s="1" t="s">
        <v>128</v>
      </c>
      <c r="B100" s="1" t="s">
        <v>30</v>
      </c>
      <c r="E100" s="1">
        <v>1</v>
      </c>
    </row>
    <row r="101" spans="1:5" ht="14.25" customHeight="1" x14ac:dyDescent="0.3">
      <c r="A101" s="1" t="s">
        <v>129</v>
      </c>
      <c r="B101" s="1" t="s">
        <v>27</v>
      </c>
      <c r="C101" s="1">
        <v>1</v>
      </c>
    </row>
    <row r="102" spans="1:5" ht="14.25" customHeight="1" x14ac:dyDescent="0.3">
      <c r="A102" s="1" t="s">
        <v>130</v>
      </c>
      <c r="B102" s="1" t="s">
        <v>16</v>
      </c>
      <c r="C102" s="1">
        <v>1</v>
      </c>
    </row>
    <row r="103" spans="1:5" ht="14.25" customHeight="1" x14ac:dyDescent="0.3">
      <c r="A103" s="1" t="s">
        <v>131</v>
      </c>
      <c r="B103" s="1" t="s">
        <v>66</v>
      </c>
      <c r="E103" s="1">
        <v>1</v>
      </c>
    </row>
    <row r="104" spans="1:5" ht="14.25" customHeight="1" x14ac:dyDescent="0.3">
      <c r="A104" s="1" t="s">
        <v>132</v>
      </c>
      <c r="B104" s="1" t="s">
        <v>30</v>
      </c>
      <c r="E104" s="1">
        <v>1</v>
      </c>
    </row>
    <row r="105" spans="1:5" ht="14.25" customHeight="1" x14ac:dyDescent="0.3">
      <c r="A105" s="1" t="s">
        <v>133</v>
      </c>
      <c r="B105" s="1" t="s">
        <v>14</v>
      </c>
      <c r="C105" s="1">
        <v>1</v>
      </c>
    </row>
    <row r="106" spans="1:5" ht="14.25" customHeight="1" x14ac:dyDescent="0.3">
      <c r="A106" s="1" t="s">
        <v>134</v>
      </c>
      <c r="B106" s="1" t="s">
        <v>42</v>
      </c>
      <c r="C106" s="1">
        <v>1</v>
      </c>
    </row>
    <row r="107" spans="1:5" ht="14.25" customHeight="1" x14ac:dyDescent="0.3">
      <c r="A107" s="1" t="s">
        <v>135</v>
      </c>
      <c r="B107" s="1" t="s">
        <v>27</v>
      </c>
      <c r="D107" s="1">
        <v>1</v>
      </c>
    </row>
    <row r="108" spans="1:5" ht="14.25" customHeight="1" x14ac:dyDescent="0.3">
      <c r="A108" s="1" t="s">
        <v>136</v>
      </c>
      <c r="B108" s="1" t="s">
        <v>66</v>
      </c>
      <c r="E108" s="1">
        <v>1</v>
      </c>
    </row>
    <row r="109" spans="1:5" ht="14.25" customHeight="1" x14ac:dyDescent="0.3">
      <c r="A109" s="1" t="s">
        <v>137</v>
      </c>
      <c r="B109" s="1" t="s">
        <v>13</v>
      </c>
      <c r="D109" s="1">
        <v>1</v>
      </c>
    </row>
    <row r="110" spans="1:5" ht="14.25" customHeight="1" x14ac:dyDescent="0.3">
      <c r="A110" s="1" t="s">
        <v>138</v>
      </c>
      <c r="B110" s="1" t="s">
        <v>42</v>
      </c>
      <c r="C110" s="1">
        <v>1</v>
      </c>
    </row>
    <row r="111" spans="1:5" ht="14.25" customHeight="1" x14ac:dyDescent="0.3">
      <c r="A111" s="1" t="s">
        <v>139</v>
      </c>
      <c r="B111" s="1" t="s">
        <v>27</v>
      </c>
      <c r="C111" s="1">
        <v>1</v>
      </c>
    </row>
    <row r="112" spans="1:5" ht="14.25" customHeight="1" x14ac:dyDescent="0.3">
      <c r="A112" s="1" t="s">
        <v>140</v>
      </c>
      <c r="B112" s="1" t="s">
        <v>16</v>
      </c>
      <c r="C112" s="1">
        <v>1</v>
      </c>
    </row>
    <row r="113" spans="1:6" ht="14.25" customHeight="1" x14ac:dyDescent="0.3">
      <c r="A113" s="1" t="s">
        <v>141</v>
      </c>
      <c r="B113" s="1" t="s">
        <v>14</v>
      </c>
      <c r="C113" s="1">
        <v>1</v>
      </c>
    </row>
    <row r="114" spans="1:6" ht="14.25" customHeight="1" x14ac:dyDescent="0.3">
      <c r="A114" s="1" t="s">
        <v>142</v>
      </c>
      <c r="B114" s="1" t="s">
        <v>16</v>
      </c>
      <c r="D114" s="1">
        <v>1</v>
      </c>
    </row>
    <row r="115" spans="1:6" ht="14.25" customHeight="1" x14ac:dyDescent="0.3">
      <c r="A115" s="1" t="s">
        <v>143</v>
      </c>
      <c r="B115" s="1" t="s">
        <v>24</v>
      </c>
      <c r="C115" s="1">
        <v>1</v>
      </c>
    </row>
    <row r="116" spans="1:6" ht="14.25" customHeight="1" x14ac:dyDescent="0.3">
      <c r="A116" s="1" t="s">
        <v>144</v>
      </c>
      <c r="B116" s="1" t="s">
        <v>66</v>
      </c>
      <c r="E116" s="1">
        <v>1</v>
      </c>
    </row>
    <row r="117" spans="1:6" ht="14.25" customHeight="1" x14ac:dyDescent="0.3">
      <c r="A117" s="1" t="s">
        <v>145</v>
      </c>
      <c r="B117" s="1" t="s">
        <v>27</v>
      </c>
      <c r="E117" s="1">
        <v>1</v>
      </c>
    </row>
    <row r="118" spans="1:6" ht="14.25" customHeight="1" x14ac:dyDescent="0.3">
      <c r="A118" s="1" t="s">
        <v>146</v>
      </c>
      <c r="B118" s="1" t="s">
        <v>30</v>
      </c>
      <c r="E118" s="1">
        <v>1</v>
      </c>
    </row>
    <row r="119" spans="1:6" ht="14.25" customHeight="1" x14ac:dyDescent="0.3">
      <c r="A119" s="1" t="s">
        <v>147</v>
      </c>
      <c r="B119" s="1" t="s">
        <v>42</v>
      </c>
      <c r="C119" s="1">
        <v>1</v>
      </c>
    </row>
    <row r="120" spans="1:6" ht="14.25" customHeight="1" x14ac:dyDescent="0.3">
      <c r="A120" s="1" t="s">
        <v>148</v>
      </c>
      <c r="B120" s="1" t="s">
        <v>13</v>
      </c>
      <c r="E120" s="1">
        <v>1</v>
      </c>
    </row>
    <row r="121" spans="1:6" ht="14.25" customHeight="1" x14ac:dyDescent="0.3">
      <c r="A121" s="1" t="s">
        <v>149</v>
      </c>
      <c r="B121" s="1" t="s">
        <v>150</v>
      </c>
      <c r="F121" s="1">
        <v>1</v>
      </c>
    </row>
    <row r="122" spans="1:6" ht="14.25" customHeight="1" x14ac:dyDescent="0.3">
      <c r="A122" s="1" t="s">
        <v>151</v>
      </c>
      <c r="B122" s="1" t="s">
        <v>24</v>
      </c>
      <c r="C122" s="1">
        <v>1</v>
      </c>
    </row>
    <row r="123" spans="1:6" ht="14.25" customHeight="1" x14ac:dyDescent="0.3">
      <c r="A123" s="1" t="s">
        <v>152</v>
      </c>
      <c r="B123" s="1" t="s">
        <v>24</v>
      </c>
      <c r="C123" s="1">
        <v>1</v>
      </c>
    </row>
    <row r="124" spans="1:6" ht="14.25" customHeight="1" x14ac:dyDescent="0.3">
      <c r="A124" s="1" t="s">
        <v>153</v>
      </c>
      <c r="B124" s="1" t="s">
        <v>19</v>
      </c>
      <c r="C124" s="1">
        <v>1</v>
      </c>
    </row>
    <row r="125" spans="1:6" ht="14.25" customHeight="1" x14ac:dyDescent="0.3">
      <c r="A125" s="1" t="s">
        <v>154</v>
      </c>
      <c r="B125" s="1" t="s">
        <v>33</v>
      </c>
      <c r="C125" s="1">
        <v>1</v>
      </c>
    </row>
    <row r="126" spans="1:6" ht="14.25" customHeight="1" x14ac:dyDescent="0.3">
      <c r="A126" s="1" t="s">
        <v>155</v>
      </c>
      <c r="B126" s="1" t="s">
        <v>13</v>
      </c>
      <c r="D126" s="1">
        <v>1</v>
      </c>
    </row>
    <row r="127" spans="1:6" ht="14.25" customHeight="1" x14ac:dyDescent="0.3">
      <c r="A127" s="1" t="s">
        <v>156</v>
      </c>
      <c r="B127" s="1" t="s">
        <v>13</v>
      </c>
      <c r="E127" s="1">
        <v>1</v>
      </c>
    </row>
    <row r="128" spans="1:6" ht="14.25" customHeight="1" x14ac:dyDescent="0.3">
      <c r="A128" s="1" t="s">
        <v>157</v>
      </c>
      <c r="B128" s="1" t="s">
        <v>14</v>
      </c>
      <c r="F128" s="1">
        <v>1</v>
      </c>
    </row>
    <row r="129" spans="1:6" ht="14.25" customHeight="1" x14ac:dyDescent="0.3">
      <c r="A129" s="1" t="s">
        <v>158</v>
      </c>
      <c r="B129" s="1" t="s">
        <v>16</v>
      </c>
      <c r="C129" s="1">
        <v>1</v>
      </c>
    </row>
    <row r="130" spans="1:6" ht="14.25" customHeight="1" x14ac:dyDescent="0.3">
      <c r="A130" s="1" t="s">
        <v>159</v>
      </c>
      <c r="B130" s="1" t="s">
        <v>13</v>
      </c>
      <c r="C130" s="1">
        <v>1</v>
      </c>
    </row>
    <row r="131" spans="1:6" ht="14.25" customHeight="1" x14ac:dyDescent="0.3">
      <c r="A131" s="1" t="s">
        <v>160</v>
      </c>
      <c r="B131" s="1" t="s">
        <v>66</v>
      </c>
      <c r="C131" s="1">
        <v>1</v>
      </c>
    </row>
    <row r="132" spans="1:6" ht="14.25" customHeight="1" x14ac:dyDescent="0.3">
      <c r="A132" s="1" t="s">
        <v>161</v>
      </c>
      <c r="B132" s="1" t="s">
        <v>38</v>
      </c>
      <c r="E132" s="1">
        <v>1</v>
      </c>
    </row>
    <row r="133" spans="1:6" ht="14.25" customHeight="1" x14ac:dyDescent="0.3">
      <c r="A133" s="1" t="s">
        <v>162</v>
      </c>
      <c r="B133" s="1" t="s">
        <v>13</v>
      </c>
      <c r="D133" s="1">
        <v>1</v>
      </c>
    </row>
    <row r="134" spans="1:6" ht="14.25" customHeight="1" x14ac:dyDescent="0.3">
      <c r="A134" s="1" t="s">
        <v>163</v>
      </c>
      <c r="B134" s="1" t="s">
        <v>66</v>
      </c>
      <c r="E134" s="1">
        <v>1</v>
      </c>
    </row>
    <row r="135" spans="1:6" ht="14.25" customHeight="1" x14ac:dyDescent="0.3">
      <c r="A135" s="1" t="s">
        <v>164</v>
      </c>
      <c r="B135" s="1" t="s">
        <v>21</v>
      </c>
      <c r="D135" s="1">
        <v>1</v>
      </c>
    </row>
    <row r="136" spans="1:6" ht="14.25" customHeight="1" x14ac:dyDescent="0.3">
      <c r="A136" s="1" t="s">
        <v>165</v>
      </c>
      <c r="B136" s="1" t="s">
        <v>30</v>
      </c>
      <c r="E136" s="1">
        <v>1</v>
      </c>
    </row>
    <row r="137" spans="1:6" ht="14.25" customHeight="1" x14ac:dyDescent="0.3">
      <c r="A137" s="1" t="s">
        <v>166</v>
      </c>
      <c r="B137" s="1" t="s">
        <v>30</v>
      </c>
      <c r="E137" s="1">
        <v>1</v>
      </c>
    </row>
    <row r="138" spans="1:6" ht="14.25" customHeight="1" x14ac:dyDescent="0.3">
      <c r="A138" s="1" t="s">
        <v>167</v>
      </c>
      <c r="B138" s="1" t="s">
        <v>19</v>
      </c>
      <c r="C138" s="1">
        <v>1</v>
      </c>
    </row>
    <row r="139" spans="1:6" ht="14.25" customHeight="1" x14ac:dyDescent="0.3">
      <c r="A139" s="1" t="s">
        <v>168</v>
      </c>
      <c r="B139" s="1" t="s">
        <v>13</v>
      </c>
      <c r="E139" s="1">
        <v>1</v>
      </c>
    </row>
    <row r="140" spans="1:6" ht="14.25" customHeight="1" x14ac:dyDescent="0.3">
      <c r="A140" s="1" t="s">
        <v>169</v>
      </c>
      <c r="B140" s="1" t="s">
        <v>27</v>
      </c>
      <c r="D140" s="1">
        <v>1</v>
      </c>
    </row>
    <row r="141" spans="1:6" ht="14.25" customHeight="1" x14ac:dyDescent="0.3">
      <c r="A141" s="1" t="s">
        <v>170</v>
      </c>
      <c r="B141" s="1" t="s">
        <v>16</v>
      </c>
      <c r="C141" s="1">
        <v>1</v>
      </c>
    </row>
    <row r="142" spans="1:6" ht="14.25" customHeight="1" x14ac:dyDescent="0.3">
      <c r="A142" s="1" t="s">
        <v>171</v>
      </c>
      <c r="B142" s="1" t="s">
        <v>19</v>
      </c>
      <c r="C142" s="1">
        <v>1</v>
      </c>
    </row>
    <row r="143" spans="1:6" ht="14.25" customHeight="1" x14ac:dyDescent="0.3">
      <c r="A143" s="1" t="s">
        <v>172</v>
      </c>
      <c r="B143" s="1" t="s">
        <v>37</v>
      </c>
      <c r="F143" s="1">
        <v>1</v>
      </c>
    </row>
    <row r="144" spans="1:6" ht="14.25" customHeight="1" x14ac:dyDescent="0.3">
      <c r="A144" s="1" t="s">
        <v>173</v>
      </c>
      <c r="B144" s="1" t="s">
        <v>27</v>
      </c>
      <c r="C144" s="1">
        <v>1</v>
      </c>
    </row>
    <row r="145" spans="1:5" ht="14.25" customHeight="1" x14ac:dyDescent="0.3">
      <c r="A145" s="1" t="s">
        <v>174</v>
      </c>
      <c r="B145" s="1" t="s">
        <v>66</v>
      </c>
      <c r="D145" s="1">
        <v>1</v>
      </c>
    </row>
    <row r="146" spans="1:5" ht="14.25" customHeight="1" x14ac:dyDescent="0.3">
      <c r="A146" s="1" t="s">
        <v>175</v>
      </c>
      <c r="B146" s="1" t="s">
        <v>14</v>
      </c>
      <c r="C146" s="1">
        <v>1</v>
      </c>
    </row>
    <row r="147" spans="1:5" ht="14.25" customHeight="1" x14ac:dyDescent="0.3">
      <c r="A147" s="1" t="s">
        <v>176</v>
      </c>
      <c r="B147" s="1" t="s">
        <v>66</v>
      </c>
      <c r="E147" s="1">
        <v>1</v>
      </c>
    </row>
    <row r="148" spans="1:5" ht="14.25" customHeight="1" x14ac:dyDescent="0.3">
      <c r="A148" s="1" t="s">
        <v>177</v>
      </c>
      <c r="B148" s="1" t="s">
        <v>42</v>
      </c>
      <c r="C148" s="1">
        <v>1</v>
      </c>
    </row>
    <row r="149" spans="1:5" ht="14.25" customHeight="1" x14ac:dyDescent="0.3">
      <c r="A149" s="1" t="s">
        <v>178</v>
      </c>
      <c r="B149" s="1" t="s">
        <v>33</v>
      </c>
      <c r="C149" s="1">
        <v>1</v>
      </c>
    </row>
    <row r="150" spans="1:5" ht="14.25" customHeight="1" x14ac:dyDescent="0.3">
      <c r="A150" s="1" t="s">
        <v>179</v>
      </c>
      <c r="B150" s="1" t="s">
        <v>14</v>
      </c>
      <c r="C150" s="1">
        <v>1</v>
      </c>
    </row>
    <row r="151" spans="1:5" ht="14.25" customHeight="1" x14ac:dyDescent="0.3">
      <c r="A151" s="1" t="s">
        <v>180</v>
      </c>
      <c r="B151" s="1" t="s">
        <v>13</v>
      </c>
      <c r="D151" s="1">
        <v>1</v>
      </c>
    </row>
    <row r="152" spans="1:5" ht="14.25" customHeight="1" x14ac:dyDescent="0.3">
      <c r="A152" s="1" t="s">
        <v>181</v>
      </c>
      <c r="B152" s="1" t="s">
        <v>24</v>
      </c>
      <c r="C152" s="1">
        <v>1</v>
      </c>
    </row>
    <row r="153" spans="1:5" ht="14.25" customHeight="1" x14ac:dyDescent="0.3">
      <c r="A153" s="1" t="s">
        <v>182</v>
      </c>
      <c r="B153" s="1" t="s">
        <v>19</v>
      </c>
      <c r="C153" s="1">
        <v>1</v>
      </c>
    </row>
    <row r="154" spans="1:5" ht="14.25" customHeight="1" x14ac:dyDescent="0.3">
      <c r="A154" s="1" t="s">
        <v>183</v>
      </c>
      <c r="B154" s="1" t="s">
        <v>42</v>
      </c>
      <c r="C154" s="1">
        <v>1</v>
      </c>
    </row>
    <row r="155" spans="1:5" ht="14.25" customHeight="1" x14ac:dyDescent="0.3">
      <c r="A155" s="1" t="s">
        <v>184</v>
      </c>
      <c r="B155" s="1" t="s">
        <v>19</v>
      </c>
      <c r="C155" s="1">
        <v>1</v>
      </c>
    </row>
    <row r="156" spans="1:5" ht="14.25" customHeight="1" x14ac:dyDescent="0.3">
      <c r="A156" s="1" t="s">
        <v>185</v>
      </c>
      <c r="B156" s="1" t="s">
        <v>30</v>
      </c>
      <c r="D156" s="1">
        <v>1</v>
      </c>
    </row>
    <row r="157" spans="1:5" ht="14.25" customHeight="1" x14ac:dyDescent="0.3"/>
    <row r="158" spans="1:5" ht="14.25" customHeight="1" x14ac:dyDescent="0.3"/>
    <row r="159" spans="1:5" ht="14.25" customHeight="1" x14ac:dyDescent="0.3"/>
    <row r="160" spans="1:5" ht="14.25" customHeight="1" x14ac:dyDescent="0.3"/>
    <row r="161" s="1" customFormat="1" ht="14.25" customHeight="1" x14ac:dyDescent="0.3"/>
    <row r="162" s="1" customFormat="1" ht="14.25" customHeight="1" x14ac:dyDescent="0.3"/>
    <row r="163" s="1" customFormat="1" ht="14.25" customHeight="1" x14ac:dyDescent="0.3"/>
    <row r="164" s="1" customFormat="1" ht="14.25" customHeight="1" x14ac:dyDescent="0.3"/>
    <row r="165" s="1" customFormat="1" ht="14.25" customHeight="1" x14ac:dyDescent="0.3"/>
    <row r="166" s="1" customFormat="1" ht="14.25" customHeight="1" x14ac:dyDescent="0.3"/>
    <row r="167" s="1" customFormat="1" ht="14.25" customHeight="1" x14ac:dyDescent="0.3"/>
    <row r="168" s="1" customFormat="1" ht="14.25" customHeight="1" x14ac:dyDescent="0.3"/>
    <row r="169" s="1" customFormat="1" ht="14.25" customHeight="1" x14ac:dyDescent="0.3"/>
    <row r="170" s="1" customFormat="1" ht="14.25" customHeight="1" x14ac:dyDescent="0.3"/>
    <row r="171" s="1" customFormat="1" ht="14.25" customHeight="1" x14ac:dyDescent="0.3"/>
    <row r="172" s="1" customFormat="1" ht="14.25" customHeight="1" x14ac:dyDescent="0.3"/>
    <row r="173" s="1" customFormat="1" ht="14.25" customHeight="1" x14ac:dyDescent="0.3"/>
    <row r="174" s="1" customFormat="1" ht="14.25" customHeight="1" x14ac:dyDescent="0.3"/>
    <row r="175" s="1" customFormat="1" ht="14.25" customHeight="1" x14ac:dyDescent="0.3"/>
    <row r="176" s="1" customFormat="1" ht="14.25" customHeight="1" x14ac:dyDescent="0.3"/>
    <row r="177" s="1" customFormat="1" ht="14.25" customHeight="1" x14ac:dyDescent="0.3"/>
    <row r="178" s="1" customFormat="1" ht="14.25" customHeight="1" x14ac:dyDescent="0.3"/>
    <row r="179" s="1" customFormat="1" ht="14.25" customHeight="1" x14ac:dyDescent="0.3"/>
    <row r="180" s="1" customFormat="1" ht="14.25" customHeight="1" x14ac:dyDescent="0.3"/>
    <row r="181" s="1" customFormat="1" ht="14.25" customHeight="1" x14ac:dyDescent="0.3"/>
    <row r="182" s="1" customFormat="1" ht="14.25" customHeight="1" x14ac:dyDescent="0.3"/>
    <row r="183" s="1" customFormat="1" ht="14.25" customHeight="1" x14ac:dyDescent="0.3"/>
    <row r="184" s="1" customFormat="1" ht="14.25" customHeight="1" x14ac:dyDescent="0.3"/>
    <row r="185" s="1" customFormat="1" ht="14.25" customHeight="1" x14ac:dyDescent="0.3"/>
    <row r="186" s="1" customFormat="1" ht="14.25" customHeight="1" x14ac:dyDescent="0.3"/>
    <row r="187" s="1" customFormat="1" ht="14.25" customHeight="1" x14ac:dyDescent="0.3"/>
    <row r="188" s="1" customFormat="1" ht="14.25" customHeight="1" x14ac:dyDescent="0.3"/>
    <row r="189" s="1" customFormat="1" ht="14.25" customHeight="1" x14ac:dyDescent="0.3"/>
    <row r="190" s="1" customFormat="1" ht="14.25" customHeight="1" x14ac:dyDescent="0.3"/>
    <row r="191" s="1" customFormat="1" ht="14.25" customHeight="1" x14ac:dyDescent="0.3"/>
    <row r="192" s="1" customFormat="1" ht="14.25" customHeight="1" x14ac:dyDescent="0.3"/>
    <row r="193" s="1" customFormat="1" ht="14.25" customHeight="1" x14ac:dyDescent="0.3"/>
    <row r="194" s="1" customFormat="1" ht="14.25" customHeight="1" x14ac:dyDescent="0.3"/>
    <row r="195" s="1" customFormat="1" ht="14.25" customHeight="1" x14ac:dyDescent="0.3"/>
    <row r="196" s="1" customFormat="1" ht="14.25" customHeight="1" x14ac:dyDescent="0.3"/>
    <row r="197" s="1" customFormat="1" ht="14.25" customHeight="1" x14ac:dyDescent="0.3"/>
    <row r="198" s="1" customFormat="1" ht="14.25" customHeight="1" x14ac:dyDescent="0.3"/>
    <row r="199" s="1" customFormat="1" ht="14.25" customHeight="1" x14ac:dyDescent="0.3"/>
    <row r="200" s="1" customFormat="1" ht="14.25" customHeight="1" x14ac:dyDescent="0.3"/>
    <row r="201" s="1" customFormat="1" ht="14.25" customHeight="1" x14ac:dyDescent="0.3"/>
    <row r="202" s="1" customFormat="1" ht="14.25" customHeight="1" x14ac:dyDescent="0.3"/>
    <row r="203" s="1" customFormat="1" ht="14.25" customHeight="1" x14ac:dyDescent="0.3"/>
    <row r="204" s="1" customFormat="1" ht="14.25" customHeight="1" x14ac:dyDescent="0.3"/>
    <row r="205" s="1" customFormat="1" ht="14.25" customHeight="1" x14ac:dyDescent="0.3"/>
    <row r="206" s="1" customFormat="1" ht="14.25" customHeight="1" x14ac:dyDescent="0.3"/>
    <row r="207" s="1" customFormat="1" ht="14.25" customHeight="1" x14ac:dyDescent="0.3"/>
    <row r="208" s="1" customFormat="1" ht="14.25" customHeight="1" x14ac:dyDescent="0.3"/>
    <row r="209" s="1" customFormat="1" ht="14.25" customHeight="1" x14ac:dyDescent="0.3"/>
    <row r="210" s="1" customFormat="1" ht="14.25" customHeight="1" x14ac:dyDescent="0.3"/>
    <row r="211" s="1" customFormat="1" ht="14.25" customHeight="1" x14ac:dyDescent="0.3"/>
    <row r="212" s="1" customFormat="1" ht="14.25" customHeight="1" x14ac:dyDescent="0.3"/>
    <row r="213" s="1" customFormat="1" ht="14.25" customHeight="1" x14ac:dyDescent="0.3"/>
    <row r="214" s="1" customFormat="1" ht="14.25" customHeight="1" x14ac:dyDescent="0.3"/>
    <row r="215" s="1" customFormat="1" ht="14.25" customHeight="1" x14ac:dyDescent="0.3"/>
    <row r="216" s="1" customFormat="1" ht="14.25" customHeight="1" x14ac:dyDescent="0.3"/>
    <row r="217" s="1" customFormat="1" ht="14.25" customHeight="1" x14ac:dyDescent="0.3"/>
    <row r="218" s="1" customFormat="1" ht="14.25" customHeight="1" x14ac:dyDescent="0.3"/>
    <row r="219" s="1" customFormat="1" ht="14.25" customHeight="1" x14ac:dyDescent="0.3"/>
    <row r="220" s="1" customFormat="1" ht="14.25" customHeight="1" x14ac:dyDescent="0.3"/>
    <row r="221" s="1" customFormat="1" ht="14.25" customHeight="1" x14ac:dyDescent="0.3"/>
    <row r="222" s="1" customFormat="1" ht="14.25" customHeight="1" x14ac:dyDescent="0.3"/>
    <row r="223" s="1" customFormat="1" ht="14.25" customHeight="1" x14ac:dyDescent="0.3"/>
    <row r="224" s="1" customFormat="1" ht="14.25" customHeight="1" x14ac:dyDescent="0.3"/>
    <row r="225" s="1" customFormat="1" ht="14.25" customHeight="1" x14ac:dyDescent="0.3"/>
    <row r="226" s="1" customFormat="1" ht="14.25" customHeight="1" x14ac:dyDescent="0.3"/>
    <row r="227" s="1" customFormat="1" ht="14.25" customHeight="1" x14ac:dyDescent="0.3"/>
    <row r="228" s="1" customFormat="1" ht="14.25" customHeight="1" x14ac:dyDescent="0.3"/>
    <row r="229" s="1" customFormat="1" ht="14.25" customHeight="1" x14ac:dyDescent="0.3"/>
    <row r="230" s="1" customFormat="1" ht="14.25" customHeight="1" x14ac:dyDescent="0.3"/>
    <row r="231" s="1" customFormat="1" ht="14.25" customHeight="1" x14ac:dyDescent="0.3"/>
    <row r="232" s="1" customFormat="1" ht="14.25" customHeight="1" x14ac:dyDescent="0.3"/>
    <row r="233" s="1" customFormat="1" ht="14.25" customHeight="1" x14ac:dyDescent="0.3"/>
    <row r="234" s="1" customFormat="1" ht="14.25" customHeight="1" x14ac:dyDescent="0.3"/>
    <row r="235" s="1" customFormat="1" ht="14.25" customHeight="1" x14ac:dyDescent="0.3"/>
    <row r="236" s="1" customFormat="1" ht="14.25" customHeight="1" x14ac:dyDescent="0.3"/>
    <row r="237" s="1" customFormat="1" ht="14.25" customHeight="1" x14ac:dyDescent="0.3"/>
    <row r="238" s="1" customFormat="1" ht="14.25" customHeight="1" x14ac:dyDescent="0.3"/>
    <row r="239" s="1" customFormat="1" ht="14.25" customHeight="1" x14ac:dyDescent="0.3"/>
    <row r="240" s="1" customFormat="1" ht="14.25" customHeight="1" x14ac:dyDescent="0.3"/>
    <row r="241" s="1" customFormat="1" ht="14.25" customHeight="1" x14ac:dyDescent="0.3"/>
    <row r="242" s="1" customFormat="1" ht="14.25" customHeight="1" x14ac:dyDescent="0.3"/>
    <row r="243" s="1" customFormat="1" ht="14.25" customHeight="1" x14ac:dyDescent="0.3"/>
    <row r="244" s="1" customFormat="1" ht="14.25" customHeight="1" x14ac:dyDescent="0.3"/>
    <row r="245" s="1" customFormat="1" ht="14.25" customHeight="1" x14ac:dyDescent="0.3"/>
    <row r="246" s="1" customFormat="1" ht="14.25" customHeight="1" x14ac:dyDescent="0.3"/>
    <row r="247" s="1" customFormat="1" ht="14.25" customHeight="1" x14ac:dyDescent="0.3"/>
    <row r="248" s="1" customFormat="1" ht="14.25" customHeight="1" x14ac:dyDescent="0.3"/>
    <row r="249" s="1" customFormat="1" ht="14.25" customHeight="1" x14ac:dyDescent="0.3"/>
    <row r="250" s="1" customFormat="1" ht="14.25" customHeight="1" x14ac:dyDescent="0.3"/>
    <row r="251" s="1" customFormat="1" ht="14.25" customHeight="1" x14ac:dyDescent="0.3"/>
    <row r="252" s="1" customFormat="1" ht="14.25" customHeight="1" x14ac:dyDescent="0.3"/>
    <row r="253" s="1" customFormat="1" ht="14.25" customHeight="1" x14ac:dyDescent="0.3"/>
    <row r="254" s="1" customFormat="1" ht="14.25" customHeight="1" x14ac:dyDescent="0.3"/>
    <row r="255" s="1" customFormat="1" ht="14.25" customHeight="1" x14ac:dyDescent="0.3"/>
    <row r="256" s="1" customFormat="1" ht="14.25" customHeight="1" x14ac:dyDescent="0.3"/>
    <row r="257" s="1" customFormat="1" ht="14.25" customHeight="1" x14ac:dyDescent="0.3"/>
    <row r="258" s="1" customFormat="1" ht="14.25" customHeight="1" x14ac:dyDescent="0.3"/>
    <row r="259" s="1" customFormat="1" ht="14.25" customHeight="1" x14ac:dyDescent="0.3"/>
    <row r="260" s="1" customFormat="1" ht="14.25" customHeight="1" x14ac:dyDescent="0.3"/>
    <row r="261" s="1" customFormat="1" ht="14.25" customHeight="1" x14ac:dyDescent="0.3"/>
    <row r="262" s="1" customFormat="1" ht="14.25" customHeight="1" x14ac:dyDescent="0.3"/>
    <row r="263" s="1" customFormat="1" ht="14.25" customHeight="1" x14ac:dyDescent="0.3"/>
    <row r="264" s="1" customFormat="1" ht="14.25" customHeight="1" x14ac:dyDescent="0.3"/>
    <row r="265" s="1" customFormat="1" ht="14.25" customHeight="1" x14ac:dyDescent="0.3"/>
    <row r="266" s="1" customFormat="1" ht="14.25" customHeight="1" x14ac:dyDescent="0.3"/>
    <row r="267" s="1" customFormat="1" ht="14.25" customHeight="1" x14ac:dyDescent="0.3"/>
    <row r="268" s="1" customFormat="1" ht="14.25" customHeight="1" x14ac:dyDescent="0.3"/>
    <row r="269" s="1" customFormat="1" ht="14.25" customHeight="1" x14ac:dyDescent="0.3"/>
    <row r="270" s="1" customFormat="1" ht="14.25" customHeight="1" x14ac:dyDescent="0.3"/>
    <row r="271" s="1" customFormat="1" ht="14.25" customHeight="1" x14ac:dyDescent="0.3"/>
    <row r="272" s="1" customFormat="1" ht="14.25" customHeight="1" x14ac:dyDescent="0.3"/>
    <row r="273" s="1" customFormat="1" ht="14.25" customHeight="1" x14ac:dyDescent="0.3"/>
    <row r="274" s="1" customFormat="1" ht="14.25" customHeight="1" x14ac:dyDescent="0.3"/>
    <row r="275" s="1" customFormat="1" ht="14.25" customHeight="1" x14ac:dyDescent="0.3"/>
    <row r="276" s="1" customFormat="1" ht="14.25" customHeight="1" x14ac:dyDescent="0.3"/>
    <row r="277" s="1" customFormat="1" ht="14.25" customHeight="1" x14ac:dyDescent="0.3"/>
    <row r="278" s="1" customFormat="1" ht="14.25" customHeight="1" x14ac:dyDescent="0.3"/>
    <row r="279" s="1" customFormat="1" ht="14.25" customHeight="1" x14ac:dyDescent="0.3"/>
    <row r="280" s="1" customFormat="1" ht="14.25" customHeight="1" x14ac:dyDescent="0.3"/>
    <row r="281" s="1" customFormat="1" ht="14.25" customHeight="1" x14ac:dyDescent="0.3"/>
    <row r="282" s="1" customFormat="1" ht="14.25" customHeight="1" x14ac:dyDescent="0.3"/>
    <row r="283" s="1" customFormat="1" ht="14.25" customHeight="1" x14ac:dyDescent="0.3"/>
    <row r="284" s="1" customFormat="1" ht="14.25" customHeight="1" x14ac:dyDescent="0.3"/>
    <row r="285" s="1" customFormat="1" ht="14.25" customHeight="1" x14ac:dyDescent="0.3"/>
    <row r="286" s="1" customFormat="1" ht="14.25" customHeight="1" x14ac:dyDescent="0.3"/>
    <row r="287" s="1" customFormat="1" ht="14.25" customHeight="1" x14ac:dyDescent="0.3"/>
    <row r="288" s="1" customFormat="1" ht="14.25" customHeight="1" x14ac:dyDescent="0.3"/>
    <row r="289" s="1" customFormat="1" ht="14.25" customHeight="1" x14ac:dyDescent="0.3"/>
    <row r="290" s="1" customFormat="1" ht="14.25" customHeight="1" x14ac:dyDescent="0.3"/>
    <row r="291" s="1" customFormat="1" ht="14.25" customHeight="1" x14ac:dyDescent="0.3"/>
    <row r="292" s="1" customFormat="1" ht="14.25" customHeight="1" x14ac:dyDescent="0.3"/>
    <row r="293" s="1" customFormat="1" ht="14.25" customHeight="1" x14ac:dyDescent="0.3"/>
    <row r="294" s="1" customFormat="1" ht="14.25" customHeight="1" x14ac:dyDescent="0.3"/>
    <row r="295" s="1" customFormat="1" ht="14.25" customHeight="1" x14ac:dyDescent="0.3"/>
    <row r="296" s="1" customFormat="1" ht="14.25" customHeight="1" x14ac:dyDescent="0.3"/>
    <row r="297" s="1" customFormat="1" ht="14.25" customHeight="1" x14ac:dyDescent="0.3"/>
    <row r="298" s="1" customFormat="1" ht="14.25" customHeight="1" x14ac:dyDescent="0.3"/>
    <row r="299" s="1" customFormat="1" ht="14.25" customHeight="1" x14ac:dyDescent="0.3"/>
    <row r="300" s="1" customFormat="1" ht="14.25" customHeight="1" x14ac:dyDescent="0.3"/>
    <row r="301" s="1" customFormat="1" ht="14.25" customHeight="1" x14ac:dyDescent="0.3"/>
    <row r="302" s="1" customFormat="1" ht="14.25" customHeight="1" x14ac:dyDescent="0.3"/>
    <row r="303" s="1" customFormat="1" ht="14.25" customHeight="1" x14ac:dyDescent="0.3"/>
    <row r="304" s="1" customFormat="1" ht="14.25" customHeight="1" x14ac:dyDescent="0.3"/>
    <row r="305" s="1" customFormat="1" ht="14.25" customHeight="1" x14ac:dyDescent="0.3"/>
    <row r="306" s="1" customFormat="1" ht="14.25" customHeight="1" x14ac:dyDescent="0.3"/>
    <row r="307" s="1" customFormat="1" ht="14.25" customHeight="1" x14ac:dyDescent="0.3"/>
    <row r="308" s="1" customFormat="1" ht="14.25" customHeight="1" x14ac:dyDescent="0.3"/>
    <row r="309" s="1" customFormat="1" ht="14.25" customHeight="1" x14ac:dyDescent="0.3"/>
    <row r="310" s="1" customFormat="1" ht="14.25" customHeight="1" x14ac:dyDescent="0.3"/>
    <row r="311" s="1" customFormat="1" ht="14.25" customHeight="1" x14ac:dyDescent="0.3"/>
    <row r="312" s="1" customFormat="1" ht="14.25" customHeight="1" x14ac:dyDescent="0.3"/>
    <row r="313" s="1" customFormat="1" ht="14.25" customHeight="1" x14ac:dyDescent="0.3"/>
    <row r="314" s="1" customFormat="1" ht="14.25" customHeight="1" x14ac:dyDescent="0.3"/>
    <row r="315" s="1" customFormat="1" ht="14.25" customHeight="1" x14ac:dyDescent="0.3"/>
    <row r="316" s="1" customFormat="1" ht="14.25" customHeight="1" x14ac:dyDescent="0.3"/>
    <row r="317" s="1" customFormat="1" ht="14.25" customHeight="1" x14ac:dyDescent="0.3"/>
    <row r="318" s="1" customFormat="1" ht="14.25" customHeight="1" x14ac:dyDescent="0.3"/>
    <row r="319" s="1" customFormat="1" ht="14.25" customHeight="1" x14ac:dyDescent="0.3"/>
    <row r="320" s="1" customFormat="1" ht="14.25" customHeight="1" x14ac:dyDescent="0.3"/>
    <row r="321" s="1" customFormat="1" ht="14.25" customHeight="1" x14ac:dyDescent="0.3"/>
    <row r="322" s="1" customFormat="1" ht="14.25" customHeight="1" x14ac:dyDescent="0.3"/>
    <row r="323" s="1" customFormat="1" ht="14.25" customHeight="1" x14ac:dyDescent="0.3"/>
    <row r="324" s="1" customFormat="1" ht="14.25" customHeight="1" x14ac:dyDescent="0.3"/>
    <row r="325" s="1" customFormat="1" ht="14.25" customHeight="1" x14ac:dyDescent="0.3"/>
    <row r="326" s="1" customFormat="1" ht="14.25" customHeight="1" x14ac:dyDescent="0.3"/>
    <row r="327" s="1" customFormat="1" ht="14.25" customHeight="1" x14ac:dyDescent="0.3"/>
    <row r="328" s="1" customFormat="1" ht="14.25" customHeight="1" x14ac:dyDescent="0.3"/>
    <row r="329" s="1" customFormat="1" ht="14.25" customHeight="1" x14ac:dyDescent="0.3"/>
    <row r="330" s="1" customFormat="1" ht="14.25" customHeight="1" x14ac:dyDescent="0.3"/>
    <row r="331" s="1" customFormat="1" ht="14.25" customHeight="1" x14ac:dyDescent="0.3"/>
    <row r="332" s="1" customFormat="1" ht="14.25" customHeight="1" x14ac:dyDescent="0.3"/>
    <row r="333" s="1" customFormat="1" ht="14.25" customHeight="1" x14ac:dyDescent="0.3"/>
    <row r="334" s="1" customFormat="1" ht="14.25" customHeight="1" x14ac:dyDescent="0.3"/>
    <row r="335" s="1" customFormat="1" ht="14.25" customHeight="1" x14ac:dyDescent="0.3"/>
    <row r="336" s="1" customFormat="1" ht="14.25" customHeight="1" x14ac:dyDescent="0.3"/>
    <row r="337" s="1" customFormat="1" ht="14.25" customHeight="1" x14ac:dyDescent="0.3"/>
    <row r="338" s="1" customFormat="1" ht="14.25" customHeight="1" x14ac:dyDescent="0.3"/>
    <row r="339" s="1" customFormat="1" ht="14.25" customHeight="1" x14ac:dyDescent="0.3"/>
    <row r="340" s="1" customFormat="1" ht="14.25" customHeight="1" x14ac:dyDescent="0.3"/>
    <row r="341" s="1" customFormat="1" ht="14.25" customHeight="1" x14ac:dyDescent="0.3"/>
    <row r="342" s="1" customFormat="1" ht="14.25" customHeight="1" x14ac:dyDescent="0.3"/>
    <row r="343" s="1" customFormat="1" ht="14.25" customHeight="1" x14ac:dyDescent="0.3"/>
    <row r="344" s="1" customFormat="1" ht="14.25" customHeight="1" x14ac:dyDescent="0.3"/>
    <row r="345" s="1" customFormat="1" ht="14.25" customHeight="1" x14ac:dyDescent="0.3"/>
    <row r="346" s="1" customFormat="1" ht="14.25" customHeight="1" x14ac:dyDescent="0.3"/>
    <row r="347" s="1" customFormat="1" ht="14.25" customHeight="1" x14ac:dyDescent="0.3"/>
    <row r="348" s="1" customFormat="1" ht="14.25" customHeight="1" x14ac:dyDescent="0.3"/>
    <row r="349" s="1" customFormat="1" ht="14.25" customHeight="1" x14ac:dyDescent="0.3"/>
    <row r="350" s="1" customFormat="1" ht="14.25" customHeight="1" x14ac:dyDescent="0.3"/>
    <row r="351" s="1" customFormat="1" ht="14.25" customHeight="1" x14ac:dyDescent="0.3"/>
    <row r="352" s="1" customFormat="1" ht="14.25" customHeight="1" x14ac:dyDescent="0.3"/>
    <row r="353" s="1" customFormat="1" ht="14.25" customHeight="1" x14ac:dyDescent="0.3"/>
    <row r="354" s="1" customFormat="1" ht="14.25" customHeight="1" x14ac:dyDescent="0.3"/>
    <row r="355" s="1" customFormat="1" ht="14.25" customHeight="1" x14ac:dyDescent="0.3"/>
    <row r="356" s="1" customFormat="1" ht="14.25" customHeight="1" x14ac:dyDescent="0.3"/>
    <row r="357" s="1" customFormat="1" ht="14.25" customHeight="1" x14ac:dyDescent="0.3"/>
    <row r="358" s="1" customFormat="1" ht="14.25" customHeight="1" x14ac:dyDescent="0.3"/>
    <row r="359" s="1" customFormat="1" ht="14.25" customHeight="1" x14ac:dyDescent="0.3"/>
    <row r="360" s="1" customFormat="1" ht="14.25" customHeight="1" x14ac:dyDescent="0.3"/>
    <row r="361" s="1" customFormat="1" ht="14.25" customHeight="1" x14ac:dyDescent="0.3"/>
    <row r="362" s="1" customFormat="1" ht="14.25" customHeight="1" x14ac:dyDescent="0.3"/>
    <row r="363" s="1" customFormat="1" ht="14.25" customHeight="1" x14ac:dyDescent="0.3"/>
    <row r="364" s="1" customFormat="1" ht="14.25" customHeight="1" x14ac:dyDescent="0.3"/>
    <row r="365" s="1" customFormat="1" ht="14.25" customHeight="1" x14ac:dyDescent="0.3"/>
    <row r="366" s="1" customFormat="1" ht="14.25" customHeight="1" x14ac:dyDescent="0.3"/>
    <row r="367" s="1" customFormat="1" ht="14.25" customHeight="1" x14ac:dyDescent="0.3"/>
    <row r="368" s="1" customFormat="1" ht="14.25" customHeight="1" x14ac:dyDescent="0.3"/>
    <row r="369" s="1" customFormat="1" ht="14.25" customHeight="1" x14ac:dyDescent="0.3"/>
    <row r="370" s="1" customFormat="1" ht="14.25" customHeight="1" x14ac:dyDescent="0.3"/>
    <row r="371" s="1" customFormat="1" ht="14.25" customHeight="1" x14ac:dyDescent="0.3"/>
    <row r="372" s="1" customFormat="1" ht="14.25" customHeight="1" x14ac:dyDescent="0.3"/>
    <row r="373" s="1" customFormat="1" ht="14.25" customHeight="1" x14ac:dyDescent="0.3"/>
    <row r="374" s="1" customFormat="1" ht="14.25" customHeight="1" x14ac:dyDescent="0.3"/>
    <row r="375" s="1" customFormat="1" ht="14.25" customHeight="1" x14ac:dyDescent="0.3"/>
    <row r="376" s="1" customFormat="1" ht="14.25" customHeight="1" x14ac:dyDescent="0.3"/>
    <row r="377" s="1" customFormat="1" ht="14.25" customHeight="1" x14ac:dyDescent="0.3"/>
    <row r="378" s="1" customFormat="1" ht="14.25" customHeight="1" x14ac:dyDescent="0.3"/>
    <row r="379" s="1" customFormat="1" ht="14.25" customHeight="1" x14ac:dyDescent="0.3"/>
    <row r="380" s="1" customFormat="1" ht="14.25" customHeight="1" x14ac:dyDescent="0.3"/>
    <row r="381" s="1" customFormat="1" ht="14.25" customHeight="1" x14ac:dyDescent="0.3"/>
    <row r="382" s="1" customFormat="1" ht="14.25" customHeight="1" x14ac:dyDescent="0.3"/>
    <row r="383" s="1" customFormat="1" ht="14.25" customHeight="1" x14ac:dyDescent="0.3"/>
    <row r="384" s="1" customFormat="1" ht="14.25" customHeight="1" x14ac:dyDescent="0.3"/>
    <row r="385" s="1" customFormat="1" ht="14.25" customHeight="1" x14ac:dyDescent="0.3"/>
    <row r="386" s="1" customFormat="1" ht="14.25" customHeight="1" x14ac:dyDescent="0.3"/>
    <row r="387" s="1" customFormat="1" ht="14.25" customHeight="1" x14ac:dyDescent="0.3"/>
    <row r="388" s="1" customFormat="1" ht="14.25" customHeight="1" x14ac:dyDescent="0.3"/>
    <row r="389" s="1" customFormat="1" ht="14.25" customHeight="1" x14ac:dyDescent="0.3"/>
    <row r="390" s="1" customFormat="1" ht="14.25" customHeight="1" x14ac:dyDescent="0.3"/>
    <row r="391" s="1" customFormat="1" ht="14.25" customHeight="1" x14ac:dyDescent="0.3"/>
    <row r="392" s="1" customFormat="1" ht="14.25" customHeight="1" x14ac:dyDescent="0.3"/>
    <row r="393" s="1" customFormat="1" ht="14.25" customHeight="1" x14ac:dyDescent="0.3"/>
    <row r="394" s="1" customFormat="1" ht="14.25" customHeight="1" x14ac:dyDescent="0.3"/>
    <row r="395" s="1" customFormat="1" ht="14.25" customHeight="1" x14ac:dyDescent="0.3"/>
    <row r="396" s="1" customFormat="1" ht="14.25" customHeight="1" x14ac:dyDescent="0.3"/>
    <row r="397" s="1" customFormat="1" ht="14.25" customHeight="1" x14ac:dyDescent="0.3"/>
    <row r="398" s="1" customFormat="1" ht="14.25" customHeight="1" x14ac:dyDescent="0.3"/>
    <row r="399" s="1" customFormat="1" ht="14.25" customHeight="1" x14ac:dyDescent="0.3"/>
    <row r="400" s="1" customFormat="1" ht="14.25" customHeight="1" x14ac:dyDescent="0.3"/>
    <row r="401" s="1" customFormat="1" ht="14.25" customHeight="1" x14ac:dyDescent="0.3"/>
    <row r="402" s="1" customFormat="1" ht="14.25" customHeight="1" x14ac:dyDescent="0.3"/>
    <row r="403" s="1" customFormat="1" ht="14.25" customHeight="1" x14ac:dyDescent="0.3"/>
    <row r="404" s="1" customFormat="1" ht="14.25" customHeight="1" x14ac:dyDescent="0.3"/>
    <row r="405" s="1" customFormat="1" ht="14.25" customHeight="1" x14ac:dyDescent="0.3"/>
    <row r="406" s="1" customFormat="1" ht="14.25" customHeight="1" x14ac:dyDescent="0.3"/>
    <row r="407" s="1" customFormat="1" ht="14.25" customHeight="1" x14ac:dyDescent="0.3"/>
    <row r="408" s="1" customFormat="1" ht="14.25" customHeight="1" x14ac:dyDescent="0.3"/>
    <row r="409" s="1" customFormat="1" ht="14.25" customHeight="1" x14ac:dyDescent="0.3"/>
    <row r="410" s="1" customFormat="1" ht="14.25" customHeight="1" x14ac:dyDescent="0.3"/>
    <row r="411" s="1" customFormat="1" ht="14.25" customHeight="1" x14ac:dyDescent="0.3"/>
    <row r="412" s="1" customFormat="1" ht="14.25" customHeight="1" x14ac:dyDescent="0.3"/>
    <row r="413" s="1" customFormat="1" ht="14.25" customHeight="1" x14ac:dyDescent="0.3"/>
    <row r="414" s="1" customFormat="1" ht="14.25" customHeight="1" x14ac:dyDescent="0.3"/>
    <row r="415" s="1" customFormat="1" ht="14.25" customHeight="1" x14ac:dyDescent="0.3"/>
    <row r="416" s="1" customFormat="1" ht="14.25" customHeight="1" x14ac:dyDescent="0.3"/>
    <row r="417" s="1" customFormat="1" ht="14.25" customHeight="1" x14ac:dyDescent="0.3"/>
    <row r="418" s="1" customFormat="1" ht="14.25" customHeight="1" x14ac:dyDescent="0.3"/>
    <row r="419" s="1" customFormat="1" ht="14.25" customHeight="1" x14ac:dyDescent="0.3"/>
    <row r="420" s="1" customFormat="1" ht="14.25" customHeight="1" x14ac:dyDescent="0.3"/>
    <row r="421" s="1" customFormat="1" ht="14.25" customHeight="1" x14ac:dyDescent="0.3"/>
    <row r="422" s="1" customFormat="1" ht="14.25" customHeight="1" x14ac:dyDescent="0.3"/>
    <row r="423" s="1" customFormat="1" ht="14.25" customHeight="1" x14ac:dyDescent="0.3"/>
    <row r="424" s="1" customFormat="1" ht="14.25" customHeight="1" x14ac:dyDescent="0.3"/>
    <row r="425" s="1" customFormat="1" ht="14.25" customHeight="1" x14ac:dyDescent="0.3"/>
    <row r="426" s="1" customFormat="1" ht="14.25" customHeight="1" x14ac:dyDescent="0.3"/>
    <row r="427" s="1" customFormat="1" ht="14.25" customHeight="1" x14ac:dyDescent="0.3"/>
    <row r="428" s="1" customFormat="1" ht="14.25" customHeight="1" x14ac:dyDescent="0.3"/>
    <row r="429" s="1" customFormat="1" ht="14.25" customHeight="1" x14ac:dyDescent="0.3"/>
    <row r="430" s="1" customFormat="1" ht="14.25" customHeight="1" x14ac:dyDescent="0.3"/>
    <row r="431" s="1" customFormat="1" ht="14.25" customHeight="1" x14ac:dyDescent="0.3"/>
    <row r="432" s="1" customFormat="1" ht="14.25" customHeight="1" x14ac:dyDescent="0.3"/>
    <row r="433" s="1" customFormat="1" ht="14.25" customHeight="1" x14ac:dyDescent="0.3"/>
    <row r="434" s="1" customFormat="1" ht="14.25" customHeight="1" x14ac:dyDescent="0.3"/>
    <row r="435" s="1" customFormat="1" ht="14.25" customHeight="1" x14ac:dyDescent="0.3"/>
    <row r="436" s="1" customFormat="1" ht="14.25" customHeight="1" x14ac:dyDescent="0.3"/>
    <row r="437" s="1" customFormat="1" ht="14.25" customHeight="1" x14ac:dyDescent="0.3"/>
    <row r="438" s="1" customFormat="1" ht="14.25" customHeight="1" x14ac:dyDescent="0.3"/>
    <row r="439" s="1" customFormat="1" ht="14.25" customHeight="1" x14ac:dyDescent="0.3"/>
    <row r="440" s="1" customFormat="1" ht="14.25" customHeight="1" x14ac:dyDescent="0.3"/>
    <row r="441" s="1" customFormat="1" ht="14.25" customHeight="1" x14ac:dyDescent="0.3"/>
    <row r="442" s="1" customFormat="1" ht="14.25" customHeight="1" x14ac:dyDescent="0.3"/>
    <row r="443" s="1" customFormat="1" ht="14.25" customHeight="1" x14ac:dyDescent="0.3"/>
    <row r="444" s="1" customFormat="1" ht="14.25" customHeight="1" x14ac:dyDescent="0.3"/>
    <row r="445" s="1" customFormat="1" ht="14.25" customHeight="1" x14ac:dyDescent="0.3"/>
    <row r="446" s="1" customFormat="1" ht="14.25" customHeight="1" x14ac:dyDescent="0.3"/>
    <row r="447" s="1" customFormat="1" ht="14.25" customHeight="1" x14ac:dyDescent="0.3"/>
    <row r="448" s="1" customFormat="1" ht="14.25" customHeight="1" x14ac:dyDescent="0.3"/>
    <row r="449" s="1" customFormat="1" ht="14.25" customHeight="1" x14ac:dyDescent="0.3"/>
    <row r="450" s="1" customFormat="1" ht="14.25" customHeight="1" x14ac:dyDescent="0.3"/>
    <row r="451" s="1" customFormat="1" ht="14.25" customHeight="1" x14ac:dyDescent="0.3"/>
    <row r="452" s="1" customFormat="1" ht="14.25" customHeight="1" x14ac:dyDescent="0.3"/>
    <row r="453" s="1" customFormat="1" ht="14.25" customHeight="1" x14ac:dyDescent="0.3"/>
    <row r="454" s="1" customFormat="1" ht="14.25" customHeight="1" x14ac:dyDescent="0.3"/>
    <row r="455" s="1" customFormat="1" ht="14.25" customHeight="1" x14ac:dyDescent="0.3"/>
    <row r="456" s="1" customFormat="1" ht="14.25" customHeight="1" x14ac:dyDescent="0.3"/>
    <row r="457" s="1" customFormat="1" ht="14.25" customHeight="1" x14ac:dyDescent="0.3"/>
    <row r="458" s="1" customFormat="1" ht="14.25" customHeight="1" x14ac:dyDescent="0.3"/>
    <row r="459" s="1" customFormat="1" ht="14.25" customHeight="1" x14ac:dyDescent="0.3"/>
    <row r="460" s="1" customFormat="1" ht="14.25" customHeight="1" x14ac:dyDescent="0.3"/>
    <row r="461" s="1" customFormat="1" ht="14.25" customHeight="1" x14ac:dyDescent="0.3"/>
    <row r="462" s="1" customFormat="1" ht="14.25" customHeight="1" x14ac:dyDescent="0.3"/>
    <row r="463" s="1" customFormat="1" ht="14.25" customHeight="1" x14ac:dyDescent="0.3"/>
    <row r="464" s="1" customFormat="1" ht="14.25" customHeight="1" x14ac:dyDescent="0.3"/>
    <row r="465" s="1" customFormat="1" ht="14.25" customHeight="1" x14ac:dyDescent="0.3"/>
    <row r="466" s="1" customFormat="1" ht="14.25" customHeight="1" x14ac:dyDescent="0.3"/>
    <row r="467" s="1" customFormat="1" ht="14.25" customHeight="1" x14ac:dyDescent="0.3"/>
    <row r="468" s="1" customFormat="1" ht="14.25" customHeight="1" x14ac:dyDescent="0.3"/>
    <row r="469" s="1" customFormat="1" ht="14.25" customHeight="1" x14ac:dyDescent="0.3"/>
    <row r="470" s="1" customFormat="1" ht="14.25" customHeight="1" x14ac:dyDescent="0.3"/>
    <row r="471" s="1" customFormat="1" ht="14.25" customHeight="1" x14ac:dyDescent="0.3"/>
    <row r="472" s="1" customFormat="1" ht="14.25" customHeight="1" x14ac:dyDescent="0.3"/>
    <row r="473" s="1" customFormat="1" ht="14.25" customHeight="1" x14ac:dyDescent="0.3"/>
    <row r="474" s="1" customFormat="1" ht="14.25" customHeight="1" x14ac:dyDescent="0.3"/>
    <row r="475" s="1" customFormat="1" ht="14.25" customHeight="1" x14ac:dyDescent="0.3"/>
    <row r="476" s="1" customFormat="1" ht="14.25" customHeight="1" x14ac:dyDescent="0.3"/>
    <row r="477" s="1" customFormat="1" ht="14.25" customHeight="1" x14ac:dyDescent="0.3"/>
    <row r="478" s="1" customFormat="1" ht="14.25" customHeight="1" x14ac:dyDescent="0.3"/>
    <row r="479" s="1" customFormat="1" ht="14.25" customHeight="1" x14ac:dyDescent="0.3"/>
    <row r="480" s="1" customFormat="1" ht="14.25" customHeight="1" x14ac:dyDescent="0.3"/>
    <row r="481" s="1" customFormat="1" ht="14.25" customHeight="1" x14ac:dyDescent="0.3"/>
    <row r="482" s="1" customFormat="1" ht="14.25" customHeight="1" x14ac:dyDescent="0.3"/>
    <row r="483" s="1" customFormat="1" ht="14.25" customHeight="1" x14ac:dyDescent="0.3"/>
    <row r="484" s="1" customFormat="1" ht="14.25" customHeight="1" x14ac:dyDescent="0.3"/>
    <row r="485" s="1" customFormat="1" ht="14.25" customHeight="1" x14ac:dyDescent="0.3"/>
    <row r="486" s="1" customFormat="1" ht="14.25" customHeight="1" x14ac:dyDescent="0.3"/>
    <row r="487" s="1" customFormat="1" ht="14.25" customHeight="1" x14ac:dyDescent="0.3"/>
    <row r="488" s="1" customFormat="1" ht="14.25" customHeight="1" x14ac:dyDescent="0.3"/>
    <row r="489" s="1" customFormat="1" ht="14.25" customHeight="1" x14ac:dyDescent="0.3"/>
    <row r="490" s="1" customFormat="1" ht="14.25" customHeight="1" x14ac:dyDescent="0.3"/>
    <row r="491" s="1" customFormat="1" ht="14.25" customHeight="1" x14ac:dyDescent="0.3"/>
    <row r="492" s="1" customFormat="1" ht="14.25" customHeight="1" x14ac:dyDescent="0.3"/>
    <row r="493" s="1" customFormat="1" ht="14.25" customHeight="1" x14ac:dyDescent="0.3"/>
    <row r="494" s="1" customFormat="1" ht="14.25" customHeight="1" x14ac:dyDescent="0.3"/>
    <row r="495" s="1" customFormat="1" ht="14.25" customHeight="1" x14ac:dyDescent="0.3"/>
    <row r="496" s="1" customFormat="1" ht="14.25" customHeight="1" x14ac:dyDescent="0.3"/>
    <row r="497" s="1" customFormat="1" ht="14.25" customHeight="1" x14ac:dyDescent="0.3"/>
    <row r="498" s="1" customFormat="1" ht="14.25" customHeight="1" x14ac:dyDescent="0.3"/>
    <row r="499" s="1" customFormat="1" ht="14.25" customHeight="1" x14ac:dyDescent="0.3"/>
    <row r="500" s="1" customFormat="1" ht="14.25" customHeight="1" x14ac:dyDescent="0.3"/>
    <row r="501" s="1" customFormat="1" ht="14.25" customHeight="1" x14ac:dyDescent="0.3"/>
    <row r="502" s="1" customFormat="1" ht="14.25" customHeight="1" x14ac:dyDescent="0.3"/>
    <row r="503" s="1" customFormat="1" ht="14.25" customHeight="1" x14ac:dyDescent="0.3"/>
    <row r="504" s="1" customFormat="1" ht="14.25" customHeight="1" x14ac:dyDescent="0.3"/>
    <row r="505" s="1" customFormat="1" ht="14.25" customHeight="1" x14ac:dyDescent="0.3"/>
    <row r="506" s="1" customFormat="1" ht="14.25" customHeight="1" x14ac:dyDescent="0.3"/>
    <row r="507" s="1" customFormat="1" ht="14.25" customHeight="1" x14ac:dyDescent="0.3"/>
    <row r="508" s="1" customFormat="1" ht="14.25" customHeight="1" x14ac:dyDescent="0.3"/>
    <row r="509" s="1" customFormat="1" ht="14.25" customHeight="1" x14ac:dyDescent="0.3"/>
    <row r="510" s="1" customFormat="1" ht="14.25" customHeight="1" x14ac:dyDescent="0.3"/>
    <row r="511" s="1" customFormat="1" ht="14.25" customHeight="1" x14ac:dyDescent="0.3"/>
    <row r="512" s="1" customFormat="1" ht="14.25" customHeight="1" x14ac:dyDescent="0.3"/>
    <row r="513" s="1" customFormat="1" ht="14.25" customHeight="1" x14ac:dyDescent="0.3"/>
    <row r="514" s="1" customFormat="1" ht="14.25" customHeight="1" x14ac:dyDescent="0.3"/>
    <row r="515" s="1" customFormat="1" ht="14.25" customHeight="1" x14ac:dyDescent="0.3"/>
    <row r="516" s="1" customFormat="1" ht="14.25" customHeight="1" x14ac:dyDescent="0.3"/>
    <row r="517" s="1" customFormat="1" ht="14.25" customHeight="1" x14ac:dyDescent="0.3"/>
    <row r="518" s="1" customFormat="1" ht="14.25" customHeight="1" x14ac:dyDescent="0.3"/>
    <row r="519" s="1" customFormat="1" ht="14.25" customHeight="1" x14ac:dyDescent="0.3"/>
    <row r="520" s="1" customFormat="1" ht="14.25" customHeight="1" x14ac:dyDescent="0.3"/>
    <row r="521" s="1" customFormat="1" ht="14.25" customHeight="1" x14ac:dyDescent="0.3"/>
    <row r="522" s="1" customFormat="1" ht="14.25" customHeight="1" x14ac:dyDescent="0.3"/>
    <row r="523" s="1" customFormat="1" ht="14.25" customHeight="1" x14ac:dyDescent="0.3"/>
    <row r="524" s="1" customFormat="1" ht="14.25" customHeight="1" x14ac:dyDescent="0.3"/>
    <row r="525" s="1" customFormat="1" ht="14.25" customHeight="1" x14ac:dyDescent="0.3"/>
    <row r="526" s="1" customFormat="1" ht="14.25" customHeight="1" x14ac:dyDescent="0.3"/>
    <row r="527" s="1" customFormat="1" ht="14.25" customHeight="1" x14ac:dyDescent="0.3"/>
    <row r="528" s="1" customFormat="1" ht="14.25" customHeight="1" x14ac:dyDescent="0.3"/>
    <row r="529" s="1" customFormat="1" ht="14.25" customHeight="1" x14ac:dyDescent="0.3"/>
    <row r="530" s="1" customFormat="1" ht="14.25" customHeight="1" x14ac:dyDescent="0.3"/>
    <row r="531" s="1" customFormat="1" ht="14.25" customHeight="1" x14ac:dyDescent="0.3"/>
    <row r="532" s="1" customFormat="1" ht="14.25" customHeight="1" x14ac:dyDescent="0.3"/>
    <row r="533" s="1" customFormat="1" ht="14.25" customHeight="1" x14ac:dyDescent="0.3"/>
    <row r="534" s="1" customFormat="1" ht="14.25" customHeight="1" x14ac:dyDescent="0.3"/>
    <row r="535" s="1" customFormat="1" ht="14.25" customHeight="1" x14ac:dyDescent="0.3"/>
    <row r="536" s="1" customFormat="1" ht="14.25" customHeight="1" x14ac:dyDescent="0.3"/>
    <row r="537" s="1" customFormat="1" ht="14.25" customHeight="1" x14ac:dyDescent="0.3"/>
    <row r="538" s="1" customFormat="1" ht="14.25" customHeight="1" x14ac:dyDescent="0.3"/>
    <row r="539" s="1" customFormat="1" ht="14.25" customHeight="1" x14ac:dyDescent="0.3"/>
    <row r="540" s="1" customFormat="1" ht="14.25" customHeight="1" x14ac:dyDescent="0.3"/>
    <row r="541" s="1" customFormat="1" ht="14.25" customHeight="1" x14ac:dyDescent="0.3"/>
    <row r="542" s="1" customFormat="1" ht="14.25" customHeight="1" x14ac:dyDescent="0.3"/>
    <row r="543" s="1" customFormat="1" ht="14.25" customHeight="1" x14ac:dyDescent="0.3"/>
    <row r="544" s="1" customFormat="1" ht="14.25" customHeight="1" x14ac:dyDescent="0.3"/>
    <row r="545" s="1" customFormat="1" ht="14.25" customHeight="1" x14ac:dyDescent="0.3"/>
    <row r="546" s="1" customFormat="1" ht="14.25" customHeight="1" x14ac:dyDescent="0.3"/>
    <row r="547" s="1" customFormat="1" ht="14.25" customHeight="1" x14ac:dyDescent="0.3"/>
    <row r="548" s="1" customFormat="1" ht="14.25" customHeight="1" x14ac:dyDescent="0.3"/>
    <row r="549" s="1" customFormat="1" ht="14.25" customHeight="1" x14ac:dyDescent="0.3"/>
    <row r="550" s="1" customFormat="1" ht="14.25" customHeight="1" x14ac:dyDescent="0.3"/>
    <row r="551" s="1" customFormat="1" ht="14.25" customHeight="1" x14ac:dyDescent="0.3"/>
    <row r="552" s="1" customFormat="1" ht="14.25" customHeight="1" x14ac:dyDescent="0.3"/>
    <row r="553" s="1" customFormat="1" ht="14.25" customHeight="1" x14ac:dyDescent="0.3"/>
    <row r="554" s="1" customFormat="1" ht="14.25" customHeight="1" x14ac:dyDescent="0.3"/>
    <row r="555" s="1" customFormat="1" ht="14.25" customHeight="1" x14ac:dyDescent="0.3"/>
    <row r="556" s="1" customFormat="1" ht="14.25" customHeight="1" x14ac:dyDescent="0.3"/>
    <row r="557" s="1" customFormat="1" ht="14.25" customHeight="1" x14ac:dyDescent="0.3"/>
    <row r="558" s="1" customFormat="1" ht="14.25" customHeight="1" x14ac:dyDescent="0.3"/>
    <row r="559" s="1" customFormat="1" ht="14.25" customHeight="1" x14ac:dyDescent="0.3"/>
    <row r="560" s="1" customFormat="1" ht="14.25" customHeight="1" x14ac:dyDescent="0.3"/>
    <row r="561" s="1" customFormat="1" ht="14.25" customHeight="1" x14ac:dyDescent="0.3"/>
    <row r="562" s="1" customFormat="1" ht="14.25" customHeight="1" x14ac:dyDescent="0.3"/>
    <row r="563" s="1" customFormat="1" ht="14.25" customHeight="1" x14ac:dyDescent="0.3"/>
    <row r="564" s="1" customFormat="1" ht="14.25" customHeight="1" x14ac:dyDescent="0.3"/>
    <row r="565" s="1" customFormat="1" ht="14.25" customHeight="1" x14ac:dyDescent="0.3"/>
    <row r="566" s="1" customFormat="1" ht="14.25" customHeight="1" x14ac:dyDescent="0.3"/>
    <row r="567" s="1" customFormat="1" ht="14.25" customHeight="1" x14ac:dyDescent="0.3"/>
    <row r="568" s="1" customFormat="1" ht="14.25" customHeight="1" x14ac:dyDescent="0.3"/>
    <row r="569" s="1" customFormat="1" ht="14.25" customHeight="1" x14ac:dyDescent="0.3"/>
    <row r="570" s="1" customFormat="1" ht="14.25" customHeight="1" x14ac:dyDescent="0.3"/>
    <row r="571" s="1" customFormat="1" ht="14.25" customHeight="1" x14ac:dyDescent="0.3"/>
    <row r="572" s="1" customFormat="1" ht="14.25" customHeight="1" x14ac:dyDescent="0.3"/>
    <row r="573" s="1" customFormat="1" ht="14.25" customHeight="1" x14ac:dyDescent="0.3"/>
    <row r="574" s="1" customFormat="1" ht="14.25" customHeight="1" x14ac:dyDescent="0.3"/>
    <row r="575" s="1" customFormat="1" ht="14.25" customHeight="1" x14ac:dyDescent="0.3"/>
    <row r="576" s="1" customFormat="1" ht="14.25" customHeight="1" x14ac:dyDescent="0.3"/>
    <row r="577" s="1" customFormat="1" ht="14.25" customHeight="1" x14ac:dyDescent="0.3"/>
    <row r="578" s="1" customFormat="1" ht="14.25" customHeight="1" x14ac:dyDescent="0.3"/>
    <row r="579" s="1" customFormat="1" ht="14.25" customHeight="1" x14ac:dyDescent="0.3"/>
    <row r="580" s="1" customFormat="1" ht="14.25" customHeight="1" x14ac:dyDescent="0.3"/>
    <row r="581" s="1" customFormat="1" ht="14.25" customHeight="1" x14ac:dyDescent="0.3"/>
    <row r="582" s="1" customFormat="1" ht="14.25" customHeight="1" x14ac:dyDescent="0.3"/>
    <row r="583" s="1" customFormat="1" ht="14.25" customHeight="1" x14ac:dyDescent="0.3"/>
    <row r="584" s="1" customFormat="1" ht="14.25" customHeight="1" x14ac:dyDescent="0.3"/>
    <row r="585" s="1" customFormat="1" ht="14.25" customHeight="1" x14ac:dyDescent="0.3"/>
    <row r="586" s="1" customFormat="1" ht="14.25" customHeight="1" x14ac:dyDescent="0.3"/>
    <row r="587" s="1" customFormat="1" ht="14.25" customHeight="1" x14ac:dyDescent="0.3"/>
    <row r="588" s="1" customFormat="1" ht="14.25" customHeight="1" x14ac:dyDescent="0.3"/>
    <row r="589" s="1" customFormat="1" ht="14.25" customHeight="1" x14ac:dyDescent="0.3"/>
    <row r="590" s="1" customFormat="1" ht="14.25" customHeight="1" x14ac:dyDescent="0.3"/>
    <row r="591" s="1" customFormat="1" ht="14.25" customHeight="1" x14ac:dyDescent="0.3"/>
    <row r="592" s="1" customFormat="1" ht="14.25" customHeight="1" x14ac:dyDescent="0.3"/>
    <row r="593" s="1" customFormat="1" ht="14.25" customHeight="1" x14ac:dyDescent="0.3"/>
    <row r="594" s="1" customFormat="1" ht="14.25" customHeight="1" x14ac:dyDescent="0.3"/>
    <row r="595" s="1" customFormat="1" ht="14.25" customHeight="1" x14ac:dyDescent="0.3"/>
    <row r="596" s="1" customFormat="1" ht="14.25" customHeight="1" x14ac:dyDescent="0.3"/>
    <row r="597" s="1" customFormat="1" ht="14.25" customHeight="1" x14ac:dyDescent="0.3"/>
    <row r="598" s="1" customFormat="1" ht="14.25" customHeight="1" x14ac:dyDescent="0.3"/>
    <row r="599" s="1" customFormat="1" ht="14.25" customHeight="1" x14ac:dyDescent="0.3"/>
    <row r="600" s="1" customFormat="1" ht="14.25" customHeight="1" x14ac:dyDescent="0.3"/>
    <row r="601" s="1" customFormat="1" ht="14.25" customHeight="1" x14ac:dyDescent="0.3"/>
    <row r="602" s="1" customFormat="1" ht="14.25" customHeight="1" x14ac:dyDescent="0.3"/>
    <row r="603" s="1" customFormat="1" ht="14.25" customHeight="1" x14ac:dyDescent="0.3"/>
    <row r="604" s="1" customFormat="1" ht="14.25" customHeight="1" x14ac:dyDescent="0.3"/>
    <row r="605" s="1" customFormat="1" ht="14.25" customHeight="1" x14ac:dyDescent="0.3"/>
    <row r="606" s="1" customFormat="1" ht="14.25" customHeight="1" x14ac:dyDescent="0.3"/>
    <row r="607" s="1" customFormat="1" ht="14.25" customHeight="1" x14ac:dyDescent="0.3"/>
    <row r="608" s="1" customFormat="1" ht="14.25" customHeight="1" x14ac:dyDescent="0.3"/>
    <row r="609" s="1" customFormat="1" ht="14.25" customHeight="1" x14ac:dyDescent="0.3"/>
    <row r="610" s="1" customFormat="1" ht="14.25" customHeight="1" x14ac:dyDescent="0.3"/>
    <row r="611" s="1" customFormat="1" ht="14.25" customHeight="1" x14ac:dyDescent="0.3"/>
    <row r="612" s="1" customFormat="1" ht="14.25" customHeight="1" x14ac:dyDescent="0.3"/>
    <row r="613" s="1" customFormat="1" ht="14.25" customHeight="1" x14ac:dyDescent="0.3"/>
    <row r="614" s="1" customFormat="1" ht="14.25" customHeight="1" x14ac:dyDescent="0.3"/>
    <row r="615" s="1" customFormat="1" ht="14.25" customHeight="1" x14ac:dyDescent="0.3"/>
    <row r="616" s="1" customFormat="1" ht="14.25" customHeight="1" x14ac:dyDescent="0.3"/>
    <row r="617" s="1" customFormat="1" ht="14.25" customHeight="1" x14ac:dyDescent="0.3"/>
    <row r="618" s="1" customFormat="1" ht="14.25" customHeight="1" x14ac:dyDescent="0.3"/>
    <row r="619" s="1" customFormat="1" ht="14.25" customHeight="1" x14ac:dyDescent="0.3"/>
    <row r="620" s="1" customFormat="1" ht="14.25" customHeight="1" x14ac:dyDescent="0.3"/>
    <row r="621" s="1" customFormat="1" ht="14.25" customHeight="1" x14ac:dyDescent="0.3"/>
    <row r="622" s="1" customFormat="1" ht="14.25" customHeight="1" x14ac:dyDescent="0.3"/>
    <row r="623" s="1" customFormat="1" ht="14.25" customHeight="1" x14ac:dyDescent="0.3"/>
    <row r="624" s="1" customFormat="1" ht="14.25" customHeight="1" x14ac:dyDescent="0.3"/>
    <row r="625" s="1" customFormat="1" ht="14.25" customHeight="1" x14ac:dyDescent="0.3"/>
    <row r="626" s="1" customFormat="1" ht="14.25" customHeight="1" x14ac:dyDescent="0.3"/>
    <row r="627" s="1" customFormat="1" ht="14.25" customHeight="1" x14ac:dyDescent="0.3"/>
    <row r="628" s="1" customFormat="1" ht="14.25" customHeight="1" x14ac:dyDescent="0.3"/>
    <row r="629" s="1" customFormat="1" ht="14.25" customHeight="1" x14ac:dyDescent="0.3"/>
    <row r="630" s="1" customFormat="1" ht="14.25" customHeight="1" x14ac:dyDescent="0.3"/>
    <row r="631" s="1" customFormat="1" ht="14.25" customHeight="1" x14ac:dyDescent="0.3"/>
    <row r="632" s="1" customFormat="1" ht="14.25" customHeight="1" x14ac:dyDescent="0.3"/>
    <row r="633" s="1" customFormat="1" ht="14.25" customHeight="1" x14ac:dyDescent="0.3"/>
    <row r="634" s="1" customFormat="1" ht="14.25" customHeight="1" x14ac:dyDescent="0.3"/>
    <row r="635" s="1" customFormat="1" ht="14.25" customHeight="1" x14ac:dyDescent="0.3"/>
    <row r="636" s="1" customFormat="1" ht="14.25" customHeight="1" x14ac:dyDescent="0.3"/>
    <row r="637" s="1" customFormat="1" ht="14.25" customHeight="1" x14ac:dyDescent="0.3"/>
    <row r="638" s="1" customFormat="1" ht="14.25" customHeight="1" x14ac:dyDescent="0.3"/>
    <row r="639" s="1" customFormat="1" ht="14.25" customHeight="1" x14ac:dyDescent="0.3"/>
    <row r="640" s="1" customFormat="1" ht="14.25" customHeight="1" x14ac:dyDescent="0.3"/>
    <row r="641" s="1" customFormat="1" ht="14.25" customHeight="1" x14ac:dyDescent="0.3"/>
    <row r="642" s="1" customFormat="1" ht="14.25" customHeight="1" x14ac:dyDescent="0.3"/>
    <row r="643" s="1" customFormat="1" ht="14.25" customHeight="1" x14ac:dyDescent="0.3"/>
    <row r="644" s="1" customFormat="1" ht="14.25" customHeight="1" x14ac:dyDescent="0.3"/>
    <row r="645" s="1" customFormat="1" ht="14.25" customHeight="1" x14ac:dyDescent="0.3"/>
    <row r="646" s="1" customFormat="1" ht="14.25" customHeight="1" x14ac:dyDescent="0.3"/>
    <row r="647" s="1" customFormat="1" ht="14.25" customHeight="1" x14ac:dyDescent="0.3"/>
    <row r="648" s="1" customFormat="1" ht="14.25" customHeight="1" x14ac:dyDescent="0.3"/>
    <row r="649" s="1" customFormat="1" ht="14.25" customHeight="1" x14ac:dyDescent="0.3"/>
    <row r="650" s="1" customFormat="1" ht="14.25" customHeight="1" x14ac:dyDescent="0.3"/>
    <row r="651" s="1" customFormat="1" ht="14.25" customHeight="1" x14ac:dyDescent="0.3"/>
    <row r="652" s="1" customFormat="1" ht="14.25" customHeight="1" x14ac:dyDescent="0.3"/>
    <row r="653" s="1" customFormat="1" ht="14.25" customHeight="1" x14ac:dyDescent="0.3"/>
    <row r="654" s="1" customFormat="1" ht="14.25" customHeight="1" x14ac:dyDescent="0.3"/>
    <row r="655" s="1" customFormat="1" ht="14.25" customHeight="1" x14ac:dyDescent="0.3"/>
    <row r="656" s="1" customFormat="1" ht="14.25" customHeight="1" x14ac:dyDescent="0.3"/>
    <row r="657" s="1" customFormat="1" ht="14.25" customHeight="1" x14ac:dyDescent="0.3"/>
    <row r="658" s="1" customFormat="1" ht="14.25" customHeight="1" x14ac:dyDescent="0.3"/>
    <row r="659" s="1" customFormat="1" ht="14.25" customHeight="1" x14ac:dyDescent="0.3"/>
    <row r="660" s="1" customFormat="1" ht="14.25" customHeight="1" x14ac:dyDescent="0.3"/>
    <row r="661" s="1" customFormat="1" ht="14.25" customHeight="1" x14ac:dyDescent="0.3"/>
    <row r="662" s="1" customFormat="1" ht="14.25" customHeight="1" x14ac:dyDescent="0.3"/>
    <row r="663" s="1" customFormat="1" ht="14.25" customHeight="1" x14ac:dyDescent="0.3"/>
    <row r="664" s="1" customFormat="1" ht="14.25" customHeight="1" x14ac:dyDescent="0.3"/>
    <row r="665" s="1" customFormat="1" ht="14.25" customHeight="1" x14ac:dyDescent="0.3"/>
    <row r="666" s="1" customFormat="1" ht="14.25" customHeight="1" x14ac:dyDescent="0.3"/>
    <row r="667" s="1" customFormat="1" ht="14.25" customHeight="1" x14ac:dyDescent="0.3"/>
    <row r="668" s="1" customFormat="1" ht="14.25" customHeight="1" x14ac:dyDescent="0.3"/>
    <row r="669" s="1" customFormat="1" ht="14.25" customHeight="1" x14ac:dyDescent="0.3"/>
    <row r="670" s="1" customFormat="1" ht="14.25" customHeight="1" x14ac:dyDescent="0.3"/>
    <row r="671" s="1" customFormat="1" ht="14.25" customHeight="1" x14ac:dyDescent="0.3"/>
    <row r="672" s="1" customFormat="1" ht="14.25" customHeight="1" x14ac:dyDescent="0.3"/>
    <row r="673" s="1" customFormat="1" ht="14.25" customHeight="1" x14ac:dyDescent="0.3"/>
    <row r="674" s="1" customFormat="1" ht="14.25" customHeight="1" x14ac:dyDescent="0.3"/>
    <row r="675" s="1" customFormat="1" ht="14.25" customHeight="1" x14ac:dyDescent="0.3"/>
    <row r="676" s="1" customFormat="1" ht="14.25" customHeight="1" x14ac:dyDescent="0.3"/>
    <row r="677" s="1" customFormat="1" ht="14.25" customHeight="1" x14ac:dyDescent="0.3"/>
    <row r="678" s="1" customFormat="1" ht="14.25" customHeight="1" x14ac:dyDescent="0.3"/>
    <row r="679" s="1" customFormat="1" ht="14.25" customHeight="1" x14ac:dyDescent="0.3"/>
    <row r="680" s="1" customFormat="1" ht="14.25" customHeight="1" x14ac:dyDescent="0.3"/>
    <row r="681" s="1" customFormat="1" ht="14.25" customHeight="1" x14ac:dyDescent="0.3"/>
    <row r="682" s="1" customFormat="1" ht="14.25" customHeight="1" x14ac:dyDescent="0.3"/>
    <row r="683" s="1" customFormat="1" ht="14.25" customHeight="1" x14ac:dyDescent="0.3"/>
    <row r="684" s="1" customFormat="1" ht="14.25" customHeight="1" x14ac:dyDescent="0.3"/>
    <row r="685" s="1" customFormat="1" ht="14.25" customHeight="1" x14ac:dyDescent="0.3"/>
    <row r="686" s="1" customFormat="1" ht="14.25" customHeight="1" x14ac:dyDescent="0.3"/>
    <row r="687" s="1" customFormat="1" ht="14.25" customHeight="1" x14ac:dyDescent="0.3"/>
    <row r="688" s="1" customFormat="1" ht="14.25" customHeight="1" x14ac:dyDescent="0.3"/>
    <row r="689" s="1" customFormat="1" ht="14.25" customHeight="1" x14ac:dyDescent="0.3"/>
    <row r="690" s="1" customFormat="1" ht="14.25" customHeight="1" x14ac:dyDescent="0.3"/>
    <row r="691" s="1" customFormat="1" ht="14.25" customHeight="1" x14ac:dyDescent="0.3"/>
    <row r="692" s="1" customFormat="1" ht="14.25" customHeight="1" x14ac:dyDescent="0.3"/>
    <row r="693" s="1" customFormat="1" ht="14.25" customHeight="1" x14ac:dyDescent="0.3"/>
    <row r="694" s="1" customFormat="1" ht="14.25" customHeight="1" x14ac:dyDescent="0.3"/>
    <row r="695" s="1" customFormat="1" ht="14.25" customHeight="1" x14ac:dyDescent="0.3"/>
    <row r="696" s="1" customFormat="1" ht="14.25" customHeight="1" x14ac:dyDescent="0.3"/>
    <row r="697" s="1" customFormat="1" ht="14.25" customHeight="1" x14ac:dyDescent="0.3"/>
    <row r="698" s="1" customFormat="1" ht="14.25" customHeight="1" x14ac:dyDescent="0.3"/>
    <row r="699" s="1" customFormat="1" ht="14.25" customHeight="1" x14ac:dyDescent="0.3"/>
    <row r="700" s="1" customFormat="1" ht="14.25" customHeight="1" x14ac:dyDescent="0.3"/>
    <row r="701" s="1" customFormat="1" ht="14.25" customHeight="1" x14ac:dyDescent="0.3"/>
    <row r="702" s="1" customFormat="1" ht="14.25" customHeight="1" x14ac:dyDescent="0.3"/>
    <row r="703" s="1" customFormat="1" ht="14.25" customHeight="1" x14ac:dyDescent="0.3"/>
    <row r="704" s="1" customFormat="1" ht="14.25" customHeight="1" x14ac:dyDescent="0.3"/>
    <row r="705" s="1" customFormat="1" ht="14.25" customHeight="1" x14ac:dyDescent="0.3"/>
    <row r="706" s="1" customFormat="1" ht="14.25" customHeight="1" x14ac:dyDescent="0.3"/>
    <row r="707" s="1" customFormat="1" ht="14.25" customHeight="1" x14ac:dyDescent="0.3"/>
    <row r="708" s="1" customFormat="1" ht="14.25" customHeight="1" x14ac:dyDescent="0.3"/>
    <row r="709" s="1" customFormat="1" ht="14.25" customHeight="1" x14ac:dyDescent="0.3"/>
    <row r="710" s="1" customFormat="1" ht="14.25" customHeight="1" x14ac:dyDescent="0.3"/>
    <row r="711" s="1" customFormat="1" ht="14.25" customHeight="1" x14ac:dyDescent="0.3"/>
    <row r="712" s="1" customFormat="1" ht="14.25" customHeight="1" x14ac:dyDescent="0.3"/>
    <row r="713" s="1" customFormat="1" ht="14.25" customHeight="1" x14ac:dyDescent="0.3"/>
    <row r="714" s="1" customFormat="1" ht="14.25" customHeight="1" x14ac:dyDescent="0.3"/>
    <row r="715" s="1" customFormat="1" ht="14.25" customHeight="1" x14ac:dyDescent="0.3"/>
    <row r="716" s="1" customFormat="1" ht="14.25" customHeight="1" x14ac:dyDescent="0.3"/>
    <row r="717" s="1" customFormat="1" ht="14.25" customHeight="1" x14ac:dyDescent="0.3"/>
    <row r="718" s="1" customFormat="1" ht="14.25" customHeight="1" x14ac:dyDescent="0.3"/>
    <row r="719" s="1" customFormat="1" ht="14.25" customHeight="1" x14ac:dyDescent="0.3"/>
    <row r="720" s="1" customFormat="1" ht="14.25" customHeight="1" x14ac:dyDescent="0.3"/>
    <row r="721" s="1" customFormat="1" ht="14.25" customHeight="1" x14ac:dyDescent="0.3"/>
    <row r="722" s="1" customFormat="1" ht="14.25" customHeight="1" x14ac:dyDescent="0.3"/>
    <row r="723" s="1" customFormat="1" ht="14.25" customHeight="1" x14ac:dyDescent="0.3"/>
    <row r="724" s="1" customFormat="1" ht="14.25" customHeight="1" x14ac:dyDescent="0.3"/>
    <row r="725" s="1" customFormat="1" ht="14.25" customHeight="1" x14ac:dyDescent="0.3"/>
    <row r="726" s="1" customFormat="1" ht="14.25" customHeight="1" x14ac:dyDescent="0.3"/>
    <row r="727" s="1" customFormat="1" ht="14.25" customHeight="1" x14ac:dyDescent="0.3"/>
    <row r="728" s="1" customFormat="1" ht="14.25" customHeight="1" x14ac:dyDescent="0.3"/>
    <row r="729" s="1" customFormat="1" ht="14.25" customHeight="1" x14ac:dyDescent="0.3"/>
    <row r="730" s="1" customFormat="1" ht="14.25" customHeight="1" x14ac:dyDescent="0.3"/>
    <row r="731" s="1" customFormat="1" ht="14.25" customHeight="1" x14ac:dyDescent="0.3"/>
    <row r="732" s="1" customFormat="1" ht="14.25" customHeight="1" x14ac:dyDescent="0.3"/>
    <row r="733" s="1" customFormat="1" ht="14.25" customHeight="1" x14ac:dyDescent="0.3"/>
    <row r="734" s="1" customFormat="1" ht="14.25" customHeight="1" x14ac:dyDescent="0.3"/>
    <row r="735" s="1" customFormat="1" ht="14.25" customHeight="1" x14ac:dyDescent="0.3"/>
    <row r="736" s="1" customFormat="1" ht="14.25" customHeight="1" x14ac:dyDescent="0.3"/>
    <row r="737" s="1" customFormat="1" ht="14.25" customHeight="1" x14ac:dyDescent="0.3"/>
    <row r="738" s="1" customFormat="1" ht="14.25" customHeight="1" x14ac:dyDescent="0.3"/>
    <row r="739" s="1" customFormat="1" ht="14.25" customHeight="1" x14ac:dyDescent="0.3"/>
    <row r="740" s="1" customFormat="1" ht="14.25" customHeight="1" x14ac:dyDescent="0.3"/>
    <row r="741" s="1" customFormat="1" ht="14.25" customHeight="1" x14ac:dyDescent="0.3"/>
    <row r="742" s="1" customFormat="1" ht="14.25" customHeight="1" x14ac:dyDescent="0.3"/>
    <row r="743" s="1" customFormat="1" ht="14.25" customHeight="1" x14ac:dyDescent="0.3"/>
    <row r="744" s="1" customFormat="1" ht="14.25" customHeight="1" x14ac:dyDescent="0.3"/>
    <row r="745" s="1" customFormat="1" ht="14.25" customHeight="1" x14ac:dyDescent="0.3"/>
    <row r="746" s="1" customFormat="1" ht="14.25" customHeight="1" x14ac:dyDescent="0.3"/>
    <row r="747" s="1" customFormat="1" ht="14.25" customHeight="1" x14ac:dyDescent="0.3"/>
    <row r="748" s="1" customFormat="1" ht="14.25" customHeight="1" x14ac:dyDescent="0.3"/>
    <row r="749" s="1" customFormat="1" ht="14.25" customHeight="1" x14ac:dyDescent="0.3"/>
    <row r="750" s="1" customFormat="1" ht="14.25" customHeight="1" x14ac:dyDescent="0.3"/>
    <row r="751" s="1" customFormat="1" ht="14.25" customHeight="1" x14ac:dyDescent="0.3"/>
    <row r="752" s="1" customFormat="1" ht="14.25" customHeight="1" x14ac:dyDescent="0.3"/>
    <row r="753" s="1" customFormat="1" ht="14.25" customHeight="1" x14ac:dyDescent="0.3"/>
    <row r="754" s="1" customFormat="1" ht="14.25" customHeight="1" x14ac:dyDescent="0.3"/>
    <row r="755" s="1" customFormat="1" ht="14.25" customHeight="1" x14ac:dyDescent="0.3"/>
    <row r="756" s="1" customFormat="1" ht="14.25" customHeight="1" x14ac:dyDescent="0.3"/>
    <row r="757" s="1" customFormat="1" ht="14.25" customHeight="1" x14ac:dyDescent="0.3"/>
    <row r="758" s="1" customFormat="1" ht="14.25" customHeight="1" x14ac:dyDescent="0.3"/>
    <row r="759" s="1" customFormat="1" ht="14.25" customHeight="1" x14ac:dyDescent="0.3"/>
    <row r="760" s="1" customFormat="1" ht="14.25" customHeight="1" x14ac:dyDescent="0.3"/>
    <row r="761" s="1" customFormat="1" ht="14.25" customHeight="1" x14ac:dyDescent="0.3"/>
    <row r="762" s="1" customFormat="1" ht="14.25" customHeight="1" x14ac:dyDescent="0.3"/>
    <row r="763" s="1" customFormat="1" ht="14.25" customHeight="1" x14ac:dyDescent="0.3"/>
    <row r="764" s="1" customFormat="1" ht="14.25" customHeight="1" x14ac:dyDescent="0.3"/>
    <row r="765" s="1" customFormat="1" ht="14.25" customHeight="1" x14ac:dyDescent="0.3"/>
    <row r="766" s="1" customFormat="1" ht="14.25" customHeight="1" x14ac:dyDescent="0.3"/>
    <row r="767" s="1" customFormat="1" ht="14.25" customHeight="1" x14ac:dyDescent="0.3"/>
    <row r="768" s="1" customFormat="1" ht="14.25" customHeight="1" x14ac:dyDescent="0.3"/>
    <row r="769" s="1" customFormat="1" ht="14.25" customHeight="1" x14ac:dyDescent="0.3"/>
    <row r="770" s="1" customFormat="1" ht="14.25" customHeight="1" x14ac:dyDescent="0.3"/>
    <row r="771" s="1" customFormat="1" ht="14.25" customHeight="1" x14ac:dyDescent="0.3"/>
    <row r="772" s="1" customFormat="1" ht="14.25" customHeight="1" x14ac:dyDescent="0.3"/>
    <row r="773" s="1" customFormat="1" ht="14.25" customHeight="1" x14ac:dyDescent="0.3"/>
    <row r="774" s="1" customFormat="1" ht="14.25" customHeight="1" x14ac:dyDescent="0.3"/>
    <row r="775" s="1" customFormat="1" ht="14.25" customHeight="1" x14ac:dyDescent="0.3"/>
    <row r="776" s="1" customFormat="1" ht="14.25" customHeight="1" x14ac:dyDescent="0.3"/>
    <row r="777" s="1" customFormat="1" ht="14.25" customHeight="1" x14ac:dyDescent="0.3"/>
    <row r="778" s="1" customFormat="1" ht="14.25" customHeight="1" x14ac:dyDescent="0.3"/>
    <row r="779" s="1" customFormat="1" ht="14.25" customHeight="1" x14ac:dyDescent="0.3"/>
    <row r="780" s="1" customFormat="1" ht="14.25" customHeight="1" x14ac:dyDescent="0.3"/>
    <row r="781" s="1" customFormat="1" ht="14.25" customHeight="1" x14ac:dyDescent="0.3"/>
    <row r="782" s="1" customFormat="1" ht="14.25" customHeight="1" x14ac:dyDescent="0.3"/>
    <row r="783" s="1" customFormat="1" ht="14.25" customHeight="1" x14ac:dyDescent="0.3"/>
    <row r="784" s="1" customFormat="1" ht="14.25" customHeight="1" x14ac:dyDescent="0.3"/>
    <row r="785" s="1" customFormat="1" ht="14.25" customHeight="1" x14ac:dyDescent="0.3"/>
    <row r="786" s="1" customFormat="1" ht="14.25" customHeight="1" x14ac:dyDescent="0.3"/>
    <row r="787" s="1" customFormat="1" ht="14.25" customHeight="1" x14ac:dyDescent="0.3"/>
    <row r="788" s="1" customFormat="1" ht="14.25" customHeight="1" x14ac:dyDescent="0.3"/>
    <row r="789" s="1" customFormat="1" ht="14.25" customHeight="1" x14ac:dyDescent="0.3"/>
    <row r="790" s="1" customFormat="1" ht="14.25" customHeight="1" x14ac:dyDescent="0.3"/>
    <row r="791" s="1" customFormat="1" ht="14.25" customHeight="1" x14ac:dyDescent="0.3"/>
    <row r="792" s="1" customFormat="1" ht="14.25" customHeight="1" x14ac:dyDescent="0.3"/>
    <row r="793" s="1" customFormat="1" ht="14.25" customHeight="1" x14ac:dyDescent="0.3"/>
    <row r="794" s="1" customFormat="1" ht="14.25" customHeight="1" x14ac:dyDescent="0.3"/>
    <row r="795" s="1" customFormat="1" ht="14.25" customHeight="1" x14ac:dyDescent="0.3"/>
    <row r="796" s="1" customFormat="1" ht="14.25" customHeight="1" x14ac:dyDescent="0.3"/>
    <row r="797" s="1" customFormat="1" ht="14.25" customHeight="1" x14ac:dyDescent="0.3"/>
    <row r="798" s="1" customFormat="1" ht="14.25" customHeight="1" x14ac:dyDescent="0.3"/>
    <row r="799" s="1" customFormat="1" ht="14.25" customHeight="1" x14ac:dyDescent="0.3"/>
    <row r="800" s="1" customFormat="1" ht="14.25" customHeight="1" x14ac:dyDescent="0.3"/>
    <row r="801" s="1" customFormat="1" ht="14.25" customHeight="1" x14ac:dyDescent="0.3"/>
    <row r="802" s="1" customFormat="1" ht="14.25" customHeight="1" x14ac:dyDescent="0.3"/>
    <row r="803" s="1" customFormat="1" ht="14.25" customHeight="1" x14ac:dyDescent="0.3"/>
    <row r="804" s="1" customFormat="1" ht="14.25" customHeight="1" x14ac:dyDescent="0.3"/>
    <row r="805" s="1" customFormat="1" ht="14.25" customHeight="1" x14ac:dyDescent="0.3"/>
    <row r="806" s="1" customFormat="1" ht="14.25" customHeight="1" x14ac:dyDescent="0.3"/>
    <row r="807" s="1" customFormat="1" ht="14.25" customHeight="1" x14ac:dyDescent="0.3"/>
    <row r="808" s="1" customFormat="1" ht="14.25" customHeight="1" x14ac:dyDescent="0.3"/>
    <row r="809" s="1" customFormat="1" ht="14.25" customHeight="1" x14ac:dyDescent="0.3"/>
    <row r="810" s="1" customFormat="1" ht="14.25" customHeight="1" x14ac:dyDescent="0.3"/>
    <row r="811" s="1" customFormat="1" ht="14.25" customHeight="1" x14ac:dyDescent="0.3"/>
    <row r="812" s="1" customFormat="1" ht="14.25" customHeight="1" x14ac:dyDescent="0.3"/>
    <row r="813" s="1" customFormat="1" ht="14.25" customHeight="1" x14ac:dyDescent="0.3"/>
    <row r="814" s="1" customFormat="1" ht="14.25" customHeight="1" x14ac:dyDescent="0.3"/>
    <row r="815" s="1" customFormat="1" ht="14.25" customHeight="1" x14ac:dyDescent="0.3"/>
    <row r="816" s="1" customFormat="1" ht="14.25" customHeight="1" x14ac:dyDescent="0.3"/>
    <row r="817" s="1" customFormat="1" ht="14.25" customHeight="1" x14ac:dyDescent="0.3"/>
    <row r="818" s="1" customFormat="1" ht="14.25" customHeight="1" x14ac:dyDescent="0.3"/>
    <row r="819" s="1" customFormat="1" ht="14.25" customHeight="1" x14ac:dyDescent="0.3"/>
    <row r="820" s="1" customFormat="1" ht="14.25" customHeight="1" x14ac:dyDescent="0.3"/>
    <row r="821" s="1" customFormat="1" ht="14.25" customHeight="1" x14ac:dyDescent="0.3"/>
    <row r="822" s="1" customFormat="1" ht="14.25" customHeight="1" x14ac:dyDescent="0.3"/>
    <row r="823" s="1" customFormat="1" ht="14.25" customHeight="1" x14ac:dyDescent="0.3"/>
    <row r="824" s="1" customFormat="1" ht="14.25" customHeight="1" x14ac:dyDescent="0.3"/>
    <row r="825" s="1" customFormat="1" ht="14.25" customHeight="1" x14ac:dyDescent="0.3"/>
    <row r="826" s="1" customFormat="1" ht="14.25" customHeight="1" x14ac:dyDescent="0.3"/>
    <row r="827" s="1" customFormat="1" ht="14.25" customHeight="1" x14ac:dyDescent="0.3"/>
    <row r="828" s="1" customFormat="1" ht="14.25" customHeight="1" x14ac:dyDescent="0.3"/>
    <row r="829" s="1" customFormat="1" ht="14.25" customHeight="1" x14ac:dyDescent="0.3"/>
    <row r="830" s="1" customFormat="1" ht="14.25" customHeight="1" x14ac:dyDescent="0.3"/>
    <row r="831" s="1" customFormat="1" ht="14.25" customHeight="1" x14ac:dyDescent="0.3"/>
    <row r="832" s="1" customFormat="1" ht="14.25" customHeight="1" x14ac:dyDescent="0.3"/>
    <row r="833" s="1" customFormat="1" ht="14.25" customHeight="1" x14ac:dyDescent="0.3"/>
    <row r="834" s="1" customFormat="1" ht="14.25" customHeight="1" x14ac:dyDescent="0.3"/>
    <row r="835" s="1" customFormat="1" ht="14.25" customHeight="1" x14ac:dyDescent="0.3"/>
    <row r="836" s="1" customFormat="1" ht="14.25" customHeight="1" x14ac:dyDescent="0.3"/>
    <row r="837" s="1" customFormat="1" ht="14.25" customHeight="1" x14ac:dyDescent="0.3"/>
    <row r="838" s="1" customFormat="1" ht="14.25" customHeight="1" x14ac:dyDescent="0.3"/>
    <row r="839" s="1" customFormat="1" ht="14.25" customHeight="1" x14ac:dyDescent="0.3"/>
    <row r="840" s="1" customFormat="1" ht="14.25" customHeight="1" x14ac:dyDescent="0.3"/>
    <row r="841" s="1" customFormat="1" ht="14.25" customHeight="1" x14ac:dyDescent="0.3"/>
    <row r="842" s="1" customFormat="1" ht="14.25" customHeight="1" x14ac:dyDescent="0.3"/>
    <row r="843" s="1" customFormat="1" ht="14.25" customHeight="1" x14ac:dyDescent="0.3"/>
    <row r="844" s="1" customFormat="1" ht="14.25" customHeight="1" x14ac:dyDescent="0.3"/>
    <row r="845" s="1" customFormat="1" ht="14.25" customHeight="1" x14ac:dyDescent="0.3"/>
    <row r="846" s="1" customFormat="1" ht="14.25" customHeight="1" x14ac:dyDescent="0.3"/>
    <row r="847" s="1" customFormat="1" ht="14.25" customHeight="1" x14ac:dyDescent="0.3"/>
    <row r="848" s="1" customFormat="1" ht="14.25" customHeight="1" x14ac:dyDescent="0.3"/>
    <row r="849" s="1" customFormat="1" ht="14.25" customHeight="1" x14ac:dyDescent="0.3"/>
    <row r="850" s="1" customFormat="1" ht="14.25" customHeight="1" x14ac:dyDescent="0.3"/>
    <row r="851" s="1" customFormat="1" ht="14.25" customHeight="1" x14ac:dyDescent="0.3"/>
    <row r="852" s="1" customFormat="1" ht="14.25" customHeight="1" x14ac:dyDescent="0.3"/>
    <row r="853" s="1" customFormat="1" ht="14.25" customHeight="1" x14ac:dyDescent="0.3"/>
    <row r="854" s="1" customFormat="1" ht="14.25" customHeight="1" x14ac:dyDescent="0.3"/>
    <row r="855" s="1" customFormat="1" ht="14.25" customHeight="1" x14ac:dyDescent="0.3"/>
    <row r="856" s="1" customFormat="1" ht="14.25" customHeight="1" x14ac:dyDescent="0.3"/>
    <row r="857" s="1" customFormat="1" ht="14.25" customHeight="1" x14ac:dyDescent="0.3"/>
    <row r="858" s="1" customFormat="1" ht="14.25" customHeight="1" x14ac:dyDescent="0.3"/>
    <row r="859" s="1" customFormat="1" ht="14.25" customHeight="1" x14ac:dyDescent="0.3"/>
    <row r="860" s="1" customFormat="1" ht="14.25" customHeight="1" x14ac:dyDescent="0.3"/>
    <row r="861" s="1" customFormat="1" ht="14.25" customHeight="1" x14ac:dyDescent="0.3"/>
    <row r="862" s="1" customFormat="1" ht="14.25" customHeight="1" x14ac:dyDescent="0.3"/>
    <row r="863" s="1" customFormat="1" ht="14.25" customHeight="1" x14ac:dyDescent="0.3"/>
    <row r="864" s="1" customFormat="1" ht="14.25" customHeight="1" x14ac:dyDescent="0.3"/>
    <row r="865" s="1" customFormat="1" ht="14.25" customHeight="1" x14ac:dyDescent="0.3"/>
    <row r="866" s="1" customFormat="1" ht="14.25" customHeight="1" x14ac:dyDescent="0.3"/>
    <row r="867" s="1" customFormat="1" ht="14.25" customHeight="1" x14ac:dyDescent="0.3"/>
    <row r="868" s="1" customFormat="1" ht="14.25" customHeight="1" x14ac:dyDescent="0.3"/>
    <row r="869" s="1" customFormat="1" ht="14.25" customHeight="1" x14ac:dyDescent="0.3"/>
    <row r="870" s="1" customFormat="1" ht="14.25" customHeight="1" x14ac:dyDescent="0.3"/>
    <row r="871" s="1" customFormat="1" ht="14.25" customHeight="1" x14ac:dyDescent="0.3"/>
    <row r="872" s="1" customFormat="1" ht="14.25" customHeight="1" x14ac:dyDescent="0.3"/>
    <row r="873" s="1" customFormat="1" ht="14.25" customHeight="1" x14ac:dyDescent="0.3"/>
    <row r="874" s="1" customFormat="1" ht="14.25" customHeight="1" x14ac:dyDescent="0.3"/>
    <row r="875" s="1" customFormat="1" ht="14.25" customHeight="1" x14ac:dyDescent="0.3"/>
    <row r="876" s="1" customFormat="1" ht="14.25" customHeight="1" x14ac:dyDescent="0.3"/>
    <row r="877" s="1" customFormat="1" ht="14.25" customHeight="1" x14ac:dyDescent="0.3"/>
    <row r="878" s="1" customFormat="1" ht="14.25" customHeight="1" x14ac:dyDescent="0.3"/>
    <row r="879" s="1" customFormat="1" ht="14.25" customHeight="1" x14ac:dyDescent="0.3"/>
    <row r="880" s="1" customFormat="1" ht="14.25" customHeight="1" x14ac:dyDescent="0.3"/>
    <row r="881" s="1" customFormat="1" ht="14.25" customHeight="1" x14ac:dyDescent="0.3"/>
    <row r="882" s="1" customFormat="1" ht="14.25" customHeight="1" x14ac:dyDescent="0.3"/>
    <row r="883" s="1" customFormat="1" ht="14.25" customHeight="1" x14ac:dyDescent="0.3"/>
    <row r="884" s="1" customFormat="1" ht="14.25" customHeight="1" x14ac:dyDescent="0.3"/>
    <row r="885" s="1" customFormat="1" ht="14.25" customHeight="1" x14ac:dyDescent="0.3"/>
    <row r="886" s="1" customFormat="1" ht="14.25" customHeight="1" x14ac:dyDescent="0.3"/>
    <row r="887" s="1" customFormat="1" ht="14.25" customHeight="1" x14ac:dyDescent="0.3"/>
    <row r="888" s="1" customFormat="1" ht="14.25" customHeight="1" x14ac:dyDescent="0.3"/>
    <row r="889" s="1" customFormat="1" ht="14.25" customHeight="1" x14ac:dyDescent="0.3"/>
    <row r="890" s="1" customFormat="1" ht="14.25" customHeight="1" x14ac:dyDescent="0.3"/>
    <row r="891" s="1" customFormat="1" ht="14.25" customHeight="1" x14ac:dyDescent="0.3"/>
    <row r="892" s="1" customFormat="1" ht="14.25" customHeight="1" x14ac:dyDescent="0.3"/>
    <row r="893" s="1" customFormat="1" ht="14.25" customHeight="1" x14ac:dyDescent="0.3"/>
    <row r="894" s="1" customFormat="1" ht="14.25" customHeight="1" x14ac:dyDescent="0.3"/>
    <row r="895" s="1" customFormat="1" ht="14.25" customHeight="1" x14ac:dyDescent="0.3"/>
    <row r="896" s="1" customFormat="1" ht="14.25" customHeight="1" x14ac:dyDescent="0.3"/>
    <row r="897" s="1" customFormat="1" ht="14.25" customHeight="1" x14ac:dyDescent="0.3"/>
    <row r="898" s="1" customFormat="1" ht="14.25" customHeight="1" x14ac:dyDescent="0.3"/>
    <row r="899" s="1" customFormat="1" ht="14.25" customHeight="1" x14ac:dyDescent="0.3"/>
    <row r="900" s="1" customFormat="1" ht="14.25" customHeight="1" x14ac:dyDescent="0.3"/>
    <row r="901" s="1" customFormat="1" ht="14.25" customHeight="1" x14ac:dyDescent="0.3"/>
    <row r="902" s="1" customFormat="1" ht="14.25" customHeight="1" x14ac:dyDescent="0.3"/>
    <row r="903" s="1" customFormat="1" ht="14.25" customHeight="1" x14ac:dyDescent="0.3"/>
    <row r="904" s="1" customFormat="1" ht="14.25" customHeight="1" x14ac:dyDescent="0.3"/>
    <row r="905" s="1" customFormat="1" ht="14.25" customHeight="1" x14ac:dyDescent="0.3"/>
    <row r="906" s="1" customFormat="1" ht="14.25" customHeight="1" x14ac:dyDescent="0.3"/>
    <row r="907" s="1" customFormat="1" ht="14.25" customHeight="1" x14ac:dyDescent="0.3"/>
    <row r="908" s="1" customFormat="1" ht="14.25" customHeight="1" x14ac:dyDescent="0.3"/>
    <row r="909" s="1" customFormat="1" ht="14.25" customHeight="1" x14ac:dyDescent="0.3"/>
    <row r="910" s="1" customFormat="1" ht="14.25" customHeight="1" x14ac:dyDescent="0.3"/>
    <row r="911" s="1" customFormat="1" ht="14.25" customHeight="1" x14ac:dyDescent="0.3"/>
    <row r="912" s="1" customFormat="1" ht="14.25" customHeight="1" x14ac:dyDescent="0.3"/>
    <row r="913" s="1" customFormat="1" ht="14.25" customHeight="1" x14ac:dyDescent="0.3"/>
    <row r="914" s="1" customFormat="1" ht="14.25" customHeight="1" x14ac:dyDescent="0.3"/>
    <row r="915" s="1" customFormat="1" ht="14.25" customHeight="1" x14ac:dyDescent="0.3"/>
    <row r="916" s="1" customFormat="1" ht="14.25" customHeight="1" x14ac:dyDescent="0.3"/>
    <row r="917" s="1" customFormat="1" ht="14.25" customHeight="1" x14ac:dyDescent="0.3"/>
    <row r="918" s="1" customFormat="1" ht="14.25" customHeight="1" x14ac:dyDescent="0.3"/>
    <row r="919" s="1" customFormat="1" ht="14.25" customHeight="1" x14ac:dyDescent="0.3"/>
    <row r="920" s="1" customFormat="1" ht="14.25" customHeight="1" x14ac:dyDescent="0.3"/>
    <row r="921" s="1" customFormat="1" ht="14.25" customHeight="1" x14ac:dyDescent="0.3"/>
    <row r="922" s="1" customFormat="1" ht="14.25" customHeight="1" x14ac:dyDescent="0.3"/>
    <row r="923" s="1" customFormat="1" ht="14.25" customHeight="1" x14ac:dyDescent="0.3"/>
    <row r="924" s="1" customFormat="1" ht="14.25" customHeight="1" x14ac:dyDescent="0.3"/>
    <row r="925" s="1" customFormat="1" ht="14.25" customHeight="1" x14ac:dyDescent="0.3"/>
    <row r="926" s="1" customFormat="1" ht="14.25" customHeight="1" x14ac:dyDescent="0.3"/>
    <row r="927" s="1" customFormat="1" ht="14.25" customHeight="1" x14ac:dyDescent="0.3"/>
    <row r="928" s="1" customFormat="1" ht="14.25" customHeight="1" x14ac:dyDescent="0.3"/>
    <row r="929" s="1" customFormat="1" ht="14.25" customHeight="1" x14ac:dyDescent="0.3"/>
    <row r="930" s="1" customFormat="1" ht="14.25" customHeight="1" x14ac:dyDescent="0.3"/>
    <row r="931" s="1" customFormat="1" ht="14.25" customHeight="1" x14ac:dyDescent="0.3"/>
    <row r="932" s="1" customFormat="1" ht="14.25" customHeight="1" x14ac:dyDescent="0.3"/>
    <row r="933" s="1" customFormat="1" ht="14.25" customHeight="1" x14ac:dyDescent="0.3"/>
    <row r="934" s="1" customFormat="1" ht="14.25" customHeight="1" x14ac:dyDescent="0.3"/>
    <row r="935" s="1" customFormat="1" ht="14.25" customHeight="1" x14ac:dyDescent="0.3"/>
    <row r="936" s="1" customFormat="1" ht="14.25" customHeight="1" x14ac:dyDescent="0.3"/>
    <row r="937" s="1" customFormat="1" ht="14.25" customHeight="1" x14ac:dyDescent="0.3"/>
    <row r="938" s="1" customFormat="1" ht="14.25" customHeight="1" x14ac:dyDescent="0.3"/>
    <row r="939" s="1" customFormat="1" ht="14.25" customHeight="1" x14ac:dyDescent="0.3"/>
    <row r="940" s="1" customFormat="1" ht="14.25" customHeight="1" x14ac:dyDescent="0.3"/>
    <row r="941" s="1" customFormat="1" ht="14.25" customHeight="1" x14ac:dyDescent="0.3"/>
    <row r="942" s="1" customFormat="1" ht="14.25" customHeight="1" x14ac:dyDescent="0.3"/>
    <row r="943" s="1" customFormat="1" ht="14.25" customHeight="1" x14ac:dyDescent="0.3"/>
    <row r="944" s="1" customFormat="1" ht="14.25" customHeight="1" x14ac:dyDescent="0.3"/>
    <row r="945" s="1" customFormat="1" ht="14.25" customHeight="1" x14ac:dyDescent="0.3"/>
    <row r="946" s="1" customFormat="1" ht="14.25" customHeight="1" x14ac:dyDescent="0.3"/>
    <row r="947" s="1" customFormat="1" ht="14.25" customHeight="1" x14ac:dyDescent="0.3"/>
    <row r="948" s="1" customFormat="1" ht="14.25" customHeight="1" x14ac:dyDescent="0.3"/>
    <row r="949" s="1" customFormat="1" ht="14.25" customHeight="1" x14ac:dyDescent="0.3"/>
    <row r="950" s="1" customFormat="1" ht="14.25" customHeight="1" x14ac:dyDescent="0.3"/>
    <row r="951" s="1" customFormat="1" ht="14.25" customHeight="1" x14ac:dyDescent="0.3"/>
    <row r="952" s="1" customFormat="1" ht="14.25" customHeight="1" x14ac:dyDescent="0.3"/>
    <row r="953" s="1" customFormat="1" ht="14.25" customHeight="1" x14ac:dyDescent="0.3"/>
    <row r="954" s="1" customFormat="1" ht="14.25" customHeight="1" x14ac:dyDescent="0.3"/>
    <row r="955" s="1" customFormat="1" ht="14.25" customHeight="1" x14ac:dyDescent="0.3"/>
    <row r="956" s="1" customFormat="1" ht="14.25" customHeight="1" x14ac:dyDescent="0.3"/>
    <row r="957" s="1" customFormat="1" ht="14.25" customHeight="1" x14ac:dyDescent="0.3"/>
    <row r="958" s="1" customFormat="1" ht="14.25" customHeight="1" x14ac:dyDescent="0.3"/>
    <row r="959" s="1" customFormat="1" ht="14.25" customHeight="1" x14ac:dyDescent="0.3"/>
    <row r="960" s="1" customFormat="1" ht="14.25" customHeight="1" x14ac:dyDescent="0.3"/>
    <row r="961" s="1" customFormat="1" ht="14.25" customHeight="1" x14ac:dyDescent="0.3"/>
    <row r="962" s="1" customFormat="1" ht="14.25" customHeight="1" x14ac:dyDescent="0.3"/>
    <row r="963" s="1" customFormat="1" ht="14.25" customHeight="1" x14ac:dyDescent="0.3"/>
    <row r="964" s="1" customFormat="1" ht="14.25" customHeight="1" x14ac:dyDescent="0.3"/>
    <row r="965" s="1" customFormat="1" ht="14.25" customHeight="1" x14ac:dyDescent="0.3"/>
    <row r="966" s="1" customFormat="1" ht="14.25" customHeight="1" x14ac:dyDescent="0.3"/>
    <row r="967" s="1" customFormat="1" ht="14.25" customHeight="1" x14ac:dyDescent="0.3"/>
    <row r="968" s="1" customFormat="1" ht="14.25" customHeight="1" x14ac:dyDescent="0.3"/>
    <row r="969" s="1" customFormat="1" ht="14.25" customHeight="1" x14ac:dyDescent="0.3"/>
    <row r="970" s="1" customFormat="1" ht="14.25" customHeight="1" x14ac:dyDescent="0.3"/>
    <row r="971" s="1" customFormat="1" ht="14.25" customHeight="1" x14ac:dyDescent="0.3"/>
    <row r="972" s="1" customFormat="1" ht="14.25" customHeight="1" x14ac:dyDescent="0.3"/>
    <row r="973" s="1" customFormat="1" ht="14.25" customHeight="1" x14ac:dyDescent="0.3"/>
    <row r="974" s="1" customFormat="1" ht="14.25" customHeight="1" x14ac:dyDescent="0.3"/>
    <row r="975" s="1" customFormat="1" ht="14.25" customHeight="1" x14ac:dyDescent="0.3"/>
    <row r="976" s="1" customFormat="1" ht="14.25" customHeight="1" x14ac:dyDescent="0.3"/>
    <row r="977" s="1" customFormat="1" ht="14.25" customHeight="1" x14ac:dyDescent="0.3"/>
    <row r="978" s="1" customFormat="1" ht="14.25" customHeight="1" x14ac:dyDescent="0.3"/>
    <row r="979" s="1" customFormat="1" ht="14.25" customHeight="1" x14ac:dyDescent="0.3"/>
    <row r="980" s="1" customFormat="1" ht="14.25" customHeight="1" x14ac:dyDescent="0.3"/>
    <row r="981" s="1" customFormat="1" ht="14.25" customHeight="1" x14ac:dyDescent="0.3"/>
    <row r="982" s="1" customFormat="1" ht="14.25" customHeight="1" x14ac:dyDescent="0.3"/>
    <row r="983" s="1" customFormat="1" ht="14.25" customHeight="1" x14ac:dyDescent="0.3"/>
    <row r="984" s="1" customFormat="1" ht="14.25" customHeight="1" x14ac:dyDescent="0.3"/>
    <row r="985" s="1" customFormat="1" ht="14.25" customHeight="1" x14ac:dyDescent="0.3"/>
    <row r="986" s="1" customFormat="1" ht="14.25" customHeight="1" x14ac:dyDescent="0.3"/>
    <row r="987" s="1" customFormat="1" ht="14.25" customHeight="1" x14ac:dyDescent="0.3"/>
    <row r="988" s="1" customFormat="1" ht="14.25" customHeight="1" x14ac:dyDescent="0.3"/>
    <row r="989" s="1" customFormat="1" ht="14.25" customHeight="1" x14ac:dyDescent="0.3"/>
    <row r="990" s="1" customFormat="1" ht="14.25" customHeight="1" x14ac:dyDescent="0.3"/>
    <row r="991" s="1" customFormat="1" ht="14.25" customHeight="1" x14ac:dyDescent="0.3"/>
    <row r="992" s="1" customFormat="1" ht="14.25" customHeight="1" x14ac:dyDescent="0.3"/>
    <row r="993" s="1" customFormat="1" ht="14.25" customHeight="1" x14ac:dyDescent="0.3"/>
    <row r="994" s="1" customFormat="1" ht="14.25" customHeight="1" x14ac:dyDescent="0.3"/>
    <row r="995" s="1" customFormat="1" ht="14.25" customHeight="1" x14ac:dyDescent="0.3"/>
    <row r="996" s="1" customFormat="1" ht="14.25" customHeight="1" x14ac:dyDescent="0.3"/>
    <row r="997" s="1" customFormat="1" ht="14.25" customHeight="1" x14ac:dyDescent="0.3"/>
    <row r="998" s="1" customFormat="1" ht="14.25" customHeight="1" x14ac:dyDescent="0.3"/>
    <row r="999" s="1" customFormat="1" ht="14.25" customHeight="1" x14ac:dyDescent="0.3"/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E3D81-90C4-4DC5-A8E9-000B577C57F7}">
  <dimension ref="A1:M999"/>
  <sheetViews>
    <sheetView workbookViewId="0">
      <selection activeCell="E9" sqref="E9"/>
    </sheetView>
  </sheetViews>
  <sheetFormatPr baseColWidth="10" defaultColWidth="12.6328125" defaultRowHeight="15" customHeight="1" x14ac:dyDescent="0.3"/>
  <cols>
    <col min="1" max="1" width="15.7265625" style="1" customWidth="1"/>
    <col min="2" max="7" width="10.6328125" style="1" customWidth="1"/>
    <col min="8" max="8" width="11.36328125" style="1" customWidth="1"/>
    <col min="9" max="25" width="10.6328125" style="1" customWidth="1"/>
    <col min="26" max="16384" width="12.6328125" style="1"/>
  </cols>
  <sheetData>
    <row r="1" spans="1:13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4.25" customHeight="1" x14ac:dyDescent="0.3">
      <c r="A2" s="1" t="s">
        <v>12</v>
      </c>
      <c r="B2" s="1" t="s">
        <v>13</v>
      </c>
      <c r="D2" s="1">
        <v>1</v>
      </c>
      <c r="H2" s="2" t="s">
        <v>14</v>
      </c>
      <c r="I2" s="3">
        <f t="shared" ref="I2:L2" si="0">SUM(C22+C37+C55+C65+C66+C96+C105+C113+C128+C146+C150)</f>
        <v>9</v>
      </c>
      <c r="J2" s="3">
        <f t="shared" si="0"/>
        <v>0</v>
      </c>
      <c r="K2" s="3">
        <f t="shared" si="0"/>
        <v>1</v>
      </c>
      <c r="L2" s="3">
        <f t="shared" si="0"/>
        <v>1</v>
      </c>
      <c r="M2" s="3">
        <f t="shared" ref="M2:M13" si="1">SUM(I2:L2)</f>
        <v>11</v>
      </c>
    </row>
    <row r="3" spans="1:13" ht="14.25" customHeight="1" x14ac:dyDescent="0.3">
      <c r="A3" s="1" t="s">
        <v>15</v>
      </c>
      <c r="B3" s="1" t="s">
        <v>16</v>
      </c>
      <c r="C3" s="1">
        <v>1</v>
      </c>
      <c r="H3" s="2" t="s">
        <v>17</v>
      </c>
      <c r="I3" s="3">
        <f t="shared" ref="I3:L3" si="2">SUM(C6+C32+C50+C52+C58+C69+C76+C94+C115+C122+C123+C152)</f>
        <v>5</v>
      </c>
      <c r="J3" s="3">
        <f t="shared" si="2"/>
        <v>6</v>
      </c>
      <c r="K3" s="3">
        <f t="shared" si="2"/>
        <v>0</v>
      </c>
      <c r="L3" s="3">
        <f t="shared" si="2"/>
        <v>1</v>
      </c>
      <c r="M3" s="3">
        <f t="shared" si="1"/>
        <v>12</v>
      </c>
    </row>
    <row r="4" spans="1:13" ht="14.25" customHeight="1" x14ac:dyDescent="0.3">
      <c r="A4" s="1" t="s">
        <v>18</v>
      </c>
      <c r="B4" s="1" t="s">
        <v>13</v>
      </c>
      <c r="D4" s="1">
        <v>1</v>
      </c>
      <c r="H4" s="2" t="s">
        <v>19</v>
      </c>
      <c r="I4" s="3">
        <f t="shared" ref="I4:L4" si="3">SUM(C26+C14+C27+C62+C68+C124+C138+C142+C153+C155)</f>
        <v>10</v>
      </c>
      <c r="J4" s="3">
        <f t="shared" si="3"/>
        <v>0</v>
      </c>
      <c r="K4" s="3">
        <f t="shared" si="3"/>
        <v>0</v>
      </c>
      <c r="L4" s="3">
        <f t="shared" si="3"/>
        <v>0</v>
      </c>
      <c r="M4" s="3">
        <f t="shared" si="1"/>
        <v>10</v>
      </c>
    </row>
    <row r="5" spans="1:13" ht="14.25" customHeight="1" x14ac:dyDescent="0.3">
      <c r="A5" s="1" t="s">
        <v>20</v>
      </c>
      <c r="B5" s="1" t="s">
        <v>21</v>
      </c>
      <c r="E5" s="1">
        <v>1</v>
      </c>
      <c r="H5" s="2" t="s">
        <v>22</v>
      </c>
      <c r="I5" s="3">
        <f t="shared" ref="I5:L5" si="4">SUM(C5+C36+C56+C63+C73+C85+C87+C95+C135)</f>
        <v>0</v>
      </c>
      <c r="J5" s="3">
        <f t="shared" si="4"/>
        <v>0</v>
      </c>
      <c r="K5" s="3">
        <f t="shared" si="4"/>
        <v>8</v>
      </c>
      <c r="L5" s="3">
        <f t="shared" si="4"/>
        <v>1</v>
      </c>
      <c r="M5" s="3">
        <f t="shared" si="1"/>
        <v>9</v>
      </c>
    </row>
    <row r="6" spans="1:13" ht="14.25" customHeight="1" x14ac:dyDescent="0.3">
      <c r="A6" s="1" t="s">
        <v>23</v>
      </c>
      <c r="B6" s="1" t="s">
        <v>24</v>
      </c>
      <c r="C6" s="1">
        <v>1</v>
      </c>
      <c r="H6" s="2" t="s">
        <v>25</v>
      </c>
      <c r="I6" s="3">
        <f t="shared" ref="I6:L6" si="5">SUM(C12+C15+C18+C28+C41+C59+C78+C64+C82+C83+C86+C106+C119+C143+C148+C154)</f>
        <v>16</v>
      </c>
      <c r="J6" s="3">
        <f t="shared" si="5"/>
        <v>0</v>
      </c>
      <c r="K6" s="3">
        <f t="shared" si="5"/>
        <v>0</v>
      </c>
      <c r="L6" s="3">
        <f t="shared" si="5"/>
        <v>0</v>
      </c>
      <c r="M6" s="3">
        <f t="shared" si="1"/>
        <v>16</v>
      </c>
    </row>
    <row r="7" spans="1:13" ht="14.25" customHeight="1" x14ac:dyDescent="0.3">
      <c r="A7" s="1" t="s">
        <v>26</v>
      </c>
      <c r="B7" s="1" t="s">
        <v>27</v>
      </c>
      <c r="E7" s="1">
        <v>1</v>
      </c>
      <c r="H7" s="2" t="s">
        <v>28</v>
      </c>
      <c r="I7" s="3">
        <f t="shared" ref="I7:L7" si="6">SUM(C3+C20+C46+C49+C54+C89+C90+C102+C112+C114+C129+C141)</f>
        <v>4</v>
      </c>
      <c r="J7" s="3">
        <f t="shared" si="6"/>
        <v>3</v>
      </c>
      <c r="K7" s="3">
        <f t="shared" si="6"/>
        <v>5</v>
      </c>
      <c r="L7" s="3">
        <f t="shared" si="6"/>
        <v>0</v>
      </c>
      <c r="M7" s="3">
        <f t="shared" si="1"/>
        <v>12</v>
      </c>
    </row>
    <row r="8" spans="1:13" ht="14.25" customHeight="1" x14ac:dyDescent="0.3">
      <c r="A8" s="1" t="s">
        <v>29</v>
      </c>
      <c r="B8" s="1" t="s">
        <v>30</v>
      </c>
      <c r="D8" s="1">
        <v>1</v>
      </c>
      <c r="H8" s="2" t="s">
        <v>27</v>
      </c>
      <c r="I8" s="3">
        <f t="shared" ref="I8:L8" si="7">SUM(C7+C30+C29+C44+C51+C60+C72+C79+C101+C99+C107+C111+C117+C140+C144)</f>
        <v>7</v>
      </c>
      <c r="J8" s="3">
        <f t="shared" si="7"/>
        <v>7</v>
      </c>
      <c r="K8" s="3">
        <f t="shared" si="7"/>
        <v>1</v>
      </c>
      <c r="L8" s="3">
        <f t="shared" si="7"/>
        <v>0</v>
      </c>
      <c r="M8" s="3">
        <f t="shared" si="1"/>
        <v>15</v>
      </c>
    </row>
    <row r="9" spans="1:13" ht="14.25" customHeight="1" x14ac:dyDescent="0.3">
      <c r="A9" s="1" t="s">
        <v>31</v>
      </c>
      <c r="B9" s="1" t="s">
        <v>13</v>
      </c>
      <c r="E9" s="1">
        <v>1</v>
      </c>
      <c r="H9" s="2" t="s">
        <v>13</v>
      </c>
      <c r="I9" s="3">
        <f t="shared" ref="I9:J9" si="8">SUM(C4+C9+C17+C19+C2+C48+C92+C120+C126+C127+C130+C133+C151)</f>
        <v>1</v>
      </c>
      <c r="J9" s="3">
        <f t="shared" si="8"/>
        <v>9</v>
      </c>
      <c r="K9" s="3">
        <f>SUM(D4+D9+D17+D19+D2+D48+D92+D120+D126+D127+D130+D133+D151)</f>
        <v>9</v>
      </c>
      <c r="L9" s="3">
        <f>SUM(F4+F9+F17+F19+F2+F48+F92+F120+F126+F127+F130+F133+F151)</f>
        <v>0</v>
      </c>
      <c r="M9" s="3">
        <f t="shared" si="1"/>
        <v>19</v>
      </c>
    </row>
    <row r="10" spans="1:13" ht="14.25" customHeight="1" x14ac:dyDescent="0.3">
      <c r="A10" s="1" t="s">
        <v>32</v>
      </c>
      <c r="B10" s="1" t="s">
        <v>33</v>
      </c>
      <c r="C10" s="1">
        <v>1</v>
      </c>
      <c r="H10" s="2" t="s">
        <v>30</v>
      </c>
      <c r="I10" s="3">
        <f t="shared" ref="I10:L10" si="9">SUM(C8+C13+C16+C25+C31+C35+C43+C45+C70+C71+C75+C81+C88+C93+C98+C100+C104+C118+C136+C137+C156)</f>
        <v>0</v>
      </c>
      <c r="J10" s="3">
        <f t="shared" si="9"/>
        <v>21</v>
      </c>
      <c r="K10" s="3">
        <f t="shared" si="9"/>
        <v>0</v>
      </c>
      <c r="L10" s="3">
        <f t="shared" si="9"/>
        <v>0</v>
      </c>
      <c r="M10" s="3">
        <f t="shared" si="1"/>
        <v>21</v>
      </c>
    </row>
    <row r="11" spans="1:13" ht="14.25" customHeight="1" x14ac:dyDescent="0.3">
      <c r="A11" s="1" t="s">
        <v>34</v>
      </c>
      <c r="B11" s="1" t="s">
        <v>33</v>
      </c>
      <c r="C11" s="1">
        <v>1</v>
      </c>
      <c r="H11" s="2" t="s">
        <v>35</v>
      </c>
      <c r="I11" s="3">
        <f t="shared" ref="I11:L11" si="10">SUM(C38+C42+C47+C53+C74+C77+C80+C91+C97+C103+C108+C116+C131+C145+C147)</f>
        <v>0</v>
      </c>
      <c r="J11" s="3">
        <f t="shared" si="10"/>
        <v>11</v>
      </c>
      <c r="K11" s="3">
        <f t="shared" si="10"/>
        <v>4</v>
      </c>
      <c r="L11" s="3">
        <f t="shared" si="10"/>
        <v>0</v>
      </c>
      <c r="M11" s="3">
        <f t="shared" si="1"/>
        <v>15</v>
      </c>
    </row>
    <row r="12" spans="1:13" ht="14.25" customHeight="1" x14ac:dyDescent="0.3">
      <c r="A12" s="1" t="s">
        <v>36</v>
      </c>
      <c r="B12" s="1" t="s">
        <v>37</v>
      </c>
      <c r="C12" s="1">
        <v>1</v>
      </c>
      <c r="H12" s="2" t="s">
        <v>38</v>
      </c>
      <c r="I12" s="3">
        <f t="shared" ref="I12:L12" si="11">SUM(C21+C24+C34+C40+C67+C84+C132)</f>
        <v>0</v>
      </c>
      <c r="J12" s="3">
        <f t="shared" si="11"/>
        <v>5</v>
      </c>
      <c r="K12" s="3">
        <f t="shared" si="11"/>
        <v>2</v>
      </c>
      <c r="L12" s="3">
        <f t="shared" si="11"/>
        <v>0</v>
      </c>
      <c r="M12" s="3">
        <f t="shared" si="1"/>
        <v>7</v>
      </c>
    </row>
    <row r="13" spans="1:13" ht="14.25" customHeight="1" x14ac:dyDescent="0.3">
      <c r="A13" s="1" t="s">
        <v>39</v>
      </c>
      <c r="B13" s="1" t="s">
        <v>30</v>
      </c>
      <c r="D13" s="1">
        <v>1</v>
      </c>
      <c r="H13" s="2" t="s">
        <v>33</v>
      </c>
      <c r="I13" s="3">
        <f t="shared" ref="I13:L13" si="12">SUM(C10+C11+C57+C125+C149)</f>
        <v>4</v>
      </c>
      <c r="J13" s="3">
        <f t="shared" si="12"/>
        <v>1</v>
      </c>
      <c r="K13" s="3">
        <f t="shared" si="12"/>
        <v>0</v>
      </c>
      <c r="L13" s="3">
        <f t="shared" si="12"/>
        <v>0</v>
      </c>
      <c r="M13" s="3">
        <f t="shared" si="1"/>
        <v>5</v>
      </c>
    </row>
    <row r="14" spans="1:13" ht="14.25" customHeight="1" x14ac:dyDescent="0.3">
      <c r="A14" s="1" t="s">
        <v>40</v>
      </c>
      <c r="B14" s="1" t="s">
        <v>19</v>
      </c>
      <c r="C14" s="1">
        <v>1</v>
      </c>
      <c r="I14" s="4"/>
      <c r="J14" s="4"/>
      <c r="K14" s="4"/>
      <c r="L14" s="4"/>
    </row>
    <row r="15" spans="1:13" ht="14.25" customHeight="1" x14ac:dyDescent="0.3">
      <c r="A15" s="1" t="s">
        <v>41</v>
      </c>
      <c r="B15" s="1" t="s">
        <v>42</v>
      </c>
      <c r="C15" s="1">
        <v>1</v>
      </c>
      <c r="I15" s="4"/>
      <c r="J15" s="4"/>
      <c r="K15" s="4"/>
      <c r="L15" s="4"/>
    </row>
    <row r="16" spans="1:13" ht="14.25" customHeight="1" x14ac:dyDescent="0.3">
      <c r="A16" s="1" t="s">
        <v>43</v>
      </c>
      <c r="B16" s="1" t="s">
        <v>30</v>
      </c>
      <c r="D16" s="1">
        <v>1</v>
      </c>
      <c r="I16" s="4"/>
      <c r="J16" s="4"/>
      <c r="K16" s="4"/>
      <c r="L16" s="4"/>
    </row>
    <row r="17" spans="1:12" ht="14.25" customHeight="1" x14ac:dyDescent="0.3">
      <c r="A17" s="1" t="s">
        <v>44</v>
      </c>
      <c r="B17" s="1" t="s">
        <v>13</v>
      </c>
      <c r="D17" s="1">
        <v>1</v>
      </c>
      <c r="I17" s="4"/>
      <c r="J17" s="4"/>
      <c r="K17" s="4"/>
      <c r="L17" s="4"/>
    </row>
    <row r="18" spans="1:12" ht="14.25" customHeight="1" x14ac:dyDescent="0.3">
      <c r="A18" s="1" t="s">
        <v>45</v>
      </c>
      <c r="B18" s="1" t="s">
        <v>37</v>
      </c>
      <c r="C18" s="1">
        <v>1</v>
      </c>
      <c r="I18" s="4"/>
      <c r="J18" s="4"/>
      <c r="K18" s="4"/>
      <c r="L18" s="4"/>
    </row>
    <row r="19" spans="1:12" ht="14.25" customHeight="1" x14ac:dyDescent="0.3">
      <c r="A19" s="1" t="s">
        <v>46</v>
      </c>
      <c r="B19" s="1" t="s">
        <v>13</v>
      </c>
      <c r="D19" s="1">
        <v>1</v>
      </c>
    </row>
    <row r="20" spans="1:12" ht="14.25" customHeight="1" x14ac:dyDescent="0.3">
      <c r="A20" s="1" t="s">
        <v>47</v>
      </c>
      <c r="B20" s="1" t="s">
        <v>16</v>
      </c>
      <c r="D20" s="1">
        <v>1</v>
      </c>
    </row>
    <row r="21" spans="1:12" ht="14.25" customHeight="1" x14ac:dyDescent="0.3">
      <c r="A21" s="1" t="s">
        <v>48</v>
      </c>
      <c r="B21" s="1" t="s">
        <v>38</v>
      </c>
      <c r="D21" s="1">
        <v>1</v>
      </c>
    </row>
    <row r="22" spans="1:12" ht="14.25" customHeight="1" x14ac:dyDescent="0.3">
      <c r="A22" s="1" t="s">
        <v>49</v>
      </c>
      <c r="B22" s="1" t="s">
        <v>14</v>
      </c>
      <c r="C22" s="1">
        <v>1</v>
      </c>
    </row>
    <row r="23" spans="1:12" ht="14.25" customHeight="1" x14ac:dyDescent="0.3">
      <c r="A23" s="1" t="s">
        <v>50</v>
      </c>
      <c r="B23" s="1" t="s">
        <v>13</v>
      </c>
      <c r="D23" s="1">
        <v>1</v>
      </c>
    </row>
    <row r="24" spans="1:12" ht="14.25" customHeight="1" x14ac:dyDescent="0.3">
      <c r="A24" s="1" t="s">
        <v>51</v>
      </c>
      <c r="B24" s="1" t="s">
        <v>38</v>
      </c>
      <c r="D24" s="1">
        <v>1</v>
      </c>
    </row>
    <row r="25" spans="1:12" ht="14.25" customHeight="1" x14ac:dyDescent="0.3">
      <c r="A25" s="1" t="s">
        <v>52</v>
      </c>
      <c r="B25" s="1" t="s">
        <v>30</v>
      </c>
      <c r="D25" s="1">
        <v>1</v>
      </c>
    </row>
    <row r="26" spans="1:12" ht="14.25" customHeight="1" x14ac:dyDescent="0.3">
      <c r="A26" s="1" t="s">
        <v>53</v>
      </c>
      <c r="B26" s="1" t="s">
        <v>19</v>
      </c>
      <c r="C26" s="1">
        <v>1</v>
      </c>
    </row>
    <row r="27" spans="1:12" ht="14.25" customHeight="1" x14ac:dyDescent="0.3">
      <c r="A27" s="1" t="s">
        <v>54</v>
      </c>
      <c r="B27" s="1" t="s">
        <v>19</v>
      </c>
      <c r="C27" s="1">
        <v>1</v>
      </c>
    </row>
    <row r="28" spans="1:12" ht="14.25" customHeight="1" x14ac:dyDescent="0.3">
      <c r="A28" s="1" t="s">
        <v>55</v>
      </c>
      <c r="B28" s="1" t="s">
        <v>37</v>
      </c>
      <c r="C28" s="1">
        <v>1</v>
      </c>
    </row>
    <row r="29" spans="1:12" ht="14.25" customHeight="1" x14ac:dyDescent="0.3">
      <c r="A29" s="1" t="s">
        <v>56</v>
      </c>
      <c r="B29" s="1" t="s">
        <v>27</v>
      </c>
      <c r="C29" s="1">
        <v>1</v>
      </c>
    </row>
    <row r="30" spans="1:12" ht="14.25" customHeight="1" x14ac:dyDescent="0.3">
      <c r="A30" s="1" t="s">
        <v>57</v>
      </c>
      <c r="B30" s="1" t="s">
        <v>27</v>
      </c>
      <c r="D30" s="1">
        <v>1</v>
      </c>
    </row>
    <row r="31" spans="1:12" ht="14.25" customHeight="1" x14ac:dyDescent="0.3">
      <c r="A31" s="1" t="s">
        <v>58</v>
      </c>
      <c r="B31" s="1" t="s">
        <v>30</v>
      </c>
      <c r="D31" s="1">
        <v>1</v>
      </c>
    </row>
    <row r="32" spans="1:12" ht="14.25" customHeight="1" x14ac:dyDescent="0.3">
      <c r="A32" s="1" t="s">
        <v>59</v>
      </c>
      <c r="B32" s="1" t="s">
        <v>24</v>
      </c>
      <c r="D32" s="1">
        <v>1</v>
      </c>
    </row>
    <row r="33" spans="1:12" ht="14.25" customHeight="1" x14ac:dyDescent="0.3">
      <c r="A33" s="1" t="s">
        <v>60</v>
      </c>
      <c r="B33" s="1" t="s">
        <v>27</v>
      </c>
      <c r="D33" s="1">
        <v>1</v>
      </c>
    </row>
    <row r="34" spans="1:12" ht="14.25" customHeight="1" x14ac:dyDescent="0.3">
      <c r="A34" s="1" t="s">
        <v>61</v>
      </c>
      <c r="B34" s="1" t="s">
        <v>38</v>
      </c>
      <c r="D34" s="1">
        <v>1</v>
      </c>
    </row>
    <row r="35" spans="1:12" ht="14.25" customHeight="1" x14ac:dyDescent="0.3">
      <c r="A35" s="1" t="s">
        <v>62</v>
      </c>
      <c r="B35" s="1" t="s">
        <v>30</v>
      </c>
      <c r="D35" s="1">
        <v>1</v>
      </c>
    </row>
    <row r="36" spans="1:12" ht="14.25" customHeight="1" x14ac:dyDescent="0.3">
      <c r="A36" s="1" t="s">
        <v>63</v>
      </c>
      <c r="B36" s="1" t="s">
        <v>21</v>
      </c>
      <c r="E36" s="1">
        <v>1</v>
      </c>
    </row>
    <row r="37" spans="1:12" ht="14.25" customHeight="1" x14ac:dyDescent="0.3">
      <c r="A37" s="1" t="s">
        <v>64</v>
      </c>
      <c r="B37" s="1" t="s">
        <v>14</v>
      </c>
      <c r="E37" s="1">
        <v>1</v>
      </c>
    </row>
    <row r="38" spans="1:12" ht="14.25" customHeight="1" x14ac:dyDescent="0.3">
      <c r="A38" s="1" t="s">
        <v>65</v>
      </c>
      <c r="B38" s="1" t="s">
        <v>66</v>
      </c>
      <c r="D38" s="1">
        <v>1</v>
      </c>
    </row>
    <row r="39" spans="1:12" ht="14.25" customHeight="1" x14ac:dyDescent="0.3">
      <c r="A39" s="1" t="s">
        <v>67</v>
      </c>
      <c r="B39" s="1" t="s">
        <v>16</v>
      </c>
      <c r="C39" s="1">
        <v>1</v>
      </c>
    </row>
    <row r="40" spans="1:12" ht="14.25" customHeight="1" x14ac:dyDescent="0.3">
      <c r="A40" s="1" t="s">
        <v>68</v>
      </c>
      <c r="B40" s="1" t="s">
        <v>38</v>
      </c>
      <c r="E40" s="1">
        <v>1</v>
      </c>
    </row>
    <row r="41" spans="1:12" ht="14.25" customHeight="1" x14ac:dyDescent="0.3">
      <c r="A41" s="1" t="s">
        <v>69</v>
      </c>
      <c r="B41" s="1" t="s">
        <v>37</v>
      </c>
      <c r="C41" s="1">
        <v>1</v>
      </c>
    </row>
    <row r="42" spans="1:12" ht="14.25" customHeight="1" x14ac:dyDescent="0.3">
      <c r="A42" s="1" t="s">
        <v>70</v>
      </c>
      <c r="B42" s="1" t="s">
        <v>66</v>
      </c>
      <c r="D42" s="1">
        <v>1</v>
      </c>
    </row>
    <row r="43" spans="1:12" ht="14.25" customHeight="1" x14ac:dyDescent="0.3">
      <c r="A43" s="1" t="s">
        <v>71</v>
      </c>
      <c r="B43" s="1" t="s">
        <v>30</v>
      </c>
      <c r="D43" s="1">
        <v>1</v>
      </c>
    </row>
    <row r="44" spans="1:12" ht="14.25" customHeight="1" x14ac:dyDescent="0.3">
      <c r="A44" s="1" t="s">
        <v>72</v>
      </c>
      <c r="B44" s="1" t="s">
        <v>27</v>
      </c>
      <c r="C44" s="1">
        <v>1</v>
      </c>
    </row>
    <row r="45" spans="1:12" ht="14.25" customHeight="1" x14ac:dyDescent="0.3">
      <c r="A45" s="1" t="s">
        <v>73</v>
      </c>
      <c r="B45" s="1" t="s">
        <v>30</v>
      </c>
      <c r="D45" s="1">
        <v>1</v>
      </c>
      <c r="H45" s="1" t="s">
        <v>6</v>
      </c>
      <c r="I45" s="1" t="s">
        <v>7</v>
      </c>
      <c r="J45" s="1" t="s">
        <v>8</v>
      </c>
      <c r="K45" s="1" t="s">
        <v>9</v>
      </c>
      <c r="L45" s="1" t="s">
        <v>10</v>
      </c>
    </row>
    <row r="46" spans="1:12" ht="14.25" customHeight="1" x14ac:dyDescent="0.3">
      <c r="A46" s="1" t="s">
        <v>74</v>
      </c>
      <c r="B46" s="1" t="s">
        <v>16</v>
      </c>
      <c r="D46" s="1">
        <v>1</v>
      </c>
      <c r="H46" s="2" t="s">
        <v>14</v>
      </c>
      <c r="I46" s="4">
        <f t="shared" ref="I46:I57" si="13">I2/M2</f>
        <v>0.81818181818181823</v>
      </c>
      <c r="J46" s="4">
        <f t="shared" ref="J46:J57" si="14">J2/M2</f>
        <v>0</v>
      </c>
      <c r="K46" s="4">
        <f t="shared" ref="K46:K57" si="15">K2/M2</f>
        <v>9.0909090909090912E-2</v>
      </c>
      <c r="L46" s="4">
        <f t="shared" ref="L46:L57" si="16">L2/M2</f>
        <v>9.0909090909090912E-2</v>
      </c>
    </row>
    <row r="47" spans="1:12" ht="14.25" customHeight="1" x14ac:dyDescent="0.3">
      <c r="A47" s="1" t="s">
        <v>75</v>
      </c>
      <c r="B47" s="1" t="s">
        <v>66</v>
      </c>
      <c r="E47" s="1">
        <v>1</v>
      </c>
      <c r="H47" s="2" t="s">
        <v>17</v>
      </c>
      <c r="I47" s="4">
        <f t="shared" si="13"/>
        <v>0.41666666666666669</v>
      </c>
      <c r="J47" s="4">
        <f t="shared" si="14"/>
        <v>0.5</v>
      </c>
      <c r="K47" s="4">
        <f t="shared" si="15"/>
        <v>0</v>
      </c>
      <c r="L47" s="4">
        <f t="shared" si="16"/>
        <v>8.3333333333333329E-2</v>
      </c>
    </row>
    <row r="48" spans="1:12" ht="14.25" customHeight="1" x14ac:dyDescent="0.3">
      <c r="A48" s="1" t="s">
        <v>76</v>
      </c>
      <c r="B48" s="1" t="s">
        <v>13</v>
      </c>
      <c r="D48" s="1">
        <v>1</v>
      </c>
      <c r="H48" s="2" t="s">
        <v>19</v>
      </c>
      <c r="I48" s="4">
        <f t="shared" si="13"/>
        <v>1</v>
      </c>
      <c r="J48" s="4">
        <f t="shared" si="14"/>
        <v>0</v>
      </c>
      <c r="K48" s="4">
        <f t="shared" si="15"/>
        <v>0</v>
      </c>
      <c r="L48" s="4">
        <f t="shared" si="16"/>
        <v>0</v>
      </c>
    </row>
    <row r="49" spans="1:12" ht="14.25" customHeight="1" x14ac:dyDescent="0.3">
      <c r="A49" s="1" t="s">
        <v>77</v>
      </c>
      <c r="B49" s="1" t="s">
        <v>16</v>
      </c>
      <c r="C49" s="1">
        <v>1</v>
      </c>
      <c r="H49" s="2" t="s">
        <v>22</v>
      </c>
      <c r="I49" s="4">
        <f t="shared" si="13"/>
        <v>0</v>
      </c>
      <c r="J49" s="4">
        <f t="shared" si="14"/>
        <v>0</v>
      </c>
      <c r="K49" s="4">
        <f t="shared" si="15"/>
        <v>0.88888888888888884</v>
      </c>
      <c r="L49" s="4">
        <f t="shared" si="16"/>
        <v>0.1111111111111111</v>
      </c>
    </row>
    <row r="50" spans="1:12" ht="14.25" customHeight="1" x14ac:dyDescent="0.3">
      <c r="A50" s="1" t="s">
        <v>78</v>
      </c>
      <c r="B50" s="1" t="s">
        <v>24</v>
      </c>
      <c r="D50" s="1">
        <v>1</v>
      </c>
      <c r="H50" s="2" t="s">
        <v>25</v>
      </c>
      <c r="I50" s="4">
        <f t="shared" si="13"/>
        <v>1</v>
      </c>
      <c r="J50" s="4">
        <f t="shared" si="14"/>
        <v>0</v>
      </c>
      <c r="K50" s="4">
        <f t="shared" si="15"/>
        <v>0</v>
      </c>
      <c r="L50" s="4">
        <f t="shared" si="16"/>
        <v>0</v>
      </c>
    </row>
    <row r="51" spans="1:12" ht="14.25" customHeight="1" x14ac:dyDescent="0.3">
      <c r="A51" s="1" t="s">
        <v>79</v>
      </c>
      <c r="B51" s="1" t="s">
        <v>27</v>
      </c>
      <c r="C51" s="1">
        <v>1</v>
      </c>
      <c r="H51" s="2" t="s">
        <v>28</v>
      </c>
      <c r="I51" s="4">
        <f t="shared" si="13"/>
        <v>0.33333333333333331</v>
      </c>
      <c r="J51" s="4">
        <f t="shared" si="14"/>
        <v>0.25</v>
      </c>
      <c r="K51" s="4">
        <f t="shared" si="15"/>
        <v>0.41666666666666669</v>
      </c>
      <c r="L51" s="4">
        <f t="shared" si="16"/>
        <v>0</v>
      </c>
    </row>
    <row r="52" spans="1:12" ht="14.25" customHeight="1" x14ac:dyDescent="0.3">
      <c r="A52" s="1" t="s">
        <v>80</v>
      </c>
      <c r="B52" s="1" t="s">
        <v>24</v>
      </c>
      <c r="D52" s="1">
        <v>1</v>
      </c>
      <c r="H52" s="2" t="s">
        <v>27</v>
      </c>
      <c r="I52" s="4">
        <f t="shared" si="13"/>
        <v>0.46666666666666667</v>
      </c>
      <c r="J52" s="4">
        <f t="shared" si="14"/>
        <v>0.46666666666666667</v>
      </c>
      <c r="K52" s="4">
        <f t="shared" si="15"/>
        <v>6.6666666666666666E-2</v>
      </c>
      <c r="L52" s="4">
        <f t="shared" si="16"/>
        <v>0</v>
      </c>
    </row>
    <row r="53" spans="1:12" ht="14.25" customHeight="1" x14ac:dyDescent="0.3">
      <c r="A53" s="1" t="s">
        <v>81</v>
      </c>
      <c r="B53" s="1" t="s">
        <v>66</v>
      </c>
      <c r="D53" s="1">
        <v>1</v>
      </c>
      <c r="H53" s="2" t="s">
        <v>13</v>
      </c>
      <c r="I53" s="4">
        <f t="shared" si="13"/>
        <v>5.2631578947368418E-2</v>
      </c>
      <c r="J53" s="4">
        <f t="shared" si="14"/>
        <v>0.47368421052631576</v>
      </c>
      <c r="K53" s="4">
        <f t="shared" si="15"/>
        <v>0.47368421052631576</v>
      </c>
      <c r="L53" s="4">
        <f t="shared" si="16"/>
        <v>0</v>
      </c>
    </row>
    <row r="54" spans="1:12" ht="14.25" customHeight="1" x14ac:dyDescent="0.3">
      <c r="A54" s="1" t="s">
        <v>82</v>
      </c>
      <c r="B54" s="1" t="s">
        <v>16</v>
      </c>
      <c r="E54" s="1">
        <v>1</v>
      </c>
      <c r="H54" s="2" t="s">
        <v>30</v>
      </c>
      <c r="I54" s="4">
        <f t="shared" si="13"/>
        <v>0</v>
      </c>
      <c r="J54" s="4">
        <f t="shared" si="14"/>
        <v>1</v>
      </c>
      <c r="K54" s="4">
        <f t="shared" si="15"/>
        <v>0</v>
      </c>
      <c r="L54" s="4">
        <f t="shared" si="16"/>
        <v>0</v>
      </c>
    </row>
    <row r="55" spans="1:12" ht="14.25" customHeight="1" x14ac:dyDescent="0.3">
      <c r="A55" s="1" t="s">
        <v>83</v>
      </c>
      <c r="B55" s="1" t="s">
        <v>14</v>
      </c>
      <c r="C55" s="1">
        <v>1</v>
      </c>
      <c r="H55" s="2" t="s">
        <v>35</v>
      </c>
      <c r="I55" s="4">
        <f t="shared" si="13"/>
        <v>0</v>
      </c>
      <c r="J55" s="4">
        <f t="shared" si="14"/>
        <v>0.73333333333333328</v>
      </c>
      <c r="K55" s="4">
        <f t="shared" si="15"/>
        <v>0.26666666666666666</v>
      </c>
      <c r="L55" s="4">
        <f t="shared" si="16"/>
        <v>0</v>
      </c>
    </row>
    <row r="56" spans="1:12" ht="14.25" customHeight="1" x14ac:dyDescent="0.3">
      <c r="A56" s="1" t="s">
        <v>84</v>
      </c>
      <c r="B56" s="1" t="s">
        <v>21</v>
      </c>
      <c r="E56" s="1">
        <v>1</v>
      </c>
      <c r="H56" s="2" t="s">
        <v>38</v>
      </c>
      <c r="I56" s="4">
        <f t="shared" si="13"/>
        <v>0</v>
      </c>
      <c r="J56" s="4">
        <f t="shared" si="14"/>
        <v>0.7142857142857143</v>
      </c>
      <c r="K56" s="4">
        <f t="shared" si="15"/>
        <v>0.2857142857142857</v>
      </c>
      <c r="L56" s="4">
        <f t="shared" si="16"/>
        <v>0</v>
      </c>
    </row>
    <row r="57" spans="1:12" ht="14.25" customHeight="1" x14ac:dyDescent="0.3">
      <c r="A57" s="1" t="s">
        <v>85</v>
      </c>
      <c r="B57" s="1" t="s">
        <v>33</v>
      </c>
      <c r="D57" s="1">
        <v>1</v>
      </c>
      <c r="H57" s="2" t="s">
        <v>33</v>
      </c>
      <c r="I57" s="4">
        <f t="shared" si="13"/>
        <v>0.8</v>
      </c>
      <c r="J57" s="4">
        <f t="shared" si="14"/>
        <v>0.2</v>
      </c>
      <c r="K57" s="4">
        <f t="shared" si="15"/>
        <v>0</v>
      </c>
      <c r="L57" s="4">
        <f t="shared" si="16"/>
        <v>0</v>
      </c>
    </row>
    <row r="58" spans="1:12" ht="14.25" customHeight="1" x14ac:dyDescent="0.3">
      <c r="A58" s="1" t="s">
        <v>86</v>
      </c>
      <c r="B58" s="1" t="s">
        <v>24</v>
      </c>
      <c r="D58" s="1">
        <v>1</v>
      </c>
    </row>
    <row r="59" spans="1:12" ht="14.25" customHeight="1" x14ac:dyDescent="0.3">
      <c r="A59" s="1" t="s">
        <v>87</v>
      </c>
      <c r="B59" s="1" t="s">
        <v>37</v>
      </c>
      <c r="C59" s="1">
        <v>1</v>
      </c>
    </row>
    <row r="60" spans="1:12" ht="14.25" customHeight="1" x14ac:dyDescent="0.3">
      <c r="A60" s="1" t="s">
        <v>88</v>
      </c>
      <c r="B60" s="1" t="s">
        <v>27</v>
      </c>
      <c r="C60" s="1">
        <v>1</v>
      </c>
    </row>
    <row r="61" spans="1:12" ht="14.25" customHeight="1" x14ac:dyDescent="0.3">
      <c r="A61" s="1" t="s">
        <v>89</v>
      </c>
      <c r="B61" s="1" t="s">
        <v>13</v>
      </c>
      <c r="E61" s="1">
        <v>1</v>
      </c>
    </row>
    <row r="62" spans="1:12" ht="14.25" customHeight="1" x14ac:dyDescent="0.3">
      <c r="A62" s="1" t="s">
        <v>90</v>
      </c>
      <c r="B62" s="1" t="s">
        <v>19</v>
      </c>
      <c r="C62" s="1">
        <v>1</v>
      </c>
    </row>
    <row r="63" spans="1:12" ht="14.25" customHeight="1" x14ac:dyDescent="0.3">
      <c r="A63" s="1" t="s">
        <v>91</v>
      </c>
      <c r="B63" s="1" t="s">
        <v>21</v>
      </c>
      <c r="F63" s="1">
        <v>1</v>
      </c>
    </row>
    <row r="64" spans="1:12" ht="14.25" customHeight="1" x14ac:dyDescent="0.3">
      <c r="A64" s="1" t="s">
        <v>92</v>
      </c>
      <c r="B64" s="1" t="s">
        <v>42</v>
      </c>
      <c r="C64" s="1">
        <v>1</v>
      </c>
    </row>
    <row r="65" spans="1:5" ht="14.25" customHeight="1" x14ac:dyDescent="0.3">
      <c r="A65" s="1" t="s">
        <v>93</v>
      </c>
      <c r="B65" s="1" t="s">
        <v>14</v>
      </c>
      <c r="C65" s="1">
        <v>1</v>
      </c>
    </row>
    <row r="66" spans="1:5" ht="14.25" customHeight="1" x14ac:dyDescent="0.3">
      <c r="A66" s="1" t="s">
        <v>94</v>
      </c>
      <c r="B66" s="1" t="s">
        <v>14</v>
      </c>
      <c r="C66" s="1">
        <v>1</v>
      </c>
    </row>
    <row r="67" spans="1:5" ht="14.25" customHeight="1" x14ac:dyDescent="0.3">
      <c r="A67" s="1" t="s">
        <v>95</v>
      </c>
      <c r="B67" s="1" t="s">
        <v>38</v>
      </c>
      <c r="D67" s="1">
        <v>1</v>
      </c>
    </row>
    <row r="68" spans="1:5" ht="14.25" customHeight="1" x14ac:dyDescent="0.3">
      <c r="A68" s="1" t="s">
        <v>96</v>
      </c>
      <c r="B68" s="1" t="s">
        <v>19</v>
      </c>
      <c r="C68" s="1">
        <v>1</v>
      </c>
    </row>
    <row r="69" spans="1:5" ht="14.25" customHeight="1" x14ac:dyDescent="0.3">
      <c r="A69" s="1" t="s">
        <v>97</v>
      </c>
      <c r="B69" s="1" t="s">
        <v>24</v>
      </c>
      <c r="C69" s="1">
        <v>1</v>
      </c>
    </row>
    <row r="70" spans="1:5" ht="14.25" customHeight="1" x14ac:dyDescent="0.3">
      <c r="A70" s="1" t="s">
        <v>98</v>
      </c>
      <c r="B70" s="1" t="s">
        <v>30</v>
      </c>
      <c r="D70" s="1">
        <v>1</v>
      </c>
    </row>
    <row r="71" spans="1:5" ht="14.25" customHeight="1" x14ac:dyDescent="0.3">
      <c r="A71" s="1" t="s">
        <v>99</v>
      </c>
      <c r="B71" s="1" t="s">
        <v>30</v>
      </c>
      <c r="D71" s="1">
        <v>1</v>
      </c>
    </row>
    <row r="72" spans="1:5" ht="14.25" customHeight="1" x14ac:dyDescent="0.3">
      <c r="A72" s="1" t="s">
        <v>100</v>
      </c>
      <c r="B72" s="1" t="s">
        <v>27</v>
      </c>
      <c r="D72" s="1">
        <v>1</v>
      </c>
    </row>
    <row r="73" spans="1:5" ht="14.25" customHeight="1" x14ac:dyDescent="0.3">
      <c r="A73" s="1" t="s">
        <v>101</v>
      </c>
      <c r="B73" s="1" t="s">
        <v>21</v>
      </c>
      <c r="E73" s="1">
        <v>1</v>
      </c>
    </row>
    <row r="74" spans="1:5" ht="14.25" customHeight="1" x14ac:dyDescent="0.3">
      <c r="A74" s="1" t="s">
        <v>102</v>
      </c>
      <c r="B74" s="1" t="s">
        <v>66</v>
      </c>
      <c r="D74" s="1">
        <v>1</v>
      </c>
    </row>
    <row r="75" spans="1:5" ht="14.25" customHeight="1" x14ac:dyDescent="0.3">
      <c r="A75" s="1" t="s">
        <v>103</v>
      </c>
      <c r="B75" s="1" t="s">
        <v>30</v>
      </c>
      <c r="D75" s="1">
        <v>1</v>
      </c>
    </row>
    <row r="76" spans="1:5" ht="14.25" customHeight="1" x14ac:dyDescent="0.3">
      <c r="A76" s="1" t="s">
        <v>104</v>
      </c>
      <c r="B76" s="1" t="s">
        <v>24</v>
      </c>
      <c r="C76" s="1">
        <v>1</v>
      </c>
    </row>
    <row r="77" spans="1:5" ht="14.25" customHeight="1" x14ac:dyDescent="0.3">
      <c r="A77" s="1" t="s">
        <v>105</v>
      </c>
      <c r="B77" s="1" t="s">
        <v>66</v>
      </c>
      <c r="E77" s="1">
        <v>1</v>
      </c>
    </row>
    <row r="78" spans="1:5" ht="14.25" customHeight="1" x14ac:dyDescent="0.3">
      <c r="A78" s="1" t="s">
        <v>106</v>
      </c>
      <c r="B78" s="1" t="s">
        <v>42</v>
      </c>
      <c r="C78" s="1">
        <v>1</v>
      </c>
    </row>
    <row r="79" spans="1:5" ht="14.25" customHeight="1" x14ac:dyDescent="0.3">
      <c r="A79" s="1" t="s">
        <v>107</v>
      </c>
      <c r="B79" s="1" t="s">
        <v>27</v>
      </c>
      <c r="D79" s="1">
        <v>1</v>
      </c>
    </row>
    <row r="80" spans="1:5" ht="14.25" customHeight="1" x14ac:dyDescent="0.3">
      <c r="A80" s="1" t="s">
        <v>108</v>
      </c>
      <c r="B80" s="1" t="s">
        <v>66</v>
      </c>
      <c r="D80" s="1">
        <v>1</v>
      </c>
    </row>
    <row r="81" spans="1:5" ht="14.25" customHeight="1" x14ac:dyDescent="0.3">
      <c r="A81" s="1" t="s">
        <v>109</v>
      </c>
      <c r="B81" s="1" t="s">
        <v>30</v>
      </c>
      <c r="D81" s="1">
        <v>1</v>
      </c>
    </row>
    <row r="82" spans="1:5" ht="14.25" customHeight="1" x14ac:dyDescent="0.3">
      <c r="A82" s="1" t="s">
        <v>110</v>
      </c>
      <c r="B82" s="1" t="s">
        <v>37</v>
      </c>
      <c r="C82" s="1">
        <v>1</v>
      </c>
    </row>
    <row r="83" spans="1:5" ht="14.25" customHeight="1" x14ac:dyDescent="0.3">
      <c r="A83" s="1" t="s">
        <v>111</v>
      </c>
      <c r="B83" s="1" t="s">
        <v>37</v>
      </c>
      <c r="C83" s="1">
        <v>1</v>
      </c>
    </row>
    <row r="84" spans="1:5" ht="14.25" customHeight="1" x14ac:dyDescent="0.3">
      <c r="A84" s="1" t="s">
        <v>112</v>
      </c>
      <c r="B84" s="1" t="s">
        <v>38</v>
      </c>
      <c r="D84" s="1">
        <v>1</v>
      </c>
    </row>
    <row r="85" spans="1:5" ht="14.25" customHeight="1" x14ac:dyDescent="0.3">
      <c r="A85" s="1" t="s">
        <v>113</v>
      </c>
      <c r="B85" s="1" t="s">
        <v>21</v>
      </c>
      <c r="E85" s="1">
        <v>1</v>
      </c>
    </row>
    <row r="86" spans="1:5" ht="14.25" customHeight="1" x14ac:dyDescent="0.3">
      <c r="A86" s="1" t="s">
        <v>114</v>
      </c>
      <c r="B86" s="1" t="s">
        <v>42</v>
      </c>
      <c r="C86" s="1">
        <v>1</v>
      </c>
    </row>
    <row r="87" spans="1:5" ht="14.25" customHeight="1" x14ac:dyDescent="0.3">
      <c r="A87" s="1" t="s">
        <v>115</v>
      </c>
      <c r="B87" s="1" t="s">
        <v>21</v>
      </c>
      <c r="E87" s="1">
        <v>1</v>
      </c>
    </row>
    <row r="88" spans="1:5" ht="14.25" customHeight="1" x14ac:dyDescent="0.3">
      <c r="A88" s="1" t="s">
        <v>116</v>
      </c>
      <c r="B88" s="1" t="s">
        <v>30</v>
      </c>
      <c r="D88" s="1">
        <v>1</v>
      </c>
    </row>
    <row r="89" spans="1:5" ht="14.25" customHeight="1" x14ac:dyDescent="0.3">
      <c r="A89" s="1" t="s">
        <v>117</v>
      </c>
      <c r="B89" s="1" t="s">
        <v>16</v>
      </c>
      <c r="C89" s="1">
        <v>1</v>
      </c>
    </row>
    <row r="90" spans="1:5" ht="14.25" customHeight="1" x14ac:dyDescent="0.3">
      <c r="A90" s="1" t="s">
        <v>118</v>
      </c>
      <c r="B90" s="1" t="s">
        <v>16</v>
      </c>
      <c r="E90" s="1">
        <v>1</v>
      </c>
    </row>
    <row r="91" spans="1:5" ht="14.25" customHeight="1" x14ac:dyDescent="0.3">
      <c r="A91" s="1" t="s">
        <v>119</v>
      </c>
      <c r="B91" s="1" t="s">
        <v>66</v>
      </c>
      <c r="D91" s="1">
        <v>1</v>
      </c>
    </row>
    <row r="92" spans="1:5" ht="14.25" customHeight="1" x14ac:dyDescent="0.3">
      <c r="A92" s="1" t="s">
        <v>120</v>
      </c>
      <c r="B92" s="1" t="s">
        <v>13</v>
      </c>
      <c r="E92" s="1">
        <v>1</v>
      </c>
    </row>
    <row r="93" spans="1:5" ht="14.25" customHeight="1" x14ac:dyDescent="0.3">
      <c r="A93" s="1" t="s">
        <v>121</v>
      </c>
      <c r="B93" s="1" t="s">
        <v>30</v>
      </c>
      <c r="D93" s="1">
        <v>1</v>
      </c>
    </row>
    <row r="94" spans="1:5" ht="14.25" customHeight="1" x14ac:dyDescent="0.3">
      <c r="A94" s="1" t="s">
        <v>122</v>
      </c>
      <c r="B94" s="1" t="s">
        <v>24</v>
      </c>
      <c r="D94" s="1">
        <v>1</v>
      </c>
    </row>
    <row r="95" spans="1:5" ht="14.25" customHeight="1" x14ac:dyDescent="0.3">
      <c r="A95" s="1" t="s">
        <v>123</v>
      </c>
      <c r="B95" s="1" t="s">
        <v>21</v>
      </c>
      <c r="E95" s="1">
        <v>1</v>
      </c>
    </row>
    <row r="96" spans="1:5" ht="14.25" customHeight="1" x14ac:dyDescent="0.3">
      <c r="A96" s="1" t="s">
        <v>124</v>
      </c>
      <c r="B96" s="1" t="s">
        <v>14</v>
      </c>
      <c r="C96" s="1">
        <v>1</v>
      </c>
    </row>
    <row r="97" spans="1:5" ht="14.25" customHeight="1" x14ac:dyDescent="0.3">
      <c r="A97" s="1" t="s">
        <v>125</v>
      </c>
      <c r="B97" s="1" t="s">
        <v>66</v>
      </c>
      <c r="D97" s="1">
        <v>1</v>
      </c>
    </row>
    <row r="98" spans="1:5" ht="14.25" customHeight="1" x14ac:dyDescent="0.3">
      <c r="A98" s="1" t="s">
        <v>126</v>
      </c>
      <c r="B98" s="1" t="s">
        <v>30</v>
      </c>
      <c r="D98" s="1">
        <v>1</v>
      </c>
    </row>
    <row r="99" spans="1:5" ht="14.25" customHeight="1" x14ac:dyDescent="0.3">
      <c r="A99" s="1" t="s">
        <v>127</v>
      </c>
      <c r="B99" s="1" t="s">
        <v>27</v>
      </c>
      <c r="D99" s="1">
        <v>1</v>
      </c>
    </row>
    <row r="100" spans="1:5" ht="14.25" customHeight="1" x14ac:dyDescent="0.3">
      <c r="A100" s="1" t="s">
        <v>128</v>
      </c>
      <c r="B100" s="1" t="s">
        <v>30</v>
      </c>
      <c r="D100" s="1">
        <v>1</v>
      </c>
    </row>
    <row r="101" spans="1:5" ht="14.25" customHeight="1" x14ac:dyDescent="0.3">
      <c r="A101" s="1" t="s">
        <v>129</v>
      </c>
      <c r="B101" s="1" t="s">
        <v>27</v>
      </c>
      <c r="D101" s="1">
        <v>1</v>
      </c>
    </row>
    <row r="102" spans="1:5" ht="14.25" customHeight="1" x14ac:dyDescent="0.3">
      <c r="A102" s="1" t="s">
        <v>130</v>
      </c>
      <c r="B102" s="1" t="s">
        <v>16</v>
      </c>
      <c r="E102" s="1">
        <v>1</v>
      </c>
    </row>
    <row r="103" spans="1:5" ht="14.25" customHeight="1" x14ac:dyDescent="0.3">
      <c r="A103" s="1" t="s">
        <v>131</v>
      </c>
      <c r="B103" s="1" t="s">
        <v>66</v>
      </c>
      <c r="D103" s="1">
        <v>1</v>
      </c>
    </row>
    <row r="104" spans="1:5" ht="14.25" customHeight="1" x14ac:dyDescent="0.3">
      <c r="A104" s="1" t="s">
        <v>132</v>
      </c>
      <c r="B104" s="1" t="s">
        <v>30</v>
      </c>
      <c r="D104" s="1">
        <v>1</v>
      </c>
    </row>
    <row r="105" spans="1:5" ht="14.25" customHeight="1" x14ac:dyDescent="0.3">
      <c r="A105" s="1" t="s">
        <v>133</v>
      </c>
      <c r="B105" s="1" t="s">
        <v>14</v>
      </c>
      <c r="C105" s="1">
        <v>1</v>
      </c>
    </row>
    <row r="106" spans="1:5" ht="14.25" customHeight="1" x14ac:dyDescent="0.3">
      <c r="A106" s="1" t="s">
        <v>134</v>
      </c>
      <c r="B106" s="1" t="s">
        <v>42</v>
      </c>
      <c r="C106" s="1">
        <v>1</v>
      </c>
    </row>
    <row r="107" spans="1:5" ht="14.25" customHeight="1" x14ac:dyDescent="0.3">
      <c r="A107" s="1" t="s">
        <v>135</v>
      </c>
      <c r="B107" s="1" t="s">
        <v>27</v>
      </c>
      <c r="D107" s="1">
        <v>1</v>
      </c>
    </row>
    <row r="108" spans="1:5" ht="14.25" customHeight="1" x14ac:dyDescent="0.3">
      <c r="A108" s="1" t="s">
        <v>136</v>
      </c>
      <c r="B108" s="1" t="s">
        <v>66</v>
      </c>
      <c r="E108" s="1">
        <v>1</v>
      </c>
    </row>
    <row r="109" spans="1:5" ht="14.25" customHeight="1" x14ac:dyDescent="0.3">
      <c r="A109" s="1" t="s">
        <v>137</v>
      </c>
      <c r="B109" s="1" t="s">
        <v>13</v>
      </c>
      <c r="D109" s="1">
        <v>1</v>
      </c>
    </row>
    <row r="110" spans="1:5" ht="14.25" customHeight="1" x14ac:dyDescent="0.3">
      <c r="A110" s="1" t="s">
        <v>138</v>
      </c>
      <c r="B110" s="1" t="s">
        <v>42</v>
      </c>
      <c r="C110" s="1">
        <v>1</v>
      </c>
    </row>
    <row r="111" spans="1:5" ht="14.25" customHeight="1" x14ac:dyDescent="0.3">
      <c r="A111" s="1" t="s">
        <v>139</v>
      </c>
      <c r="B111" s="1" t="s">
        <v>27</v>
      </c>
      <c r="C111" s="1">
        <v>1</v>
      </c>
    </row>
    <row r="112" spans="1:5" ht="14.25" customHeight="1" x14ac:dyDescent="0.3">
      <c r="A112" s="1" t="s">
        <v>140</v>
      </c>
      <c r="B112" s="1" t="s">
        <v>16</v>
      </c>
      <c r="E112" s="1">
        <v>1</v>
      </c>
    </row>
    <row r="113" spans="1:6" ht="14.25" customHeight="1" x14ac:dyDescent="0.3">
      <c r="A113" s="1" t="s">
        <v>141</v>
      </c>
      <c r="B113" s="1" t="s">
        <v>14</v>
      </c>
      <c r="C113" s="1">
        <v>1</v>
      </c>
    </row>
    <row r="114" spans="1:6" ht="14.25" customHeight="1" x14ac:dyDescent="0.3">
      <c r="A114" s="1" t="s">
        <v>142</v>
      </c>
      <c r="B114" s="1" t="s">
        <v>16</v>
      </c>
      <c r="D114" s="1">
        <v>1</v>
      </c>
    </row>
    <row r="115" spans="1:6" ht="14.25" customHeight="1" x14ac:dyDescent="0.3">
      <c r="A115" s="1" t="s">
        <v>143</v>
      </c>
      <c r="B115" s="1" t="s">
        <v>24</v>
      </c>
      <c r="D115" s="1">
        <v>1</v>
      </c>
    </row>
    <row r="116" spans="1:6" ht="14.25" customHeight="1" x14ac:dyDescent="0.3">
      <c r="A116" s="1" t="s">
        <v>144</v>
      </c>
      <c r="B116" s="1" t="s">
        <v>66</v>
      </c>
      <c r="D116" s="1">
        <v>1</v>
      </c>
    </row>
    <row r="117" spans="1:6" ht="14.25" customHeight="1" x14ac:dyDescent="0.3">
      <c r="A117" s="1" t="s">
        <v>145</v>
      </c>
      <c r="B117" s="1" t="s">
        <v>27</v>
      </c>
      <c r="C117" s="1">
        <v>1</v>
      </c>
    </row>
    <row r="118" spans="1:6" ht="14.25" customHeight="1" x14ac:dyDescent="0.3">
      <c r="A118" s="1" t="s">
        <v>146</v>
      </c>
      <c r="B118" s="1" t="s">
        <v>30</v>
      </c>
      <c r="D118" s="1">
        <v>1</v>
      </c>
    </row>
    <row r="119" spans="1:6" ht="14.25" customHeight="1" x14ac:dyDescent="0.3">
      <c r="A119" s="1" t="s">
        <v>147</v>
      </c>
      <c r="B119" s="1" t="s">
        <v>42</v>
      </c>
      <c r="C119" s="1">
        <v>1</v>
      </c>
    </row>
    <row r="120" spans="1:6" ht="14.25" customHeight="1" x14ac:dyDescent="0.3">
      <c r="A120" s="1" t="s">
        <v>148</v>
      </c>
      <c r="B120" s="1" t="s">
        <v>13</v>
      </c>
      <c r="E120" s="1">
        <v>1</v>
      </c>
    </row>
    <row r="121" spans="1:6" ht="14.25" customHeight="1" x14ac:dyDescent="0.3">
      <c r="A121" s="1" t="s">
        <v>149</v>
      </c>
      <c r="B121" s="1" t="s">
        <v>150</v>
      </c>
      <c r="F121" s="1">
        <v>1</v>
      </c>
    </row>
    <row r="122" spans="1:6" ht="14.25" customHeight="1" x14ac:dyDescent="0.3">
      <c r="A122" s="1" t="s">
        <v>151</v>
      </c>
      <c r="B122" s="1" t="s">
        <v>24</v>
      </c>
      <c r="C122" s="1">
        <v>1</v>
      </c>
    </row>
    <row r="123" spans="1:6" ht="14.25" customHeight="1" x14ac:dyDescent="0.3">
      <c r="A123" s="1" t="s">
        <v>152</v>
      </c>
      <c r="B123" s="1" t="s">
        <v>24</v>
      </c>
      <c r="F123" s="1">
        <v>1</v>
      </c>
    </row>
    <row r="124" spans="1:6" ht="14.25" customHeight="1" x14ac:dyDescent="0.3">
      <c r="A124" s="1" t="s">
        <v>153</v>
      </c>
      <c r="B124" s="1" t="s">
        <v>19</v>
      </c>
      <c r="C124" s="1">
        <v>1</v>
      </c>
    </row>
    <row r="125" spans="1:6" ht="14.25" customHeight="1" x14ac:dyDescent="0.3">
      <c r="A125" s="1" t="s">
        <v>154</v>
      </c>
      <c r="B125" s="1" t="s">
        <v>33</v>
      </c>
      <c r="C125" s="1">
        <v>1</v>
      </c>
    </row>
    <row r="126" spans="1:6" ht="14.25" customHeight="1" x14ac:dyDescent="0.3">
      <c r="A126" s="1" t="s">
        <v>155</v>
      </c>
      <c r="B126" s="1" t="s">
        <v>13</v>
      </c>
      <c r="D126" s="1">
        <v>1</v>
      </c>
    </row>
    <row r="127" spans="1:6" ht="14.25" customHeight="1" x14ac:dyDescent="0.3">
      <c r="A127" s="1" t="s">
        <v>156</v>
      </c>
      <c r="B127" s="1" t="s">
        <v>13</v>
      </c>
      <c r="D127" s="1">
        <v>1</v>
      </c>
    </row>
    <row r="128" spans="1:6" ht="14.25" customHeight="1" x14ac:dyDescent="0.3">
      <c r="A128" s="1" t="s">
        <v>157</v>
      </c>
      <c r="B128" s="1" t="s">
        <v>14</v>
      </c>
      <c r="F128" s="1">
        <v>1</v>
      </c>
    </row>
    <row r="129" spans="1:5" ht="14.25" customHeight="1" x14ac:dyDescent="0.3">
      <c r="A129" s="1" t="s">
        <v>158</v>
      </c>
      <c r="B129" s="1" t="s">
        <v>16</v>
      </c>
      <c r="C129" s="1">
        <v>1</v>
      </c>
    </row>
    <row r="130" spans="1:5" ht="14.25" customHeight="1" x14ac:dyDescent="0.3">
      <c r="A130" s="1" t="s">
        <v>159</v>
      </c>
      <c r="B130" s="1" t="s">
        <v>13</v>
      </c>
      <c r="C130" s="1">
        <v>1</v>
      </c>
    </row>
    <row r="131" spans="1:5" ht="14.25" customHeight="1" x14ac:dyDescent="0.3">
      <c r="A131" s="1" t="s">
        <v>160</v>
      </c>
      <c r="B131" s="1" t="s">
        <v>66</v>
      </c>
      <c r="E131" s="1">
        <v>1</v>
      </c>
    </row>
    <row r="132" spans="1:5" ht="14.25" customHeight="1" x14ac:dyDescent="0.3">
      <c r="A132" s="1" t="s">
        <v>161</v>
      </c>
      <c r="B132" s="1" t="s">
        <v>38</v>
      </c>
      <c r="E132" s="1">
        <v>1</v>
      </c>
    </row>
    <row r="133" spans="1:5" ht="14.25" customHeight="1" x14ac:dyDescent="0.3">
      <c r="A133" s="1" t="s">
        <v>162</v>
      </c>
      <c r="B133" s="1" t="s">
        <v>13</v>
      </c>
      <c r="D133" s="1">
        <v>1</v>
      </c>
    </row>
    <row r="134" spans="1:5" ht="14.25" customHeight="1" x14ac:dyDescent="0.3">
      <c r="A134" s="1" t="s">
        <v>163</v>
      </c>
      <c r="B134" s="1" t="s">
        <v>66</v>
      </c>
      <c r="D134" s="1">
        <v>1</v>
      </c>
    </row>
    <row r="135" spans="1:5" ht="14.25" customHeight="1" x14ac:dyDescent="0.3">
      <c r="A135" s="1" t="s">
        <v>164</v>
      </c>
      <c r="B135" s="1" t="s">
        <v>21</v>
      </c>
      <c r="E135" s="1">
        <v>1</v>
      </c>
    </row>
    <row r="136" spans="1:5" ht="14.25" customHeight="1" x14ac:dyDescent="0.3">
      <c r="A136" s="1" t="s">
        <v>165</v>
      </c>
      <c r="B136" s="1" t="s">
        <v>30</v>
      </c>
      <c r="D136" s="1">
        <v>1</v>
      </c>
    </row>
    <row r="137" spans="1:5" ht="14.25" customHeight="1" x14ac:dyDescent="0.3">
      <c r="A137" s="1" t="s">
        <v>166</v>
      </c>
      <c r="B137" s="1" t="s">
        <v>30</v>
      </c>
      <c r="D137" s="1">
        <v>1</v>
      </c>
    </row>
    <row r="138" spans="1:5" ht="14.25" customHeight="1" x14ac:dyDescent="0.3">
      <c r="A138" s="1" t="s">
        <v>167</v>
      </c>
      <c r="B138" s="1" t="s">
        <v>19</v>
      </c>
      <c r="C138" s="1">
        <v>1</v>
      </c>
    </row>
    <row r="139" spans="1:5" ht="14.25" customHeight="1" x14ac:dyDescent="0.3">
      <c r="A139" s="1" t="s">
        <v>168</v>
      </c>
      <c r="B139" s="1" t="s">
        <v>13</v>
      </c>
      <c r="D139" s="1">
        <v>1</v>
      </c>
    </row>
    <row r="140" spans="1:5" ht="14.25" customHeight="1" x14ac:dyDescent="0.3">
      <c r="A140" s="1" t="s">
        <v>169</v>
      </c>
      <c r="B140" s="1" t="s">
        <v>27</v>
      </c>
      <c r="D140" s="1">
        <v>1</v>
      </c>
    </row>
    <row r="141" spans="1:5" ht="14.25" customHeight="1" x14ac:dyDescent="0.3">
      <c r="A141" s="1" t="s">
        <v>170</v>
      </c>
      <c r="B141" s="1" t="s">
        <v>16</v>
      </c>
      <c r="E141" s="1">
        <v>1</v>
      </c>
    </row>
    <row r="142" spans="1:5" ht="14.25" customHeight="1" x14ac:dyDescent="0.3">
      <c r="A142" s="1" t="s">
        <v>171</v>
      </c>
      <c r="B142" s="1" t="s">
        <v>19</v>
      </c>
      <c r="C142" s="1">
        <v>1</v>
      </c>
    </row>
    <row r="143" spans="1:5" ht="14.25" customHeight="1" x14ac:dyDescent="0.3">
      <c r="A143" s="1" t="s">
        <v>172</v>
      </c>
      <c r="B143" s="1" t="s">
        <v>37</v>
      </c>
      <c r="C143" s="1">
        <v>1</v>
      </c>
    </row>
    <row r="144" spans="1:5" ht="14.25" customHeight="1" x14ac:dyDescent="0.3">
      <c r="A144" s="1" t="s">
        <v>173</v>
      </c>
      <c r="B144" s="1" t="s">
        <v>27</v>
      </c>
      <c r="C144" s="1">
        <v>1</v>
      </c>
    </row>
    <row r="145" spans="1:4" ht="14.25" customHeight="1" x14ac:dyDescent="0.3">
      <c r="A145" s="1" t="s">
        <v>174</v>
      </c>
      <c r="B145" s="1" t="s">
        <v>66</v>
      </c>
      <c r="D145" s="1">
        <v>1</v>
      </c>
    </row>
    <row r="146" spans="1:4" ht="14.25" customHeight="1" x14ac:dyDescent="0.3">
      <c r="A146" s="1" t="s">
        <v>175</v>
      </c>
      <c r="B146" s="1" t="s">
        <v>14</v>
      </c>
      <c r="C146" s="1">
        <v>1</v>
      </c>
    </row>
    <row r="147" spans="1:4" ht="14.25" customHeight="1" x14ac:dyDescent="0.3">
      <c r="A147" s="1" t="s">
        <v>176</v>
      </c>
      <c r="B147" s="1" t="s">
        <v>66</v>
      </c>
      <c r="D147" s="1">
        <v>1</v>
      </c>
    </row>
    <row r="148" spans="1:4" ht="14.25" customHeight="1" x14ac:dyDescent="0.3">
      <c r="A148" s="1" t="s">
        <v>177</v>
      </c>
      <c r="B148" s="1" t="s">
        <v>42</v>
      </c>
      <c r="C148" s="1">
        <v>1</v>
      </c>
    </row>
    <row r="149" spans="1:4" ht="14.25" customHeight="1" x14ac:dyDescent="0.3">
      <c r="A149" s="1" t="s">
        <v>178</v>
      </c>
      <c r="B149" s="1" t="s">
        <v>33</v>
      </c>
      <c r="C149" s="1">
        <v>1</v>
      </c>
    </row>
    <row r="150" spans="1:4" ht="14.25" customHeight="1" x14ac:dyDescent="0.3">
      <c r="A150" s="1" t="s">
        <v>179</v>
      </c>
      <c r="B150" s="1" t="s">
        <v>14</v>
      </c>
      <c r="C150" s="1">
        <v>1</v>
      </c>
    </row>
    <row r="151" spans="1:4" ht="14.25" customHeight="1" x14ac:dyDescent="0.3">
      <c r="A151" s="1" t="s">
        <v>180</v>
      </c>
      <c r="B151" s="1" t="s">
        <v>13</v>
      </c>
      <c r="D151" s="1">
        <v>1</v>
      </c>
    </row>
    <row r="152" spans="1:4" ht="14.25" customHeight="1" x14ac:dyDescent="0.3">
      <c r="A152" s="1" t="s">
        <v>181</v>
      </c>
      <c r="B152" s="1" t="s">
        <v>24</v>
      </c>
      <c r="C152" s="1">
        <v>1</v>
      </c>
    </row>
    <row r="153" spans="1:4" ht="14.25" customHeight="1" x14ac:dyDescent="0.3">
      <c r="A153" s="1" t="s">
        <v>182</v>
      </c>
      <c r="B153" s="1" t="s">
        <v>19</v>
      </c>
      <c r="C153" s="1">
        <v>1</v>
      </c>
    </row>
    <row r="154" spans="1:4" ht="14.25" customHeight="1" x14ac:dyDescent="0.3">
      <c r="A154" s="1" t="s">
        <v>183</v>
      </c>
      <c r="B154" s="1" t="s">
        <v>42</v>
      </c>
      <c r="C154" s="1">
        <v>1</v>
      </c>
    </row>
    <row r="155" spans="1:4" ht="14.25" customHeight="1" x14ac:dyDescent="0.3">
      <c r="A155" s="1" t="s">
        <v>184</v>
      </c>
      <c r="B155" s="1" t="s">
        <v>19</v>
      </c>
      <c r="C155" s="1">
        <v>1</v>
      </c>
    </row>
    <row r="156" spans="1:4" ht="14.25" customHeight="1" x14ac:dyDescent="0.3">
      <c r="A156" s="1" t="s">
        <v>185</v>
      </c>
      <c r="B156" s="1" t="s">
        <v>30</v>
      </c>
      <c r="D156" s="1">
        <v>1</v>
      </c>
    </row>
    <row r="157" spans="1:4" ht="14.25" customHeight="1" x14ac:dyDescent="0.3"/>
    <row r="158" spans="1:4" ht="14.25" customHeight="1" x14ac:dyDescent="0.3"/>
    <row r="159" spans="1:4" ht="14.25" customHeight="1" x14ac:dyDescent="0.3"/>
    <row r="160" spans="1:4" ht="14.25" customHeight="1" x14ac:dyDescent="0.3"/>
    <row r="161" s="1" customFormat="1" ht="14.25" customHeight="1" x14ac:dyDescent="0.3"/>
    <row r="162" s="1" customFormat="1" ht="14.25" customHeight="1" x14ac:dyDescent="0.3"/>
    <row r="163" s="1" customFormat="1" ht="14.25" customHeight="1" x14ac:dyDescent="0.3"/>
    <row r="164" s="1" customFormat="1" ht="14.25" customHeight="1" x14ac:dyDescent="0.3"/>
    <row r="165" s="1" customFormat="1" ht="14.25" customHeight="1" x14ac:dyDescent="0.3"/>
    <row r="166" s="1" customFormat="1" ht="14.25" customHeight="1" x14ac:dyDescent="0.3"/>
    <row r="167" s="1" customFormat="1" ht="14.25" customHeight="1" x14ac:dyDescent="0.3"/>
    <row r="168" s="1" customFormat="1" ht="14.25" customHeight="1" x14ac:dyDescent="0.3"/>
    <row r="169" s="1" customFormat="1" ht="14.25" customHeight="1" x14ac:dyDescent="0.3"/>
    <row r="170" s="1" customFormat="1" ht="14.25" customHeight="1" x14ac:dyDescent="0.3"/>
    <row r="171" s="1" customFormat="1" ht="14.25" customHeight="1" x14ac:dyDescent="0.3"/>
    <row r="172" s="1" customFormat="1" ht="14.25" customHeight="1" x14ac:dyDescent="0.3"/>
    <row r="173" s="1" customFormat="1" ht="14.25" customHeight="1" x14ac:dyDescent="0.3"/>
    <row r="174" s="1" customFormat="1" ht="14.25" customHeight="1" x14ac:dyDescent="0.3"/>
    <row r="175" s="1" customFormat="1" ht="14.25" customHeight="1" x14ac:dyDescent="0.3"/>
    <row r="176" s="1" customFormat="1" ht="14.25" customHeight="1" x14ac:dyDescent="0.3"/>
    <row r="177" s="1" customFormat="1" ht="14.25" customHeight="1" x14ac:dyDescent="0.3"/>
    <row r="178" s="1" customFormat="1" ht="14.25" customHeight="1" x14ac:dyDescent="0.3"/>
    <row r="179" s="1" customFormat="1" ht="14.25" customHeight="1" x14ac:dyDescent="0.3"/>
    <row r="180" s="1" customFormat="1" ht="14.25" customHeight="1" x14ac:dyDescent="0.3"/>
    <row r="181" s="1" customFormat="1" ht="14.25" customHeight="1" x14ac:dyDescent="0.3"/>
    <row r="182" s="1" customFormat="1" ht="14.25" customHeight="1" x14ac:dyDescent="0.3"/>
    <row r="183" s="1" customFormat="1" ht="14.25" customHeight="1" x14ac:dyDescent="0.3"/>
    <row r="184" s="1" customFormat="1" ht="14.25" customHeight="1" x14ac:dyDescent="0.3"/>
    <row r="185" s="1" customFormat="1" ht="14.25" customHeight="1" x14ac:dyDescent="0.3"/>
    <row r="186" s="1" customFormat="1" ht="14.25" customHeight="1" x14ac:dyDescent="0.3"/>
    <row r="187" s="1" customFormat="1" ht="14.25" customHeight="1" x14ac:dyDescent="0.3"/>
    <row r="188" s="1" customFormat="1" ht="14.25" customHeight="1" x14ac:dyDescent="0.3"/>
    <row r="189" s="1" customFormat="1" ht="14.25" customHeight="1" x14ac:dyDescent="0.3"/>
    <row r="190" s="1" customFormat="1" ht="14.25" customHeight="1" x14ac:dyDescent="0.3"/>
    <row r="191" s="1" customFormat="1" ht="14.25" customHeight="1" x14ac:dyDescent="0.3"/>
    <row r="192" s="1" customFormat="1" ht="14.25" customHeight="1" x14ac:dyDescent="0.3"/>
    <row r="193" s="1" customFormat="1" ht="14.25" customHeight="1" x14ac:dyDescent="0.3"/>
    <row r="194" s="1" customFormat="1" ht="14.25" customHeight="1" x14ac:dyDescent="0.3"/>
    <row r="195" s="1" customFormat="1" ht="14.25" customHeight="1" x14ac:dyDescent="0.3"/>
    <row r="196" s="1" customFormat="1" ht="14.25" customHeight="1" x14ac:dyDescent="0.3"/>
    <row r="197" s="1" customFormat="1" ht="14.25" customHeight="1" x14ac:dyDescent="0.3"/>
    <row r="198" s="1" customFormat="1" ht="14.25" customHeight="1" x14ac:dyDescent="0.3"/>
    <row r="199" s="1" customFormat="1" ht="14.25" customHeight="1" x14ac:dyDescent="0.3"/>
    <row r="200" s="1" customFormat="1" ht="14.25" customHeight="1" x14ac:dyDescent="0.3"/>
    <row r="201" s="1" customFormat="1" ht="14.25" customHeight="1" x14ac:dyDescent="0.3"/>
    <row r="202" s="1" customFormat="1" ht="14.25" customHeight="1" x14ac:dyDescent="0.3"/>
    <row r="203" s="1" customFormat="1" ht="14.25" customHeight="1" x14ac:dyDescent="0.3"/>
    <row r="204" s="1" customFormat="1" ht="14.25" customHeight="1" x14ac:dyDescent="0.3"/>
    <row r="205" s="1" customFormat="1" ht="14.25" customHeight="1" x14ac:dyDescent="0.3"/>
    <row r="206" s="1" customFormat="1" ht="14.25" customHeight="1" x14ac:dyDescent="0.3"/>
    <row r="207" s="1" customFormat="1" ht="14.25" customHeight="1" x14ac:dyDescent="0.3"/>
    <row r="208" s="1" customFormat="1" ht="14.25" customHeight="1" x14ac:dyDescent="0.3"/>
    <row r="209" s="1" customFormat="1" ht="14.25" customHeight="1" x14ac:dyDescent="0.3"/>
    <row r="210" s="1" customFormat="1" ht="14.25" customHeight="1" x14ac:dyDescent="0.3"/>
    <row r="211" s="1" customFormat="1" ht="14.25" customHeight="1" x14ac:dyDescent="0.3"/>
    <row r="212" s="1" customFormat="1" ht="14.25" customHeight="1" x14ac:dyDescent="0.3"/>
    <row r="213" s="1" customFormat="1" ht="14.25" customHeight="1" x14ac:dyDescent="0.3"/>
    <row r="214" s="1" customFormat="1" ht="14.25" customHeight="1" x14ac:dyDescent="0.3"/>
    <row r="215" s="1" customFormat="1" ht="14.25" customHeight="1" x14ac:dyDescent="0.3"/>
    <row r="216" s="1" customFormat="1" ht="14.25" customHeight="1" x14ac:dyDescent="0.3"/>
    <row r="217" s="1" customFormat="1" ht="14.25" customHeight="1" x14ac:dyDescent="0.3"/>
    <row r="218" s="1" customFormat="1" ht="14.25" customHeight="1" x14ac:dyDescent="0.3"/>
    <row r="219" s="1" customFormat="1" ht="14.25" customHeight="1" x14ac:dyDescent="0.3"/>
    <row r="220" s="1" customFormat="1" ht="14.25" customHeight="1" x14ac:dyDescent="0.3"/>
    <row r="221" s="1" customFormat="1" ht="14.25" customHeight="1" x14ac:dyDescent="0.3"/>
    <row r="222" s="1" customFormat="1" ht="14.25" customHeight="1" x14ac:dyDescent="0.3"/>
    <row r="223" s="1" customFormat="1" ht="14.25" customHeight="1" x14ac:dyDescent="0.3"/>
    <row r="224" s="1" customFormat="1" ht="14.25" customHeight="1" x14ac:dyDescent="0.3"/>
    <row r="225" s="1" customFormat="1" ht="14.25" customHeight="1" x14ac:dyDescent="0.3"/>
    <row r="226" s="1" customFormat="1" ht="14.25" customHeight="1" x14ac:dyDescent="0.3"/>
    <row r="227" s="1" customFormat="1" ht="14.25" customHeight="1" x14ac:dyDescent="0.3"/>
    <row r="228" s="1" customFormat="1" ht="14.25" customHeight="1" x14ac:dyDescent="0.3"/>
    <row r="229" s="1" customFormat="1" ht="14.25" customHeight="1" x14ac:dyDescent="0.3"/>
    <row r="230" s="1" customFormat="1" ht="14.25" customHeight="1" x14ac:dyDescent="0.3"/>
    <row r="231" s="1" customFormat="1" ht="14.25" customHeight="1" x14ac:dyDescent="0.3"/>
    <row r="232" s="1" customFormat="1" ht="14.25" customHeight="1" x14ac:dyDescent="0.3"/>
    <row r="233" s="1" customFormat="1" ht="14.25" customHeight="1" x14ac:dyDescent="0.3"/>
    <row r="234" s="1" customFormat="1" ht="14.25" customHeight="1" x14ac:dyDescent="0.3"/>
    <row r="235" s="1" customFormat="1" ht="14.25" customHeight="1" x14ac:dyDescent="0.3"/>
    <row r="236" s="1" customFormat="1" ht="14.25" customHeight="1" x14ac:dyDescent="0.3"/>
    <row r="237" s="1" customFormat="1" ht="14.25" customHeight="1" x14ac:dyDescent="0.3"/>
    <row r="238" s="1" customFormat="1" ht="14.25" customHeight="1" x14ac:dyDescent="0.3"/>
    <row r="239" s="1" customFormat="1" ht="14.25" customHeight="1" x14ac:dyDescent="0.3"/>
    <row r="240" s="1" customFormat="1" ht="14.25" customHeight="1" x14ac:dyDescent="0.3"/>
    <row r="241" s="1" customFormat="1" ht="14.25" customHeight="1" x14ac:dyDescent="0.3"/>
    <row r="242" s="1" customFormat="1" ht="14.25" customHeight="1" x14ac:dyDescent="0.3"/>
    <row r="243" s="1" customFormat="1" ht="14.25" customHeight="1" x14ac:dyDescent="0.3"/>
    <row r="244" s="1" customFormat="1" ht="14.25" customHeight="1" x14ac:dyDescent="0.3"/>
    <row r="245" s="1" customFormat="1" ht="14.25" customHeight="1" x14ac:dyDescent="0.3"/>
    <row r="246" s="1" customFormat="1" ht="14.25" customHeight="1" x14ac:dyDescent="0.3"/>
    <row r="247" s="1" customFormat="1" ht="14.25" customHeight="1" x14ac:dyDescent="0.3"/>
    <row r="248" s="1" customFormat="1" ht="14.25" customHeight="1" x14ac:dyDescent="0.3"/>
    <row r="249" s="1" customFormat="1" ht="14.25" customHeight="1" x14ac:dyDescent="0.3"/>
    <row r="250" s="1" customFormat="1" ht="14.25" customHeight="1" x14ac:dyDescent="0.3"/>
    <row r="251" s="1" customFormat="1" ht="14.25" customHeight="1" x14ac:dyDescent="0.3"/>
    <row r="252" s="1" customFormat="1" ht="14.25" customHeight="1" x14ac:dyDescent="0.3"/>
    <row r="253" s="1" customFormat="1" ht="14.25" customHeight="1" x14ac:dyDescent="0.3"/>
    <row r="254" s="1" customFormat="1" ht="14.25" customHeight="1" x14ac:dyDescent="0.3"/>
    <row r="255" s="1" customFormat="1" ht="14.25" customHeight="1" x14ac:dyDescent="0.3"/>
    <row r="256" s="1" customFormat="1" ht="14.25" customHeight="1" x14ac:dyDescent="0.3"/>
    <row r="257" s="1" customFormat="1" ht="14.25" customHeight="1" x14ac:dyDescent="0.3"/>
    <row r="258" s="1" customFormat="1" ht="14.25" customHeight="1" x14ac:dyDescent="0.3"/>
    <row r="259" s="1" customFormat="1" ht="14.25" customHeight="1" x14ac:dyDescent="0.3"/>
    <row r="260" s="1" customFormat="1" ht="14.25" customHeight="1" x14ac:dyDescent="0.3"/>
    <row r="261" s="1" customFormat="1" ht="14.25" customHeight="1" x14ac:dyDescent="0.3"/>
    <row r="262" s="1" customFormat="1" ht="14.25" customHeight="1" x14ac:dyDescent="0.3"/>
    <row r="263" s="1" customFormat="1" ht="14.25" customHeight="1" x14ac:dyDescent="0.3"/>
    <row r="264" s="1" customFormat="1" ht="14.25" customHeight="1" x14ac:dyDescent="0.3"/>
    <row r="265" s="1" customFormat="1" ht="14.25" customHeight="1" x14ac:dyDescent="0.3"/>
    <row r="266" s="1" customFormat="1" ht="14.25" customHeight="1" x14ac:dyDescent="0.3"/>
    <row r="267" s="1" customFormat="1" ht="14.25" customHeight="1" x14ac:dyDescent="0.3"/>
    <row r="268" s="1" customFormat="1" ht="14.25" customHeight="1" x14ac:dyDescent="0.3"/>
    <row r="269" s="1" customFormat="1" ht="14.25" customHeight="1" x14ac:dyDescent="0.3"/>
    <row r="270" s="1" customFormat="1" ht="14.25" customHeight="1" x14ac:dyDescent="0.3"/>
    <row r="271" s="1" customFormat="1" ht="14.25" customHeight="1" x14ac:dyDescent="0.3"/>
    <row r="272" s="1" customFormat="1" ht="14.25" customHeight="1" x14ac:dyDescent="0.3"/>
    <row r="273" s="1" customFormat="1" ht="14.25" customHeight="1" x14ac:dyDescent="0.3"/>
    <row r="274" s="1" customFormat="1" ht="14.25" customHeight="1" x14ac:dyDescent="0.3"/>
    <row r="275" s="1" customFormat="1" ht="14.25" customHeight="1" x14ac:dyDescent="0.3"/>
    <row r="276" s="1" customFormat="1" ht="14.25" customHeight="1" x14ac:dyDescent="0.3"/>
    <row r="277" s="1" customFormat="1" ht="14.25" customHeight="1" x14ac:dyDescent="0.3"/>
    <row r="278" s="1" customFormat="1" ht="14.25" customHeight="1" x14ac:dyDescent="0.3"/>
    <row r="279" s="1" customFormat="1" ht="14.25" customHeight="1" x14ac:dyDescent="0.3"/>
    <row r="280" s="1" customFormat="1" ht="14.25" customHeight="1" x14ac:dyDescent="0.3"/>
    <row r="281" s="1" customFormat="1" ht="14.25" customHeight="1" x14ac:dyDescent="0.3"/>
    <row r="282" s="1" customFormat="1" ht="14.25" customHeight="1" x14ac:dyDescent="0.3"/>
    <row r="283" s="1" customFormat="1" ht="14.25" customHeight="1" x14ac:dyDescent="0.3"/>
    <row r="284" s="1" customFormat="1" ht="14.25" customHeight="1" x14ac:dyDescent="0.3"/>
    <row r="285" s="1" customFormat="1" ht="14.25" customHeight="1" x14ac:dyDescent="0.3"/>
    <row r="286" s="1" customFormat="1" ht="14.25" customHeight="1" x14ac:dyDescent="0.3"/>
    <row r="287" s="1" customFormat="1" ht="14.25" customHeight="1" x14ac:dyDescent="0.3"/>
    <row r="288" s="1" customFormat="1" ht="14.25" customHeight="1" x14ac:dyDescent="0.3"/>
    <row r="289" s="1" customFormat="1" ht="14.25" customHeight="1" x14ac:dyDescent="0.3"/>
    <row r="290" s="1" customFormat="1" ht="14.25" customHeight="1" x14ac:dyDescent="0.3"/>
    <row r="291" s="1" customFormat="1" ht="14.25" customHeight="1" x14ac:dyDescent="0.3"/>
    <row r="292" s="1" customFormat="1" ht="14.25" customHeight="1" x14ac:dyDescent="0.3"/>
    <row r="293" s="1" customFormat="1" ht="14.25" customHeight="1" x14ac:dyDescent="0.3"/>
    <row r="294" s="1" customFormat="1" ht="14.25" customHeight="1" x14ac:dyDescent="0.3"/>
    <row r="295" s="1" customFormat="1" ht="14.25" customHeight="1" x14ac:dyDescent="0.3"/>
    <row r="296" s="1" customFormat="1" ht="14.25" customHeight="1" x14ac:dyDescent="0.3"/>
    <row r="297" s="1" customFormat="1" ht="14.25" customHeight="1" x14ac:dyDescent="0.3"/>
    <row r="298" s="1" customFormat="1" ht="14.25" customHeight="1" x14ac:dyDescent="0.3"/>
    <row r="299" s="1" customFormat="1" ht="14.25" customHeight="1" x14ac:dyDescent="0.3"/>
    <row r="300" s="1" customFormat="1" ht="14.25" customHeight="1" x14ac:dyDescent="0.3"/>
    <row r="301" s="1" customFormat="1" ht="14.25" customHeight="1" x14ac:dyDescent="0.3"/>
    <row r="302" s="1" customFormat="1" ht="14.25" customHeight="1" x14ac:dyDescent="0.3"/>
    <row r="303" s="1" customFormat="1" ht="14.25" customHeight="1" x14ac:dyDescent="0.3"/>
    <row r="304" s="1" customFormat="1" ht="14.25" customHeight="1" x14ac:dyDescent="0.3"/>
    <row r="305" s="1" customFormat="1" ht="14.25" customHeight="1" x14ac:dyDescent="0.3"/>
    <row r="306" s="1" customFormat="1" ht="14.25" customHeight="1" x14ac:dyDescent="0.3"/>
    <row r="307" s="1" customFormat="1" ht="14.25" customHeight="1" x14ac:dyDescent="0.3"/>
    <row r="308" s="1" customFormat="1" ht="14.25" customHeight="1" x14ac:dyDescent="0.3"/>
    <row r="309" s="1" customFormat="1" ht="14.25" customHeight="1" x14ac:dyDescent="0.3"/>
    <row r="310" s="1" customFormat="1" ht="14.25" customHeight="1" x14ac:dyDescent="0.3"/>
    <row r="311" s="1" customFormat="1" ht="14.25" customHeight="1" x14ac:dyDescent="0.3"/>
    <row r="312" s="1" customFormat="1" ht="14.25" customHeight="1" x14ac:dyDescent="0.3"/>
    <row r="313" s="1" customFormat="1" ht="14.25" customHeight="1" x14ac:dyDescent="0.3"/>
    <row r="314" s="1" customFormat="1" ht="14.25" customHeight="1" x14ac:dyDescent="0.3"/>
    <row r="315" s="1" customFormat="1" ht="14.25" customHeight="1" x14ac:dyDescent="0.3"/>
    <row r="316" s="1" customFormat="1" ht="14.25" customHeight="1" x14ac:dyDescent="0.3"/>
    <row r="317" s="1" customFormat="1" ht="14.25" customHeight="1" x14ac:dyDescent="0.3"/>
    <row r="318" s="1" customFormat="1" ht="14.25" customHeight="1" x14ac:dyDescent="0.3"/>
    <row r="319" s="1" customFormat="1" ht="14.25" customHeight="1" x14ac:dyDescent="0.3"/>
    <row r="320" s="1" customFormat="1" ht="14.25" customHeight="1" x14ac:dyDescent="0.3"/>
    <row r="321" s="1" customFormat="1" ht="14.25" customHeight="1" x14ac:dyDescent="0.3"/>
    <row r="322" s="1" customFormat="1" ht="14.25" customHeight="1" x14ac:dyDescent="0.3"/>
    <row r="323" s="1" customFormat="1" ht="14.25" customHeight="1" x14ac:dyDescent="0.3"/>
    <row r="324" s="1" customFormat="1" ht="14.25" customHeight="1" x14ac:dyDescent="0.3"/>
    <row r="325" s="1" customFormat="1" ht="14.25" customHeight="1" x14ac:dyDescent="0.3"/>
    <row r="326" s="1" customFormat="1" ht="14.25" customHeight="1" x14ac:dyDescent="0.3"/>
    <row r="327" s="1" customFormat="1" ht="14.25" customHeight="1" x14ac:dyDescent="0.3"/>
    <row r="328" s="1" customFormat="1" ht="14.25" customHeight="1" x14ac:dyDescent="0.3"/>
    <row r="329" s="1" customFormat="1" ht="14.25" customHeight="1" x14ac:dyDescent="0.3"/>
    <row r="330" s="1" customFormat="1" ht="14.25" customHeight="1" x14ac:dyDescent="0.3"/>
    <row r="331" s="1" customFormat="1" ht="14.25" customHeight="1" x14ac:dyDescent="0.3"/>
    <row r="332" s="1" customFormat="1" ht="14.25" customHeight="1" x14ac:dyDescent="0.3"/>
    <row r="333" s="1" customFormat="1" ht="14.25" customHeight="1" x14ac:dyDescent="0.3"/>
    <row r="334" s="1" customFormat="1" ht="14.25" customHeight="1" x14ac:dyDescent="0.3"/>
    <row r="335" s="1" customFormat="1" ht="14.25" customHeight="1" x14ac:dyDescent="0.3"/>
    <row r="336" s="1" customFormat="1" ht="14.25" customHeight="1" x14ac:dyDescent="0.3"/>
    <row r="337" s="1" customFormat="1" ht="14.25" customHeight="1" x14ac:dyDescent="0.3"/>
    <row r="338" s="1" customFormat="1" ht="14.25" customHeight="1" x14ac:dyDescent="0.3"/>
    <row r="339" s="1" customFormat="1" ht="14.25" customHeight="1" x14ac:dyDescent="0.3"/>
    <row r="340" s="1" customFormat="1" ht="14.25" customHeight="1" x14ac:dyDescent="0.3"/>
    <row r="341" s="1" customFormat="1" ht="14.25" customHeight="1" x14ac:dyDescent="0.3"/>
    <row r="342" s="1" customFormat="1" ht="14.25" customHeight="1" x14ac:dyDescent="0.3"/>
    <row r="343" s="1" customFormat="1" ht="14.25" customHeight="1" x14ac:dyDescent="0.3"/>
    <row r="344" s="1" customFormat="1" ht="14.25" customHeight="1" x14ac:dyDescent="0.3"/>
    <row r="345" s="1" customFormat="1" ht="14.25" customHeight="1" x14ac:dyDescent="0.3"/>
    <row r="346" s="1" customFormat="1" ht="14.25" customHeight="1" x14ac:dyDescent="0.3"/>
    <row r="347" s="1" customFormat="1" ht="14.25" customHeight="1" x14ac:dyDescent="0.3"/>
    <row r="348" s="1" customFormat="1" ht="14.25" customHeight="1" x14ac:dyDescent="0.3"/>
    <row r="349" s="1" customFormat="1" ht="14.25" customHeight="1" x14ac:dyDescent="0.3"/>
    <row r="350" s="1" customFormat="1" ht="14.25" customHeight="1" x14ac:dyDescent="0.3"/>
    <row r="351" s="1" customFormat="1" ht="14.25" customHeight="1" x14ac:dyDescent="0.3"/>
    <row r="352" s="1" customFormat="1" ht="14.25" customHeight="1" x14ac:dyDescent="0.3"/>
    <row r="353" s="1" customFormat="1" ht="14.25" customHeight="1" x14ac:dyDescent="0.3"/>
    <row r="354" s="1" customFormat="1" ht="14.25" customHeight="1" x14ac:dyDescent="0.3"/>
    <row r="355" s="1" customFormat="1" ht="14.25" customHeight="1" x14ac:dyDescent="0.3"/>
    <row r="356" s="1" customFormat="1" ht="14.25" customHeight="1" x14ac:dyDescent="0.3"/>
    <row r="357" s="1" customFormat="1" ht="14.25" customHeight="1" x14ac:dyDescent="0.3"/>
    <row r="358" s="1" customFormat="1" ht="14.25" customHeight="1" x14ac:dyDescent="0.3"/>
    <row r="359" s="1" customFormat="1" ht="14.25" customHeight="1" x14ac:dyDescent="0.3"/>
    <row r="360" s="1" customFormat="1" ht="14.25" customHeight="1" x14ac:dyDescent="0.3"/>
    <row r="361" s="1" customFormat="1" ht="14.25" customHeight="1" x14ac:dyDescent="0.3"/>
    <row r="362" s="1" customFormat="1" ht="14.25" customHeight="1" x14ac:dyDescent="0.3"/>
    <row r="363" s="1" customFormat="1" ht="14.25" customHeight="1" x14ac:dyDescent="0.3"/>
    <row r="364" s="1" customFormat="1" ht="14.25" customHeight="1" x14ac:dyDescent="0.3"/>
    <row r="365" s="1" customFormat="1" ht="14.25" customHeight="1" x14ac:dyDescent="0.3"/>
    <row r="366" s="1" customFormat="1" ht="14.25" customHeight="1" x14ac:dyDescent="0.3"/>
    <row r="367" s="1" customFormat="1" ht="14.25" customHeight="1" x14ac:dyDescent="0.3"/>
    <row r="368" s="1" customFormat="1" ht="14.25" customHeight="1" x14ac:dyDescent="0.3"/>
    <row r="369" s="1" customFormat="1" ht="14.25" customHeight="1" x14ac:dyDescent="0.3"/>
    <row r="370" s="1" customFormat="1" ht="14.25" customHeight="1" x14ac:dyDescent="0.3"/>
    <row r="371" s="1" customFormat="1" ht="14.25" customHeight="1" x14ac:dyDescent="0.3"/>
    <row r="372" s="1" customFormat="1" ht="14.25" customHeight="1" x14ac:dyDescent="0.3"/>
    <row r="373" s="1" customFormat="1" ht="14.25" customHeight="1" x14ac:dyDescent="0.3"/>
    <row r="374" s="1" customFormat="1" ht="14.25" customHeight="1" x14ac:dyDescent="0.3"/>
    <row r="375" s="1" customFormat="1" ht="14.25" customHeight="1" x14ac:dyDescent="0.3"/>
    <row r="376" s="1" customFormat="1" ht="14.25" customHeight="1" x14ac:dyDescent="0.3"/>
    <row r="377" s="1" customFormat="1" ht="14.25" customHeight="1" x14ac:dyDescent="0.3"/>
    <row r="378" s="1" customFormat="1" ht="14.25" customHeight="1" x14ac:dyDescent="0.3"/>
    <row r="379" s="1" customFormat="1" ht="14.25" customHeight="1" x14ac:dyDescent="0.3"/>
    <row r="380" s="1" customFormat="1" ht="14.25" customHeight="1" x14ac:dyDescent="0.3"/>
    <row r="381" s="1" customFormat="1" ht="14.25" customHeight="1" x14ac:dyDescent="0.3"/>
    <row r="382" s="1" customFormat="1" ht="14.25" customHeight="1" x14ac:dyDescent="0.3"/>
    <row r="383" s="1" customFormat="1" ht="14.25" customHeight="1" x14ac:dyDescent="0.3"/>
    <row r="384" s="1" customFormat="1" ht="14.25" customHeight="1" x14ac:dyDescent="0.3"/>
    <row r="385" s="1" customFormat="1" ht="14.25" customHeight="1" x14ac:dyDescent="0.3"/>
    <row r="386" s="1" customFormat="1" ht="14.25" customHeight="1" x14ac:dyDescent="0.3"/>
    <row r="387" s="1" customFormat="1" ht="14.25" customHeight="1" x14ac:dyDescent="0.3"/>
    <row r="388" s="1" customFormat="1" ht="14.25" customHeight="1" x14ac:dyDescent="0.3"/>
    <row r="389" s="1" customFormat="1" ht="14.25" customHeight="1" x14ac:dyDescent="0.3"/>
    <row r="390" s="1" customFormat="1" ht="14.25" customHeight="1" x14ac:dyDescent="0.3"/>
    <row r="391" s="1" customFormat="1" ht="14.25" customHeight="1" x14ac:dyDescent="0.3"/>
    <row r="392" s="1" customFormat="1" ht="14.25" customHeight="1" x14ac:dyDescent="0.3"/>
    <row r="393" s="1" customFormat="1" ht="14.25" customHeight="1" x14ac:dyDescent="0.3"/>
    <row r="394" s="1" customFormat="1" ht="14.25" customHeight="1" x14ac:dyDescent="0.3"/>
    <row r="395" s="1" customFormat="1" ht="14.25" customHeight="1" x14ac:dyDescent="0.3"/>
    <row r="396" s="1" customFormat="1" ht="14.25" customHeight="1" x14ac:dyDescent="0.3"/>
    <row r="397" s="1" customFormat="1" ht="14.25" customHeight="1" x14ac:dyDescent="0.3"/>
    <row r="398" s="1" customFormat="1" ht="14.25" customHeight="1" x14ac:dyDescent="0.3"/>
    <row r="399" s="1" customFormat="1" ht="14.25" customHeight="1" x14ac:dyDescent="0.3"/>
    <row r="400" s="1" customFormat="1" ht="14.25" customHeight="1" x14ac:dyDescent="0.3"/>
    <row r="401" s="1" customFormat="1" ht="14.25" customHeight="1" x14ac:dyDescent="0.3"/>
    <row r="402" s="1" customFormat="1" ht="14.25" customHeight="1" x14ac:dyDescent="0.3"/>
    <row r="403" s="1" customFormat="1" ht="14.25" customHeight="1" x14ac:dyDescent="0.3"/>
    <row r="404" s="1" customFormat="1" ht="14.25" customHeight="1" x14ac:dyDescent="0.3"/>
    <row r="405" s="1" customFormat="1" ht="14.25" customHeight="1" x14ac:dyDescent="0.3"/>
    <row r="406" s="1" customFormat="1" ht="14.25" customHeight="1" x14ac:dyDescent="0.3"/>
    <row r="407" s="1" customFormat="1" ht="14.25" customHeight="1" x14ac:dyDescent="0.3"/>
    <row r="408" s="1" customFormat="1" ht="14.25" customHeight="1" x14ac:dyDescent="0.3"/>
    <row r="409" s="1" customFormat="1" ht="14.25" customHeight="1" x14ac:dyDescent="0.3"/>
    <row r="410" s="1" customFormat="1" ht="14.25" customHeight="1" x14ac:dyDescent="0.3"/>
    <row r="411" s="1" customFormat="1" ht="14.25" customHeight="1" x14ac:dyDescent="0.3"/>
    <row r="412" s="1" customFormat="1" ht="14.25" customHeight="1" x14ac:dyDescent="0.3"/>
    <row r="413" s="1" customFormat="1" ht="14.25" customHeight="1" x14ac:dyDescent="0.3"/>
    <row r="414" s="1" customFormat="1" ht="14.25" customHeight="1" x14ac:dyDescent="0.3"/>
    <row r="415" s="1" customFormat="1" ht="14.25" customHeight="1" x14ac:dyDescent="0.3"/>
    <row r="416" s="1" customFormat="1" ht="14.25" customHeight="1" x14ac:dyDescent="0.3"/>
    <row r="417" s="1" customFormat="1" ht="14.25" customHeight="1" x14ac:dyDescent="0.3"/>
    <row r="418" s="1" customFormat="1" ht="14.25" customHeight="1" x14ac:dyDescent="0.3"/>
    <row r="419" s="1" customFormat="1" ht="14.25" customHeight="1" x14ac:dyDescent="0.3"/>
    <row r="420" s="1" customFormat="1" ht="14.25" customHeight="1" x14ac:dyDescent="0.3"/>
    <row r="421" s="1" customFormat="1" ht="14.25" customHeight="1" x14ac:dyDescent="0.3"/>
    <row r="422" s="1" customFormat="1" ht="14.25" customHeight="1" x14ac:dyDescent="0.3"/>
    <row r="423" s="1" customFormat="1" ht="14.25" customHeight="1" x14ac:dyDescent="0.3"/>
    <row r="424" s="1" customFormat="1" ht="14.25" customHeight="1" x14ac:dyDescent="0.3"/>
    <row r="425" s="1" customFormat="1" ht="14.25" customHeight="1" x14ac:dyDescent="0.3"/>
    <row r="426" s="1" customFormat="1" ht="14.25" customHeight="1" x14ac:dyDescent="0.3"/>
    <row r="427" s="1" customFormat="1" ht="14.25" customHeight="1" x14ac:dyDescent="0.3"/>
    <row r="428" s="1" customFormat="1" ht="14.25" customHeight="1" x14ac:dyDescent="0.3"/>
    <row r="429" s="1" customFormat="1" ht="14.25" customHeight="1" x14ac:dyDescent="0.3"/>
    <row r="430" s="1" customFormat="1" ht="14.25" customHeight="1" x14ac:dyDescent="0.3"/>
    <row r="431" s="1" customFormat="1" ht="14.25" customHeight="1" x14ac:dyDescent="0.3"/>
    <row r="432" s="1" customFormat="1" ht="14.25" customHeight="1" x14ac:dyDescent="0.3"/>
    <row r="433" s="1" customFormat="1" ht="14.25" customHeight="1" x14ac:dyDescent="0.3"/>
    <row r="434" s="1" customFormat="1" ht="14.25" customHeight="1" x14ac:dyDescent="0.3"/>
    <row r="435" s="1" customFormat="1" ht="14.25" customHeight="1" x14ac:dyDescent="0.3"/>
    <row r="436" s="1" customFormat="1" ht="14.25" customHeight="1" x14ac:dyDescent="0.3"/>
    <row r="437" s="1" customFormat="1" ht="14.25" customHeight="1" x14ac:dyDescent="0.3"/>
    <row r="438" s="1" customFormat="1" ht="14.25" customHeight="1" x14ac:dyDescent="0.3"/>
    <row r="439" s="1" customFormat="1" ht="14.25" customHeight="1" x14ac:dyDescent="0.3"/>
    <row r="440" s="1" customFormat="1" ht="14.25" customHeight="1" x14ac:dyDescent="0.3"/>
    <row r="441" s="1" customFormat="1" ht="14.25" customHeight="1" x14ac:dyDescent="0.3"/>
    <row r="442" s="1" customFormat="1" ht="14.25" customHeight="1" x14ac:dyDescent="0.3"/>
    <row r="443" s="1" customFormat="1" ht="14.25" customHeight="1" x14ac:dyDescent="0.3"/>
    <row r="444" s="1" customFormat="1" ht="14.25" customHeight="1" x14ac:dyDescent="0.3"/>
    <row r="445" s="1" customFormat="1" ht="14.25" customHeight="1" x14ac:dyDescent="0.3"/>
    <row r="446" s="1" customFormat="1" ht="14.25" customHeight="1" x14ac:dyDescent="0.3"/>
    <row r="447" s="1" customFormat="1" ht="14.25" customHeight="1" x14ac:dyDescent="0.3"/>
    <row r="448" s="1" customFormat="1" ht="14.25" customHeight="1" x14ac:dyDescent="0.3"/>
    <row r="449" s="1" customFormat="1" ht="14.25" customHeight="1" x14ac:dyDescent="0.3"/>
    <row r="450" s="1" customFormat="1" ht="14.25" customHeight="1" x14ac:dyDescent="0.3"/>
    <row r="451" s="1" customFormat="1" ht="14.25" customHeight="1" x14ac:dyDescent="0.3"/>
    <row r="452" s="1" customFormat="1" ht="14.25" customHeight="1" x14ac:dyDescent="0.3"/>
    <row r="453" s="1" customFormat="1" ht="14.25" customHeight="1" x14ac:dyDescent="0.3"/>
    <row r="454" s="1" customFormat="1" ht="14.25" customHeight="1" x14ac:dyDescent="0.3"/>
    <row r="455" s="1" customFormat="1" ht="14.25" customHeight="1" x14ac:dyDescent="0.3"/>
    <row r="456" s="1" customFormat="1" ht="14.25" customHeight="1" x14ac:dyDescent="0.3"/>
    <row r="457" s="1" customFormat="1" ht="14.25" customHeight="1" x14ac:dyDescent="0.3"/>
    <row r="458" s="1" customFormat="1" ht="14.25" customHeight="1" x14ac:dyDescent="0.3"/>
    <row r="459" s="1" customFormat="1" ht="14.25" customHeight="1" x14ac:dyDescent="0.3"/>
    <row r="460" s="1" customFormat="1" ht="14.25" customHeight="1" x14ac:dyDescent="0.3"/>
    <row r="461" s="1" customFormat="1" ht="14.25" customHeight="1" x14ac:dyDescent="0.3"/>
    <row r="462" s="1" customFormat="1" ht="14.25" customHeight="1" x14ac:dyDescent="0.3"/>
    <row r="463" s="1" customFormat="1" ht="14.25" customHeight="1" x14ac:dyDescent="0.3"/>
    <row r="464" s="1" customFormat="1" ht="14.25" customHeight="1" x14ac:dyDescent="0.3"/>
    <row r="465" s="1" customFormat="1" ht="14.25" customHeight="1" x14ac:dyDescent="0.3"/>
    <row r="466" s="1" customFormat="1" ht="14.25" customHeight="1" x14ac:dyDescent="0.3"/>
    <row r="467" s="1" customFormat="1" ht="14.25" customHeight="1" x14ac:dyDescent="0.3"/>
    <row r="468" s="1" customFormat="1" ht="14.25" customHeight="1" x14ac:dyDescent="0.3"/>
    <row r="469" s="1" customFormat="1" ht="14.25" customHeight="1" x14ac:dyDescent="0.3"/>
    <row r="470" s="1" customFormat="1" ht="14.25" customHeight="1" x14ac:dyDescent="0.3"/>
    <row r="471" s="1" customFormat="1" ht="14.25" customHeight="1" x14ac:dyDescent="0.3"/>
    <row r="472" s="1" customFormat="1" ht="14.25" customHeight="1" x14ac:dyDescent="0.3"/>
    <row r="473" s="1" customFormat="1" ht="14.25" customHeight="1" x14ac:dyDescent="0.3"/>
    <row r="474" s="1" customFormat="1" ht="14.25" customHeight="1" x14ac:dyDescent="0.3"/>
    <row r="475" s="1" customFormat="1" ht="14.25" customHeight="1" x14ac:dyDescent="0.3"/>
    <row r="476" s="1" customFormat="1" ht="14.25" customHeight="1" x14ac:dyDescent="0.3"/>
    <row r="477" s="1" customFormat="1" ht="14.25" customHeight="1" x14ac:dyDescent="0.3"/>
    <row r="478" s="1" customFormat="1" ht="14.25" customHeight="1" x14ac:dyDescent="0.3"/>
    <row r="479" s="1" customFormat="1" ht="14.25" customHeight="1" x14ac:dyDescent="0.3"/>
    <row r="480" s="1" customFormat="1" ht="14.25" customHeight="1" x14ac:dyDescent="0.3"/>
    <row r="481" s="1" customFormat="1" ht="14.25" customHeight="1" x14ac:dyDescent="0.3"/>
    <row r="482" s="1" customFormat="1" ht="14.25" customHeight="1" x14ac:dyDescent="0.3"/>
    <row r="483" s="1" customFormat="1" ht="14.25" customHeight="1" x14ac:dyDescent="0.3"/>
    <row r="484" s="1" customFormat="1" ht="14.25" customHeight="1" x14ac:dyDescent="0.3"/>
    <row r="485" s="1" customFormat="1" ht="14.25" customHeight="1" x14ac:dyDescent="0.3"/>
    <row r="486" s="1" customFormat="1" ht="14.25" customHeight="1" x14ac:dyDescent="0.3"/>
    <row r="487" s="1" customFormat="1" ht="14.25" customHeight="1" x14ac:dyDescent="0.3"/>
    <row r="488" s="1" customFormat="1" ht="14.25" customHeight="1" x14ac:dyDescent="0.3"/>
    <row r="489" s="1" customFormat="1" ht="14.25" customHeight="1" x14ac:dyDescent="0.3"/>
    <row r="490" s="1" customFormat="1" ht="14.25" customHeight="1" x14ac:dyDescent="0.3"/>
    <row r="491" s="1" customFormat="1" ht="14.25" customHeight="1" x14ac:dyDescent="0.3"/>
    <row r="492" s="1" customFormat="1" ht="14.25" customHeight="1" x14ac:dyDescent="0.3"/>
    <row r="493" s="1" customFormat="1" ht="14.25" customHeight="1" x14ac:dyDescent="0.3"/>
    <row r="494" s="1" customFormat="1" ht="14.25" customHeight="1" x14ac:dyDescent="0.3"/>
    <row r="495" s="1" customFormat="1" ht="14.25" customHeight="1" x14ac:dyDescent="0.3"/>
    <row r="496" s="1" customFormat="1" ht="14.25" customHeight="1" x14ac:dyDescent="0.3"/>
    <row r="497" s="1" customFormat="1" ht="14.25" customHeight="1" x14ac:dyDescent="0.3"/>
    <row r="498" s="1" customFormat="1" ht="14.25" customHeight="1" x14ac:dyDescent="0.3"/>
    <row r="499" s="1" customFormat="1" ht="14.25" customHeight="1" x14ac:dyDescent="0.3"/>
    <row r="500" s="1" customFormat="1" ht="14.25" customHeight="1" x14ac:dyDescent="0.3"/>
    <row r="501" s="1" customFormat="1" ht="14.25" customHeight="1" x14ac:dyDescent="0.3"/>
    <row r="502" s="1" customFormat="1" ht="14.25" customHeight="1" x14ac:dyDescent="0.3"/>
    <row r="503" s="1" customFormat="1" ht="14.25" customHeight="1" x14ac:dyDescent="0.3"/>
    <row r="504" s="1" customFormat="1" ht="14.25" customHeight="1" x14ac:dyDescent="0.3"/>
    <row r="505" s="1" customFormat="1" ht="14.25" customHeight="1" x14ac:dyDescent="0.3"/>
    <row r="506" s="1" customFormat="1" ht="14.25" customHeight="1" x14ac:dyDescent="0.3"/>
    <row r="507" s="1" customFormat="1" ht="14.25" customHeight="1" x14ac:dyDescent="0.3"/>
    <row r="508" s="1" customFormat="1" ht="14.25" customHeight="1" x14ac:dyDescent="0.3"/>
    <row r="509" s="1" customFormat="1" ht="14.25" customHeight="1" x14ac:dyDescent="0.3"/>
    <row r="510" s="1" customFormat="1" ht="14.25" customHeight="1" x14ac:dyDescent="0.3"/>
    <row r="511" s="1" customFormat="1" ht="14.25" customHeight="1" x14ac:dyDescent="0.3"/>
    <row r="512" s="1" customFormat="1" ht="14.25" customHeight="1" x14ac:dyDescent="0.3"/>
    <row r="513" s="1" customFormat="1" ht="14.25" customHeight="1" x14ac:dyDescent="0.3"/>
    <row r="514" s="1" customFormat="1" ht="14.25" customHeight="1" x14ac:dyDescent="0.3"/>
    <row r="515" s="1" customFormat="1" ht="14.25" customHeight="1" x14ac:dyDescent="0.3"/>
    <row r="516" s="1" customFormat="1" ht="14.25" customHeight="1" x14ac:dyDescent="0.3"/>
    <row r="517" s="1" customFormat="1" ht="14.25" customHeight="1" x14ac:dyDescent="0.3"/>
    <row r="518" s="1" customFormat="1" ht="14.25" customHeight="1" x14ac:dyDescent="0.3"/>
    <row r="519" s="1" customFormat="1" ht="14.25" customHeight="1" x14ac:dyDescent="0.3"/>
    <row r="520" s="1" customFormat="1" ht="14.25" customHeight="1" x14ac:dyDescent="0.3"/>
    <row r="521" s="1" customFormat="1" ht="14.25" customHeight="1" x14ac:dyDescent="0.3"/>
    <row r="522" s="1" customFormat="1" ht="14.25" customHeight="1" x14ac:dyDescent="0.3"/>
    <row r="523" s="1" customFormat="1" ht="14.25" customHeight="1" x14ac:dyDescent="0.3"/>
    <row r="524" s="1" customFormat="1" ht="14.25" customHeight="1" x14ac:dyDescent="0.3"/>
    <row r="525" s="1" customFormat="1" ht="14.25" customHeight="1" x14ac:dyDescent="0.3"/>
    <row r="526" s="1" customFormat="1" ht="14.25" customHeight="1" x14ac:dyDescent="0.3"/>
    <row r="527" s="1" customFormat="1" ht="14.25" customHeight="1" x14ac:dyDescent="0.3"/>
    <row r="528" s="1" customFormat="1" ht="14.25" customHeight="1" x14ac:dyDescent="0.3"/>
    <row r="529" s="1" customFormat="1" ht="14.25" customHeight="1" x14ac:dyDescent="0.3"/>
    <row r="530" s="1" customFormat="1" ht="14.25" customHeight="1" x14ac:dyDescent="0.3"/>
    <row r="531" s="1" customFormat="1" ht="14.25" customHeight="1" x14ac:dyDescent="0.3"/>
    <row r="532" s="1" customFormat="1" ht="14.25" customHeight="1" x14ac:dyDescent="0.3"/>
    <row r="533" s="1" customFormat="1" ht="14.25" customHeight="1" x14ac:dyDescent="0.3"/>
    <row r="534" s="1" customFormat="1" ht="14.25" customHeight="1" x14ac:dyDescent="0.3"/>
    <row r="535" s="1" customFormat="1" ht="14.25" customHeight="1" x14ac:dyDescent="0.3"/>
    <row r="536" s="1" customFormat="1" ht="14.25" customHeight="1" x14ac:dyDescent="0.3"/>
    <row r="537" s="1" customFormat="1" ht="14.25" customHeight="1" x14ac:dyDescent="0.3"/>
    <row r="538" s="1" customFormat="1" ht="14.25" customHeight="1" x14ac:dyDescent="0.3"/>
    <row r="539" s="1" customFormat="1" ht="14.25" customHeight="1" x14ac:dyDescent="0.3"/>
    <row r="540" s="1" customFormat="1" ht="14.25" customHeight="1" x14ac:dyDescent="0.3"/>
    <row r="541" s="1" customFormat="1" ht="14.25" customHeight="1" x14ac:dyDescent="0.3"/>
    <row r="542" s="1" customFormat="1" ht="14.25" customHeight="1" x14ac:dyDescent="0.3"/>
    <row r="543" s="1" customFormat="1" ht="14.25" customHeight="1" x14ac:dyDescent="0.3"/>
    <row r="544" s="1" customFormat="1" ht="14.25" customHeight="1" x14ac:dyDescent="0.3"/>
    <row r="545" s="1" customFormat="1" ht="14.25" customHeight="1" x14ac:dyDescent="0.3"/>
    <row r="546" s="1" customFormat="1" ht="14.25" customHeight="1" x14ac:dyDescent="0.3"/>
    <row r="547" s="1" customFormat="1" ht="14.25" customHeight="1" x14ac:dyDescent="0.3"/>
    <row r="548" s="1" customFormat="1" ht="14.25" customHeight="1" x14ac:dyDescent="0.3"/>
    <row r="549" s="1" customFormat="1" ht="14.25" customHeight="1" x14ac:dyDescent="0.3"/>
    <row r="550" s="1" customFormat="1" ht="14.25" customHeight="1" x14ac:dyDescent="0.3"/>
    <row r="551" s="1" customFormat="1" ht="14.25" customHeight="1" x14ac:dyDescent="0.3"/>
    <row r="552" s="1" customFormat="1" ht="14.25" customHeight="1" x14ac:dyDescent="0.3"/>
    <row r="553" s="1" customFormat="1" ht="14.25" customHeight="1" x14ac:dyDescent="0.3"/>
    <row r="554" s="1" customFormat="1" ht="14.25" customHeight="1" x14ac:dyDescent="0.3"/>
    <row r="555" s="1" customFormat="1" ht="14.25" customHeight="1" x14ac:dyDescent="0.3"/>
    <row r="556" s="1" customFormat="1" ht="14.25" customHeight="1" x14ac:dyDescent="0.3"/>
    <row r="557" s="1" customFormat="1" ht="14.25" customHeight="1" x14ac:dyDescent="0.3"/>
    <row r="558" s="1" customFormat="1" ht="14.25" customHeight="1" x14ac:dyDescent="0.3"/>
    <row r="559" s="1" customFormat="1" ht="14.25" customHeight="1" x14ac:dyDescent="0.3"/>
    <row r="560" s="1" customFormat="1" ht="14.25" customHeight="1" x14ac:dyDescent="0.3"/>
    <row r="561" s="1" customFormat="1" ht="14.25" customHeight="1" x14ac:dyDescent="0.3"/>
    <row r="562" s="1" customFormat="1" ht="14.25" customHeight="1" x14ac:dyDescent="0.3"/>
    <row r="563" s="1" customFormat="1" ht="14.25" customHeight="1" x14ac:dyDescent="0.3"/>
    <row r="564" s="1" customFormat="1" ht="14.25" customHeight="1" x14ac:dyDescent="0.3"/>
    <row r="565" s="1" customFormat="1" ht="14.25" customHeight="1" x14ac:dyDescent="0.3"/>
    <row r="566" s="1" customFormat="1" ht="14.25" customHeight="1" x14ac:dyDescent="0.3"/>
    <row r="567" s="1" customFormat="1" ht="14.25" customHeight="1" x14ac:dyDescent="0.3"/>
    <row r="568" s="1" customFormat="1" ht="14.25" customHeight="1" x14ac:dyDescent="0.3"/>
    <row r="569" s="1" customFormat="1" ht="14.25" customHeight="1" x14ac:dyDescent="0.3"/>
    <row r="570" s="1" customFormat="1" ht="14.25" customHeight="1" x14ac:dyDescent="0.3"/>
    <row r="571" s="1" customFormat="1" ht="14.25" customHeight="1" x14ac:dyDescent="0.3"/>
    <row r="572" s="1" customFormat="1" ht="14.25" customHeight="1" x14ac:dyDescent="0.3"/>
    <row r="573" s="1" customFormat="1" ht="14.25" customHeight="1" x14ac:dyDescent="0.3"/>
    <row r="574" s="1" customFormat="1" ht="14.25" customHeight="1" x14ac:dyDescent="0.3"/>
    <row r="575" s="1" customFormat="1" ht="14.25" customHeight="1" x14ac:dyDescent="0.3"/>
    <row r="576" s="1" customFormat="1" ht="14.25" customHeight="1" x14ac:dyDescent="0.3"/>
    <row r="577" s="1" customFormat="1" ht="14.25" customHeight="1" x14ac:dyDescent="0.3"/>
    <row r="578" s="1" customFormat="1" ht="14.25" customHeight="1" x14ac:dyDescent="0.3"/>
    <row r="579" s="1" customFormat="1" ht="14.25" customHeight="1" x14ac:dyDescent="0.3"/>
    <row r="580" s="1" customFormat="1" ht="14.25" customHeight="1" x14ac:dyDescent="0.3"/>
    <row r="581" s="1" customFormat="1" ht="14.25" customHeight="1" x14ac:dyDescent="0.3"/>
    <row r="582" s="1" customFormat="1" ht="14.25" customHeight="1" x14ac:dyDescent="0.3"/>
    <row r="583" s="1" customFormat="1" ht="14.25" customHeight="1" x14ac:dyDescent="0.3"/>
    <row r="584" s="1" customFormat="1" ht="14.25" customHeight="1" x14ac:dyDescent="0.3"/>
    <row r="585" s="1" customFormat="1" ht="14.25" customHeight="1" x14ac:dyDescent="0.3"/>
    <row r="586" s="1" customFormat="1" ht="14.25" customHeight="1" x14ac:dyDescent="0.3"/>
    <row r="587" s="1" customFormat="1" ht="14.25" customHeight="1" x14ac:dyDescent="0.3"/>
    <row r="588" s="1" customFormat="1" ht="14.25" customHeight="1" x14ac:dyDescent="0.3"/>
    <row r="589" s="1" customFormat="1" ht="14.25" customHeight="1" x14ac:dyDescent="0.3"/>
    <row r="590" s="1" customFormat="1" ht="14.25" customHeight="1" x14ac:dyDescent="0.3"/>
    <row r="591" s="1" customFormat="1" ht="14.25" customHeight="1" x14ac:dyDescent="0.3"/>
    <row r="592" s="1" customFormat="1" ht="14.25" customHeight="1" x14ac:dyDescent="0.3"/>
    <row r="593" s="1" customFormat="1" ht="14.25" customHeight="1" x14ac:dyDescent="0.3"/>
    <row r="594" s="1" customFormat="1" ht="14.25" customHeight="1" x14ac:dyDescent="0.3"/>
    <row r="595" s="1" customFormat="1" ht="14.25" customHeight="1" x14ac:dyDescent="0.3"/>
    <row r="596" s="1" customFormat="1" ht="14.25" customHeight="1" x14ac:dyDescent="0.3"/>
    <row r="597" s="1" customFormat="1" ht="14.25" customHeight="1" x14ac:dyDescent="0.3"/>
    <row r="598" s="1" customFormat="1" ht="14.25" customHeight="1" x14ac:dyDescent="0.3"/>
    <row r="599" s="1" customFormat="1" ht="14.25" customHeight="1" x14ac:dyDescent="0.3"/>
    <row r="600" s="1" customFormat="1" ht="14.25" customHeight="1" x14ac:dyDescent="0.3"/>
    <row r="601" s="1" customFormat="1" ht="14.25" customHeight="1" x14ac:dyDescent="0.3"/>
    <row r="602" s="1" customFormat="1" ht="14.25" customHeight="1" x14ac:dyDescent="0.3"/>
    <row r="603" s="1" customFormat="1" ht="14.25" customHeight="1" x14ac:dyDescent="0.3"/>
    <row r="604" s="1" customFormat="1" ht="14.25" customHeight="1" x14ac:dyDescent="0.3"/>
    <row r="605" s="1" customFormat="1" ht="14.25" customHeight="1" x14ac:dyDescent="0.3"/>
    <row r="606" s="1" customFormat="1" ht="14.25" customHeight="1" x14ac:dyDescent="0.3"/>
    <row r="607" s="1" customFormat="1" ht="14.25" customHeight="1" x14ac:dyDescent="0.3"/>
    <row r="608" s="1" customFormat="1" ht="14.25" customHeight="1" x14ac:dyDescent="0.3"/>
    <row r="609" s="1" customFormat="1" ht="14.25" customHeight="1" x14ac:dyDescent="0.3"/>
    <row r="610" s="1" customFormat="1" ht="14.25" customHeight="1" x14ac:dyDescent="0.3"/>
    <row r="611" s="1" customFormat="1" ht="14.25" customHeight="1" x14ac:dyDescent="0.3"/>
    <row r="612" s="1" customFormat="1" ht="14.25" customHeight="1" x14ac:dyDescent="0.3"/>
    <row r="613" s="1" customFormat="1" ht="14.25" customHeight="1" x14ac:dyDescent="0.3"/>
    <row r="614" s="1" customFormat="1" ht="14.25" customHeight="1" x14ac:dyDescent="0.3"/>
    <row r="615" s="1" customFormat="1" ht="14.25" customHeight="1" x14ac:dyDescent="0.3"/>
    <row r="616" s="1" customFormat="1" ht="14.25" customHeight="1" x14ac:dyDescent="0.3"/>
    <row r="617" s="1" customFormat="1" ht="14.25" customHeight="1" x14ac:dyDescent="0.3"/>
    <row r="618" s="1" customFormat="1" ht="14.25" customHeight="1" x14ac:dyDescent="0.3"/>
    <row r="619" s="1" customFormat="1" ht="14.25" customHeight="1" x14ac:dyDescent="0.3"/>
    <row r="620" s="1" customFormat="1" ht="14.25" customHeight="1" x14ac:dyDescent="0.3"/>
    <row r="621" s="1" customFormat="1" ht="14.25" customHeight="1" x14ac:dyDescent="0.3"/>
    <row r="622" s="1" customFormat="1" ht="14.25" customHeight="1" x14ac:dyDescent="0.3"/>
    <row r="623" s="1" customFormat="1" ht="14.25" customHeight="1" x14ac:dyDescent="0.3"/>
    <row r="624" s="1" customFormat="1" ht="14.25" customHeight="1" x14ac:dyDescent="0.3"/>
    <row r="625" s="1" customFormat="1" ht="14.25" customHeight="1" x14ac:dyDescent="0.3"/>
    <row r="626" s="1" customFormat="1" ht="14.25" customHeight="1" x14ac:dyDescent="0.3"/>
    <row r="627" s="1" customFormat="1" ht="14.25" customHeight="1" x14ac:dyDescent="0.3"/>
    <row r="628" s="1" customFormat="1" ht="14.25" customHeight="1" x14ac:dyDescent="0.3"/>
    <row r="629" s="1" customFormat="1" ht="14.25" customHeight="1" x14ac:dyDescent="0.3"/>
    <row r="630" s="1" customFormat="1" ht="14.25" customHeight="1" x14ac:dyDescent="0.3"/>
    <row r="631" s="1" customFormat="1" ht="14.25" customHeight="1" x14ac:dyDescent="0.3"/>
    <row r="632" s="1" customFormat="1" ht="14.25" customHeight="1" x14ac:dyDescent="0.3"/>
    <row r="633" s="1" customFormat="1" ht="14.25" customHeight="1" x14ac:dyDescent="0.3"/>
    <row r="634" s="1" customFormat="1" ht="14.25" customHeight="1" x14ac:dyDescent="0.3"/>
    <row r="635" s="1" customFormat="1" ht="14.25" customHeight="1" x14ac:dyDescent="0.3"/>
    <row r="636" s="1" customFormat="1" ht="14.25" customHeight="1" x14ac:dyDescent="0.3"/>
    <row r="637" s="1" customFormat="1" ht="14.25" customHeight="1" x14ac:dyDescent="0.3"/>
    <row r="638" s="1" customFormat="1" ht="14.25" customHeight="1" x14ac:dyDescent="0.3"/>
    <row r="639" s="1" customFormat="1" ht="14.25" customHeight="1" x14ac:dyDescent="0.3"/>
    <row r="640" s="1" customFormat="1" ht="14.25" customHeight="1" x14ac:dyDescent="0.3"/>
    <row r="641" s="1" customFormat="1" ht="14.25" customHeight="1" x14ac:dyDescent="0.3"/>
    <row r="642" s="1" customFormat="1" ht="14.25" customHeight="1" x14ac:dyDescent="0.3"/>
    <row r="643" s="1" customFormat="1" ht="14.25" customHeight="1" x14ac:dyDescent="0.3"/>
    <row r="644" s="1" customFormat="1" ht="14.25" customHeight="1" x14ac:dyDescent="0.3"/>
    <row r="645" s="1" customFormat="1" ht="14.25" customHeight="1" x14ac:dyDescent="0.3"/>
    <row r="646" s="1" customFormat="1" ht="14.25" customHeight="1" x14ac:dyDescent="0.3"/>
    <row r="647" s="1" customFormat="1" ht="14.25" customHeight="1" x14ac:dyDescent="0.3"/>
    <row r="648" s="1" customFormat="1" ht="14.25" customHeight="1" x14ac:dyDescent="0.3"/>
    <row r="649" s="1" customFormat="1" ht="14.25" customHeight="1" x14ac:dyDescent="0.3"/>
    <row r="650" s="1" customFormat="1" ht="14.25" customHeight="1" x14ac:dyDescent="0.3"/>
    <row r="651" s="1" customFormat="1" ht="14.25" customHeight="1" x14ac:dyDescent="0.3"/>
    <row r="652" s="1" customFormat="1" ht="14.25" customHeight="1" x14ac:dyDescent="0.3"/>
    <row r="653" s="1" customFormat="1" ht="14.25" customHeight="1" x14ac:dyDescent="0.3"/>
    <row r="654" s="1" customFormat="1" ht="14.25" customHeight="1" x14ac:dyDescent="0.3"/>
    <row r="655" s="1" customFormat="1" ht="14.25" customHeight="1" x14ac:dyDescent="0.3"/>
    <row r="656" s="1" customFormat="1" ht="14.25" customHeight="1" x14ac:dyDescent="0.3"/>
    <row r="657" s="1" customFormat="1" ht="14.25" customHeight="1" x14ac:dyDescent="0.3"/>
    <row r="658" s="1" customFormat="1" ht="14.25" customHeight="1" x14ac:dyDescent="0.3"/>
    <row r="659" s="1" customFormat="1" ht="14.25" customHeight="1" x14ac:dyDescent="0.3"/>
    <row r="660" s="1" customFormat="1" ht="14.25" customHeight="1" x14ac:dyDescent="0.3"/>
    <row r="661" s="1" customFormat="1" ht="14.25" customHeight="1" x14ac:dyDescent="0.3"/>
    <row r="662" s="1" customFormat="1" ht="14.25" customHeight="1" x14ac:dyDescent="0.3"/>
    <row r="663" s="1" customFormat="1" ht="14.25" customHeight="1" x14ac:dyDescent="0.3"/>
    <row r="664" s="1" customFormat="1" ht="14.25" customHeight="1" x14ac:dyDescent="0.3"/>
    <row r="665" s="1" customFormat="1" ht="14.25" customHeight="1" x14ac:dyDescent="0.3"/>
    <row r="666" s="1" customFormat="1" ht="14.25" customHeight="1" x14ac:dyDescent="0.3"/>
    <row r="667" s="1" customFormat="1" ht="14.25" customHeight="1" x14ac:dyDescent="0.3"/>
    <row r="668" s="1" customFormat="1" ht="14.25" customHeight="1" x14ac:dyDescent="0.3"/>
    <row r="669" s="1" customFormat="1" ht="14.25" customHeight="1" x14ac:dyDescent="0.3"/>
    <row r="670" s="1" customFormat="1" ht="14.25" customHeight="1" x14ac:dyDescent="0.3"/>
    <row r="671" s="1" customFormat="1" ht="14.25" customHeight="1" x14ac:dyDescent="0.3"/>
    <row r="672" s="1" customFormat="1" ht="14.25" customHeight="1" x14ac:dyDescent="0.3"/>
    <row r="673" s="1" customFormat="1" ht="14.25" customHeight="1" x14ac:dyDescent="0.3"/>
    <row r="674" s="1" customFormat="1" ht="14.25" customHeight="1" x14ac:dyDescent="0.3"/>
    <row r="675" s="1" customFormat="1" ht="14.25" customHeight="1" x14ac:dyDescent="0.3"/>
    <row r="676" s="1" customFormat="1" ht="14.25" customHeight="1" x14ac:dyDescent="0.3"/>
    <row r="677" s="1" customFormat="1" ht="14.25" customHeight="1" x14ac:dyDescent="0.3"/>
    <row r="678" s="1" customFormat="1" ht="14.25" customHeight="1" x14ac:dyDescent="0.3"/>
    <row r="679" s="1" customFormat="1" ht="14.25" customHeight="1" x14ac:dyDescent="0.3"/>
    <row r="680" s="1" customFormat="1" ht="14.25" customHeight="1" x14ac:dyDescent="0.3"/>
    <row r="681" s="1" customFormat="1" ht="14.25" customHeight="1" x14ac:dyDescent="0.3"/>
    <row r="682" s="1" customFormat="1" ht="14.25" customHeight="1" x14ac:dyDescent="0.3"/>
    <row r="683" s="1" customFormat="1" ht="14.25" customHeight="1" x14ac:dyDescent="0.3"/>
    <row r="684" s="1" customFormat="1" ht="14.25" customHeight="1" x14ac:dyDescent="0.3"/>
    <row r="685" s="1" customFormat="1" ht="14.25" customHeight="1" x14ac:dyDescent="0.3"/>
    <row r="686" s="1" customFormat="1" ht="14.25" customHeight="1" x14ac:dyDescent="0.3"/>
    <row r="687" s="1" customFormat="1" ht="14.25" customHeight="1" x14ac:dyDescent="0.3"/>
    <row r="688" s="1" customFormat="1" ht="14.25" customHeight="1" x14ac:dyDescent="0.3"/>
    <row r="689" s="1" customFormat="1" ht="14.25" customHeight="1" x14ac:dyDescent="0.3"/>
    <row r="690" s="1" customFormat="1" ht="14.25" customHeight="1" x14ac:dyDescent="0.3"/>
    <row r="691" s="1" customFormat="1" ht="14.25" customHeight="1" x14ac:dyDescent="0.3"/>
    <row r="692" s="1" customFormat="1" ht="14.25" customHeight="1" x14ac:dyDescent="0.3"/>
    <row r="693" s="1" customFormat="1" ht="14.25" customHeight="1" x14ac:dyDescent="0.3"/>
    <row r="694" s="1" customFormat="1" ht="14.25" customHeight="1" x14ac:dyDescent="0.3"/>
    <row r="695" s="1" customFormat="1" ht="14.25" customHeight="1" x14ac:dyDescent="0.3"/>
    <row r="696" s="1" customFormat="1" ht="14.25" customHeight="1" x14ac:dyDescent="0.3"/>
    <row r="697" s="1" customFormat="1" ht="14.25" customHeight="1" x14ac:dyDescent="0.3"/>
    <row r="698" s="1" customFormat="1" ht="14.25" customHeight="1" x14ac:dyDescent="0.3"/>
    <row r="699" s="1" customFormat="1" ht="14.25" customHeight="1" x14ac:dyDescent="0.3"/>
    <row r="700" s="1" customFormat="1" ht="14.25" customHeight="1" x14ac:dyDescent="0.3"/>
    <row r="701" s="1" customFormat="1" ht="14.25" customHeight="1" x14ac:dyDescent="0.3"/>
    <row r="702" s="1" customFormat="1" ht="14.25" customHeight="1" x14ac:dyDescent="0.3"/>
    <row r="703" s="1" customFormat="1" ht="14.25" customHeight="1" x14ac:dyDescent="0.3"/>
    <row r="704" s="1" customFormat="1" ht="14.25" customHeight="1" x14ac:dyDescent="0.3"/>
    <row r="705" s="1" customFormat="1" ht="14.25" customHeight="1" x14ac:dyDescent="0.3"/>
    <row r="706" s="1" customFormat="1" ht="14.25" customHeight="1" x14ac:dyDescent="0.3"/>
    <row r="707" s="1" customFormat="1" ht="14.25" customHeight="1" x14ac:dyDescent="0.3"/>
    <row r="708" s="1" customFormat="1" ht="14.25" customHeight="1" x14ac:dyDescent="0.3"/>
    <row r="709" s="1" customFormat="1" ht="14.25" customHeight="1" x14ac:dyDescent="0.3"/>
    <row r="710" s="1" customFormat="1" ht="14.25" customHeight="1" x14ac:dyDescent="0.3"/>
    <row r="711" s="1" customFormat="1" ht="14.25" customHeight="1" x14ac:dyDescent="0.3"/>
    <row r="712" s="1" customFormat="1" ht="14.25" customHeight="1" x14ac:dyDescent="0.3"/>
    <row r="713" s="1" customFormat="1" ht="14.25" customHeight="1" x14ac:dyDescent="0.3"/>
    <row r="714" s="1" customFormat="1" ht="14.25" customHeight="1" x14ac:dyDescent="0.3"/>
    <row r="715" s="1" customFormat="1" ht="14.25" customHeight="1" x14ac:dyDescent="0.3"/>
    <row r="716" s="1" customFormat="1" ht="14.25" customHeight="1" x14ac:dyDescent="0.3"/>
    <row r="717" s="1" customFormat="1" ht="14.25" customHeight="1" x14ac:dyDescent="0.3"/>
    <row r="718" s="1" customFormat="1" ht="14.25" customHeight="1" x14ac:dyDescent="0.3"/>
    <row r="719" s="1" customFormat="1" ht="14.25" customHeight="1" x14ac:dyDescent="0.3"/>
    <row r="720" s="1" customFormat="1" ht="14.25" customHeight="1" x14ac:dyDescent="0.3"/>
    <row r="721" s="1" customFormat="1" ht="14.25" customHeight="1" x14ac:dyDescent="0.3"/>
    <row r="722" s="1" customFormat="1" ht="14.25" customHeight="1" x14ac:dyDescent="0.3"/>
    <row r="723" s="1" customFormat="1" ht="14.25" customHeight="1" x14ac:dyDescent="0.3"/>
    <row r="724" s="1" customFormat="1" ht="14.25" customHeight="1" x14ac:dyDescent="0.3"/>
    <row r="725" s="1" customFormat="1" ht="14.25" customHeight="1" x14ac:dyDescent="0.3"/>
    <row r="726" s="1" customFormat="1" ht="14.25" customHeight="1" x14ac:dyDescent="0.3"/>
    <row r="727" s="1" customFormat="1" ht="14.25" customHeight="1" x14ac:dyDescent="0.3"/>
    <row r="728" s="1" customFormat="1" ht="14.25" customHeight="1" x14ac:dyDescent="0.3"/>
    <row r="729" s="1" customFormat="1" ht="14.25" customHeight="1" x14ac:dyDescent="0.3"/>
    <row r="730" s="1" customFormat="1" ht="14.25" customHeight="1" x14ac:dyDescent="0.3"/>
    <row r="731" s="1" customFormat="1" ht="14.25" customHeight="1" x14ac:dyDescent="0.3"/>
    <row r="732" s="1" customFormat="1" ht="14.25" customHeight="1" x14ac:dyDescent="0.3"/>
    <row r="733" s="1" customFormat="1" ht="14.25" customHeight="1" x14ac:dyDescent="0.3"/>
    <row r="734" s="1" customFormat="1" ht="14.25" customHeight="1" x14ac:dyDescent="0.3"/>
    <row r="735" s="1" customFormat="1" ht="14.25" customHeight="1" x14ac:dyDescent="0.3"/>
    <row r="736" s="1" customFormat="1" ht="14.25" customHeight="1" x14ac:dyDescent="0.3"/>
    <row r="737" s="1" customFormat="1" ht="14.25" customHeight="1" x14ac:dyDescent="0.3"/>
    <row r="738" s="1" customFormat="1" ht="14.25" customHeight="1" x14ac:dyDescent="0.3"/>
    <row r="739" s="1" customFormat="1" ht="14.25" customHeight="1" x14ac:dyDescent="0.3"/>
    <row r="740" s="1" customFormat="1" ht="14.25" customHeight="1" x14ac:dyDescent="0.3"/>
    <row r="741" s="1" customFormat="1" ht="14.25" customHeight="1" x14ac:dyDescent="0.3"/>
    <row r="742" s="1" customFormat="1" ht="14.25" customHeight="1" x14ac:dyDescent="0.3"/>
    <row r="743" s="1" customFormat="1" ht="14.25" customHeight="1" x14ac:dyDescent="0.3"/>
    <row r="744" s="1" customFormat="1" ht="14.25" customHeight="1" x14ac:dyDescent="0.3"/>
    <row r="745" s="1" customFormat="1" ht="14.25" customHeight="1" x14ac:dyDescent="0.3"/>
    <row r="746" s="1" customFormat="1" ht="14.25" customHeight="1" x14ac:dyDescent="0.3"/>
    <row r="747" s="1" customFormat="1" ht="14.25" customHeight="1" x14ac:dyDescent="0.3"/>
    <row r="748" s="1" customFormat="1" ht="14.25" customHeight="1" x14ac:dyDescent="0.3"/>
    <row r="749" s="1" customFormat="1" ht="14.25" customHeight="1" x14ac:dyDescent="0.3"/>
    <row r="750" s="1" customFormat="1" ht="14.25" customHeight="1" x14ac:dyDescent="0.3"/>
    <row r="751" s="1" customFormat="1" ht="14.25" customHeight="1" x14ac:dyDescent="0.3"/>
    <row r="752" s="1" customFormat="1" ht="14.25" customHeight="1" x14ac:dyDescent="0.3"/>
    <row r="753" s="1" customFormat="1" ht="14.25" customHeight="1" x14ac:dyDescent="0.3"/>
    <row r="754" s="1" customFormat="1" ht="14.25" customHeight="1" x14ac:dyDescent="0.3"/>
    <row r="755" s="1" customFormat="1" ht="14.25" customHeight="1" x14ac:dyDescent="0.3"/>
    <row r="756" s="1" customFormat="1" ht="14.25" customHeight="1" x14ac:dyDescent="0.3"/>
    <row r="757" s="1" customFormat="1" ht="14.25" customHeight="1" x14ac:dyDescent="0.3"/>
    <row r="758" s="1" customFormat="1" ht="14.25" customHeight="1" x14ac:dyDescent="0.3"/>
    <row r="759" s="1" customFormat="1" ht="14.25" customHeight="1" x14ac:dyDescent="0.3"/>
    <row r="760" s="1" customFormat="1" ht="14.25" customHeight="1" x14ac:dyDescent="0.3"/>
    <row r="761" s="1" customFormat="1" ht="14.25" customHeight="1" x14ac:dyDescent="0.3"/>
    <row r="762" s="1" customFormat="1" ht="14.25" customHeight="1" x14ac:dyDescent="0.3"/>
    <row r="763" s="1" customFormat="1" ht="14.25" customHeight="1" x14ac:dyDescent="0.3"/>
    <row r="764" s="1" customFormat="1" ht="14.25" customHeight="1" x14ac:dyDescent="0.3"/>
    <row r="765" s="1" customFormat="1" ht="14.25" customHeight="1" x14ac:dyDescent="0.3"/>
    <row r="766" s="1" customFormat="1" ht="14.25" customHeight="1" x14ac:dyDescent="0.3"/>
    <row r="767" s="1" customFormat="1" ht="14.25" customHeight="1" x14ac:dyDescent="0.3"/>
    <row r="768" s="1" customFormat="1" ht="14.25" customHeight="1" x14ac:dyDescent="0.3"/>
    <row r="769" s="1" customFormat="1" ht="14.25" customHeight="1" x14ac:dyDescent="0.3"/>
    <row r="770" s="1" customFormat="1" ht="14.25" customHeight="1" x14ac:dyDescent="0.3"/>
    <row r="771" s="1" customFormat="1" ht="14.25" customHeight="1" x14ac:dyDescent="0.3"/>
    <row r="772" s="1" customFormat="1" ht="14.25" customHeight="1" x14ac:dyDescent="0.3"/>
    <row r="773" s="1" customFormat="1" ht="14.25" customHeight="1" x14ac:dyDescent="0.3"/>
    <row r="774" s="1" customFormat="1" ht="14.25" customHeight="1" x14ac:dyDescent="0.3"/>
    <row r="775" s="1" customFormat="1" ht="14.25" customHeight="1" x14ac:dyDescent="0.3"/>
    <row r="776" s="1" customFormat="1" ht="14.25" customHeight="1" x14ac:dyDescent="0.3"/>
    <row r="777" s="1" customFormat="1" ht="14.25" customHeight="1" x14ac:dyDescent="0.3"/>
    <row r="778" s="1" customFormat="1" ht="14.25" customHeight="1" x14ac:dyDescent="0.3"/>
    <row r="779" s="1" customFormat="1" ht="14.25" customHeight="1" x14ac:dyDescent="0.3"/>
    <row r="780" s="1" customFormat="1" ht="14.25" customHeight="1" x14ac:dyDescent="0.3"/>
    <row r="781" s="1" customFormat="1" ht="14.25" customHeight="1" x14ac:dyDescent="0.3"/>
    <row r="782" s="1" customFormat="1" ht="14.25" customHeight="1" x14ac:dyDescent="0.3"/>
    <row r="783" s="1" customFormat="1" ht="14.25" customHeight="1" x14ac:dyDescent="0.3"/>
    <row r="784" s="1" customFormat="1" ht="14.25" customHeight="1" x14ac:dyDescent="0.3"/>
    <row r="785" s="1" customFormat="1" ht="14.25" customHeight="1" x14ac:dyDescent="0.3"/>
    <row r="786" s="1" customFormat="1" ht="14.25" customHeight="1" x14ac:dyDescent="0.3"/>
    <row r="787" s="1" customFormat="1" ht="14.25" customHeight="1" x14ac:dyDescent="0.3"/>
    <row r="788" s="1" customFormat="1" ht="14.25" customHeight="1" x14ac:dyDescent="0.3"/>
    <row r="789" s="1" customFormat="1" ht="14.25" customHeight="1" x14ac:dyDescent="0.3"/>
    <row r="790" s="1" customFormat="1" ht="14.25" customHeight="1" x14ac:dyDescent="0.3"/>
    <row r="791" s="1" customFormat="1" ht="14.25" customHeight="1" x14ac:dyDescent="0.3"/>
    <row r="792" s="1" customFormat="1" ht="14.25" customHeight="1" x14ac:dyDescent="0.3"/>
    <row r="793" s="1" customFormat="1" ht="14.25" customHeight="1" x14ac:dyDescent="0.3"/>
    <row r="794" s="1" customFormat="1" ht="14.25" customHeight="1" x14ac:dyDescent="0.3"/>
    <row r="795" s="1" customFormat="1" ht="14.25" customHeight="1" x14ac:dyDescent="0.3"/>
    <row r="796" s="1" customFormat="1" ht="14.25" customHeight="1" x14ac:dyDescent="0.3"/>
    <row r="797" s="1" customFormat="1" ht="14.25" customHeight="1" x14ac:dyDescent="0.3"/>
    <row r="798" s="1" customFormat="1" ht="14.25" customHeight="1" x14ac:dyDescent="0.3"/>
    <row r="799" s="1" customFormat="1" ht="14.25" customHeight="1" x14ac:dyDescent="0.3"/>
    <row r="800" s="1" customFormat="1" ht="14.25" customHeight="1" x14ac:dyDescent="0.3"/>
    <row r="801" s="1" customFormat="1" ht="14.25" customHeight="1" x14ac:dyDescent="0.3"/>
    <row r="802" s="1" customFormat="1" ht="14.25" customHeight="1" x14ac:dyDescent="0.3"/>
    <row r="803" s="1" customFormat="1" ht="14.25" customHeight="1" x14ac:dyDescent="0.3"/>
    <row r="804" s="1" customFormat="1" ht="14.25" customHeight="1" x14ac:dyDescent="0.3"/>
    <row r="805" s="1" customFormat="1" ht="14.25" customHeight="1" x14ac:dyDescent="0.3"/>
    <row r="806" s="1" customFormat="1" ht="14.25" customHeight="1" x14ac:dyDescent="0.3"/>
    <row r="807" s="1" customFormat="1" ht="14.25" customHeight="1" x14ac:dyDescent="0.3"/>
    <row r="808" s="1" customFormat="1" ht="14.25" customHeight="1" x14ac:dyDescent="0.3"/>
    <row r="809" s="1" customFormat="1" ht="14.25" customHeight="1" x14ac:dyDescent="0.3"/>
    <row r="810" s="1" customFormat="1" ht="14.25" customHeight="1" x14ac:dyDescent="0.3"/>
    <row r="811" s="1" customFormat="1" ht="14.25" customHeight="1" x14ac:dyDescent="0.3"/>
    <row r="812" s="1" customFormat="1" ht="14.25" customHeight="1" x14ac:dyDescent="0.3"/>
    <row r="813" s="1" customFormat="1" ht="14.25" customHeight="1" x14ac:dyDescent="0.3"/>
    <row r="814" s="1" customFormat="1" ht="14.25" customHeight="1" x14ac:dyDescent="0.3"/>
    <row r="815" s="1" customFormat="1" ht="14.25" customHeight="1" x14ac:dyDescent="0.3"/>
    <row r="816" s="1" customFormat="1" ht="14.25" customHeight="1" x14ac:dyDescent="0.3"/>
    <row r="817" s="1" customFormat="1" ht="14.25" customHeight="1" x14ac:dyDescent="0.3"/>
    <row r="818" s="1" customFormat="1" ht="14.25" customHeight="1" x14ac:dyDescent="0.3"/>
    <row r="819" s="1" customFormat="1" ht="14.25" customHeight="1" x14ac:dyDescent="0.3"/>
    <row r="820" s="1" customFormat="1" ht="14.25" customHeight="1" x14ac:dyDescent="0.3"/>
    <row r="821" s="1" customFormat="1" ht="14.25" customHeight="1" x14ac:dyDescent="0.3"/>
    <row r="822" s="1" customFormat="1" ht="14.25" customHeight="1" x14ac:dyDescent="0.3"/>
    <row r="823" s="1" customFormat="1" ht="14.25" customHeight="1" x14ac:dyDescent="0.3"/>
    <row r="824" s="1" customFormat="1" ht="14.25" customHeight="1" x14ac:dyDescent="0.3"/>
    <row r="825" s="1" customFormat="1" ht="14.25" customHeight="1" x14ac:dyDescent="0.3"/>
    <row r="826" s="1" customFormat="1" ht="14.25" customHeight="1" x14ac:dyDescent="0.3"/>
    <row r="827" s="1" customFormat="1" ht="14.25" customHeight="1" x14ac:dyDescent="0.3"/>
    <row r="828" s="1" customFormat="1" ht="14.25" customHeight="1" x14ac:dyDescent="0.3"/>
    <row r="829" s="1" customFormat="1" ht="14.25" customHeight="1" x14ac:dyDescent="0.3"/>
    <row r="830" s="1" customFormat="1" ht="14.25" customHeight="1" x14ac:dyDescent="0.3"/>
    <row r="831" s="1" customFormat="1" ht="14.25" customHeight="1" x14ac:dyDescent="0.3"/>
    <row r="832" s="1" customFormat="1" ht="14.25" customHeight="1" x14ac:dyDescent="0.3"/>
    <row r="833" s="1" customFormat="1" ht="14.25" customHeight="1" x14ac:dyDescent="0.3"/>
    <row r="834" s="1" customFormat="1" ht="14.25" customHeight="1" x14ac:dyDescent="0.3"/>
    <row r="835" s="1" customFormat="1" ht="14.25" customHeight="1" x14ac:dyDescent="0.3"/>
    <row r="836" s="1" customFormat="1" ht="14.25" customHeight="1" x14ac:dyDescent="0.3"/>
    <row r="837" s="1" customFormat="1" ht="14.25" customHeight="1" x14ac:dyDescent="0.3"/>
    <row r="838" s="1" customFormat="1" ht="14.25" customHeight="1" x14ac:dyDescent="0.3"/>
    <row r="839" s="1" customFormat="1" ht="14.25" customHeight="1" x14ac:dyDescent="0.3"/>
    <row r="840" s="1" customFormat="1" ht="14.25" customHeight="1" x14ac:dyDescent="0.3"/>
    <row r="841" s="1" customFormat="1" ht="14.25" customHeight="1" x14ac:dyDescent="0.3"/>
    <row r="842" s="1" customFormat="1" ht="14.25" customHeight="1" x14ac:dyDescent="0.3"/>
    <row r="843" s="1" customFormat="1" ht="14.25" customHeight="1" x14ac:dyDescent="0.3"/>
    <row r="844" s="1" customFormat="1" ht="14.25" customHeight="1" x14ac:dyDescent="0.3"/>
    <row r="845" s="1" customFormat="1" ht="14.25" customHeight="1" x14ac:dyDescent="0.3"/>
    <row r="846" s="1" customFormat="1" ht="14.25" customHeight="1" x14ac:dyDescent="0.3"/>
    <row r="847" s="1" customFormat="1" ht="14.25" customHeight="1" x14ac:dyDescent="0.3"/>
    <row r="848" s="1" customFormat="1" ht="14.25" customHeight="1" x14ac:dyDescent="0.3"/>
    <row r="849" s="1" customFormat="1" ht="14.25" customHeight="1" x14ac:dyDescent="0.3"/>
    <row r="850" s="1" customFormat="1" ht="14.25" customHeight="1" x14ac:dyDescent="0.3"/>
    <row r="851" s="1" customFormat="1" ht="14.25" customHeight="1" x14ac:dyDescent="0.3"/>
    <row r="852" s="1" customFormat="1" ht="14.25" customHeight="1" x14ac:dyDescent="0.3"/>
    <row r="853" s="1" customFormat="1" ht="14.25" customHeight="1" x14ac:dyDescent="0.3"/>
    <row r="854" s="1" customFormat="1" ht="14.25" customHeight="1" x14ac:dyDescent="0.3"/>
    <row r="855" s="1" customFormat="1" ht="14.25" customHeight="1" x14ac:dyDescent="0.3"/>
    <row r="856" s="1" customFormat="1" ht="14.25" customHeight="1" x14ac:dyDescent="0.3"/>
    <row r="857" s="1" customFormat="1" ht="14.25" customHeight="1" x14ac:dyDescent="0.3"/>
    <row r="858" s="1" customFormat="1" ht="14.25" customHeight="1" x14ac:dyDescent="0.3"/>
    <row r="859" s="1" customFormat="1" ht="14.25" customHeight="1" x14ac:dyDescent="0.3"/>
    <row r="860" s="1" customFormat="1" ht="14.25" customHeight="1" x14ac:dyDescent="0.3"/>
    <row r="861" s="1" customFormat="1" ht="14.25" customHeight="1" x14ac:dyDescent="0.3"/>
    <row r="862" s="1" customFormat="1" ht="14.25" customHeight="1" x14ac:dyDescent="0.3"/>
    <row r="863" s="1" customFormat="1" ht="14.25" customHeight="1" x14ac:dyDescent="0.3"/>
    <row r="864" s="1" customFormat="1" ht="14.25" customHeight="1" x14ac:dyDescent="0.3"/>
    <row r="865" s="1" customFormat="1" ht="14.25" customHeight="1" x14ac:dyDescent="0.3"/>
    <row r="866" s="1" customFormat="1" ht="14.25" customHeight="1" x14ac:dyDescent="0.3"/>
    <row r="867" s="1" customFormat="1" ht="14.25" customHeight="1" x14ac:dyDescent="0.3"/>
    <row r="868" s="1" customFormat="1" ht="14.25" customHeight="1" x14ac:dyDescent="0.3"/>
    <row r="869" s="1" customFormat="1" ht="14.25" customHeight="1" x14ac:dyDescent="0.3"/>
    <row r="870" s="1" customFormat="1" ht="14.25" customHeight="1" x14ac:dyDescent="0.3"/>
    <row r="871" s="1" customFormat="1" ht="14.25" customHeight="1" x14ac:dyDescent="0.3"/>
    <row r="872" s="1" customFormat="1" ht="14.25" customHeight="1" x14ac:dyDescent="0.3"/>
    <row r="873" s="1" customFormat="1" ht="14.25" customHeight="1" x14ac:dyDescent="0.3"/>
    <row r="874" s="1" customFormat="1" ht="14.25" customHeight="1" x14ac:dyDescent="0.3"/>
    <row r="875" s="1" customFormat="1" ht="14.25" customHeight="1" x14ac:dyDescent="0.3"/>
    <row r="876" s="1" customFormat="1" ht="14.25" customHeight="1" x14ac:dyDescent="0.3"/>
    <row r="877" s="1" customFormat="1" ht="14.25" customHeight="1" x14ac:dyDescent="0.3"/>
    <row r="878" s="1" customFormat="1" ht="14.25" customHeight="1" x14ac:dyDescent="0.3"/>
    <row r="879" s="1" customFormat="1" ht="14.25" customHeight="1" x14ac:dyDescent="0.3"/>
    <row r="880" s="1" customFormat="1" ht="14.25" customHeight="1" x14ac:dyDescent="0.3"/>
    <row r="881" s="1" customFormat="1" ht="14.25" customHeight="1" x14ac:dyDescent="0.3"/>
    <row r="882" s="1" customFormat="1" ht="14.25" customHeight="1" x14ac:dyDescent="0.3"/>
    <row r="883" s="1" customFormat="1" ht="14.25" customHeight="1" x14ac:dyDescent="0.3"/>
    <row r="884" s="1" customFormat="1" ht="14.25" customHeight="1" x14ac:dyDescent="0.3"/>
    <row r="885" s="1" customFormat="1" ht="14.25" customHeight="1" x14ac:dyDescent="0.3"/>
    <row r="886" s="1" customFormat="1" ht="14.25" customHeight="1" x14ac:dyDescent="0.3"/>
    <row r="887" s="1" customFormat="1" ht="14.25" customHeight="1" x14ac:dyDescent="0.3"/>
    <row r="888" s="1" customFormat="1" ht="14.25" customHeight="1" x14ac:dyDescent="0.3"/>
    <row r="889" s="1" customFormat="1" ht="14.25" customHeight="1" x14ac:dyDescent="0.3"/>
    <row r="890" s="1" customFormat="1" ht="14.25" customHeight="1" x14ac:dyDescent="0.3"/>
    <row r="891" s="1" customFormat="1" ht="14.25" customHeight="1" x14ac:dyDescent="0.3"/>
    <row r="892" s="1" customFormat="1" ht="14.25" customHeight="1" x14ac:dyDescent="0.3"/>
    <row r="893" s="1" customFormat="1" ht="14.25" customHeight="1" x14ac:dyDescent="0.3"/>
    <row r="894" s="1" customFormat="1" ht="14.25" customHeight="1" x14ac:dyDescent="0.3"/>
    <row r="895" s="1" customFormat="1" ht="14.25" customHeight="1" x14ac:dyDescent="0.3"/>
    <row r="896" s="1" customFormat="1" ht="14.25" customHeight="1" x14ac:dyDescent="0.3"/>
    <row r="897" s="1" customFormat="1" ht="14.25" customHeight="1" x14ac:dyDescent="0.3"/>
    <row r="898" s="1" customFormat="1" ht="14.25" customHeight="1" x14ac:dyDescent="0.3"/>
    <row r="899" s="1" customFormat="1" ht="14.25" customHeight="1" x14ac:dyDescent="0.3"/>
    <row r="900" s="1" customFormat="1" ht="14.25" customHeight="1" x14ac:dyDescent="0.3"/>
    <row r="901" s="1" customFormat="1" ht="14.25" customHeight="1" x14ac:dyDescent="0.3"/>
    <row r="902" s="1" customFormat="1" ht="14.25" customHeight="1" x14ac:dyDescent="0.3"/>
    <row r="903" s="1" customFormat="1" ht="14.25" customHeight="1" x14ac:dyDescent="0.3"/>
    <row r="904" s="1" customFormat="1" ht="14.25" customHeight="1" x14ac:dyDescent="0.3"/>
    <row r="905" s="1" customFormat="1" ht="14.25" customHeight="1" x14ac:dyDescent="0.3"/>
    <row r="906" s="1" customFormat="1" ht="14.25" customHeight="1" x14ac:dyDescent="0.3"/>
    <row r="907" s="1" customFormat="1" ht="14.25" customHeight="1" x14ac:dyDescent="0.3"/>
    <row r="908" s="1" customFormat="1" ht="14.25" customHeight="1" x14ac:dyDescent="0.3"/>
    <row r="909" s="1" customFormat="1" ht="14.25" customHeight="1" x14ac:dyDescent="0.3"/>
    <row r="910" s="1" customFormat="1" ht="14.25" customHeight="1" x14ac:dyDescent="0.3"/>
    <row r="911" s="1" customFormat="1" ht="14.25" customHeight="1" x14ac:dyDescent="0.3"/>
    <row r="912" s="1" customFormat="1" ht="14.25" customHeight="1" x14ac:dyDescent="0.3"/>
    <row r="913" s="1" customFormat="1" ht="14.25" customHeight="1" x14ac:dyDescent="0.3"/>
    <row r="914" s="1" customFormat="1" ht="14.25" customHeight="1" x14ac:dyDescent="0.3"/>
    <row r="915" s="1" customFormat="1" ht="14.25" customHeight="1" x14ac:dyDescent="0.3"/>
    <row r="916" s="1" customFormat="1" ht="14.25" customHeight="1" x14ac:dyDescent="0.3"/>
    <row r="917" s="1" customFormat="1" ht="14.25" customHeight="1" x14ac:dyDescent="0.3"/>
    <row r="918" s="1" customFormat="1" ht="14.25" customHeight="1" x14ac:dyDescent="0.3"/>
    <row r="919" s="1" customFormat="1" ht="14.25" customHeight="1" x14ac:dyDescent="0.3"/>
    <row r="920" s="1" customFormat="1" ht="14.25" customHeight="1" x14ac:dyDescent="0.3"/>
    <row r="921" s="1" customFormat="1" ht="14.25" customHeight="1" x14ac:dyDescent="0.3"/>
    <row r="922" s="1" customFormat="1" ht="14.25" customHeight="1" x14ac:dyDescent="0.3"/>
    <row r="923" s="1" customFormat="1" ht="14.25" customHeight="1" x14ac:dyDescent="0.3"/>
    <row r="924" s="1" customFormat="1" ht="14.25" customHeight="1" x14ac:dyDescent="0.3"/>
    <row r="925" s="1" customFormat="1" ht="14.25" customHeight="1" x14ac:dyDescent="0.3"/>
    <row r="926" s="1" customFormat="1" ht="14.25" customHeight="1" x14ac:dyDescent="0.3"/>
    <row r="927" s="1" customFormat="1" ht="14.25" customHeight="1" x14ac:dyDescent="0.3"/>
    <row r="928" s="1" customFormat="1" ht="14.25" customHeight="1" x14ac:dyDescent="0.3"/>
    <row r="929" s="1" customFormat="1" ht="14.25" customHeight="1" x14ac:dyDescent="0.3"/>
    <row r="930" s="1" customFormat="1" ht="14.25" customHeight="1" x14ac:dyDescent="0.3"/>
    <row r="931" s="1" customFormat="1" ht="14.25" customHeight="1" x14ac:dyDescent="0.3"/>
    <row r="932" s="1" customFormat="1" ht="14.25" customHeight="1" x14ac:dyDescent="0.3"/>
    <row r="933" s="1" customFormat="1" ht="14.25" customHeight="1" x14ac:dyDescent="0.3"/>
    <row r="934" s="1" customFormat="1" ht="14.25" customHeight="1" x14ac:dyDescent="0.3"/>
    <row r="935" s="1" customFormat="1" ht="14.25" customHeight="1" x14ac:dyDescent="0.3"/>
    <row r="936" s="1" customFormat="1" ht="14.25" customHeight="1" x14ac:dyDescent="0.3"/>
    <row r="937" s="1" customFormat="1" ht="14.25" customHeight="1" x14ac:dyDescent="0.3"/>
    <row r="938" s="1" customFormat="1" ht="14.25" customHeight="1" x14ac:dyDescent="0.3"/>
    <row r="939" s="1" customFormat="1" ht="14.25" customHeight="1" x14ac:dyDescent="0.3"/>
    <row r="940" s="1" customFormat="1" ht="14.25" customHeight="1" x14ac:dyDescent="0.3"/>
    <row r="941" s="1" customFormat="1" ht="14.25" customHeight="1" x14ac:dyDescent="0.3"/>
    <row r="942" s="1" customFormat="1" ht="14.25" customHeight="1" x14ac:dyDescent="0.3"/>
    <row r="943" s="1" customFormat="1" ht="14.25" customHeight="1" x14ac:dyDescent="0.3"/>
    <row r="944" s="1" customFormat="1" ht="14.25" customHeight="1" x14ac:dyDescent="0.3"/>
    <row r="945" s="1" customFormat="1" ht="14.25" customHeight="1" x14ac:dyDescent="0.3"/>
    <row r="946" s="1" customFormat="1" ht="14.25" customHeight="1" x14ac:dyDescent="0.3"/>
    <row r="947" s="1" customFormat="1" ht="14.25" customHeight="1" x14ac:dyDescent="0.3"/>
    <row r="948" s="1" customFormat="1" ht="14.25" customHeight="1" x14ac:dyDescent="0.3"/>
    <row r="949" s="1" customFormat="1" ht="14.25" customHeight="1" x14ac:dyDescent="0.3"/>
    <row r="950" s="1" customFormat="1" ht="14.25" customHeight="1" x14ac:dyDescent="0.3"/>
    <row r="951" s="1" customFormat="1" ht="14.25" customHeight="1" x14ac:dyDescent="0.3"/>
    <row r="952" s="1" customFormat="1" ht="14.25" customHeight="1" x14ac:dyDescent="0.3"/>
    <row r="953" s="1" customFormat="1" ht="14.25" customHeight="1" x14ac:dyDescent="0.3"/>
    <row r="954" s="1" customFormat="1" ht="14.25" customHeight="1" x14ac:dyDescent="0.3"/>
    <row r="955" s="1" customFormat="1" ht="14.25" customHeight="1" x14ac:dyDescent="0.3"/>
    <row r="956" s="1" customFormat="1" ht="14.25" customHeight="1" x14ac:dyDescent="0.3"/>
    <row r="957" s="1" customFormat="1" ht="14.25" customHeight="1" x14ac:dyDescent="0.3"/>
    <row r="958" s="1" customFormat="1" ht="14.25" customHeight="1" x14ac:dyDescent="0.3"/>
    <row r="959" s="1" customFormat="1" ht="14.25" customHeight="1" x14ac:dyDescent="0.3"/>
    <row r="960" s="1" customFormat="1" ht="14.25" customHeight="1" x14ac:dyDescent="0.3"/>
    <row r="961" s="1" customFormat="1" ht="14.25" customHeight="1" x14ac:dyDescent="0.3"/>
    <row r="962" s="1" customFormat="1" ht="14.25" customHeight="1" x14ac:dyDescent="0.3"/>
    <row r="963" s="1" customFormat="1" ht="14.25" customHeight="1" x14ac:dyDescent="0.3"/>
    <row r="964" s="1" customFormat="1" ht="14.25" customHeight="1" x14ac:dyDescent="0.3"/>
    <row r="965" s="1" customFormat="1" ht="14.25" customHeight="1" x14ac:dyDescent="0.3"/>
    <row r="966" s="1" customFormat="1" ht="14.25" customHeight="1" x14ac:dyDescent="0.3"/>
    <row r="967" s="1" customFormat="1" ht="14.25" customHeight="1" x14ac:dyDescent="0.3"/>
    <row r="968" s="1" customFormat="1" ht="14.25" customHeight="1" x14ac:dyDescent="0.3"/>
    <row r="969" s="1" customFormat="1" ht="14.25" customHeight="1" x14ac:dyDescent="0.3"/>
    <row r="970" s="1" customFormat="1" ht="14.25" customHeight="1" x14ac:dyDescent="0.3"/>
    <row r="971" s="1" customFormat="1" ht="14.25" customHeight="1" x14ac:dyDescent="0.3"/>
    <row r="972" s="1" customFormat="1" ht="14.25" customHeight="1" x14ac:dyDescent="0.3"/>
    <row r="973" s="1" customFormat="1" ht="14.25" customHeight="1" x14ac:dyDescent="0.3"/>
    <row r="974" s="1" customFormat="1" ht="14.25" customHeight="1" x14ac:dyDescent="0.3"/>
    <row r="975" s="1" customFormat="1" ht="14.25" customHeight="1" x14ac:dyDescent="0.3"/>
    <row r="976" s="1" customFormat="1" ht="14.25" customHeight="1" x14ac:dyDescent="0.3"/>
    <row r="977" s="1" customFormat="1" ht="14.25" customHeight="1" x14ac:dyDescent="0.3"/>
    <row r="978" s="1" customFormat="1" ht="14.25" customHeight="1" x14ac:dyDescent="0.3"/>
    <row r="979" s="1" customFormat="1" ht="14.25" customHeight="1" x14ac:dyDescent="0.3"/>
    <row r="980" s="1" customFormat="1" ht="14.25" customHeight="1" x14ac:dyDescent="0.3"/>
    <row r="981" s="1" customFormat="1" ht="14.25" customHeight="1" x14ac:dyDescent="0.3"/>
    <row r="982" s="1" customFormat="1" ht="14.25" customHeight="1" x14ac:dyDescent="0.3"/>
    <row r="983" s="1" customFormat="1" ht="14.25" customHeight="1" x14ac:dyDescent="0.3"/>
    <row r="984" s="1" customFormat="1" ht="14.25" customHeight="1" x14ac:dyDescent="0.3"/>
    <row r="985" s="1" customFormat="1" ht="14.25" customHeight="1" x14ac:dyDescent="0.3"/>
    <row r="986" s="1" customFormat="1" ht="14.25" customHeight="1" x14ac:dyDescent="0.3"/>
    <row r="987" s="1" customFormat="1" ht="14.25" customHeight="1" x14ac:dyDescent="0.3"/>
    <row r="988" s="1" customFormat="1" ht="14.25" customHeight="1" x14ac:dyDescent="0.3"/>
    <row r="989" s="1" customFormat="1" ht="14.25" customHeight="1" x14ac:dyDescent="0.3"/>
    <row r="990" s="1" customFormat="1" ht="14.25" customHeight="1" x14ac:dyDescent="0.3"/>
    <row r="991" s="1" customFormat="1" ht="14.25" customHeight="1" x14ac:dyDescent="0.3"/>
    <row r="992" s="1" customFormat="1" ht="14.25" customHeight="1" x14ac:dyDescent="0.3"/>
    <row r="993" s="1" customFormat="1" ht="14.25" customHeight="1" x14ac:dyDescent="0.3"/>
    <row r="994" s="1" customFormat="1" ht="14.25" customHeight="1" x14ac:dyDescent="0.3"/>
    <row r="995" s="1" customFormat="1" ht="14.25" customHeight="1" x14ac:dyDescent="0.3"/>
    <row r="996" s="1" customFormat="1" ht="14.25" customHeight="1" x14ac:dyDescent="0.3"/>
    <row r="997" s="1" customFormat="1" ht="14.25" customHeight="1" x14ac:dyDescent="0.3"/>
    <row r="998" s="1" customFormat="1" ht="14.25" customHeight="1" x14ac:dyDescent="0.3"/>
    <row r="999" s="1" customFormat="1" ht="14.25" customHeight="1" x14ac:dyDescent="0.3"/>
  </sheetData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7A803-D256-438A-BD72-A013D1B1A911}">
  <dimension ref="A1:M999"/>
  <sheetViews>
    <sheetView workbookViewId="0">
      <selection activeCell="F7" sqref="F7"/>
    </sheetView>
  </sheetViews>
  <sheetFormatPr baseColWidth="10" defaultColWidth="12.6328125" defaultRowHeight="15" customHeight="1" x14ac:dyDescent="0.3"/>
  <cols>
    <col min="1" max="1" width="15.7265625" style="1" customWidth="1"/>
    <col min="2" max="7" width="10.6328125" style="1" customWidth="1"/>
    <col min="8" max="8" width="11.36328125" style="1" customWidth="1"/>
    <col min="9" max="25" width="10.6328125" style="1" customWidth="1"/>
    <col min="26" max="16384" width="12.6328125" style="1"/>
  </cols>
  <sheetData>
    <row r="1" spans="1:13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4.25" customHeight="1" x14ac:dyDescent="0.3">
      <c r="A2" s="1" t="s">
        <v>12</v>
      </c>
      <c r="B2" s="1" t="s">
        <v>13</v>
      </c>
      <c r="E2" s="1">
        <v>1</v>
      </c>
      <c r="H2" s="2" t="s">
        <v>14</v>
      </c>
      <c r="I2" s="3">
        <f t="shared" ref="I2:L2" si="0">SUM(C22+C37+C55+C65+C66+C96+C105+C113+C128+C146+C150)</f>
        <v>10</v>
      </c>
      <c r="J2" s="3">
        <f t="shared" si="0"/>
        <v>0</v>
      </c>
      <c r="K2" s="3">
        <f t="shared" si="0"/>
        <v>1</v>
      </c>
      <c r="L2" s="3">
        <f t="shared" si="0"/>
        <v>0</v>
      </c>
      <c r="M2" s="3">
        <f t="shared" ref="M2:M13" si="1">SUM(I2:L2)</f>
        <v>11</v>
      </c>
    </row>
    <row r="3" spans="1:13" ht="14.25" customHeight="1" x14ac:dyDescent="0.3">
      <c r="A3" s="1" t="s">
        <v>15</v>
      </c>
      <c r="B3" s="1" t="s">
        <v>16</v>
      </c>
      <c r="C3" s="1">
        <v>1</v>
      </c>
      <c r="H3" s="2" t="s">
        <v>17</v>
      </c>
      <c r="I3" s="3">
        <f t="shared" ref="I3:L3" si="2">SUM(C6+C32+C50+C52+C58+C69+C76+C94+C115+C122+C123+C152)</f>
        <v>7</v>
      </c>
      <c r="J3" s="3">
        <f t="shared" si="2"/>
        <v>4</v>
      </c>
      <c r="K3" s="3">
        <f t="shared" si="2"/>
        <v>0</v>
      </c>
      <c r="L3" s="3">
        <f t="shared" si="2"/>
        <v>1</v>
      </c>
      <c r="M3" s="3">
        <f t="shared" si="1"/>
        <v>12</v>
      </c>
    </row>
    <row r="4" spans="1:13" ht="14.25" customHeight="1" x14ac:dyDescent="0.3">
      <c r="A4" s="1" t="s">
        <v>18</v>
      </c>
      <c r="B4" s="1" t="s">
        <v>13</v>
      </c>
      <c r="D4" s="1">
        <v>1</v>
      </c>
      <c r="H4" s="2" t="s">
        <v>19</v>
      </c>
      <c r="I4" s="3">
        <f t="shared" ref="I4:L4" si="3">SUM(C26+C14+C27+C62+C68+C124+C138+C142+C153+C155)</f>
        <v>10</v>
      </c>
      <c r="J4" s="3">
        <f t="shared" si="3"/>
        <v>0</v>
      </c>
      <c r="K4" s="3">
        <f t="shared" si="3"/>
        <v>0</v>
      </c>
      <c r="L4" s="3">
        <f t="shared" si="3"/>
        <v>0</v>
      </c>
      <c r="M4" s="3">
        <f t="shared" si="1"/>
        <v>10</v>
      </c>
    </row>
    <row r="5" spans="1:13" ht="14.25" customHeight="1" x14ac:dyDescent="0.3">
      <c r="A5" s="1" t="s">
        <v>20</v>
      </c>
      <c r="B5" s="1" t="s">
        <v>21</v>
      </c>
      <c r="E5" s="1">
        <v>1</v>
      </c>
      <c r="H5" s="2" t="s">
        <v>22</v>
      </c>
      <c r="I5" s="3">
        <f t="shared" ref="I5:L5" si="4">SUM(C5+C36+C56+C63+C73+C85+C87+C95+C135)</f>
        <v>0</v>
      </c>
      <c r="J5" s="3">
        <f t="shared" si="4"/>
        <v>0</v>
      </c>
      <c r="K5" s="3">
        <f t="shared" si="4"/>
        <v>8</v>
      </c>
      <c r="L5" s="3">
        <f t="shared" si="4"/>
        <v>1</v>
      </c>
      <c r="M5" s="3">
        <f t="shared" si="1"/>
        <v>9</v>
      </c>
    </row>
    <row r="6" spans="1:13" ht="14.25" customHeight="1" x14ac:dyDescent="0.3">
      <c r="A6" s="1" t="s">
        <v>23</v>
      </c>
      <c r="B6" s="1" t="s">
        <v>24</v>
      </c>
      <c r="C6" s="1">
        <v>1</v>
      </c>
      <c r="H6" s="2" t="s">
        <v>25</v>
      </c>
      <c r="I6" s="3">
        <f t="shared" ref="I6:L6" si="5">SUM(C12+C15+C18+C28+C41+C59+C78+C64+C82+C83+C86+C106+C119+C143+C148+C154)</f>
        <v>16</v>
      </c>
      <c r="J6" s="3">
        <f t="shared" si="5"/>
        <v>0</v>
      </c>
      <c r="K6" s="3">
        <f t="shared" si="5"/>
        <v>0</v>
      </c>
      <c r="L6" s="3">
        <f t="shared" si="5"/>
        <v>0</v>
      </c>
      <c r="M6" s="3">
        <f t="shared" si="1"/>
        <v>16</v>
      </c>
    </row>
    <row r="7" spans="1:13" ht="14.25" customHeight="1" x14ac:dyDescent="0.3">
      <c r="A7" s="1" t="s">
        <v>26</v>
      </c>
      <c r="B7" s="1" t="s">
        <v>27</v>
      </c>
      <c r="D7" s="1">
        <v>1</v>
      </c>
      <c r="H7" s="2" t="s">
        <v>28</v>
      </c>
      <c r="I7" s="3">
        <f t="shared" ref="I7:L7" si="6">SUM(C3+C20+C46+C49+C54+C89+C90+C102+C112+C114+C129+C141)</f>
        <v>5</v>
      </c>
      <c r="J7" s="3">
        <f t="shared" si="6"/>
        <v>5</v>
      </c>
      <c r="K7" s="3">
        <f t="shared" si="6"/>
        <v>2</v>
      </c>
      <c r="L7" s="3">
        <f t="shared" si="6"/>
        <v>0</v>
      </c>
      <c r="M7" s="3">
        <f t="shared" si="1"/>
        <v>12</v>
      </c>
    </row>
    <row r="8" spans="1:13" ht="14.25" customHeight="1" x14ac:dyDescent="0.3">
      <c r="A8" s="1" t="s">
        <v>29</v>
      </c>
      <c r="B8" s="1" t="s">
        <v>30</v>
      </c>
      <c r="D8" s="1">
        <v>1</v>
      </c>
      <c r="H8" s="2" t="s">
        <v>27</v>
      </c>
      <c r="I8" s="3">
        <f t="shared" ref="I8:L8" si="7">SUM(C7+C30+C29+C44+C51+C60+C72+C79+C101+C99+C107+C111+C117+C140+C144)</f>
        <v>1</v>
      </c>
      <c r="J8" s="3">
        <f t="shared" si="7"/>
        <v>13</v>
      </c>
      <c r="K8" s="3">
        <f t="shared" si="7"/>
        <v>1</v>
      </c>
      <c r="L8" s="3">
        <f t="shared" si="7"/>
        <v>0</v>
      </c>
      <c r="M8" s="3">
        <f t="shared" si="1"/>
        <v>15</v>
      </c>
    </row>
    <row r="9" spans="1:13" ht="14.25" customHeight="1" x14ac:dyDescent="0.3">
      <c r="A9" s="1" t="s">
        <v>31</v>
      </c>
      <c r="B9" s="1" t="s">
        <v>13</v>
      </c>
      <c r="E9" s="1">
        <v>1</v>
      </c>
      <c r="H9" s="2" t="s">
        <v>13</v>
      </c>
      <c r="I9" s="3">
        <f t="shared" ref="I9:J9" si="8">SUM(C4+C9+C17+C19+C2+C48+C92+C120+C126+C127+C130+C133+C151)</f>
        <v>0</v>
      </c>
      <c r="J9" s="3">
        <f t="shared" si="8"/>
        <v>8</v>
      </c>
      <c r="K9" s="3">
        <f>SUM(D4+D9+D17+D19+D2+D48+D92+D120+D126+D127+D130+D133+D151)</f>
        <v>8</v>
      </c>
      <c r="L9" s="3">
        <f>SUM(F4+F9+F17+F19+F2+F48+F92+F120+F126+F127+F130+F133+F151)</f>
        <v>0</v>
      </c>
      <c r="M9" s="3">
        <f t="shared" si="1"/>
        <v>16</v>
      </c>
    </row>
    <row r="10" spans="1:13" ht="14.25" customHeight="1" x14ac:dyDescent="0.3">
      <c r="A10" s="1" t="s">
        <v>32</v>
      </c>
      <c r="B10" s="1" t="s">
        <v>33</v>
      </c>
      <c r="C10" s="1">
        <v>1</v>
      </c>
      <c r="H10" s="2" t="s">
        <v>30</v>
      </c>
      <c r="I10" s="3">
        <f t="shared" ref="I10:L10" si="9">SUM(C8+C13+C16+C25+C31+C35+C43+C45+C70+C71+C75+C81+C88+C93+C98+C100+C104+C118+C136+C137+C156)</f>
        <v>0</v>
      </c>
      <c r="J10" s="3">
        <f t="shared" si="9"/>
        <v>21</v>
      </c>
      <c r="K10" s="3">
        <f t="shared" si="9"/>
        <v>0</v>
      </c>
      <c r="L10" s="3">
        <f t="shared" si="9"/>
        <v>0</v>
      </c>
      <c r="M10" s="3">
        <f t="shared" si="1"/>
        <v>21</v>
      </c>
    </row>
    <row r="11" spans="1:13" ht="14.25" customHeight="1" x14ac:dyDescent="0.3">
      <c r="A11" s="1" t="s">
        <v>34</v>
      </c>
      <c r="B11" s="1" t="s">
        <v>33</v>
      </c>
      <c r="C11" s="1">
        <v>1</v>
      </c>
      <c r="H11" s="2" t="s">
        <v>35</v>
      </c>
      <c r="I11" s="3">
        <f t="shared" ref="I11:L11" si="10">SUM(C38+C42+C47+C53+C74+C77+C80+C91+C97+C103+C108+C116+C131+C145+C147)</f>
        <v>1</v>
      </c>
      <c r="J11" s="3">
        <f t="shared" si="10"/>
        <v>13</v>
      </c>
      <c r="K11" s="3">
        <f t="shared" si="10"/>
        <v>1</v>
      </c>
      <c r="L11" s="3">
        <f t="shared" si="10"/>
        <v>0</v>
      </c>
      <c r="M11" s="3">
        <f t="shared" si="1"/>
        <v>15</v>
      </c>
    </row>
    <row r="12" spans="1:13" ht="14.25" customHeight="1" x14ac:dyDescent="0.3">
      <c r="A12" s="1" t="s">
        <v>36</v>
      </c>
      <c r="B12" s="1" t="s">
        <v>37</v>
      </c>
      <c r="C12" s="1">
        <v>1</v>
      </c>
      <c r="H12" s="2" t="s">
        <v>38</v>
      </c>
      <c r="I12" s="3">
        <f t="shared" ref="I12:L12" si="11">SUM(C21+C24+C34+C40+C67+C84+C132)</f>
        <v>0</v>
      </c>
      <c r="J12" s="3">
        <f t="shared" si="11"/>
        <v>6</v>
      </c>
      <c r="K12" s="3">
        <f t="shared" si="11"/>
        <v>1</v>
      </c>
      <c r="L12" s="3">
        <f t="shared" si="11"/>
        <v>0</v>
      </c>
      <c r="M12" s="3">
        <f t="shared" si="1"/>
        <v>7</v>
      </c>
    </row>
    <row r="13" spans="1:13" ht="14.25" customHeight="1" x14ac:dyDescent="0.3">
      <c r="A13" s="1" t="s">
        <v>39</v>
      </c>
      <c r="B13" s="1" t="s">
        <v>30</v>
      </c>
      <c r="D13" s="1">
        <v>1</v>
      </c>
      <c r="H13" s="2" t="s">
        <v>33</v>
      </c>
      <c r="I13" s="3">
        <f t="shared" ref="I13:L13" si="12">SUM(C10+C11+C57+C125+C149)</f>
        <v>4</v>
      </c>
      <c r="J13" s="3">
        <f t="shared" si="12"/>
        <v>1</v>
      </c>
      <c r="K13" s="3">
        <f t="shared" si="12"/>
        <v>0</v>
      </c>
      <c r="L13" s="3">
        <f t="shared" si="12"/>
        <v>0</v>
      </c>
      <c r="M13" s="3">
        <f t="shared" si="1"/>
        <v>5</v>
      </c>
    </row>
    <row r="14" spans="1:13" ht="14.25" customHeight="1" x14ac:dyDescent="0.3">
      <c r="A14" s="1" t="s">
        <v>40</v>
      </c>
      <c r="B14" s="1" t="s">
        <v>19</v>
      </c>
      <c r="C14" s="1">
        <v>1</v>
      </c>
      <c r="I14" s="4"/>
      <c r="J14" s="4"/>
      <c r="K14" s="4"/>
      <c r="L14" s="4"/>
    </row>
    <row r="15" spans="1:13" ht="14.25" customHeight="1" x14ac:dyDescent="0.3">
      <c r="A15" s="1" t="s">
        <v>41</v>
      </c>
      <c r="B15" s="1" t="s">
        <v>42</v>
      </c>
      <c r="C15" s="1">
        <v>1</v>
      </c>
      <c r="I15" s="4"/>
      <c r="J15" s="4"/>
      <c r="K15" s="4"/>
      <c r="L15" s="4"/>
    </row>
    <row r="16" spans="1:13" ht="14.25" customHeight="1" x14ac:dyDescent="0.3">
      <c r="A16" s="1" t="s">
        <v>43</v>
      </c>
      <c r="B16" s="1" t="s">
        <v>30</v>
      </c>
      <c r="D16" s="1">
        <v>1</v>
      </c>
      <c r="I16" s="4"/>
      <c r="J16" s="4"/>
      <c r="K16" s="4"/>
      <c r="L16" s="4"/>
    </row>
    <row r="17" spans="1:12" ht="14.25" customHeight="1" x14ac:dyDescent="0.3">
      <c r="A17" s="1" t="s">
        <v>44</v>
      </c>
      <c r="B17" s="1" t="s">
        <v>13</v>
      </c>
      <c r="D17" s="1">
        <v>1</v>
      </c>
      <c r="I17" s="4"/>
      <c r="J17" s="4"/>
      <c r="K17" s="4"/>
      <c r="L17" s="4"/>
    </row>
    <row r="18" spans="1:12" ht="14.25" customHeight="1" x14ac:dyDescent="0.3">
      <c r="A18" s="1" t="s">
        <v>45</v>
      </c>
      <c r="B18" s="1" t="s">
        <v>37</v>
      </c>
      <c r="C18" s="1">
        <v>1</v>
      </c>
      <c r="I18" s="4"/>
      <c r="J18" s="4"/>
      <c r="K18" s="4"/>
      <c r="L18" s="4"/>
    </row>
    <row r="19" spans="1:12" ht="14.25" customHeight="1" x14ac:dyDescent="0.3">
      <c r="A19" s="1" t="s">
        <v>46</v>
      </c>
      <c r="B19" s="1" t="s">
        <v>13</v>
      </c>
      <c r="D19" s="1">
        <v>1</v>
      </c>
    </row>
    <row r="20" spans="1:12" ht="14.25" customHeight="1" x14ac:dyDescent="0.3">
      <c r="A20" s="1" t="s">
        <v>47</v>
      </c>
      <c r="B20" s="1" t="s">
        <v>16</v>
      </c>
      <c r="D20" s="1">
        <v>1</v>
      </c>
    </row>
    <row r="21" spans="1:12" ht="14.25" customHeight="1" x14ac:dyDescent="0.3">
      <c r="A21" s="1" t="s">
        <v>48</v>
      </c>
      <c r="B21" s="1" t="s">
        <v>38</v>
      </c>
      <c r="D21" s="1">
        <v>1</v>
      </c>
    </row>
    <row r="22" spans="1:12" ht="14.25" customHeight="1" x14ac:dyDescent="0.3">
      <c r="A22" s="1" t="s">
        <v>49</v>
      </c>
      <c r="B22" s="1" t="s">
        <v>14</v>
      </c>
      <c r="C22" s="1">
        <v>1</v>
      </c>
    </row>
    <row r="23" spans="1:12" ht="14.25" customHeight="1" x14ac:dyDescent="0.3">
      <c r="A23" s="1" t="s">
        <v>50</v>
      </c>
      <c r="B23" s="1" t="s">
        <v>13</v>
      </c>
      <c r="D23" s="1">
        <v>1</v>
      </c>
    </row>
    <row r="24" spans="1:12" ht="14.25" customHeight="1" x14ac:dyDescent="0.3">
      <c r="A24" s="1" t="s">
        <v>51</v>
      </c>
      <c r="B24" s="1" t="s">
        <v>38</v>
      </c>
      <c r="D24" s="1">
        <v>1</v>
      </c>
    </row>
    <row r="25" spans="1:12" ht="14.25" customHeight="1" x14ac:dyDescent="0.3">
      <c r="A25" s="1" t="s">
        <v>52</v>
      </c>
      <c r="B25" s="1" t="s">
        <v>30</v>
      </c>
      <c r="D25" s="1">
        <v>1</v>
      </c>
    </row>
    <row r="26" spans="1:12" ht="14.25" customHeight="1" x14ac:dyDescent="0.3">
      <c r="A26" s="1" t="s">
        <v>53</v>
      </c>
      <c r="B26" s="1" t="s">
        <v>19</v>
      </c>
      <c r="C26" s="1">
        <v>1</v>
      </c>
    </row>
    <row r="27" spans="1:12" ht="14.25" customHeight="1" x14ac:dyDescent="0.3">
      <c r="A27" s="1" t="s">
        <v>54</v>
      </c>
      <c r="B27" s="1" t="s">
        <v>19</v>
      </c>
      <c r="C27" s="1">
        <v>1</v>
      </c>
    </row>
    <row r="28" spans="1:12" ht="14.25" customHeight="1" x14ac:dyDescent="0.3">
      <c r="A28" s="1" t="s">
        <v>55</v>
      </c>
      <c r="B28" s="1" t="s">
        <v>37</v>
      </c>
      <c r="C28" s="1">
        <v>1</v>
      </c>
    </row>
    <row r="29" spans="1:12" ht="14.25" customHeight="1" x14ac:dyDescent="0.3">
      <c r="A29" s="1" t="s">
        <v>56</v>
      </c>
      <c r="B29" s="1" t="s">
        <v>27</v>
      </c>
      <c r="C29" s="1">
        <v>1</v>
      </c>
    </row>
    <row r="30" spans="1:12" ht="14.25" customHeight="1" x14ac:dyDescent="0.3">
      <c r="A30" s="1" t="s">
        <v>57</v>
      </c>
      <c r="B30" s="1" t="s">
        <v>27</v>
      </c>
      <c r="D30" s="1">
        <v>1</v>
      </c>
    </row>
    <row r="31" spans="1:12" ht="14.25" customHeight="1" x14ac:dyDescent="0.3">
      <c r="A31" s="1" t="s">
        <v>58</v>
      </c>
      <c r="B31" s="1" t="s">
        <v>30</v>
      </c>
      <c r="D31" s="1">
        <v>1</v>
      </c>
    </row>
    <row r="32" spans="1:12" ht="14.25" customHeight="1" x14ac:dyDescent="0.3">
      <c r="A32" s="1" t="s">
        <v>59</v>
      </c>
      <c r="B32" s="1" t="s">
        <v>24</v>
      </c>
      <c r="F32" s="1">
        <v>1</v>
      </c>
    </row>
    <row r="33" spans="1:12" ht="14.25" customHeight="1" x14ac:dyDescent="0.3">
      <c r="A33" s="1" t="s">
        <v>60</v>
      </c>
      <c r="B33" s="1" t="s">
        <v>27</v>
      </c>
      <c r="D33" s="1">
        <v>1</v>
      </c>
    </row>
    <row r="34" spans="1:12" ht="14.25" customHeight="1" x14ac:dyDescent="0.3">
      <c r="A34" s="1" t="s">
        <v>61</v>
      </c>
      <c r="B34" s="1" t="s">
        <v>38</v>
      </c>
      <c r="D34" s="1">
        <v>1</v>
      </c>
    </row>
    <row r="35" spans="1:12" ht="14.25" customHeight="1" x14ac:dyDescent="0.3">
      <c r="A35" s="1" t="s">
        <v>62</v>
      </c>
      <c r="B35" s="1" t="s">
        <v>30</v>
      </c>
      <c r="D35" s="1">
        <v>1</v>
      </c>
    </row>
    <row r="36" spans="1:12" ht="14.25" customHeight="1" x14ac:dyDescent="0.3">
      <c r="A36" s="1" t="s">
        <v>63</v>
      </c>
      <c r="B36" s="1" t="s">
        <v>21</v>
      </c>
      <c r="E36" s="1">
        <v>1</v>
      </c>
    </row>
    <row r="37" spans="1:12" ht="14.25" customHeight="1" x14ac:dyDescent="0.3">
      <c r="A37" s="1" t="s">
        <v>64</v>
      </c>
      <c r="B37" s="1" t="s">
        <v>14</v>
      </c>
      <c r="E37" s="1">
        <v>1</v>
      </c>
    </row>
    <row r="38" spans="1:12" ht="14.25" customHeight="1" x14ac:dyDescent="0.3">
      <c r="A38" s="1" t="s">
        <v>65</v>
      </c>
      <c r="B38" s="1" t="s">
        <v>66</v>
      </c>
      <c r="D38" s="1">
        <v>1</v>
      </c>
    </row>
    <row r="39" spans="1:12" ht="14.25" customHeight="1" x14ac:dyDescent="0.3">
      <c r="A39" s="1" t="s">
        <v>67</v>
      </c>
      <c r="B39" s="1" t="s">
        <v>16</v>
      </c>
      <c r="D39" s="1">
        <v>1</v>
      </c>
    </row>
    <row r="40" spans="1:12" ht="14.25" customHeight="1" x14ac:dyDescent="0.3">
      <c r="A40" s="1" t="s">
        <v>68</v>
      </c>
      <c r="B40" s="1" t="s">
        <v>38</v>
      </c>
      <c r="D40" s="1">
        <v>1</v>
      </c>
    </row>
    <row r="41" spans="1:12" ht="14.25" customHeight="1" x14ac:dyDescent="0.3">
      <c r="A41" s="1" t="s">
        <v>69</v>
      </c>
      <c r="B41" s="1" t="s">
        <v>37</v>
      </c>
      <c r="C41" s="1">
        <v>1</v>
      </c>
    </row>
    <row r="42" spans="1:12" ht="14.25" customHeight="1" x14ac:dyDescent="0.3">
      <c r="A42" s="1" t="s">
        <v>70</v>
      </c>
      <c r="B42" s="1" t="s">
        <v>66</v>
      </c>
      <c r="D42" s="1">
        <v>1</v>
      </c>
    </row>
    <row r="43" spans="1:12" ht="14.25" customHeight="1" x14ac:dyDescent="0.3">
      <c r="A43" s="1" t="s">
        <v>71</v>
      </c>
      <c r="B43" s="1" t="s">
        <v>30</v>
      </c>
      <c r="D43" s="1">
        <v>1</v>
      </c>
    </row>
    <row r="44" spans="1:12" ht="14.25" customHeight="1" x14ac:dyDescent="0.3">
      <c r="A44" s="1" t="s">
        <v>72</v>
      </c>
      <c r="B44" s="1" t="s">
        <v>27</v>
      </c>
      <c r="D44" s="1">
        <v>1</v>
      </c>
    </row>
    <row r="45" spans="1:12" ht="14.25" customHeight="1" x14ac:dyDescent="0.3">
      <c r="A45" s="1" t="s">
        <v>73</v>
      </c>
      <c r="B45" s="1" t="s">
        <v>30</v>
      </c>
      <c r="D45" s="1">
        <v>1</v>
      </c>
      <c r="H45" s="1" t="s">
        <v>6</v>
      </c>
      <c r="I45" s="1" t="s">
        <v>7</v>
      </c>
      <c r="J45" s="1" t="s">
        <v>8</v>
      </c>
      <c r="K45" s="1" t="s">
        <v>9</v>
      </c>
      <c r="L45" s="1" t="s">
        <v>10</v>
      </c>
    </row>
    <row r="46" spans="1:12" ht="14.25" customHeight="1" x14ac:dyDescent="0.3">
      <c r="A46" s="1" t="s">
        <v>74</v>
      </c>
      <c r="B46" s="1" t="s">
        <v>16</v>
      </c>
      <c r="D46" s="1">
        <v>1</v>
      </c>
      <c r="H46" s="2" t="s">
        <v>14</v>
      </c>
      <c r="I46" s="4">
        <f t="shared" ref="I46:I57" si="13">I2/M2</f>
        <v>0.90909090909090906</v>
      </c>
      <c r="J46" s="4">
        <f t="shared" ref="J46:J57" si="14">J2/M2</f>
        <v>0</v>
      </c>
      <c r="K46" s="4">
        <f t="shared" ref="K46:K57" si="15">K2/M2</f>
        <v>9.0909090909090912E-2</v>
      </c>
      <c r="L46" s="4">
        <f t="shared" ref="L46:L57" si="16">L2/M2</f>
        <v>0</v>
      </c>
    </row>
    <row r="47" spans="1:12" ht="14.25" customHeight="1" x14ac:dyDescent="0.3">
      <c r="A47" s="1" t="s">
        <v>75</v>
      </c>
      <c r="B47" s="1" t="s">
        <v>66</v>
      </c>
      <c r="D47" s="1">
        <v>1</v>
      </c>
      <c r="H47" s="2" t="s">
        <v>17</v>
      </c>
      <c r="I47" s="4">
        <f t="shared" si="13"/>
        <v>0.58333333333333337</v>
      </c>
      <c r="J47" s="4">
        <f t="shared" si="14"/>
        <v>0.33333333333333331</v>
      </c>
      <c r="K47" s="4">
        <f t="shared" si="15"/>
        <v>0</v>
      </c>
      <c r="L47" s="4">
        <f t="shared" si="16"/>
        <v>8.3333333333333329E-2</v>
      </c>
    </row>
    <row r="48" spans="1:12" ht="14.25" customHeight="1" x14ac:dyDescent="0.3">
      <c r="A48" s="1" t="s">
        <v>76</v>
      </c>
      <c r="B48" s="1" t="s">
        <v>13</v>
      </c>
      <c r="E48" s="1">
        <v>1</v>
      </c>
      <c r="H48" s="2" t="s">
        <v>19</v>
      </c>
      <c r="I48" s="4">
        <f t="shared" si="13"/>
        <v>1</v>
      </c>
      <c r="J48" s="4">
        <f t="shared" si="14"/>
        <v>0</v>
      </c>
      <c r="K48" s="4">
        <f t="shared" si="15"/>
        <v>0</v>
      </c>
      <c r="L48" s="4">
        <f t="shared" si="16"/>
        <v>0</v>
      </c>
    </row>
    <row r="49" spans="1:12" ht="14.25" customHeight="1" x14ac:dyDescent="0.3">
      <c r="A49" s="1" t="s">
        <v>77</v>
      </c>
      <c r="B49" s="1" t="s">
        <v>16</v>
      </c>
      <c r="C49" s="1">
        <v>1</v>
      </c>
      <c r="H49" s="2" t="s">
        <v>22</v>
      </c>
      <c r="I49" s="4">
        <f t="shared" si="13"/>
        <v>0</v>
      </c>
      <c r="J49" s="4">
        <f t="shared" si="14"/>
        <v>0</v>
      </c>
      <c r="K49" s="4">
        <f t="shared" si="15"/>
        <v>0.88888888888888884</v>
      </c>
      <c r="L49" s="4">
        <f t="shared" si="16"/>
        <v>0.1111111111111111</v>
      </c>
    </row>
    <row r="50" spans="1:12" ht="14.25" customHeight="1" x14ac:dyDescent="0.3">
      <c r="A50" s="1" t="s">
        <v>78</v>
      </c>
      <c r="B50" s="1" t="s">
        <v>24</v>
      </c>
      <c r="C50" s="1">
        <v>1</v>
      </c>
      <c r="H50" s="2" t="s">
        <v>25</v>
      </c>
      <c r="I50" s="4">
        <f t="shared" si="13"/>
        <v>1</v>
      </c>
      <c r="J50" s="4">
        <f t="shared" si="14"/>
        <v>0</v>
      </c>
      <c r="K50" s="4">
        <f t="shared" si="15"/>
        <v>0</v>
      </c>
      <c r="L50" s="4">
        <f t="shared" si="16"/>
        <v>0</v>
      </c>
    </row>
    <row r="51" spans="1:12" ht="14.25" customHeight="1" x14ac:dyDescent="0.3">
      <c r="A51" s="1" t="s">
        <v>79</v>
      </c>
      <c r="B51" s="1" t="s">
        <v>27</v>
      </c>
      <c r="D51" s="1">
        <v>1</v>
      </c>
      <c r="H51" s="2" t="s">
        <v>28</v>
      </c>
      <c r="I51" s="4">
        <f t="shared" si="13"/>
        <v>0.41666666666666669</v>
      </c>
      <c r="J51" s="4">
        <f t="shared" si="14"/>
        <v>0.41666666666666669</v>
      </c>
      <c r="K51" s="4">
        <f t="shared" si="15"/>
        <v>0.16666666666666666</v>
      </c>
      <c r="L51" s="4">
        <f t="shared" si="16"/>
        <v>0</v>
      </c>
    </row>
    <row r="52" spans="1:12" ht="14.25" customHeight="1" x14ac:dyDescent="0.3">
      <c r="A52" s="1" t="s">
        <v>80</v>
      </c>
      <c r="B52" s="1" t="s">
        <v>24</v>
      </c>
      <c r="D52" s="1">
        <v>1</v>
      </c>
      <c r="H52" s="2" t="s">
        <v>27</v>
      </c>
      <c r="I52" s="4">
        <f t="shared" si="13"/>
        <v>6.6666666666666666E-2</v>
      </c>
      <c r="J52" s="4">
        <f t="shared" si="14"/>
        <v>0.8666666666666667</v>
      </c>
      <c r="K52" s="4">
        <f t="shared" si="15"/>
        <v>6.6666666666666666E-2</v>
      </c>
      <c r="L52" s="4">
        <f t="shared" si="16"/>
        <v>0</v>
      </c>
    </row>
    <row r="53" spans="1:12" ht="14.25" customHeight="1" x14ac:dyDescent="0.3">
      <c r="A53" s="1" t="s">
        <v>81</v>
      </c>
      <c r="B53" s="1" t="s">
        <v>66</v>
      </c>
      <c r="D53" s="1">
        <v>1</v>
      </c>
      <c r="H53" s="2" t="s">
        <v>13</v>
      </c>
      <c r="I53" s="4">
        <f t="shared" si="13"/>
        <v>0</v>
      </c>
      <c r="J53" s="4">
        <f t="shared" si="14"/>
        <v>0.5</v>
      </c>
      <c r="K53" s="4">
        <f t="shared" si="15"/>
        <v>0.5</v>
      </c>
      <c r="L53" s="4">
        <f t="shared" si="16"/>
        <v>0</v>
      </c>
    </row>
    <row r="54" spans="1:12" ht="14.25" customHeight="1" x14ac:dyDescent="0.3">
      <c r="A54" s="1" t="s">
        <v>82</v>
      </c>
      <c r="B54" s="1" t="s">
        <v>16</v>
      </c>
      <c r="D54" s="1">
        <v>1</v>
      </c>
      <c r="H54" s="2" t="s">
        <v>30</v>
      </c>
      <c r="I54" s="4">
        <f t="shared" si="13"/>
        <v>0</v>
      </c>
      <c r="J54" s="4">
        <f t="shared" si="14"/>
        <v>1</v>
      </c>
      <c r="K54" s="4">
        <f t="shared" si="15"/>
        <v>0</v>
      </c>
      <c r="L54" s="4">
        <f t="shared" si="16"/>
        <v>0</v>
      </c>
    </row>
    <row r="55" spans="1:12" ht="14.25" customHeight="1" x14ac:dyDescent="0.3">
      <c r="A55" s="1" t="s">
        <v>83</v>
      </c>
      <c r="B55" s="1" t="s">
        <v>14</v>
      </c>
      <c r="C55" s="1">
        <v>1</v>
      </c>
      <c r="H55" s="2" t="s">
        <v>35</v>
      </c>
      <c r="I55" s="4">
        <f t="shared" si="13"/>
        <v>6.6666666666666666E-2</v>
      </c>
      <c r="J55" s="4">
        <f t="shared" si="14"/>
        <v>0.8666666666666667</v>
      </c>
      <c r="K55" s="4">
        <f t="shared" si="15"/>
        <v>6.6666666666666666E-2</v>
      </c>
      <c r="L55" s="4">
        <f t="shared" si="16"/>
        <v>0</v>
      </c>
    </row>
    <row r="56" spans="1:12" ht="14.25" customHeight="1" x14ac:dyDescent="0.3">
      <c r="A56" s="1" t="s">
        <v>84</v>
      </c>
      <c r="B56" s="1" t="s">
        <v>21</v>
      </c>
      <c r="E56" s="1">
        <v>1</v>
      </c>
      <c r="H56" s="2" t="s">
        <v>38</v>
      </c>
      <c r="I56" s="4">
        <f t="shared" si="13"/>
        <v>0</v>
      </c>
      <c r="J56" s="4">
        <f t="shared" si="14"/>
        <v>0.8571428571428571</v>
      </c>
      <c r="K56" s="4">
        <f t="shared" si="15"/>
        <v>0.14285714285714285</v>
      </c>
      <c r="L56" s="4">
        <f t="shared" si="16"/>
        <v>0</v>
      </c>
    </row>
    <row r="57" spans="1:12" ht="14.25" customHeight="1" x14ac:dyDescent="0.3">
      <c r="A57" s="1" t="s">
        <v>85</v>
      </c>
      <c r="B57" s="1" t="s">
        <v>33</v>
      </c>
      <c r="C57" s="1">
        <v>1</v>
      </c>
      <c r="H57" s="2" t="s">
        <v>33</v>
      </c>
      <c r="I57" s="4">
        <f t="shared" si="13"/>
        <v>0.8</v>
      </c>
      <c r="J57" s="4">
        <f t="shared" si="14"/>
        <v>0.2</v>
      </c>
      <c r="K57" s="4">
        <f t="shared" si="15"/>
        <v>0</v>
      </c>
      <c r="L57" s="4">
        <f t="shared" si="16"/>
        <v>0</v>
      </c>
    </row>
    <row r="58" spans="1:12" ht="14.25" customHeight="1" x14ac:dyDescent="0.3">
      <c r="A58" s="1" t="s">
        <v>86</v>
      </c>
      <c r="B58" s="1" t="s">
        <v>24</v>
      </c>
      <c r="D58" s="1">
        <v>1</v>
      </c>
    </row>
    <row r="59" spans="1:12" ht="14.25" customHeight="1" x14ac:dyDescent="0.3">
      <c r="A59" s="1" t="s">
        <v>87</v>
      </c>
      <c r="B59" s="1" t="s">
        <v>37</v>
      </c>
      <c r="C59" s="1">
        <v>1</v>
      </c>
    </row>
    <row r="60" spans="1:12" ht="14.25" customHeight="1" x14ac:dyDescent="0.3">
      <c r="A60" s="1" t="s">
        <v>88</v>
      </c>
      <c r="B60" s="1" t="s">
        <v>27</v>
      </c>
      <c r="D60" s="1">
        <v>1</v>
      </c>
    </row>
    <row r="61" spans="1:12" ht="14.25" customHeight="1" x14ac:dyDescent="0.3">
      <c r="A61" s="1" t="s">
        <v>89</v>
      </c>
      <c r="B61" s="1" t="s">
        <v>13</v>
      </c>
      <c r="E61" s="1">
        <v>1</v>
      </c>
    </row>
    <row r="62" spans="1:12" ht="14.25" customHeight="1" x14ac:dyDescent="0.3">
      <c r="A62" s="1" t="s">
        <v>90</v>
      </c>
      <c r="B62" s="1" t="s">
        <v>19</v>
      </c>
      <c r="C62" s="1">
        <v>1</v>
      </c>
    </row>
    <row r="63" spans="1:12" ht="14.25" customHeight="1" x14ac:dyDescent="0.3">
      <c r="A63" s="1" t="s">
        <v>91</v>
      </c>
      <c r="B63" s="1" t="s">
        <v>21</v>
      </c>
      <c r="F63" s="1">
        <v>1</v>
      </c>
    </row>
    <row r="64" spans="1:12" ht="14.25" customHeight="1" x14ac:dyDescent="0.3">
      <c r="A64" s="1" t="s">
        <v>92</v>
      </c>
      <c r="B64" s="1" t="s">
        <v>42</v>
      </c>
      <c r="C64" s="1">
        <v>1</v>
      </c>
    </row>
    <row r="65" spans="1:5" ht="14.25" customHeight="1" x14ac:dyDescent="0.3">
      <c r="A65" s="1" t="s">
        <v>93</v>
      </c>
      <c r="B65" s="1" t="s">
        <v>14</v>
      </c>
      <c r="C65" s="1">
        <v>1</v>
      </c>
    </row>
    <row r="66" spans="1:5" ht="14.25" customHeight="1" x14ac:dyDescent="0.3">
      <c r="A66" s="1" t="s">
        <v>94</v>
      </c>
      <c r="B66" s="1" t="s">
        <v>14</v>
      </c>
      <c r="C66" s="1">
        <v>1</v>
      </c>
    </row>
    <row r="67" spans="1:5" ht="14.25" customHeight="1" x14ac:dyDescent="0.3">
      <c r="A67" s="1" t="s">
        <v>95</v>
      </c>
      <c r="B67" s="1" t="s">
        <v>38</v>
      </c>
      <c r="D67" s="1">
        <v>1</v>
      </c>
    </row>
    <row r="68" spans="1:5" ht="14.25" customHeight="1" x14ac:dyDescent="0.3">
      <c r="A68" s="1" t="s">
        <v>96</v>
      </c>
      <c r="B68" s="1" t="s">
        <v>19</v>
      </c>
      <c r="C68" s="1">
        <v>1</v>
      </c>
    </row>
    <row r="69" spans="1:5" ht="14.25" customHeight="1" x14ac:dyDescent="0.3">
      <c r="A69" s="1" t="s">
        <v>97</v>
      </c>
      <c r="B69" s="1" t="s">
        <v>24</v>
      </c>
      <c r="C69" s="1">
        <v>1</v>
      </c>
    </row>
    <row r="70" spans="1:5" ht="14.25" customHeight="1" x14ac:dyDescent="0.3">
      <c r="A70" s="1" t="s">
        <v>98</v>
      </c>
      <c r="B70" s="1" t="s">
        <v>30</v>
      </c>
      <c r="D70" s="1">
        <v>1</v>
      </c>
    </row>
    <row r="71" spans="1:5" ht="14.25" customHeight="1" x14ac:dyDescent="0.3">
      <c r="A71" s="1" t="s">
        <v>99</v>
      </c>
      <c r="B71" s="1" t="s">
        <v>30</v>
      </c>
      <c r="D71" s="1">
        <v>1</v>
      </c>
    </row>
    <row r="72" spans="1:5" ht="14.25" customHeight="1" x14ac:dyDescent="0.3">
      <c r="A72" s="1" t="s">
        <v>100</v>
      </c>
      <c r="B72" s="1" t="s">
        <v>27</v>
      </c>
      <c r="D72" s="1">
        <v>1</v>
      </c>
    </row>
    <row r="73" spans="1:5" ht="14.25" customHeight="1" x14ac:dyDescent="0.3">
      <c r="A73" s="1" t="s">
        <v>101</v>
      </c>
      <c r="B73" s="1" t="s">
        <v>21</v>
      </c>
      <c r="E73" s="1">
        <v>1</v>
      </c>
    </row>
    <row r="74" spans="1:5" ht="14.25" customHeight="1" x14ac:dyDescent="0.3">
      <c r="A74" s="1" t="s">
        <v>102</v>
      </c>
      <c r="B74" s="1" t="s">
        <v>66</v>
      </c>
      <c r="D74" s="1">
        <v>1</v>
      </c>
    </row>
    <row r="75" spans="1:5" ht="14.25" customHeight="1" x14ac:dyDescent="0.3">
      <c r="A75" s="1" t="s">
        <v>103</v>
      </c>
      <c r="B75" s="1" t="s">
        <v>30</v>
      </c>
      <c r="D75" s="1">
        <v>1</v>
      </c>
    </row>
    <row r="76" spans="1:5" ht="14.25" customHeight="1" x14ac:dyDescent="0.3">
      <c r="A76" s="1" t="s">
        <v>104</v>
      </c>
      <c r="B76" s="1" t="s">
        <v>24</v>
      </c>
      <c r="C76" s="1">
        <v>1</v>
      </c>
    </row>
    <row r="77" spans="1:5" ht="14.25" customHeight="1" x14ac:dyDescent="0.3">
      <c r="A77" s="1" t="s">
        <v>105</v>
      </c>
      <c r="B77" s="1" t="s">
        <v>66</v>
      </c>
      <c r="D77" s="1">
        <v>1</v>
      </c>
    </row>
    <row r="78" spans="1:5" ht="14.25" customHeight="1" x14ac:dyDescent="0.3">
      <c r="A78" s="1" t="s">
        <v>106</v>
      </c>
      <c r="B78" s="1" t="s">
        <v>42</v>
      </c>
      <c r="C78" s="1">
        <v>1</v>
      </c>
    </row>
    <row r="79" spans="1:5" ht="14.25" customHeight="1" x14ac:dyDescent="0.3">
      <c r="A79" s="1" t="s">
        <v>107</v>
      </c>
      <c r="B79" s="1" t="s">
        <v>27</v>
      </c>
      <c r="D79" s="1">
        <v>1</v>
      </c>
    </row>
    <row r="80" spans="1:5" ht="14.25" customHeight="1" x14ac:dyDescent="0.3">
      <c r="A80" s="1" t="s">
        <v>108</v>
      </c>
      <c r="B80" s="1" t="s">
        <v>66</v>
      </c>
      <c r="D80" s="1">
        <v>1</v>
      </c>
    </row>
    <row r="81" spans="1:5" ht="14.25" customHeight="1" x14ac:dyDescent="0.3">
      <c r="A81" s="1" t="s">
        <v>109</v>
      </c>
      <c r="B81" s="1" t="s">
        <v>30</v>
      </c>
      <c r="D81" s="1">
        <v>1</v>
      </c>
    </row>
    <row r="82" spans="1:5" ht="14.25" customHeight="1" x14ac:dyDescent="0.3">
      <c r="A82" s="1" t="s">
        <v>110</v>
      </c>
      <c r="B82" s="1" t="s">
        <v>37</v>
      </c>
      <c r="C82" s="1">
        <v>1</v>
      </c>
    </row>
    <row r="83" spans="1:5" ht="14.25" customHeight="1" x14ac:dyDescent="0.3">
      <c r="A83" s="1" t="s">
        <v>111</v>
      </c>
      <c r="B83" s="1" t="s">
        <v>37</v>
      </c>
      <c r="C83" s="1">
        <v>1</v>
      </c>
    </row>
    <row r="84" spans="1:5" ht="14.25" customHeight="1" x14ac:dyDescent="0.3">
      <c r="A84" s="1" t="s">
        <v>112</v>
      </c>
      <c r="B84" s="1" t="s">
        <v>38</v>
      </c>
      <c r="E84" s="1">
        <v>1</v>
      </c>
    </row>
    <row r="85" spans="1:5" ht="14.25" customHeight="1" x14ac:dyDescent="0.3">
      <c r="A85" s="1" t="s">
        <v>113</v>
      </c>
      <c r="B85" s="1" t="s">
        <v>21</v>
      </c>
      <c r="E85" s="1">
        <v>1</v>
      </c>
    </row>
    <row r="86" spans="1:5" ht="14.25" customHeight="1" x14ac:dyDescent="0.3">
      <c r="A86" s="1" t="s">
        <v>114</v>
      </c>
      <c r="B86" s="1" t="s">
        <v>42</v>
      </c>
      <c r="C86" s="1">
        <v>1</v>
      </c>
    </row>
    <row r="87" spans="1:5" ht="14.25" customHeight="1" x14ac:dyDescent="0.3">
      <c r="A87" s="1" t="s">
        <v>115</v>
      </c>
      <c r="B87" s="1" t="s">
        <v>21</v>
      </c>
      <c r="E87" s="1">
        <v>1</v>
      </c>
    </row>
    <row r="88" spans="1:5" ht="14.25" customHeight="1" x14ac:dyDescent="0.3">
      <c r="A88" s="1" t="s">
        <v>116</v>
      </c>
      <c r="B88" s="1" t="s">
        <v>30</v>
      </c>
      <c r="D88" s="1">
        <v>1</v>
      </c>
    </row>
    <row r="89" spans="1:5" ht="14.25" customHeight="1" x14ac:dyDescent="0.3">
      <c r="A89" s="1" t="s">
        <v>117</v>
      </c>
      <c r="B89" s="1" t="s">
        <v>16</v>
      </c>
      <c r="C89" s="1">
        <v>1</v>
      </c>
    </row>
    <row r="90" spans="1:5" ht="14.25" customHeight="1" x14ac:dyDescent="0.3">
      <c r="A90" s="1" t="s">
        <v>118</v>
      </c>
      <c r="B90" s="1" t="s">
        <v>16</v>
      </c>
      <c r="E90" s="1">
        <v>1</v>
      </c>
    </row>
    <row r="91" spans="1:5" ht="14.25" customHeight="1" x14ac:dyDescent="0.3">
      <c r="A91" s="1" t="s">
        <v>119</v>
      </c>
      <c r="B91" s="1" t="s">
        <v>66</v>
      </c>
      <c r="D91" s="1">
        <v>1</v>
      </c>
    </row>
    <row r="92" spans="1:5" ht="14.25" customHeight="1" x14ac:dyDescent="0.3">
      <c r="A92" s="1" t="s">
        <v>120</v>
      </c>
      <c r="B92" s="1" t="s">
        <v>13</v>
      </c>
      <c r="E92" s="1">
        <v>1</v>
      </c>
    </row>
    <row r="93" spans="1:5" ht="14.25" customHeight="1" x14ac:dyDescent="0.3">
      <c r="A93" s="1" t="s">
        <v>121</v>
      </c>
      <c r="B93" s="1" t="s">
        <v>30</v>
      </c>
      <c r="D93" s="1">
        <v>1</v>
      </c>
    </row>
    <row r="94" spans="1:5" ht="14.25" customHeight="1" x14ac:dyDescent="0.3">
      <c r="A94" s="1" t="s">
        <v>122</v>
      </c>
      <c r="B94" s="1" t="s">
        <v>24</v>
      </c>
      <c r="D94" s="1">
        <v>1</v>
      </c>
    </row>
    <row r="95" spans="1:5" ht="14.25" customHeight="1" x14ac:dyDescent="0.3">
      <c r="A95" s="1" t="s">
        <v>123</v>
      </c>
      <c r="B95" s="1" t="s">
        <v>21</v>
      </c>
      <c r="E95" s="1">
        <v>1</v>
      </c>
    </row>
    <row r="96" spans="1:5" ht="14.25" customHeight="1" x14ac:dyDescent="0.3">
      <c r="A96" s="1" t="s">
        <v>124</v>
      </c>
      <c r="B96" s="1" t="s">
        <v>14</v>
      </c>
      <c r="C96" s="1">
        <v>1</v>
      </c>
    </row>
    <row r="97" spans="1:5" ht="14.25" customHeight="1" x14ac:dyDescent="0.3">
      <c r="A97" s="1" t="s">
        <v>125</v>
      </c>
      <c r="B97" s="1" t="s">
        <v>66</v>
      </c>
      <c r="D97" s="1">
        <v>1</v>
      </c>
    </row>
    <row r="98" spans="1:5" ht="14.25" customHeight="1" x14ac:dyDescent="0.3">
      <c r="A98" s="1" t="s">
        <v>126</v>
      </c>
      <c r="B98" s="1" t="s">
        <v>30</v>
      </c>
      <c r="D98" s="1">
        <v>1</v>
      </c>
    </row>
    <row r="99" spans="1:5" ht="14.25" customHeight="1" x14ac:dyDescent="0.3">
      <c r="A99" s="1" t="s">
        <v>127</v>
      </c>
      <c r="B99" s="1" t="s">
        <v>27</v>
      </c>
      <c r="D99" s="1">
        <v>1</v>
      </c>
    </row>
    <row r="100" spans="1:5" ht="14.25" customHeight="1" x14ac:dyDescent="0.3">
      <c r="A100" s="1" t="s">
        <v>128</v>
      </c>
      <c r="B100" s="1" t="s">
        <v>30</v>
      </c>
      <c r="D100" s="1">
        <v>1</v>
      </c>
    </row>
    <row r="101" spans="1:5" ht="14.25" customHeight="1" x14ac:dyDescent="0.3">
      <c r="A101" s="1" t="s">
        <v>129</v>
      </c>
      <c r="B101" s="1" t="s">
        <v>27</v>
      </c>
      <c r="D101" s="1">
        <v>1</v>
      </c>
    </row>
    <row r="102" spans="1:5" ht="14.25" customHeight="1" x14ac:dyDescent="0.3">
      <c r="A102" s="1" t="s">
        <v>130</v>
      </c>
      <c r="B102" s="1" t="s">
        <v>16</v>
      </c>
      <c r="E102" s="1">
        <v>1</v>
      </c>
    </row>
    <row r="103" spans="1:5" ht="14.25" customHeight="1" x14ac:dyDescent="0.3">
      <c r="A103" s="1" t="s">
        <v>131</v>
      </c>
      <c r="B103" s="1" t="s">
        <v>66</v>
      </c>
      <c r="D103" s="1">
        <v>1</v>
      </c>
    </row>
    <row r="104" spans="1:5" ht="14.25" customHeight="1" x14ac:dyDescent="0.3">
      <c r="A104" s="1" t="s">
        <v>132</v>
      </c>
      <c r="B104" s="1" t="s">
        <v>30</v>
      </c>
      <c r="D104" s="1">
        <v>1</v>
      </c>
    </row>
    <row r="105" spans="1:5" ht="14.25" customHeight="1" x14ac:dyDescent="0.3">
      <c r="A105" s="1" t="s">
        <v>133</v>
      </c>
      <c r="B105" s="1" t="s">
        <v>14</v>
      </c>
      <c r="C105" s="1">
        <v>1</v>
      </c>
    </row>
    <row r="106" spans="1:5" ht="14.25" customHeight="1" x14ac:dyDescent="0.3">
      <c r="A106" s="1" t="s">
        <v>134</v>
      </c>
      <c r="B106" s="1" t="s">
        <v>42</v>
      </c>
      <c r="C106" s="1">
        <v>1</v>
      </c>
    </row>
    <row r="107" spans="1:5" ht="14.25" customHeight="1" x14ac:dyDescent="0.3">
      <c r="A107" s="1" t="s">
        <v>135</v>
      </c>
      <c r="B107" s="1" t="s">
        <v>27</v>
      </c>
      <c r="D107" s="1">
        <v>1</v>
      </c>
    </row>
    <row r="108" spans="1:5" ht="14.25" customHeight="1" x14ac:dyDescent="0.3">
      <c r="A108" s="1" t="s">
        <v>136</v>
      </c>
      <c r="B108" s="1" t="s">
        <v>66</v>
      </c>
      <c r="E108" s="1">
        <v>1</v>
      </c>
    </row>
    <row r="109" spans="1:5" ht="14.25" customHeight="1" x14ac:dyDescent="0.3">
      <c r="A109" s="1" t="s">
        <v>137</v>
      </c>
      <c r="B109" s="1" t="s">
        <v>13</v>
      </c>
      <c r="D109" s="1">
        <v>1</v>
      </c>
    </row>
    <row r="110" spans="1:5" ht="14.25" customHeight="1" x14ac:dyDescent="0.3">
      <c r="A110" s="1" t="s">
        <v>138</v>
      </c>
      <c r="B110" s="1" t="s">
        <v>42</v>
      </c>
      <c r="C110" s="1">
        <v>1</v>
      </c>
    </row>
    <row r="111" spans="1:5" ht="14.25" customHeight="1" x14ac:dyDescent="0.3">
      <c r="A111" s="1" t="s">
        <v>139</v>
      </c>
      <c r="B111" s="1" t="s">
        <v>27</v>
      </c>
      <c r="E111" s="1">
        <v>1</v>
      </c>
    </row>
    <row r="112" spans="1:5" ht="14.25" customHeight="1" x14ac:dyDescent="0.3">
      <c r="A112" s="1" t="s">
        <v>140</v>
      </c>
      <c r="B112" s="1" t="s">
        <v>16</v>
      </c>
      <c r="D112" s="1">
        <v>1</v>
      </c>
    </row>
    <row r="113" spans="1:6" ht="14.25" customHeight="1" x14ac:dyDescent="0.3">
      <c r="A113" s="1" t="s">
        <v>141</v>
      </c>
      <c r="B113" s="1" t="s">
        <v>14</v>
      </c>
      <c r="C113" s="1">
        <v>1</v>
      </c>
    </row>
    <row r="114" spans="1:6" ht="14.25" customHeight="1" x14ac:dyDescent="0.3">
      <c r="A114" s="1" t="s">
        <v>142</v>
      </c>
      <c r="B114" s="1" t="s">
        <v>16</v>
      </c>
      <c r="D114" s="1">
        <v>1</v>
      </c>
    </row>
    <row r="115" spans="1:6" ht="14.25" customHeight="1" x14ac:dyDescent="0.3">
      <c r="A115" s="1" t="s">
        <v>143</v>
      </c>
      <c r="B115" s="1" t="s">
        <v>24</v>
      </c>
      <c r="D115" s="1">
        <v>1</v>
      </c>
    </row>
    <row r="116" spans="1:6" ht="14.25" customHeight="1" x14ac:dyDescent="0.3">
      <c r="A116" s="1" t="s">
        <v>144</v>
      </c>
      <c r="B116" s="1" t="s">
        <v>66</v>
      </c>
      <c r="D116" s="1">
        <v>1</v>
      </c>
    </row>
    <row r="117" spans="1:6" ht="14.25" customHeight="1" x14ac:dyDescent="0.3">
      <c r="A117" s="1" t="s">
        <v>145</v>
      </c>
      <c r="B117" s="1" t="s">
        <v>27</v>
      </c>
      <c r="D117" s="1">
        <v>1</v>
      </c>
    </row>
    <row r="118" spans="1:6" ht="14.25" customHeight="1" x14ac:dyDescent="0.3">
      <c r="A118" s="1" t="s">
        <v>146</v>
      </c>
      <c r="B118" s="1" t="s">
        <v>30</v>
      </c>
      <c r="D118" s="1">
        <v>1</v>
      </c>
    </row>
    <row r="119" spans="1:6" ht="14.25" customHeight="1" x14ac:dyDescent="0.3">
      <c r="A119" s="1" t="s">
        <v>147</v>
      </c>
      <c r="B119" s="1" t="s">
        <v>42</v>
      </c>
      <c r="C119" s="1">
        <v>1</v>
      </c>
    </row>
    <row r="120" spans="1:6" ht="14.25" customHeight="1" x14ac:dyDescent="0.3">
      <c r="A120" s="1" t="s">
        <v>148</v>
      </c>
      <c r="B120" s="1" t="s">
        <v>13</v>
      </c>
      <c r="E120" s="1">
        <v>1</v>
      </c>
    </row>
    <row r="121" spans="1:6" ht="14.25" customHeight="1" x14ac:dyDescent="0.3">
      <c r="A121" s="1" t="s">
        <v>149</v>
      </c>
      <c r="B121" s="1" t="s">
        <v>150</v>
      </c>
      <c r="F121" s="1">
        <v>1</v>
      </c>
    </row>
    <row r="122" spans="1:6" ht="14.25" customHeight="1" x14ac:dyDescent="0.3">
      <c r="A122" s="1" t="s">
        <v>151</v>
      </c>
      <c r="B122" s="1" t="s">
        <v>24</v>
      </c>
      <c r="C122" s="1">
        <v>1</v>
      </c>
    </row>
    <row r="123" spans="1:6" ht="14.25" customHeight="1" x14ac:dyDescent="0.3">
      <c r="A123" s="1" t="s">
        <v>152</v>
      </c>
      <c r="B123" s="1" t="s">
        <v>24</v>
      </c>
      <c r="C123" s="1">
        <v>1</v>
      </c>
    </row>
    <row r="124" spans="1:6" ht="14.25" customHeight="1" x14ac:dyDescent="0.3">
      <c r="A124" s="1" t="s">
        <v>153</v>
      </c>
      <c r="B124" s="1" t="s">
        <v>19</v>
      </c>
      <c r="C124" s="1">
        <v>1</v>
      </c>
    </row>
    <row r="125" spans="1:6" ht="14.25" customHeight="1" x14ac:dyDescent="0.3">
      <c r="A125" s="1" t="s">
        <v>154</v>
      </c>
      <c r="B125" s="1" t="s">
        <v>33</v>
      </c>
      <c r="C125" s="1">
        <v>1</v>
      </c>
    </row>
    <row r="126" spans="1:6" ht="14.25" customHeight="1" x14ac:dyDescent="0.3">
      <c r="A126" s="1" t="s">
        <v>155</v>
      </c>
      <c r="B126" s="1" t="s">
        <v>13</v>
      </c>
      <c r="D126" s="1">
        <v>1</v>
      </c>
    </row>
    <row r="127" spans="1:6" ht="14.25" customHeight="1" x14ac:dyDescent="0.3">
      <c r="A127" s="1" t="s">
        <v>156</v>
      </c>
      <c r="B127" s="1" t="s">
        <v>13</v>
      </c>
      <c r="D127" s="1">
        <v>1</v>
      </c>
    </row>
    <row r="128" spans="1:6" ht="14.25" customHeight="1" x14ac:dyDescent="0.3">
      <c r="A128" s="1" t="s">
        <v>157</v>
      </c>
      <c r="B128" s="1" t="s">
        <v>14</v>
      </c>
      <c r="C128" s="1">
        <v>1</v>
      </c>
    </row>
    <row r="129" spans="1:5" ht="14.25" customHeight="1" x14ac:dyDescent="0.3">
      <c r="A129" s="1" t="s">
        <v>158</v>
      </c>
      <c r="B129" s="1" t="s">
        <v>16</v>
      </c>
      <c r="C129" s="1">
        <v>1</v>
      </c>
    </row>
    <row r="130" spans="1:5" ht="14.25" customHeight="1" x14ac:dyDescent="0.3">
      <c r="A130" s="1" t="s">
        <v>159</v>
      </c>
      <c r="B130" s="1" t="s">
        <v>13</v>
      </c>
      <c r="D130" s="1">
        <v>1</v>
      </c>
    </row>
    <row r="131" spans="1:5" ht="14.25" customHeight="1" x14ac:dyDescent="0.3">
      <c r="A131" s="1" t="s">
        <v>160</v>
      </c>
      <c r="B131" s="1" t="s">
        <v>66</v>
      </c>
      <c r="C131" s="1">
        <v>1</v>
      </c>
    </row>
    <row r="132" spans="1:5" ht="14.25" customHeight="1" x14ac:dyDescent="0.3">
      <c r="A132" s="1" t="s">
        <v>161</v>
      </c>
      <c r="B132" s="1" t="s">
        <v>38</v>
      </c>
      <c r="D132" s="1">
        <v>1</v>
      </c>
    </row>
    <row r="133" spans="1:5" ht="14.25" customHeight="1" x14ac:dyDescent="0.3">
      <c r="A133" s="1" t="s">
        <v>162</v>
      </c>
      <c r="B133" s="1" t="s">
        <v>13</v>
      </c>
      <c r="D133" s="1">
        <v>1</v>
      </c>
    </row>
    <row r="134" spans="1:5" ht="14.25" customHeight="1" x14ac:dyDescent="0.3">
      <c r="A134" s="1" t="s">
        <v>163</v>
      </c>
      <c r="B134" s="1" t="s">
        <v>66</v>
      </c>
      <c r="D134" s="1">
        <v>1</v>
      </c>
    </row>
    <row r="135" spans="1:5" ht="14.25" customHeight="1" x14ac:dyDescent="0.3">
      <c r="A135" s="1" t="s">
        <v>164</v>
      </c>
      <c r="B135" s="1" t="s">
        <v>21</v>
      </c>
      <c r="E135" s="1">
        <v>1</v>
      </c>
    </row>
    <row r="136" spans="1:5" ht="14.25" customHeight="1" x14ac:dyDescent="0.3">
      <c r="A136" s="1" t="s">
        <v>165</v>
      </c>
      <c r="B136" s="1" t="s">
        <v>30</v>
      </c>
      <c r="D136" s="1">
        <v>1</v>
      </c>
    </row>
    <row r="137" spans="1:5" ht="14.25" customHeight="1" x14ac:dyDescent="0.3">
      <c r="A137" s="1" t="s">
        <v>166</v>
      </c>
      <c r="B137" s="1" t="s">
        <v>30</v>
      </c>
      <c r="D137" s="1">
        <v>1</v>
      </c>
    </row>
    <row r="138" spans="1:5" ht="14.25" customHeight="1" x14ac:dyDescent="0.3">
      <c r="A138" s="1" t="s">
        <v>167</v>
      </c>
      <c r="B138" s="1" t="s">
        <v>19</v>
      </c>
      <c r="C138" s="1">
        <v>1</v>
      </c>
    </row>
    <row r="139" spans="1:5" ht="14.25" customHeight="1" x14ac:dyDescent="0.3">
      <c r="A139" s="1" t="s">
        <v>168</v>
      </c>
      <c r="B139" s="1" t="s">
        <v>13</v>
      </c>
      <c r="D139" s="1">
        <v>1</v>
      </c>
    </row>
    <row r="140" spans="1:5" ht="14.25" customHeight="1" x14ac:dyDescent="0.3">
      <c r="A140" s="1" t="s">
        <v>169</v>
      </c>
      <c r="B140" s="1" t="s">
        <v>27</v>
      </c>
      <c r="D140" s="1">
        <v>1</v>
      </c>
    </row>
    <row r="141" spans="1:5" ht="14.25" customHeight="1" x14ac:dyDescent="0.3">
      <c r="A141" s="1" t="s">
        <v>170</v>
      </c>
      <c r="B141" s="1" t="s">
        <v>16</v>
      </c>
      <c r="C141" s="1">
        <v>1</v>
      </c>
    </row>
    <row r="142" spans="1:5" ht="14.25" customHeight="1" x14ac:dyDescent="0.3">
      <c r="A142" s="1" t="s">
        <v>171</v>
      </c>
      <c r="B142" s="1" t="s">
        <v>19</v>
      </c>
      <c r="C142" s="1">
        <v>1</v>
      </c>
    </row>
    <row r="143" spans="1:5" ht="14.25" customHeight="1" x14ac:dyDescent="0.3">
      <c r="A143" s="1" t="s">
        <v>172</v>
      </c>
      <c r="B143" s="1" t="s">
        <v>37</v>
      </c>
      <c r="C143" s="1">
        <v>1</v>
      </c>
    </row>
    <row r="144" spans="1:5" ht="14.25" customHeight="1" x14ac:dyDescent="0.3">
      <c r="A144" s="1" t="s">
        <v>173</v>
      </c>
      <c r="B144" s="1" t="s">
        <v>27</v>
      </c>
      <c r="D144" s="1">
        <v>1</v>
      </c>
    </row>
    <row r="145" spans="1:4" ht="14.25" customHeight="1" x14ac:dyDescent="0.3">
      <c r="A145" s="1" t="s">
        <v>174</v>
      </c>
      <c r="B145" s="1" t="s">
        <v>66</v>
      </c>
      <c r="D145" s="1">
        <v>1</v>
      </c>
    </row>
    <row r="146" spans="1:4" ht="14.25" customHeight="1" x14ac:dyDescent="0.3">
      <c r="A146" s="1" t="s">
        <v>175</v>
      </c>
      <c r="B146" s="1" t="s">
        <v>14</v>
      </c>
      <c r="C146" s="1">
        <v>1</v>
      </c>
    </row>
    <row r="147" spans="1:4" ht="14.25" customHeight="1" x14ac:dyDescent="0.3">
      <c r="A147" s="1" t="s">
        <v>176</v>
      </c>
      <c r="B147" s="1" t="s">
        <v>66</v>
      </c>
      <c r="D147" s="1">
        <v>1</v>
      </c>
    </row>
    <row r="148" spans="1:4" ht="14.25" customHeight="1" x14ac:dyDescent="0.3">
      <c r="A148" s="1" t="s">
        <v>177</v>
      </c>
      <c r="B148" s="1" t="s">
        <v>42</v>
      </c>
      <c r="C148" s="1">
        <v>1</v>
      </c>
    </row>
    <row r="149" spans="1:4" ht="14.25" customHeight="1" x14ac:dyDescent="0.3">
      <c r="A149" s="1" t="s">
        <v>178</v>
      </c>
      <c r="B149" s="1" t="s">
        <v>33</v>
      </c>
      <c r="D149" s="1">
        <v>1</v>
      </c>
    </row>
    <row r="150" spans="1:4" ht="14.25" customHeight="1" x14ac:dyDescent="0.3">
      <c r="A150" s="1" t="s">
        <v>179</v>
      </c>
      <c r="B150" s="1" t="s">
        <v>14</v>
      </c>
      <c r="C150" s="1">
        <v>1</v>
      </c>
    </row>
    <row r="151" spans="1:4" ht="14.25" customHeight="1" x14ac:dyDescent="0.3">
      <c r="A151" s="1" t="s">
        <v>180</v>
      </c>
      <c r="B151" s="1" t="s">
        <v>13</v>
      </c>
      <c r="D151" s="1">
        <v>1</v>
      </c>
    </row>
    <row r="152" spans="1:4" ht="14.25" customHeight="1" x14ac:dyDescent="0.3">
      <c r="A152" s="1" t="s">
        <v>181</v>
      </c>
      <c r="B152" s="1" t="s">
        <v>24</v>
      </c>
      <c r="C152" s="1">
        <v>1</v>
      </c>
    </row>
    <row r="153" spans="1:4" ht="14.25" customHeight="1" x14ac:dyDescent="0.3">
      <c r="A153" s="1" t="s">
        <v>182</v>
      </c>
      <c r="B153" s="1" t="s">
        <v>19</v>
      </c>
      <c r="C153" s="1">
        <v>1</v>
      </c>
    </row>
    <row r="154" spans="1:4" ht="14.25" customHeight="1" x14ac:dyDescent="0.3">
      <c r="A154" s="1" t="s">
        <v>183</v>
      </c>
      <c r="B154" s="1" t="s">
        <v>42</v>
      </c>
      <c r="C154" s="1">
        <v>1</v>
      </c>
    </row>
    <row r="155" spans="1:4" ht="14.25" customHeight="1" x14ac:dyDescent="0.3">
      <c r="A155" s="1" t="s">
        <v>184</v>
      </c>
      <c r="B155" s="1" t="s">
        <v>19</v>
      </c>
      <c r="C155" s="1">
        <v>1</v>
      </c>
    </row>
    <row r="156" spans="1:4" ht="14.25" customHeight="1" x14ac:dyDescent="0.3">
      <c r="A156" s="1" t="s">
        <v>185</v>
      </c>
      <c r="B156" s="1" t="s">
        <v>30</v>
      </c>
      <c r="D156" s="1">
        <v>1</v>
      </c>
    </row>
    <row r="157" spans="1:4" ht="14.25" customHeight="1" x14ac:dyDescent="0.3"/>
    <row r="158" spans="1:4" ht="14.25" customHeight="1" x14ac:dyDescent="0.3"/>
    <row r="159" spans="1:4" ht="14.25" customHeight="1" x14ac:dyDescent="0.3"/>
    <row r="160" spans="1:4" ht="14.25" customHeight="1" x14ac:dyDescent="0.3"/>
    <row r="161" s="1" customFormat="1" ht="14.25" customHeight="1" x14ac:dyDescent="0.3"/>
    <row r="162" s="1" customFormat="1" ht="14.25" customHeight="1" x14ac:dyDescent="0.3"/>
    <row r="163" s="1" customFormat="1" ht="14.25" customHeight="1" x14ac:dyDescent="0.3"/>
    <row r="164" s="1" customFormat="1" ht="14.25" customHeight="1" x14ac:dyDescent="0.3"/>
    <row r="165" s="1" customFormat="1" ht="14.25" customHeight="1" x14ac:dyDescent="0.3"/>
    <row r="166" s="1" customFormat="1" ht="14.25" customHeight="1" x14ac:dyDescent="0.3"/>
    <row r="167" s="1" customFormat="1" ht="14.25" customHeight="1" x14ac:dyDescent="0.3"/>
    <row r="168" s="1" customFormat="1" ht="14.25" customHeight="1" x14ac:dyDescent="0.3"/>
    <row r="169" s="1" customFormat="1" ht="14.25" customHeight="1" x14ac:dyDescent="0.3"/>
    <row r="170" s="1" customFormat="1" ht="14.25" customHeight="1" x14ac:dyDescent="0.3"/>
    <row r="171" s="1" customFormat="1" ht="14.25" customHeight="1" x14ac:dyDescent="0.3"/>
    <row r="172" s="1" customFormat="1" ht="14.25" customHeight="1" x14ac:dyDescent="0.3"/>
    <row r="173" s="1" customFormat="1" ht="14.25" customHeight="1" x14ac:dyDescent="0.3"/>
    <row r="174" s="1" customFormat="1" ht="14.25" customHeight="1" x14ac:dyDescent="0.3"/>
    <row r="175" s="1" customFormat="1" ht="14.25" customHeight="1" x14ac:dyDescent="0.3"/>
    <row r="176" s="1" customFormat="1" ht="14.25" customHeight="1" x14ac:dyDescent="0.3"/>
    <row r="177" s="1" customFormat="1" ht="14.25" customHeight="1" x14ac:dyDescent="0.3"/>
    <row r="178" s="1" customFormat="1" ht="14.25" customHeight="1" x14ac:dyDescent="0.3"/>
    <row r="179" s="1" customFormat="1" ht="14.25" customHeight="1" x14ac:dyDescent="0.3"/>
    <row r="180" s="1" customFormat="1" ht="14.25" customHeight="1" x14ac:dyDescent="0.3"/>
    <row r="181" s="1" customFormat="1" ht="14.25" customHeight="1" x14ac:dyDescent="0.3"/>
    <row r="182" s="1" customFormat="1" ht="14.25" customHeight="1" x14ac:dyDescent="0.3"/>
    <row r="183" s="1" customFormat="1" ht="14.25" customHeight="1" x14ac:dyDescent="0.3"/>
    <row r="184" s="1" customFormat="1" ht="14.25" customHeight="1" x14ac:dyDescent="0.3"/>
    <row r="185" s="1" customFormat="1" ht="14.25" customHeight="1" x14ac:dyDescent="0.3"/>
    <row r="186" s="1" customFormat="1" ht="14.25" customHeight="1" x14ac:dyDescent="0.3"/>
    <row r="187" s="1" customFormat="1" ht="14.25" customHeight="1" x14ac:dyDescent="0.3"/>
    <row r="188" s="1" customFormat="1" ht="14.25" customHeight="1" x14ac:dyDescent="0.3"/>
    <row r="189" s="1" customFormat="1" ht="14.25" customHeight="1" x14ac:dyDescent="0.3"/>
    <row r="190" s="1" customFormat="1" ht="14.25" customHeight="1" x14ac:dyDescent="0.3"/>
    <row r="191" s="1" customFormat="1" ht="14.25" customHeight="1" x14ac:dyDescent="0.3"/>
    <row r="192" s="1" customFormat="1" ht="14.25" customHeight="1" x14ac:dyDescent="0.3"/>
    <row r="193" s="1" customFormat="1" ht="14.25" customHeight="1" x14ac:dyDescent="0.3"/>
    <row r="194" s="1" customFormat="1" ht="14.25" customHeight="1" x14ac:dyDescent="0.3"/>
    <row r="195" s="1" customFormat="1" ht="14.25" customHeight="1" x14ac:dyDescent="0.3"/>
    <row r="196" s="1" customFormat="1" ht="14.25" customHeight="1" x14ac:dyDescent="0.3"/>
    <row r="197" s="1" customFormat="1" ht="14.25" customHeight="1" x14ac:dyDescent="0.3"/>
    <row r="198" s="1" customFormat="1" ht="14.25" customHeight="1" x14ac:dyDescent="0.3"/>
    <row r="199" s="1" customFormat="1" ht="14.25" customHeight="1" x14ac:dyDescent="0.3"/>
    <row r="200" s="1" customFormat="1" ht="14.25" customHeight="1" x14ac:dyDescent="0.3"/>
    <row r="201" s="1" customFormat="1" ht="14.25" customHeight="1" x14ac:dyDescent="0.3"/>
    <row r="202" s="1" customFormat="1" ht="14.25" customHeight="1" x14ac:dyDescent="0.3"/>
    <row r="203" s="1" customFormat="1" ht="14.25" customHeight="1" x14ac:dyDescent="0.3"/>
    <row r="204" s="1" customFormat="1" ht="14.25" customHeight="1" x14ac:dyDescent="0.3"/>
    <row r="205" s="1" customFormat="1" ht="14.25" customHeight="1" x14ac:dyDescent="0.3"/>
    <row r="206" s="1" customFormat="1" ht="14.25" customHeight="1" x14ac:dyDescent="0.3"/>
    <row r="207" s="1" customFormat="1" ht="14.25" customHeight="1" x14ac:dyDescent="0.3"/>
    <row r="208" s="1" customFormat="1" ht="14.25" customHeight="1" x14ac:dyDescent="0.3"/>
    <row r="209" s="1" customFormat="1" ht="14.25" customHeight="1" x14ac:dyDescent="0.3"/>
    <row r="210" s="1" customFormat="1" ht="14.25" customHeight="1" x14ac:dyDescent="0.3"/>
    <row r="211" s="1" customFormat="1" ht="14.25" customHeight="1" x14ac:dyDescent="0.3"/>
    <row r="212" s="1" customFormat="1" ht="14.25" customHeight="1" x14ac:dyDescent="0.3"/>
    <row r="213" s="1" customFormat="1" ht="14.25" customHeight="1" x14ac:dyDescent="0.3"/>
    <row r="214" s="1" customFormat="1" ht="14.25" customHeight="1" x14ac:dyDescent="0.3"/>
    <row r="215" s="1" customFormat="1" ht="14.25" customHeight="1" x14ac:dyDescent="0.3"/>
    <row r="216" s="1" customFormat="1" ht="14.25" customHeight="1" x14ac:dyDescent="0.3"/>
    <row r="217" s="1" customFormat="1" ht="14.25" customHeight="1" x14ac:dyDescent="0.3"/>
    <row r="218" s="1" customFormat="1" ht="14.25" customHeight="1" x14ac:dyDescent="0.3"/>
    <row r="219" s="1" customFormat="1" ht="14.25" customHeight="1" x14ac:dyDescent="0.3"/>
    <row r="220" s="1" customFormat="1" ht="14.25" customHeight="1" x14ac:dyDescent="0.3"/>
    <row r="221" s="1" customFormat="1" ht="14.25" customHeight="1" x14ac:dyDescent="0.3"/>
    <row r="222" s="1" customFormat="1" ht="14.25" customHeight="1" x14ac:dyDescent="0.3"/>
    <row r="223" s="1" customFormat="1" ht="14.25" customHeight="1" x14ac:dyDescent="0.3"/>
    <row r="224" s="1" customFormat="1" ht="14.25" customHeight="1" x14ac:dyDescent="0.3"/>
    <row r="225" s="1" customFormat="1" ht="14.25" customHeight="1" x14ac:dyDescent="0.3"/>
    <row r="226" s="1" customFormat="1" ht="14.25" customHeight="1" x14ac:dyDescent="0.3"/>
    <row r="227" s="1" customFormat="1" ht="14.25" customHeight="1" x14ac:dyDescent="0.3"/>
    <row r="228" s="1" customFormat="1" ht="14.25" customHeight="1" x14ac:dyDescent="0.3"/>
    <row r="229" s="1" customFormat="1" ht="14.25" customHeight="1" x14ac:dyDescent="0.3"/>
    <row r="230" s="1" customFormat="1" ht="14.25" customHeight="1" x14ac:dyDescent="0.3"/>
    <row r="231" s="1" customFormat="1" ht="14.25" customHeight="1" x14ac:dyDescent="0.3"/>
    <row r="232" s="1" customFormat="1" ht="14.25" customHeight="1" x14ac:dyDescent="0.3"/>
    <row r="233" s="1" customFormat="1" ht="14.25" customHeight="1" x14ac:dyDescent="0.3"/>
    <row r="234" s="1" customFormat="1" ht="14.25" customHeight="1" x14ac:dyDescent="0.3"/>
    <row r="235" s="1" customFormat="1" ht="14.25" customHeight="1" x14ac:dyDescent="0.3"/>
    <row r="236" s="1" customFormat="1" ht="14.25" customHeight="1" x14ac:dyDescent="0.3"/>
    <row r="237" s="1" customFormat="1" ht="14.25" customHeight="1" x14ac:dyDescent="0.3"/>
    <row r="238" s="1" customFormat="1" ht="14.25" customHeight="1" x14ac:dyDescent="0.3"/>
    <row r="239" s="1" customFormat="1" ht="14.25" customHeight="1" x14ac:dyDescent="0.3"/>
    <row r="240" s="1" customFormat="1" ht="14.25" customHeight="1" x14ac:dyDescent="0.3"/>
    <row r="241" s="1" customFormat="1" ht="14.25" customHeight="1" x14ac:dyDescent="0.3"/>
    <row r="242" s="1" customFormat="1" ht="14.25" customHeight="1" x14ac:dyDescent="0.3"/>
    <row r="243" s="1" customFormat="1" ht="14.25" customHeight="1" x14ac:dyDescent="0.3"/>
    <row r="244" s="1" customFormat="1" ht="14.25" customHeight="1" x14ac:dyDescent="0.3"/>
    <row r="245" s="1" customFormat="1" ht="14.25" customHeight="1" x14ac:dyDescent="0.3"/>
    <row r="246" s="1" customFormat="1" ht="14.25" customHeight="1" x14ac:dyDescent="0.3"/>
    <row r="247" s="1" customFormat="1" ht="14.25" customHeight="1" x14ac:dyDescent="0.3"/>
    <row r="248" s="1" customFormat="1" ht="14.25" customHeight="1" x14ac:dyDescent="0.3"/>
    <row r="249" s="1" customFormat="1" ht="14.25" customHeight="1" x14ac:dyDescent="0.3"/>
    <row r="250" s="1" customFormat="1" ht="14.25" customHeight="1" x14ac:dyDescent="0.3"/>
    <row r="251" s="1" customFormat="1" ht="14.25" customHeight="1" x14ac:dyDescent="0.3"/>
    <row r="252" s="1" customFormat="1" ht="14.25" customHeight="1" x14ac:dyDescent="0.3"/>
    <row r="253" s="1" customFormat="1" ht="14.25" customHeight="1" x14ac:dyDescent="0.3"/>
    <row r="254" s="1" customFormat="1" ht="14.25" customHeight="1" x14ac:dyDescent="0.3"/>
    <row r="255" s="1" customFormat="1" ht="14.25" customHeight="1" x14ac:dyDescent="0.3"/>
    <row r="256" s="1" customFormat="1" ht="14.25" customHeight="1" x14ac:dyDescent="0.3"/>
    <row r="257" s="1" customFormat="1" ht="14.25" customHeight="1" x14ac:dyDescent="0.3"/>
    <row r="258" s="1" customFormat="1" ht="14.25" customHeight="1" x14ac:dyDescent="0.3"/>
    <row r="259" s="1" customFormat="1" ht="14.25" customHeight="1" x14ac:dyDescent="0.3"/>
    <row r="260" s="1" customFormat="1" ht="14.25" customHeight="1" x14ac:dyDescent="0.3"/>
    <row r="261" s="1" customFormat="1" ht="14.25" customHeight="1" x14ac:dyDescent="0.3"/>
    <row r="262" s="1" customFormat="1" ht="14.25" customHeight="1" x14ac:dyDescent="0.3"/>
    <row r="263" s="1" customFormat="1" ht="14.25" customHeight="1" x14ac:dyDescent="0.3"/>
    <row r="264" s="1" customFormat="1" ht="14.25" customHeight="1" x14ac:dyDescent="0.3"/>
    <row r="265" s="1" customFormat="1" ht="14.25" customHeight="1" x14ac:dyDescent="0.3"/>
    <row r="266" s="1" customFormat="1" ht="14.25" customHeight="1" x14ac:dyDescent="0.3"/>
    <row r="267" s="1" customFormat="1" ht="14.25" customHeight="1" x14ac:dyDescent="0.3"/>
    <row r="268" s="1" customFormat="1" ht="14.25" customHeight="1" x14ac:dyDescent="0.3"/>
    <row r="269" s="1" customFormat="1" ht="14.25" customHeight="1" x14ac:dyDescent="0.3"/>
    <row r="270" s="1" customFormat="1" ht="14.25" customHeight="1" x14ac:dyDescent="0.3"/>
    <row r="271" s="1" customFormat="1" ht="14.25" customHeight="1" x14ac:dyDescent="0.3"/>
    <row r="272" s="1" customFormat="1" ht="14.25" customHeight="1" x14ac:dyDescent="0.3"/>
    <row r="273" s="1" customFormat="1" ht="14.25" customHeight="1" x14ac:dyDescent="0.3"/>
    <row r="274" s="1" customFormat="1" ht="14.25" customHeight="1" x14ac:dyDescent="0.3"/>
    <row r="275" s="1" customFormat="1" ht="14.25" customHeight="1" x14ac:dyDescent="0.3"/>
    <row r="276" s="1" customFormat="1" ht="14.25" customHeight="1" x14ac:dyDescent="0.3"/>
    <row r="277" s="1" customFormat="1" ht="14.25" customHeight="1" x14ac:dyDescent="0.3"/>
    <row r="278" s="1" customFormat="1" ht="14.25" customHeight="1" x14ac:dyDescent="0.3"/>
    <row r="279" s="1" customFormat="1" ht="14.25" customHeight="1" x14ac:dyDescent="0.3"/>
    <row r="280" s="1" customFormat="1" ht="14.25" customHeight="1" x14ac:dyDescent="0.3"/>
    <row r="281" s="1" customFormat="1" ht="14.25" customHeight="1" x14ac:dyDescent="0.3"/>
    <row r="282" s="1" customFormat="1" ht="14.25" customHeight="1" x14ac:dyDescent="0.3"/>
    <row r="283" s="1" customFormat="1" ht="14.25" customHeight="1" x14ac:dyDescent="0.3"/>
    <row r="284" s="1" customFormat="1" ht="14.25" customHeight="1" x14ac:dyDescent="0.3"/>
    <row r="285" s="1" customFormat="1" ht="14.25" customHeight="1" x14ac:dyDescent="0.3"/>
    <row r="286" s="1" customFormat="1" ht="14.25" customHeight="1" x14ac:dyDescent="0.3"/>
    <row r="287" s="1" customFormat="1" ht="14.25" customHeight="1" x14ac:dyDescent="0.3"/>
    <row r="288" s="1" customFormat="1" ht="14.25" customHeight="1" x14ac:dyDescent="0.3"/>
    <row r="289" s="1" customFormat="1" ht="14.25" customHeight="1" x14ac:dyDescent="0.3"/>
    <row r="290" s="1" customFormat="1" ht="14.25" customHeight="1" x14ac:dyDescent="0.3"/>
    <row r="291" s="1" customFormat="1" ht="14.25" customHeight="1" x14ac:dyDescent="0.3"/>
    <row r="292" s="1" customFormat="1" ht="14.25" customHeight="1" x14ac:dyDescent="0.3"/>
    <row r="293" s="1" customFormat="1" ht="14.25" customHeight="1" x14ac:dyDescent="0.3"/>
    <row r="294" s="1" customFormat="1" ht="14.25" customHeight="1" x14ac:dyDescent="0.3"/>
    <row r="295" s="1" customFormat="1" ht="14.25" customHeight="1" x14ac:dyDescent="0.3"/>
    <row r="296" s="1" customFormat="1" ht="14.25" customHeight="1" x14ac:dyDescent="0.3"/>
    <row r="297" s="1" customFormat="1" ht="14.25" customHeight="1" x14ac:dyDescent="0.3"/>
    <row r="298" s="1" customFormat="1" ht="14.25" customHeight="1" x14ac:dyDescent="0.3"/>
    <row r="299" s="1" customFormat="1" ht="14.25" customHeight="1" x14ac:dyDescent="0.3"/>
    <row r="300" s="1" customFormat="1" ht="14.25" customHeight="1" x14ac:dyDescent="0.3"/>
    <row r="301" s="1" customFormat="1" ht="14.25" customHeight="1" x14ac:dyDescent="0.3"/>
    <row r="302" s="1" customFormat="1" ht="14.25" customHeight="1" x14ac:dyDescent="0.3"/>
    <row r="303" s="1" customFormat="1" ht="14.25" customHeight="1" x14ac:dyDescent="0.3"/>
    <row r="304" s="1" customFormat="1" ht="14.25" customHeight="1" x14ac:dyDescent="0.3"/>
    <row r="305" s="1" customFormat="1" ht="14.25" customHeight="1" x14ac:dyDescent="0.3"/>
    <row r="306" s="1" customFormat="1" ht="14.25" customHeight="1" x14ac:dyDescent="0.3"/>
    <row r="307" s="1" customFormat="1" ht="14.25" customHeight="1" x14ac:dyDescent="0.3"/>
    <row r="308" s="1" customFormat="1" ht="14.25" customHeight="1" x14ac:dyDescent="0.3"/>
    <row r="309" s="1" customFormat="1" ht="14.25" customHeight="1" x14ac:dyDescent="0.3"/>
    <row r="310" s="1" customFormat="1" ht="14.25" customHeight="1" x14ac:dyDescent="0.3"/>
    <row r="311" s="1" customFormat="1" ht="14.25" customHeight="1" x14ac:dyDescent="0.3"/>
    <row r="312" s="1" customFormat="1" ht="14.25" customHeight="1" x14ac:dyDescent="0.3"/>
    <row r="313" s="1" customFormat="1" ht="14.25" customHeight="1" x14ac:dyDescent="0.3"/>
    <row r="314" s="1" customFormat="1" ht="14.25" customHeight="1" x14ac:dyDescent="0.3"/>
    <row r="315" s="1" customFormat="1" ht="14.25" customHeight="1" x14ac:dyDescent="0.3"/>
    <row r="316" s="1" customFormat="1" ht="14.25" customHeight="1" x14ac:dyDescent="0.3"/>
    <row r="317" s="1" customFormat="1" ht="14.25" customHeight="1" x14ac:dyDescent="0.3"/>
    <row r="318" s="1" customFormat="1" ht="14.25" customHeight="1" x14ac:dyDescent="0.3"/>
    <row r="319" s="1" customFormat="1" ht="14.25" customHeight="1" x14ac:dyDescent="0.3"/>
    <row r="320" s="1" customFormat="1" ht="14.25" customHeight="1" x14ac:dyDescent="0.3"/>
    <row r="321" s="1" customFormat="1" ht="14.25" customHeight="1" x14ac:dyDescent="0.3"/>
    <row r="322" s="1" customFormat="1" ht="14.25" customHeight="1" x14ac:dyDescent="0.3"/>
    <row r="323" s="1" customFormat="1" ht="14.25" customHeight="1" x14ac:dyDescent="0.3"/>
    <row r="324" s="1" customFormat="1" ht="14.25" customHeight="1" x14ac:dyDescent="0.3"/>
    <row r="325" s="1" customFormat="1" ht="14.25" customHeight="1" x14ac:dyDescent="0.3"/>
    <row r="326" s="1" customFormat="1" ht="14.25" customHeight="1" x14ac:dyDescent="0.3"/>
    <row r="327" s="1" customFormat="1" ht="14.25" customHeight="1" x14ac:dyDescent="0.3"/>
    <row r="328" s="1" customFormat="1" ht="14.25" customHeight="1" x14ac:dyDescent="0.3"/>
    <row r="329" s="1" customFormat="1" ht="14.25" customHeight="1" x14ac:dyDescent="0.3"/>
    <row r="330" s="1" customFormat="1" ht="14.25" customHeight="1" x14ac:dyDescent="0.3"/>
    <row r="331" s="1" customFormat="1" ht="14.25" customHeight="1" x14ac:dyDescent="0.3"/>
    <row r="332" s="1" customFormat="1" ht="14.25" customHeight="1" x14ac:dyDescent="0.3"/>
    <row r="333" s="1" customFormat="1" ht="14.25" customHeight="1" x14ac:dyDescent="0.3"/>
    <row r="334" s="1" customFormat="1" ht="14.25" customHeight="1" x14ac:dyDescent="0.3"/>
    <row r="335" s="1" customFormat="1" ht="14.25" customHeight="1" x14ac:dyDescent="0.3"/>
    <row r="336" s="1" customFormat="1" ht="14.25" customHeight="1" x14ac:dyDescent="0.3"/>
    <row r="337" s="1" customFormat="1" ht="14.25" customHeight="1" x14ac:dyDescent="0.3"/>
    <row r="338" s="1" customFormat="1" ht="14.25" customHeight="1" x14ac:dyDescent="0.3"/>
    <row r="339" s="1" customFormat="1" ht="14.25" customHeight="1" x14ac:dyDescent="0.3"/>
    <row r="340" s="1" customFormat="1" ht="14.25" customHeight="1" x14ac:dyDescent="0.3"/>
    <row r="341" s="1" customFormat="1" ht="14.25" customHeight="1" x14ac:dyDescent="0.3"/>
    <row r="342" s="1" customFormat="1" ht="14.25" customHeight="1" x14ac:dyDescent="0.3"/>
    <row r="343" s="1" customFormat="1" ht="14.25" customHeight="1" x14ac:dyDescent="0.3"/>
    <row r="344" s="1" customFormat="1" ht="14.25" customHeight="1" x14ac:dyDescent="0.3"/>
    <row r="345" s="1" customFormat="1" ht="14.25" customHeight="1" x14ac:dyDescent="0.3"/>
    <row r="346" s="1" customFormat="1" ht="14.25" customHeight="1" x14ac:dyDescent="0.3"/>
    <row r="347" s="1" customFormat="1" ht="14.25" customHeight="1" x14ac:dyDescent="0.3"/>
    <row r="348" s="1" customFormat="1" ht="14.25" customHeight="1" x14ac:dyDescent="0.3"/>
    <row r="349" s="1" customFormat="1" ht="14.25" customHeight="1" x14ac:dyDescent="0.3"/>
    <row r="350" s="1" customFormat="1" ht="14.25" customHeight="1" x14ac:dyDescent="0.3"/>
    <row r="351" s="1" customFormat="1" ht="14.25" customHeight="1" x14ac:dyDescent="0.3"/>
    <row r="352" s="1" customFormat="1" ht="14.25" customHeight="1" x14ac:dyDescent="0.3"/>
    <row r="353" s="1" customFormat="1" ht="14.25" customHeight="1" x14ac:dyDescent="0.3"/>
    <row r="354" s="1" customFormat="1" ht="14.25" customHeight="1" x14ac:dyDescent="0.3"/>
    <row r="355" s="1" customFormat="1" ht="14.25" customHeight="1" x14ac:dyDescent="0.3"/>
    <row r="356" s="1" customFormat="1" ht="14.25" customHeight="1" x14ac:dyDescent="0.3"/>
    <row r="357" s="1" customFormat="1" ht="14.25" customHeight="1" x14ac:dyDescent="0.3"/>
    <row r="358" s="1" customFormat="1" ht="14.25" customHeight="1" x14ac:dyDescent="0.3"/>
    <row r="359" s="1" customFormat="1" ht="14.25" customHeight="1" x14ac:dyDescent="0.3"/>
    <row r="360" s="1" customFormat="1" ht="14.25" customHeight="1" x14ac:dyDescent="0.3"/>
    <row r="361" s="1" customFormat="1" ht="14.25" customHeight="1" x14ac:dyDescent="0.3"/>
    <row r="362" s="1" customFormat="1" ht="14.25" customHeight="1" x14ac:dyDescent="0.3"/>
    <row r="363" s="1" customFormat="1" ht="14.25" customHeight="1" x14ac:dyDescent="0.3"/>
    <row r="364" s="1" customFormat="1" ht="14.25" customHeight="1" x14ac:dyDescent="0.3"/>
    <row r="365" s="1" customFormat="1" ht="14.25" customHeight="1" x14ac:dyDescent="0.3"/>
    <row r="366" s="1" customFormat="1" ht="14.25" customHeight="1" x14ac:dyDescent="0.3"/>
    <row r="367" s="1" customFormat="1" ht="14.25" customHeight="1" x14ac:dyDescent="0.3"/>
    <row r="368" s="1" customFormat="1" ht="14.25" customHeight="1" x14ac:dyDescent="0.3"/>
    <row r="369" s="1" customFormat="1" ht="14.25" customHeight="1" x14ac:dyDescent="0.3"/>
    <row r="370" s="1" customFormat="1" ht="14.25" customHeight="1" x14ac:dyDescent="0.3"/>
    <row r="371" s="1" customFormat="1" ht="14.25" customHeight="1" x14ac:dyDescent="0.3"/>
    <row r="372" s="1" customFormat="1" ht="14.25" customHeight="1" x14ac:dyDescent="0.3"/>
    <row r="373" s="1" customFormat="1" ht="14.25" customHeight="1" x14ac:dyDescent="0.3"/>
    <row r="374" s="1" customFormat="1" ht="14.25" customHeight="1" x14ac:dyDescent="0.3"/>
    <row r="375" s="1" customFormat="1" ht="14.25" customHeight="1" x14ac:dyDescent="0.3"/>
    <row r="376" s="1" customFormat="1" ht="14.25" customHeight="1" x14ac:dyDescent="0.3"/>
    <row r="377" s="1" customFormat="1" ht="14.25" customHeight="1" x14ac:dyDescent="0.3"/>
    <row r="378" s="1" customFormat="1" ht="14.25" customHeight="1" x14ac:dyDescent="0.3"/>
    <row r="379" s="1" customFormat="1" ht="14.25" customHeight="1" x14ac:dyDescent="0.3"/>
    <row r="380" s="1" customFormat="1" ht="14.25" customHeight="1" x14ac:dyDescent="0.3"/>
    <row r="381" s="1" customFormat="1" ht="14.25" customHeight="1" x14ac:dyDescent="0.3"/>
    <row r="382" s="1" customFormat="1" ht="14.25" customHeight="1" x14ac:dyDescent="0.3"/>
    <row r="383" s="1" customFormat="1" ht="14.25" customHeight="1" x14ac:dyDescent="0.3"/>
    <row r="384" s="1" customFormat="1" ht="14.25" customHeight="1" x14ac:dyDescent="0.3"/>
    <row r="385" s="1" customFormat="1" ht="14.25" customHeight="1" x14ac:dyDescent="0.3"/>
    <row r="386" s="1" customFormat="1" ht="14.25" customHeight="1" x14ac:dyDescent="0.3"/>
    <row r="387" s="1" customFormat="1" ht="14.25" customHeight="1" x14ac:dyDescent="0.3"/>
    <row r="388" s="1" customFormat="1" ht="14.25" customHeight="1" x14ac:dyDescent="0.3"/>
    <row r="389" s="1" customFormat="1" ht="14.25" customHeight="1" x14ac:dyDescent="0.3"/>
    <row r="390" s="1" customFormat="1" ht="14.25" customHeight="1" x14ac:dyDescent="0.3"/>
    <row r="391" s="1" customFormat="1" ht="14.25" customHeight="1" x14ac:dyDescent="0.3"/>
    <row r="392" s="1" customFormat="1" ht="14.25" customHeight="1" x14ac:dyDescent="0.3"/>
    <row r="393" s="1" customFormat="1" ht="14.25" customHeight="1" x14ac:dyDescent="0.3"/>
    <row r="394" s="1" customFormat="1" ht="14.25" customHeight="1" x14ac:dyDescent="0.3"/>
    <row r="395" s="1" customFormat="1" ht="14.25" customHeight="1" x14ac:dyDescent="0.3"/>
    <row r="396" s="1" customFormat="1" ht="14.25" customHeight="1" x14ac:dyDescent="0.3"/>
    <row r="397" s="1" customFormat="1" ht="14.25" customHeight="1" x14ac:dyDescent="0.3"/>
    <row r="398" s="1" customFormat="1" ht="14.25" customHeight="1" x14ac:dyDescent="0.3"/>
    <row r="399" s="1" customFormat="1" ht="14.25" customHeight="1" x14ac:dyDescent="0.3"/>
    <row r="400" s="1" customFormat="1" ht="14.25" customHeight="1" x14ac:dyDescent="0.3"/>
    <row r="401" s="1" customFormat="1" ht="14.25" customHeight="1" x14ac:dyDescent="0.3"/>
    <row r="402" s="1" customFormat="1" ht="14.25" customHeight="1" x14ac:dyDescent="0.3"/>
    <row r="403" s="1" customFormat="1" ht="14.25" customHeight="1" x14ac:dyDescent="0.3"/>
    <row r="404" s="1" customFormat="1" ht="14.25" customHeight="1" x14ac:dyDescent="0.3"/>
    <row r="405" s="1" customFormat="1" ht="14.25" customHeight="1" x14ac:dyDescent="0.3"/>
    <row r="406" s="1" customFormat="1" ht="14.25" customHeight="1" x14ac:dyDescent="0.3"/>
    <row r="407" s="1" customFormat="1" ht="14.25" customHeight="1" x14ac:dyDescent="0.3"/>
    <row r="408" s="1" customFormat="1" ht="14.25" customHeight="1" x14ac:dyDescent="0.3"/>
    <row r="409" s="1" customFormat="1" ht="14.25" customHeight="1" x14ac:dyDescent="0.3"/>
    <row r="410" s="1" customFormat="1" ht="14.25" customHeight="1" x14ac:dyDescent="0.3"/>
    <row r="411" s="1" customFormat="1" ht="14.25" customHeight="1" x14ac:dyDescent="0.3"/>
    <row r="412" s="1" customFormat="1" ht="14.25" customHeight="1" x14ac:dyDescent="0.3"/>
    <row r="413" s="1" customFormat="1" ht="14.25" customHeight="1" x14ac:dyDescent="0.3"/>
    <row r="414" s="1" customFormat="1" ht="14.25" customHeight="1" x14ac:dyDescent="0.3"/>
    <row r="415" s="1" customFormat="1" ht="14.25" customHeight="1" x14ac:dyDescent="0.3"/>
    <row r="416" s="1" customFormat="1" ht="14.25" customHeight="1" x14ac:dyDescent="0.3"/>
    <row r="417" s="1" customFormat="1" ht="14.25" customHeight="1" x14ac:dyDescent="0.3"/>
    <row r="418" s="1" customFormat="1" ht="14.25" customHeight="1" x14ac:dyDescent="0.3"/>
    <row r="419" s="1" customFormat="1" ht="14.25" customHeight="1" x14ac:dyDescent="0.3"/>
    <row r="420" s="1" customFormat="1" ht="14.25" customHeight="1" x14ac:dyDescent="0.3"/>
    <row r="421" s="1" customFormat="1" ht="14.25" customHeight="1" x14ac:dyDescent="0.3"/>
    <row r="422" s="1" customFormat="1" ht="14.25" customHeight="1" x14ac:dyDescent="0.3"/>
    <row r="423" s="1" customFormat="1" ht="14.25" customHeight="1" x14ac:dyDescent="0.3"/>
    <row r="424" s="1" customFormat="1" ht="14.25" customHeight="1" x14ac:dyDescent="0.3"/>
    <row r="425" s="1" customFormat="1" ht="14.25" customHeight="1" x14ac:dyDescent="0.3"/>
    <row r="426" s="1" customFormat="1" ht="14.25" customHeight="1" x14ac:dyDescent="0.3"/>
    <row r="427" s="1" customFormat="1" ht="14.25" customHeight="1" x14ac:dyDescent="0.3"/>
    <row r="428" s="1" customFormat="1" ht="14.25" customHeight="1" x14ac:dyDescent="0.3"/>
    <row r="429" s="1" customFormat="1" ht="14.25" customHeight="1" x14ac:dyDescent="0.3"/>
    <row r="430" s="1" customFormat="1" ht="14.25" customHeight="1" x14ac:dyDescent="0.3"/>
    <row r="431" s="1" customFormat="1" ht="14.25" customHeight="1" x14ac:dyDescent="0.3"/>
    <row r="432" s="1" customFormat="1" ht="14.25" customHeight="1" x14ac:dyDescent="0.3"/>
    <row r="433" s="1" customFormat="1" ht="14.25" customHeight="1" x14ac:dyDescent="0.3"/>
    <row r="434" s="1" customFormat="1" ht="14.25" customHeight="1" x14ac:dyDescent="0.3"/>
    <row r="435" s="1" customFormat="1" ht="14.25" customHeight="1" x14ac:dyDescent="0.3"/>
    <row r="436" s="1" customFormat="1" ht="14.25" customHeight="1" x14ac:dyDescent="0.3"/>
    <row r="437" s="1" customFormat="1" ht="14.25" customHeight="1" x14ac:dyDescent="0.3"/>
    <row r="438" s="1" customFormat="1" ht="14.25" customHeight="1" x14ac:dyDescent="0.3"/>
    <row r="439" s="1" customFormat="1" ht="14.25" customHeight="1" x14ac:dyDescent="0.3"/>
    <row r="440" s="1" customFormat="1" ht="14.25" customHeight="1" x14ac:dyDescent="0.3"/>
    <row r="441" s="1" customFormat="1" ht="14.25" customHeight="1" x14ac:dyDescent="0.3"/>
    <row r="442" s="1" customFormat="1" ht="14.25" customHeight="1" x14ac:dyDescent="0.3"/>
    <row r="443" s="1" customFormat="1" ht="14.25" customHeight="1" x14ac:dyDescent="0.3"/>
    <row r="444" s="1" customFormat="1" ht="14.25" customHeight="1" x14ac:dyDescent="0.3"/>
    <row r="445" s="1" customFormat="1" ht="14.25" customHeight="1" x14ac:dyDescent="0.3"/>
    <row r="446" s="1" customFormat="1" ht="14.25" customHeight="1" x14ac:dyDescent="0.3"/>
    <row r="447" s="1" customFormat="1" ht="14.25" customHeight="1" x14ac:dyDescent="0.3"/>
    <row r="448" s="1" customFormat="1" ht="14.25" customHeight="1" x14ac:dyDescent="0.3"/>
    <row r="449" s="1" customFormat="1" ht="14.25" customHeight="1" x14ac:dyDescent="0.3"/>
    <row r="450" s="1" customFormat="1" ht="14.25" customHeight="1" x14ac:dyDescent="0.3"/>
    <row r="451" s="1" customFormat="1" ht="14.25" customHeight="1" x14ac:dyDescent="0.3"/>
    <row r="452" s="1" customFormat="1" ht="14.25" customHeight="1" x14ac:dyDescent="0.3"/>
    <row r="453" s="1" customFormat="1" ht="14.25" customHeight="1" x14ac:dyDescent="0.3"/>
    <row r="454" s="1" customFormat="1" ht="14.25" customHeight="1" x14ac:dyDescent="0.3"/>
    <row r="455" s="1" customFormat="1" ht="14.25" customHeight="1" x14ac:dyDescent="0.3"/>
    <row r="456" s="1" customFormat="1" ht="14.25" customHeight="1" x14ac:dyDescent="0.3"/>
    <row r="457" s="1" customFormat="1" ht="14.25" customHeight="1" x14ac:dyDescent="0.3"/>
    <row r="458" s="1" customFormat="1" ht="14.25" customHeight="1" x14ac:dyDescent="0.3"/>
    <row r="459" s="1" customFormat="1" ht="14.25" customHeight="1" x14ac:dyDescent="0.3"/>
    <row r="460" s="1" customFormat="1" ht="14.25" customHeight="1" x14ac:dyDescent="0.3"/>
    <row r="461" s="1" customFormat="1" ht="14.25" customHeight="1" x14ac:dyDescent="0.3"/>
    <row r="462" s="1" customFormat="1" ht="14.25" customHeight="1" x14ac:dyDescent="0.3"/>
    <row r="463" s="1" customFormat="1" ht="14.25" customHeight="1" x14ac:dyDescent="0.3"/>
    <row r="464" s="1" customFormat="1" ht="14.25" customHeight="1" x14ac:dyDescent="0.3"/>
    <row r="465" s="1" customFormat="1" ht="14.25" customHeight="1" x14ac:dyDescent="0.3"/>
    <row r="466" s="1" customFormat="1" ht="14.25" customHeight="1" x14ac:dyDescent="0.3"/>
    <row r="467" s="1" customFormat="1" ht="14.25" customHeight="1" x14ac:dyDescent="0.3"/>
    <row r="468" s="1" customFormat="1" ht="14.25" customHeight="1" x14ac:dyDescent="0.3"/>
    <row r="469" s="1" customFormat="1" ht="14.25" customHeight="1" x14ac:dyDescent="0.3"/>
    <row r="470" s="1" customFormat="1" ht="14.25" customHeight="1" x14ac:dyDescent="0.3"/>
    <row r="471" s="1" customFormat="1" ht="14.25" customHeight="1" x14ac:dyDescent="0.3"/>
    <row r="472" s="1" customFormat="1" ht="14.25" customHeight="1" x14ac:dyDescent="0.3"/>
    <row r="473" s="1" customFormat="1" ht="14.25" customHeight="1" x14ac:dyDescent="0.3"/>
    <row r="474" s="1" customFormat="1" ht="14.25" customHeight="1" x14ac:dyDescent="0.3"/>
    <row r="475" s="1" customFormat="1" ht="14.25" customHeight="1" x14ac:dyDescent="0.3"/>
    <row r="476" s="1" customFormat="1" ht="14.25" customHeight="1" x14ac:dyDescent="0.3"/>
    <row r="477" s="1" customFormat="1" ht="14.25" customHeight="1" x14ac:dyDescent="0.3"/>
    <row r="478" s="1" customFormat="1" ht="14.25" customHeight="1" x14ac:dyDescent="0.3"/>
    <row r="479" s="1" customFormat="1" ht="14.25" customHeight="1" x14ac:dyDescent="0.3"/>
    <row r="480" s="1" customFormat="1" ht="14.25" customHeight="1" x14ac:dyDescent="0.3"/>
    <row r="481" s="1" customFormat="1" ht="14.25" customHeight="1" x14ac:dyDescent="0.3"/>
    <row r="482" s="1" customFormat="1" ht="14.25" customHeight="1" x14ac:dyDescent="0.3"/>
    <row r="483" s="1" customFormat="1" ht="14.25" customHeight="1" x14ac:dyDescent="0.3"/>
    <row r="484" s="1" customFormat="1" ht="14.25" customHeight="1" x14ac:dyDescent="0.3"/>
    <row r="485" s="1" customFormat="1" ht="14.25" customHeight="1" x14ac:dyDescent="0.3"/>
    <row r="486" s="1" customFormat="1" ht="14.25" customHeight="1" x14ac:dyDescent="0.3"/>
    <row r="487" s="1" customFormat="1" ht="14.25" customHeight="1" x14ac:dyDescent="0.3"/>
    <row r="488" s="1" customFormat="1" ht="14.25" customHeight="1" x14ac:dyDescent="0.3"/>
    <row r="489" s="1" customFormat="1" ht="14.25" customHeight="1" x14ac:dyDescent="0.3"/>
    <row r="490" s="1" customFormat="1" ht="14.25" customHeight="1" x14ac:dyDescent="0.3"/>
    <row r="491" s="1" customFormat="1" ht="14.25" customHeight="1" x14ac:dyDescent="0.3"/>
    <row r="492" s="1" customFormat="1" ht="14.25" customHeight="1" x14ac:dyDescent="0.3"/>
    <row r="493" s="1" customFormat="1" ht="14.25" customHeight="1" x14ac:dyDescent="0.3"/>
    <row r="494" s="1" customFormat="1" ht="14.25" customHeight="1" x14ac:dyDescent="0.3"/>
    <row r="495" s="1" customFormat="1" ht="14.25" customHeight="1" x14ac:dyDescent="0.3"/>
    <row r="496" s="1" customFormat="1" ht="14.25" customHeight="1" x14ac:dyDescent="0.3"/>
    <row r="497" s="1" customFormat="1" ht="14.25" customHeight="1" x14ac:dyDescent="0.3"/>
    <row r="498" s="1" customFormat="1" ht="14.25" customHeight="1" x14ac:dyDescent="0.3"/>
    <row r="499" s="1" customFormat="1" ht="14.25" customHeight="1" x14ac:dyDescent="0.3"/>
    <row r="500" s="1" customFormat="1" ht="14.25" customHeight="1" x14ac:dyDescent="0.3"/>
    <row r="501" s="1" customFormat="1" ht="14.25" customHeight="1" x14ac:dyDescent="0.3"/>
    <row r="502" s="1" customFormat="1" ht="14.25" customHeight="1" x14ac:dyDescent="0.3"/>
    <row r="503" s="1" customFormat="1" ht="14.25" customHeight="1" x14ac:dyDescent="0.3"/>
    <row r="504" s="1" customFormat="1" ht="14.25" customHeight="1" x14ac:dyDescent="0.3"/>
    <row r="505" s="1" customFormat="1" ht="14.25" customHeight="1" x14ac:dyDescent="0.3"/>
    <row r="506" s="1" customFormat="1" ht="14.25" customHeight="1" x14ac:dyDescent="0.3"/>
    <row r="507" s="1" customFormat="1" ht="14.25" customHeight="1" x14ac:dyDescent="0.3"/>
    <row r="508" s="1" customFormat="1" ht="14.25" customHeight="1" x14ac:dyDescent="0.3"/>
    <row r="509" s="1" customFormat="1" ht="14.25" customHeight="1" x14ac:dyDescent="0.3"/>
    <row r="510" s="1" customFormat="1" ht="14.25" customHeight="1" x14ac:dyDescent="0.3"/>
    <row r="511" s="1" customFormat="1" ht="14.25" customHeight="1" x14ac:dyDescent="0.3"/>
    <row r="512" s="1" customFormat="1" ht="14.25" customHeight="1" x14ac:dyDescent="0.3"/>
    <row r="513" s="1" customFormat="1" ht="14.25" customHeight="1" x14ac:dyDescent="0.3"/>
    <row r="514" s="1" customFormat="1" ht="14.25" customHeight="1" x14ac:dyDescent="0.3"/>
    <row r="515" s="1" customFormat="1" ht="14.25" customHeight="1" x14ac:dyDescent="0.3"/>
    <row r="516" s="1" customFormat="1" ht="14.25" customHeight="1" x14ac:dyDescent="0.3"/>
    <row r="517" s="1" customFormat="1" ht="14.25" customHeight="1" x14ac:dyDescent="0.3"/>
    <row r="518" s="1" customFormat="1" ht="14.25" customHeight="1" x14ac:dyDescent="0.3"/>
    <row r="519" s="1" customFormat="1" ht="14.25" customHeight="1" x14ac:dyDescent="0.3"/>
    <row r="520" s="1" customFormat="1" ht="14.25" customHeight="1" x14ac:dyDescent="0.3"/>
    <row r="521" s="1" customFormat="1" ht="14.25" customHeight="1" x14ac:dyDescent="0.3"/>
    <row r="522" s="1" customFormat="1" ht="14.25" customHeight="1" x14ac:dyDescent="0.3"/>
    <row r="523" s="1" customFormat="1" ht="14.25" customHeight="1" x14ac:dyDescent="0.3"/>
    <row r="524" s="1" customFormat="1" ht="14.25" customHeight="1" x14ac:dyDescent="0.3"/>
    <row r="525" s="1" customFormat="1" ht="14.25" customHeight="1" x14ac:dyDescent="0.3"/>
    <row r="526" s="1" customFormat="1" ht="14.25" customHeight="1" x14ac:dyDescent="0.3"/>
    <row r="527" s="1" customFormat="1" ht="14.25" customHeight="1" x14ac:dyDescent="0.3"/>
    <row r="528" s="1" customFormat="1" ht="14.25" customHeight="1" x14ac:dyDescent="0.3"/>
    <row r="529" s="1" customFormat="1" ht="14.25" customHeight="1" x14ac:dyDescent="0.3"/>
    <row r="530" s="1" customFormat="1" ht="14.25" customHeight="1" x14ac:dyDescent="0.3"/>
    <row r="531" s="1" customFormat="1" ht="14.25" customHeight="1" x14ac:dyDescent="0.3"/>
    <row r="532" s="1" customFormat="1" ht="14.25" customHeight="1" x14ac:dyDescent="0.3"/>
    <row r="533" s="1" customFormat="1" ht="14.25" customHeight="1" x14ac:dyDescent="0.3"/>
    <row r="534" s="1" customFormat="1" ht="14.25" customHeight="1" x14ac:dyDescent="0.3"/>
    <row r="535" s="1" customFormat="1" ht="14.25" customHeight="1" x14ac:dyDescent="0.3"/>
    <row r="536" s="1" customFormat="1" ht="14.25" customHeight="1" x14ac:dyDescent="0.3"/>
    <row r="537" s="1" customFormat="1" ht="14.25" customHeight="1" x14ac:dyDescent="0.3"/>
    <row r="538" s="1" customFormat="1" ht="14.25" customHeight="1" x14ac:dyDescent="0.3"/>
    <row r="539" s="1" customFormat="1" ht="14.25" customHeight="1" x14ac:dyDescent="0.3"/>
    <row r="540" s="1" customFormat="1" ht="14.25" customHeight="1" x14ac:dyDescent="0.3"/>
    <row r="541" s="1" customFormat="1" ht="14.25" customHeight="1" x14ac:dyDescent="0.3"/>
    <row r="542" s="1" customFormat="1" ht="14.25" customHeight="1" x14ac:dyDescent="0.3"/>
    <row r="543" s="1" customFormat="1" ht="14.25" customHeight="1" x14ac:dyDescent="0.3"/>
    <row r="544" s="1" customFormat="1" ht="14.25" customHeight="1" x14ac:dyDescent="0.3"/>
    <row r="545" s="1" customFormat="1" ht="14.25" customHeight="1" x14ac:dyDescent="0.3"/>
    <row r="546" s="1" customFormat="1" ht="14.25" customHeight="1" x14ac:dyDescent="0.3"/>
    <row r="547" s="1" customFormat="1" ht="14.25" customHeight="1" x14ac:dyDescent="0.3"/>
    <row r="548" s="1" customFormat="1" ht="14.25" customHeight="1" x14ac:dyDescent="0.3"/>
    <row r="549" s="1" customFormat="1" ht="14.25" customHeight="1" x14ac:dyDescent="0.3"/>
    <row r="550" s="1" customFormat="1" ht="14.25" customHeight="1" x14ac:dyDescent="0.3"/>
    <row r="551" s="1" customFormat="1" ht="14.25" customHeight="1" x14ac:dyDescent="0.3"/>
    <row r="552" s="1" customFormat="1" ht="14.25" customHeight="1" x14ac:dyDescent="0.3"/>
    <row r="553" s="1" customFormat="1" ht="14.25" customHeight="1" x14ac:dyDescent="0.3"/>
    <row r="554" s="1" customFormat="1" ht="14.25" customHeight="1" x14ac:dyDescent="0.3"/>
    <row r="555" s="1" customFormat="1" ht="14.25" customHeight="1" x14ac:dyDescent="0.3"/>
    <row r="556" s="1" customFormat="1" ht="14.25" customHeight="1" x14ac:dyDescent="0.3"/>
    <row r="557" s="1" customFormat="1" ht="14.25" customHeight="1" x14ac:dyDescent="0.3"/>
    <row r="558" s="1" customFormat="1" ht="14.25" customHeight="1" x14ac:dyDescent="0.3"/>
    <row r="559" s="1" customFormat="1" ht="14.25" customHeight="1" x14ac:dyDescent="0.3"/>
    <row r="560" s="1" customFormat="1" ht="14.25" customHeight="1" x14ac:dyDescent="0.3"/>
    <row r="561" s="1" customFormat="1" ht="14.25" customHeight="1" x14ac:dyDescent="0.3"/>
    <row r="562" s="1" customFormat="1" ht="14.25" customHeight="1" x14ac:dyDescent="0.3"/>
    <row r="563" s="1" customFormat="1" ht="14.25" customHeight="1" x14ac:dyDescent="0.3"/>
    <row r="564" s="1" customFormat="1" ht="14.25" customHeight="1" x14ac:dyDescent="0.3"/>
    <row r="565" s="1" customFormat="1" ht="14.25" customHeight="1" x14ac:dyDescent="0.3"/>
    <row r="566" s="1" customFormat="1" ht="14.25" customHeight="1" x14ac:dyDescent="0.3"/>
    <row r="567" s="1" customFormat="1" ht="14.25" customHeight="1" x14ac:dyDescent="0.3"/>
    <row r="568" s="1" customFormat="1" ht="14.25" customHeight="1" x14ac:dyDescent="0.3"/>
    <row r="569" s="1" customFormat="1" ht="14.25" customHeight="1" x14ac:dyDescent="0.3"/>
    <row r="570" s="1" customFormat="1" ht="14.25" customHeight="1" x14ac:dyDescent="0.3"/>
    <row r="571" s="1" customFormat="1" ht="14.25" customHeight="1" x14ac:dyDescent="0.3"/>
    <row r="572" s="1" customFormat="1" ht="14.25" customHeight="1" x14ac:dyDescent="0.3"/>
    <row r="573" s="1" customFormat="1" ht="14.25" customHeight="1" x14ac:dyDescent="0.3"/>
    <row r="574" s="1" customFormat="1" ht="14.25" customHeight="1" x14ac:dyDescent="0.3"/>
    <row r="575" s="1" customFormat="1" ht="14.25" customHeight="1" x14ac:dyDescent="0.3"/>
    <row r="576" s="1" customFormat="1" ht="14.25" customHeight="1" x14ac:dyDescent="0.3"/>
    <row r="577" s="1" customFormat="1" ht="14.25" customHeight="1" x14ac:dyDescent="0.3"/>
    <row r="578" s="1" customFormat="1" ht="14.25" customHeight="1" x14ac:dyDescent="0.3"/>
    <row r="579" s="1" customFormat="1" ht="14.25" customHeight="1" x14ac:dyDescent="0.3"/>
    <row r="580" s="1" customFormat="1" ht="14.25" customHeight="1" x14ac:dyDescent="0.3"/>
    <row r="581" s="1" customFormat="1" ht="14.25" customHeight="1" x14ac:dyDescent="0.3"/>
    <row r="582" s="1" customFormat="1" ht="14.25" customHeight="1" x14ac:dyDescent="0.3"/>
    <row r="583" s="1" customFormat="1" ht="14.25" customHeight="1" x14ac:dyDescent="0.3"/>
    <row r="584" s="1" customFormat="1" ht="14.25" customHeight="1" x14ac:dyDescent="0.3"/>
    <row r="585" s="1" customFormat="1" ht="14.25" customHeight="1" x14ac:dyDescent="0.3"/>
    <row r="586" s="1" customFormat="1" ht="14.25" customHeight="1" x14ac:dyDescent="0.3"/>
    <row r="587" s="1" customFormat="1" ht="14.25" customHeight="1" x14ac:dyDescent="0.3"/>
    <row r="588" s="1" customFormat="1" ht="14.25" customHeight="1" x14ac:dyDescent="0.3"/>
    <row r="589" s="1" customFormat="1" ht="14.25" customHeight="1" x14ac:dyDescent="0.3"/>
    <row r="590" s="1" customFormat="1" ht="14.25" customHeight="1" x14ac:dyDescent="0.3"/>
    <row r="591" s="1" customFormat="1" ht="14.25" customHeight="1" x14ac:dyDescent="0.3"/>
    <row r="592" s="1" customFormat="1" ht="14.25" customHeight="1" x14ac:dyDescent="0.3"/>
    <row r="593" s="1" customFormat="1" ht="14.25" customHeight="1" x14ac:dyDescent="0.3"/>
    <row r="594" s="1" customFormat="1" ht="14.25" customHeight="1" x14ac:dyDescent="0.3"/>
    <row r="595" s="1" customFormat="1" ht="14.25" customHeight="1" x14ac:dyDescent="0.3"/>
    <row r="596" s="1" customFormat="1" ht="14.25" customHeight="1" x14ac:dyDescent="0.3"/>
    <row r="597" s="1" customFormat="1" ht="14.25" customHeight="1" x14ac:dyDescent="0.3"/>
    <row r="598" s="1" customFormat="1" ht="14.25" customHeight="1" x14ac:dyDescent="0.3"/>
    <row r="599" s="1" customFormat="1" ht="14.25" customHeight="1" x14ac:dyDescent="0.3"/>
    <row r="600" s="1" customFormat="1" ht="14.25" customHeight="1" x14ac:dyDescent="0.3"/>
    <row r="601" s="1" customFormat="1" ht="14.25" customHeight="1" x14ac:dyDescent="0.3"/>
    <row r="602" s="1" customFormat="1" ht="14.25" customHeight="1" x14ac:dyDescent="0.3"/>
    <row r="603" s="1" customFormat="1" ht="14.25" customHeight="1" x14ac:dyDescent="0.3"/>
    <row r="604" s="1" customFormat="1" ht="14.25" customHeight="1" x14ac:dyDescent="0.3"/>
    <row r="605" s="1" customFormat="1" ht="14.25" customHeight="1" x14ac:dyDescent="0.3"/>
    <row r="606" s="1" customFormat="1" ht="14.25" customHeight="1" x14ac:dyDescent="0.3"/>
    <row r="607" s="1" customFormat="1" ht="14.25" customHeight="1" x14ac:dyDescent="0.3"/>
    <row r="608" s="1" customFormat="1" ht="14.25" customHeight="1" x14ac:dyDescent="0.3"/>
    <row r="609" s="1" customFormat="1" ht="14.25" customHeight="1" x14ac:dyDescent="0.3"/>
    <row r="610" s="1" customFormat="1" ht="14.25" customHeight="1" x14ac:dyDescent="0.3"/>
    <row r="611" s="1" customFormat="1" ht="14.25" customHeight="1" x14ac:dyDescent="0.3"/>
    <row r="612" s="1" customFormat="1" ht="14.25" customHeight="1" x14ac:dyDescent="0.3"/>
    <row r="613" s="1" customFormat="1" ht="14.25" customHeight="1" x14ac:dyDescent="0.3"/>
    <row r="614" s="1" customFormat="1" ht="14.25" customHeight="1" x14ac:dyDescent="0.3"/>
    <row r="615" s="1" customFormat="1" ht="14.25" customHeight="1" x14ac:dyDescent="0.3"/>
    <row r="616" s="1" customFormat="1" ht="14.25" customHeight="1" x14ac:dyDescent="0.3"/>
    <row r="617" s="1" customFormat="1" ht="14.25" customHeight="1" x14ac:dyDescent="0.3"/>
    <row r="618" s="1" customFormat="1" ht="14.25" customHeight="1" x14ac:dyDescent="0.3"/>
    <row r="619" s="1" customFormat="1" ht="14.25" customHeight="1" x14ac:dyDescent="0.3"/>
    <row r="620" s="1" customFormat="1" ht="14.25" customHeight="1" x14ac:dyDescent="0.3"/>
    <row r="621" s="1" customFormat="1" ht="14.25" customHeight="1" x14ac:dyDescent="0.3"/>
    <row r="622" s="1" customFormat="1" ht="14.25" customHeight="1" x14ac:dyDescent="0.3"/>
    <row r="623" s="1" customFormat="1" ht="14.25" customHeight="1" x14ac:dyDescent="0.3"/>
    <row r="624" s="1" customFormat="1" ht="14.25" customHeight="1" x14ac:dyDescent="0.3"/>
    <row r="625" s="1" customFormat="1" ht="14.25" customHeight="1" x14ac:dyDescent="0.3"/>
    <row r="626" s="1" customFormat="1" ht="14.25" customHeight="1" x14ac:dyDescent="0.3"/>
    <row r="627" s="1" customFormat="1" ht="14.25" customHeight="1" x14ac:dyDescent="0.3"/>
    <row r="628" s="1" customFormat="1" ht="14.25" customHeight="1" x14ac:dyDescent="0.3"/>
    <row r="629" s="1" customFormat="1" ht="14.25" customHeight="1" x14ac:dyDescent="0.3"/>
    <row r="630" s="1" customFormat="1" ht="14.25" customHeight="1" x14ac:dyDescent="0.3"/>
    <row r="631" s="1" customFormat="1" ht="14.25" customHeight="1" x14ac:dyDescent="0.3"/>
    <row r="632" s="1" customFormat="1" ht="14.25" customHeight="1" x14ac:dyDescent="0.3"/>
    <row r="633" s="1" customFormat="1" ht="14.25" customHeight="1" x14ac:dyDescent="0.3"/>
    <row r="634" s="1" customFormat="1" ht="14.25" customHeight="1" x14ac:dyDescent="0.3"/>
    <row r="635" s="1" customFormat="1" ht="14.25" customHeight="1" x14ac:dyDescent="0.3"/>
    <row r="636" s="1" customFormat="1" ht="14.25" customHeight="1" x14ac:dyDescent="0.3"/>
    <row r="637" s="1" customFormat="1" ht="14.25" customHeight="1" x14ac:dyDescent="0.3"/>
    <row r="638" s="1" customFormat="1" ht="14.25" customHeight="1" x14ac:dyDescent="0.3"/>
    <row r="639" s="1" customFormat="1" ht="14.25" customHeight="1" x14ac:dyDescent="0.3"/>
    <row r="640" s="1" customFormat="1" ht="14.25" customHeight="1" x14ac:dyDescent="0.3"/>
    <row r="641" s="1" customFormat="1" ht="14.25" customHeight="1" x14ac:dyDescent="0.3"/>
    <row r="642" s="1" customFormat="1" ht="14.25" customHeight="1" x14ac:dyDescent="0.3"/>
    <row r="643" s="1" customFormat="1" ht="14.25" customHeight="1" x14ac:dyDescent="0.3"/>
    <row r="644" s="1" customFormat="1" ht="14.25" customHeight="1" x14ac:dyDescent="0.3"/>
    <row r="645" s="1" customFormat="1" ht="14.25" customHeight="1" x14ac:dyDescent="0.3"/>
    <row r="646" s="1" customFormat="1" ht="14.25" customHeight="1" x14ac:dyDescent="0.3"/>
    <row r="647" s="1" customFormat="1" ht="14.25" customHeight="1" x14ac:dyDescent="0.3"/>
    <row r="648" s="1" customFormat="1" ht="14.25" customHeight="1" x14ac:dyDescent="0.3"/>
    <row r="649" s="1" customFormat="1" ht="14.25" customHeight="1" x14ac:dyDescent="0.3"/>
    <row r="650" s="1" customFormat="1" ht="14.25" customHeight="1" x14ac:dyDescent="0.3"/>
    <row r="651" s="1" customFormat="1" ht="14.25" customHeight="1" x14ac:dyDescent="0.3"/>
    <row r="652" s="1" customFormat="1" ht="14.25" customHeight="1" x14ac:dyDescent="0.3"/>
    <row r="653" s="1" customFormat="1" ht="14.25" customHeight="1" x14ac:dyDescent="0.3"/>
    <row r="654" s="1" customFormat="1" ht="14.25" customHeight="1" x14ac:dyDescent="0.3"/>
    <row r="655" s="1" customFormat="1" ht="14.25" customHeight="1" x14ac:dyDescent="0.3"/>
    <row r="656" s="1" customFormat="1" ht="14.25" customHeight="1" x14ac:dyDescent="0.3"/>
    <row r="657" s="1" customFormat="1" ht="14.25" customHeight="1" x14ac:dyDescent="0.3"/>
    <row r="658" s="1" customFormat="1" ht="14.25" customHeight="1" x14ac:dyDescent="0.3"/>
    <row r="659" s="1" customFormat="1" ht="14.25" customHeight="1" x14ac:dyDescent="0.3"/>
    <row r="660" s="1" customFormat="1" ht="14.25" customHeight="1" x14ac:dyDescent="0.3"/>
    <row r="661" s="1" customFormat="1" ht="14.25" customHeight="1" x14ac:dyDescent="0.3"/>
    <row r="662" s="1" customFormat="1" ht="14.25" customHeight="1" x14ac:dyDescent="0.3"/>
    <row r="663" s="1" customFormat="1" ht="14.25" customHeight="1" x14ac:dyDescent="0.3"/>
    <row r="664" s="1" customFormat="1" ht="14.25" customHeight="1" x14ac:dyDescent="0.3"/>
    <row r="665" s="1" customFormat="1" ht="14.25" customHeight="1" x14ac:dyDescent="0.3"/>
    <row r="666" s="1" customFormat="1" ht="14.25" customHeight="1" x14ac:dyDescent="0.3"/>
    <row r="667" s="1" customFormat="1" ht="14.25" customHeight="1" x14ac:dyDescent="0.3"/>
    <row r="668" s="1" customFormat="1" ht="14.25" customHeight="1" x14ac:dyDescent="0.3"/>
    <row r="669" s="1" customFormat="1" ht="14.25" customHeight="1" x14ac:dyDescent="0.3"/>
    <row r="670" s="1" customFormat="1" ht="14.25" customHeight="1" x14ac:dyDescent="0.3"/>
    <row r="671" s="1" customFormat="1" ht="14.25" customHeight="1" x14ac:dyDescent="0.3"/>
    <row r="672" s="1" customFormat="1" ht="14.25" customHeight="1" x14ac:dyDescent="0.3"/>
    <row r="673" s="1" customFormat="1" ht="14.25" customHeight="1" x14ac:dyDescent="0.3"/>
    <row r="674" s="1" customFormat="1" ht="14.25" customHeight="1" x14ac:dyDescent="0.3"/>
    <row r="675" s="1" customFormat="1" ht="14.25" customHeight="1" x14ac:dyDescent="0.3"/>
    <row r="676" s="1" customFormat="1" ht="14.25" customHeight="1" x14ac:dyDescent="0.3"/>
    <row r="677" s="1" customFormat="1" ht="14.25" customHeight="1" x14ac:dyDescent="0.3"/>
    <row r="678" s="1" customFormat="1" ht="14.25" customHeight="1" x14ac:dyDescent="0.3"/>
    <row r="679" s="1" customFormat="1" ht="14.25" customHeight="1" x14ac:dyDescent="0.3"/>
    <row r="680" s="1" customFormat="1" ht="14.25" customHeight="1" x14ac:dyDescent="0.3"/>
    <row r="681" s="1" customFormat="1" ht="14.25" customHeight="1" x14ac:dyDescent="0.3"/>
    <row r="682" s="1" customFormat="1" ht="14.25" customHeight="1" x14ac:dyDescent="0.3"/>
    <row r="683" s="1" customFormat="1" ht="14.25" customHeight="1" x14ac:dyDescent="0.3"/>
    <row r="684" s="1" customFormat="1" ht="14.25" customHeight="1" x14ac:dyDescent="0.3"/>
    <row r="685" s="1" customFormat="1" ht="14.25" customHeight="1" x14ac:dyDescent="0.3"/>
    <row r="686" s="1" customFormat="1" ht="14.25" customHeight="1" x14ac:dyDescent="0.3"/>
    <row r="687" s="1" customFormat="1" ht="14.25" customHeight="1" x14ac:dyDescent="0.3"/>
    <row r="688" s="1" customFormat="1" ht="14.25" customHeight="1" x14ac:dyDescent="0.3"/>
    <row r="689" s="1" customFormat="1" ht="14.25" customHeight="1" x14ac:dyDescent="0.3"/>
    <row r="690" s="1" customFormat="1" ht="14.25" customHeight="1" x14ac:dyDescent="0.3"/>
    <row r="691" s="1" customFormat="1" ht="14.25" customHeight="1" x14ac:dyDescent="0.3"/>
    <row r="692" s="1" customFormat="1" ht="14.25" customHeight="1" x14ac:dyDescent="0.3"/>
    <row r="693" s="1" customFormat="1" ht="14.25" customHeight="1" x14ac:dyDescent="0.3"/>
    <row r="694" s="1" customFormat="1" ht="14.25" customHeight="1" x14ac:dyDescent="0.3"/>
    <row r="695" s="1" customFormat="1" ht="14.25" customHeight="1" x14ac:dyDescent="0.3"/>
    <row r="696" s="1" customFormat="1" ht="14.25" customHeight="1" x14ac:dyDescent="0.3"/>
    <row r="697" s="1" customFormat="1" ht="14.25" customHeight="1" x14ac:dyDescent="0.3"/>
    <row r="698" s="1" customFormat="1" ht="14.25" customHeight="1" x14ac:dyDescent="0.3"/>
    <row r="699" s="1" customFormat="1" ht="14.25" customHeight="1" x14ac:dyDescent="0.3"/>
    <row r="700" s="1" customFormat="1" ht="14.25" customHeight="1" x14ac:dyDescent="0.3"/>
    <row r="701" s="1" customFormat="1" ht="14.25" customHeight="1" x14ac:dyDescent="0.3"/>
    <row r="702" s="1" customFormat="1" ht="14.25" customHeight="1" x14ac:dyDescent="0.3"/>
    <row r="703" s="1" customFormat="1" ht="14.25" customHeight="1" x14ac:dyDescent="0.3"/>
    <row r="704" s="1" customFormat="1" ht="14.25" customHeight="1" x14ac:dyDescent="0.3"/>
    <row r="705" s="1" customFormat="1" ht="14.25" customHeight="1" x14ac:dyDescent="0.3"/>
    <row r="706" s="1" customFormat="1" ht="14.25" customHeight="1" x14ac:dyDescent="0.3"/>
    <row r="707" s="1" customFormat="1" ht="14.25" customHeight="1" x14ac:dyDescent="0.3"/>
    <row r="708" s="1" customFormat="1" ht="14.25" customHeight="1" x14ac:dyDescent="0.3"/>
    <row r="709" s="1" customFormat="1" ht="14.25" customHeight="1" x14ac:dyDescent="0.3"/>
    <row r="710" s="1" customFormat="1" ht="14.25" customHeight="1" x14ac:dyDescent="0.3"/>
    <row r="711" s="1" customFormat="1" ht="14.25" customHeight="1" x14ac:dyDescent="0.3"/>
    <row r="712" s="1" customFormat="1" ht="14.25" customHeight="1" x14ac:dyDescent="0.3"/>
    <row r="713" s="1" customFormat="1" ht="14.25" customHeight="1" x14ac:dyDescent="0.3"/>
    <row r="714" s="1" customFormat="1" ht="14.25" customHeight="1" x14ac:dyDescent="0.3"/>
    <row r="715" s="1" customFormat="1" ht="14.25" customHeight="1" x14ac:dyDescent="0.3"/>
    <row r="716" s="1" customFormat="1" ht="14.25" customHeight="1" x14ac:dyDescent="0.3"/>
    <row r="717" s="1" customFormat="1" ht="14.25" customHeight="1" x14ac:dyDescent="0.3"/>
    <row r="718" s="1" customFormat="1" ht="14.25" customHeight="1" x14ac:dyDescent="0.3"/>
    <row r="719" s="1" customFormat="1" ht="14.25" customHeight="1" x14ac:dyDescent="0.3"/>
    <row r="720" s="1" customFormat="1" ht="14.25" customHeight="1" x14ac:dyDescent="0.3"/>
    <row r="721" s="1" customFormat="1" ht="14.25" customHeight="1" x14ac:dyDescent="0.3"/>
    <row r="722" s="1" customFormat="1" ht="14.25" customHeight="1" x14ac:dyDescent="0.3"/>
    <row r="723" s="1" customFormat="1" ht="14.25" customHeight="1" x14ac:dyDescent="0.3"/>
    <row r="724" s="1" customFormat="1" ht="14.25" customHeight="1" x14ac:dyDescent="0.3"/>
    <row r="725" s="1" customFormat="1" ht="14.25" customHeight="1" x14ac:dyDescent="0.3"/>
    <row r="726" s="1" customFormat="1" ht="14.25" customHeight="1" x14ac:dyDescent="0.3"/>
    <row r="727" s="1" customFormat="1" ht="14.25" customHeight="1" x14ac:dyDescent="0.3"/>
    <row r="728" s="1" customFormat="1" ht="14.25" customHeight="1" x14ac:dyDescent="0.3"/>
    <row r="729" s="1" customFormat="1" ht="14.25" customHeight="1" x14ac:dyDescent="0.3"/>
    <row r="730" s="1" customFormat="1" ht="14.25" customHeight="1" x14ac:dyDescent="0.3"/>
    <row r="731" s="1" customFormat="1" ht="14.25" customHeight="1" x14ac:dyDescent="0.3"/>
    <row r="732" s="1" customFormat="1" ht="14.25" customHeight="1" x14ac:dyDescent="0.3"/>
    <row r="733" s="1" customFormat="1" ht="14.25" customHeight="1" x14ac:dyDescent="0.3"/>
    <row r="734" s="1" customFormat="1" ht="14.25" customHeight="1" x14ac:dyDescent="0.3"/>
    <row r="735" s="1" customFormat="1" ht="14.25" customHeight="1" x14ac:dyDescent="0.3"/>
    <row r="736" s="1" customFormat="1" ht="14.25" customHeight="1" x14ac:dyDescent="0.3"/>
    <row r="737" s="1" customFormat="1" ht="14.25" customHeight="1" x14ac:dyDescent="0.3"/>
    <row r="738" s="1" customFormat="1" ht="14.25" customHeight="1" x14ac:dyDescent="0.3"/>
    <row r="739" s="1" customFormat="1" ht="14.25" customHeight="1" x14ac:dyDescent="0.3"/>
    <row r="740" s="1" customFormat="1" ht="14.25" customHeight="1" x14ac:dyDescent="0.3"/>
    <row r="741" s="1" customFormat="1" ht="14.25" customHeight="1" x14ac:dyDescent="0.3"/>
    <row r="742" s="1" customFormat="1" ht="14.25" customHeight="1" x14ac:dyDescent="0.3"/>
    <row r="743" s="1" customFormat="1" ht="14.25" customHeight="1" x14ac:dyDescent="0.3"/>
    <row r="744" s="1" customFormat="1" ht="14.25" customHeight="1" x14ac:dyDescent="0.3"/>
    <row r="745" s="1" customFormat="1" ht="14.25" customHeight="1" x14ac:dyDescent="0.3"/>
    <row r="746" s="1" customFormat="1" ht="14.25" customHeight="1" x14ac:dyDescent="0.3"/>
    <row r="747" s="1" customFormat="1" ht="14.25" customHeight="1" x14ac:dyDescent="0.3"/>
    <row r="748" s="1" customFormat="1" ht="14.25" customHeight="1" x14ac:dyDescent="0.3"/>
    <row r="749" s="1" customFormat="1" ht="14.25" customHeight="1" x14ac:dyDescent="0.3"/>
    <row r="750" s="1" customFormat="1" ht="14.25" customHeight="1" x14ac:dyDescent="0.3"/>
    <row r="751" s="1" customFormat="1" ht="14.25" customHeight="1" x14ac:dyDescent="0.3"/>
    <row r="752" s="1" customFormat="1" ht="14.25" customHeight="1" x14ac:dyDescent="0.3"/>
    <row r="753" s="1" customFormat="1" ht="14.25" customHeight="1" x14ac:dyDescent="0.3"/>
    <row r="754" s="1" customFormat="1" ht="14.25" customHeight="1" x14ac:dyDescent="0.3"/>
    <row r="755" s="1" customFormat="1" ht="14.25" customHeight="1" x14ac:dyDescent="0.3"/>
    <row r="756" s="1" customFormat="1" ht="14.25" customHeight="1" x14ac:dyDescent="0.3"/>
    <row r="757" s="1" customFormat="1" ht="14.25" customHeight="1" x14ac:dyDescent="0.3"/>
    <row r="758" s="1" customFormat="1" ht="14.25" customHeight="1" x14ac:dyDescent="0.3"/>
    <row r="759" s="1" customFormat="1" ht="14.25" customHeight="1" x14ac:dyDescent="0.3"/>
    <row r="760" s="1" customFormat="1" ht="14.25" customHeight="1" x14ac:dyDescent="0.3"/>
    <row r="761" s="1" customFormat="1" ht="14.25" customHeight="1" x14ac:dyDescent="0.3"/>
    <row r="762" s="1" customFormat="1" ht="14.25" customHeight="1" x14ac:dyDescent="0.3"/>
    <row r="763" s="1" customFormat="1" ht="14.25" customHeight="1" x14ac:dyDescent="0.3"/>
    <row r="764" s="1" customFormat="1" ht="14.25" customHeight="1" x14ac:dyDescent="0.3"/>
    <row r="765" s="1" customFormat="1" ht="14.25" customHeight="1" x14ac:dyDescent="0.3"/>
    <row r="766" s="1" customFormat="1" ht="14.25" customHeight="1" x14ac:dyDescent="0.3"/>
    <row r="767" s="1" customFormat="1" ht="14.25" customHeight="1" x14ac:dyDescent="0.3"/>
    <row r="768" s="1" customFormat="1" ht="14.25" customHeight="1" x14ac:dyDescent="0.3"/>
    <row r="769" s="1" customFormat="1" ht="14.25" customHeight="1" x14ac:dyDescent="0.3"/>
    <row r="770" s="1" customFormat="1" ht="14.25" customHeight="1" x14ac:dyDescent="0.3"/>
    <row r="771" s="1" customFormat="1" ht="14.25" customHeight="1" x14ac:dyDescent="0.3"/>
    <row r="772" s="1" customFormat="1" ht="14.25" customHeight="1" x14ac:dyDescent="0.3"/>
    <row r="773" s="1" customFormat="1" ht="14.25" customHeight="1" x14ac:dyDescent="0.3"/>
    <row r="774" s="1" customFormat="1" ht="14.25" customHeight="1" x14ac:dyDescent="0.3"/>
    <row r="775" s="1" customFormat="1" ht="14.25" customHeight="1" x14ac:dyDescent="0.3"/>
    <row r="776" s="1" customFormat="1" ht="14.25" customHeight="1" x14ac:dyDescent="0.3"/>
    <row r="777" s="1" customFormat="1" ht="14.25" customHeight="1" x14ac:dyDescent="0.3"/>
    <row r="778" s="1" customFormat="1" ht="14.25" customHeight="1" x14ac:dyDescent="0.3"/>
    <row r="779" s="1" customFormat="1" ht="14.25" customHeight="1" x14ac:dyDescent="0.3"/>
    <row r="780" s="1" customFormat="1" ht="14.25" customHeight="1" x14ac:dyDescent="0.3"/>
    <row r="781" s="1" customFormat="1" ht="14.25" customHeight="1" x14ac:dyDescent="0.3"/>
    <row r="782" s="1" customFormat="1" ht="14.25" customHeight="1" x14ac:dyDescent="0.3"/>
    <row r="783" s="1" customFormat="1" ht="14.25" customHeight="1" x14ac:dyDescent="0.3"/>
    <row r="784" s="1" customFormat="1" ht="14.25" customHeight="1" x14ac:dyDescent="0.3"/>
    <row r="785" s="1" customFormat="1" ht="14.25" customHeight="1" x14ac:dyDescent="0.3"/>
    <row r="786" s="1" customFormat="1" ht="14.25" customHeight="1" x14ac:dyDescent="0.3"/>
    <row r="787" s="1" customFormat="1" ht="14.25" customHeight="1" x14ac:dyDescent="0.3"/>
    <row r="788" s="1" customFormat="1" ht="14.25" customHeight="1" x14ac:dyDescent="0.3"/>
    <row r="789" s="1" customFormat="1" ht="14.25" customHeight="1" x14ac:dyDescent="0.3"/>
    <row r="790" s="1" customFormat="1" ht="14.25" customHeight="1" x14ac:dyDescent="0.3"/>
    <row r="791" s="1" customFormat="1" ht="14.25" customHeight="1" x14ac:dyDescent="0.3"/>
    <row r="792" s="1" customFormat="1" ht="14.25" customHeight="1" x14ac:dyDescent="0.3"/>
    <row r="793" s="1" customFormat="1" ht="14.25" customHeight="1" x14ac:dyDescent="0.3"/>
    <row r="794" s="1" customFormat="1" ht="14.25" customHeight="1" x14ac:dyDescent="0.3"/>
    <row r="795" s="1" customFormat="1" ht="14.25" customHeight="1" x14ac:dyDescent="0.3"/>
    <row r="796" s="1" customFormat="1" ht="14.25" customHeight="1" x14ac:dyDescent="0.3"/>
    <row r="797" s="1" customFormat="1" ht="14.25" customHeight="1" x14ac:dyDescent="0.3"/>
    <row r="798" s="1" customFormat="1" ht="14.25" customHeight="1" x14ac:dyDescent="0.3"/>
    <row r="799" s="1" customFormat="1" ht="14.25" customHeight="1" x14ac:dyDescent="0.3"/>
    <row r="800" s="1" customFormat="1" ht="14.25" customHeight="1" x14ac:dyDescent="0.3"/>
    <row r="801" s="1" customFormat="1" ht="14.25" customHeight="1" x14ac:dyDescent="0.3"/>
    <row r="802" s="1" customFormat="1" ht="14.25" customHeight="1" x14ac:dyDescent="0.3"/>
    <row r="803" s="1" customFormat="1" ht="14.25" customHeight="1" x14ac:dyDescent="0.3"/>
    <row r="804" s="1" customFormat="1" ht="14.25" customHeight="1" x14ac:dyDescent="0.3"/>
    <row r="805" s="1" customFormat="1" ht="14.25" customHeight="1" x14ac:dyDescent="0.3"/>
    <row r="806" s="1" customFormat="1" ht="14.25" customHeight="1" x14ac:dyDescent="0.3"/>
    <row r="807" s="1" customFormat="1" ht="14.25" customHeight="1" x14ac:dyDescent="0.3"/>
    <row r="808" s="1" customFormat="1" ht="14.25" customHeight="1" x14ac:dyDescent="0.3"/>
    <row r="809" s="1" customFormat="1" ht="14.25" customHeight="1" x14ac:dyDescent="0.3"/>
    <row r="810" s="1" customFormat="1" ht="14.25" customHeight="1" x14ac:dyDescent="0.3"/>
    <row r="811" s="1" customFormat="1" ht="14.25" customHeight="1" x14ac:dyDescent="0.3"/>
    <row r="812" s="1" customFormat="1" ht="14.25" customHeight="1" x14ac:dyDescent="0.3"/>
    <row r="813" s="1" customFormat="1" ht="14.25" customHeight="1" x14ac:dyDescent="0.3"/>
    <row r="814" s="1" customFormat="1" ht="14.25" customHeight="1" x14ac:dyDescent="0.3"/>
    <row r="815" s="1" customFormat="1" ht="14.25" customHeight="1" x14ac:dyDescent="0.3"/>
    <row r="816" s="1" customFormat="1" ht="14.25" customHeight="1" x14ac:dyDescent="0.3"/>
    <row r="817" s="1" customFormat="1" ht="14.25" customHeight="1" x14ac:dyDescent="0.3"/>
    <row r="818" s="1" customFormat="1" ht="14.25" customHeight="1" x14ac:dyDescent="0.3"/>
    <row r="819" s="1" customFormat="1" ht="14.25" customHeight="1" x14ac:dyDescent="0.3"/>
    <row r="820" s="1" customFormat="1" ht="14.25" customHeight="1" x14ac:dyDescent="0.3"/>
    <row r="821" s="1" customFormat="1" ht="14.25" customHeight="1" x14ac:dyDescent="0.3"/>
    <row r="822" s="1" customFormat="1" ht="14.25" customHeight="1" x14ac:dyDescent="0.3"/>
    <row r="823" s="1" customFormat="1" ht="14.25" customHeight="1" x14ac:dyDescent="0.3"/>
    <row r="824" s="1" customFormat="1" ht="14.25" customHeight="1" x14ac:dyDescent="0.3"/>
    <row r="825" s="1" customFormat="1" ht="14.25" customHeight="1" x14ac:dyDescent="0.3"/>
    <row r="826" s="1" customFormat="1" ht="14.25" customHeight="1" x14ac:dyDescent="0.3"/>
    <row r="827" s="1" customFormat="1" ht="14.25" customHeight="1" x14ac:dyDescent="0.3"/>
    <row r="828" s="1" customFormat="1" ht="14.25" customHeight="1" x14ac:dyDescent="0.3"/>
    <row r="829" s="1" customFormat="1" ht="14.25" customHeight="1" x14ac:dyDescent="0.3"/>
    <row r="830" s="1" customFormat="1" ht="14.25" customHeight="1" x14ac:dyDescent="0.3"/>
    <row r="831" s="1" customFormat="1" ht="14.25" customHeight="1" x14ac:dyDescent="0.3"/>
    <row r="832" s="1" customFormat="1" ht="14.25" customHeight="1" x14ac:dyDescent="0.3"/>
    <row r="833" s="1" customFormat="1" ht="14.25" customHeight="1" x14ac:dyDescent="0.3"/>
    <row r="834" s="1" customFormat="1" ht="14.25" customHeight="1" x14ac:dyDescent="0.3"/>
    <row r="835" s="1" customFormat="1" ht="14.25" customHeight="1" x14ac:dyDescent="0.3"/>
    <row r="836" s="1" customFormat="1" ht="14.25" customHeight="1" x14ac:dyDescent="0.3"/>
    <row r="837" s="1" customFormat="1" ht="14.25" customHeight="1" x14ac:dyDescent="0.3"/>
    <row r="838" s="1" customFormat="1" ht="14.25" customHeight="1" x14ac:dyDescent="0.3"/>
    <row r="839" s="1" customFormat="1" ht="14.25" customHeight="1" x14ac:dyDescent="0.3"/>
    <row r="840" s="1" customFormat="1" ht="14.25" customHeight="1" x14ac:dyDescent="0.3"/>
    <row r="841" s="1" customFormat="1" ht="14.25" customHeight="1" x14ac:dyDescent="0.3"/>
    <row r="842" s="1" customFormat="1" ht="14.25" customHeight="1" x14ac:dyDescent="0.3"/>
    <row r="843" s="1" customFormat="1" ht="14.25" customHeight="1" x14ac:dyDescent="0.3"/>
    <row r="844" s="1" customFormat="1" ht="14.25" customHeight="1" x14ac:dyDescent="0.3"/>
    <row r="845" s="1" customFormat="1" ht="14.25" customHeight="1" x14ac:dyDescent="0.3"/>
    <row r="846" s="1" customFormat="1" ht="14.25" customHeight="1" x14ac:dyDescent="0.3"/>
    <row r="847" s="1" customFormat="1" ht="14.25" customHeight="1" x14ac:dyDescent="0.3"/>
    <row r="848" s="1" customFormat="1" ht="14.25" customHeight="1" x14ac:dyDescent="0.3"/>
    <row r="849" s="1" customFormat="1" ht="14.25" customHeight="1" x14ac:dyDescent="0.3"/>
    <row r="850" s="1" customFormat="1" ht="14.25" customHeight="1" x14ac:dyDescent="0.3"/>
    <row r="851" s="1" customFormat="1" ht="14.25" customHeight="1" x14ac:dyDescent="0.3"/>
    <row r="852" s="1" customFormat="1" ht="14.25" customHeight="1" x14ac:dyDescent="0.3"/>
    <row r="853" s="1" customFormat="1" ht="14.25" customHeight="1" x14ac:dyDescent="0.3"/>
    <row r="854" s="1" customFormat="1" ht="14.25" customHeight="1" x14ac:dyDescent="0.3"/>
    <row r="855" s="1" customFormat="1" ht="14.25" customHeight="1" x14ac:dyDescent="0.3"/>
    <row r="856" s="1" customFormat="1" ht="14.25" customHeight="1" x14ac:dyDescent="0.3"/>
    <row r="857" s="1" customFormat="1" ht="14.25" customHeight="1" x14ac:dyDescent="0.3"/>
    <row r="858" s="1" customFormat="1" ht="14.25" customHeight="1" x14ac:dyDescent="0.3"/>
    <row r="859" s="1" customFormat="1" ht="14.25" customHeight="1" x14ac:dyDescent="0.3"/>
    <row r="860" s="1" customFormat="1" ht="14.25" customHeight="1" x14ac:dyDescent="0.3"/>
    <row r="861" s="1" customFormat="1" ht="14.25" customHeight="1" x14ac:dyDescent="0.3"/>
    <row r="862" s="1" customFormat="1" ht="14.25" customHeight="1" x14ac:dyDescent="0.3"/>
    <row r="863" s="1" customFormat="1" ht="14.25" customHeight="1" x14ac:dyDescent="0.3"/>
    <row r="864" s="1" customFormat="1" ht="14.25" customHeight="1" x14ac:dyDescent="0.3"/>
    <row r="865" s="1" customFormat="1" ht="14.25" customHeight="1" x14ac:dyDescent="0.3"/>
    <row r="866" s="1" customFormat="1" ht="14.25" customHeight="1" x14ac:dyDescent="0.3"/>
    <row r="867" s="1" customFormat="1" ht="14.25" customHeight="1" x14ac:dyDescent="0.3"/>
    <row r="868" s="1" customFormat="1" ht="14.25" customHeight="1" x14ac:dyDescent="0.3"/>
    <row r="869" s="1" customFormat="1" ht="14.25" customHeight="1" x14ac:dyDescent="0.3"/>
    <row r="870" s="1" customFormat="1" ht="14.25" customHeight="1" x14ac:dyDescent="0.3"/>
    <row r="871" s="1" customFormat="1" ht="14.25" customHeight="1" x14ac:dyDescent="0.3"/>
    <row r="872" s="1" customFormat="1" ht="14.25" customHeight="1" x14ac:dyDescent="0.3"/>
    <row r="873" s="1" customFormat="1" ht="14.25" customHeight="1" x14ac:dyDescent="0.3"/>
    <row r="874" s="1" customFormat="1" ht="14.25" customHeight="1" x14ac:dyDescent="0.3"/>
    <row r="875" s="1" customFormat="1" ht="14.25" customHeight="1" x14ac:dyDescent="0.3"/>
    <row r="876" s="1" customFormat="1" ht="14.25" customHeight="1" x14ac:dyDescent="0.3"/>
    <row r="877" s="1" customFormat="1" ht="14.25" customHeight="1" x14ac:dyDescent="0.3"/>
    <row r="878" s="1" customFormat="1" ht="14.25" customHeight="1" x14ac:dyDescent="0.3"/>
    <row r="879" s="1" customFormat="1" ht="14.25" customHeight="1" x14ac:dyDescent="0.3"/>
    <row r="880" s="1" customFormat="1" ht="14.25" customHeight="1" x14ac:dyDescent="0.3"/>
    <row r="881" s="1" customFormat="1" ht="14.25" customHeight="1" x14ac:dyDescent="0.3"/>
    <row r="882" s="1" customFormat="1" ht="14.25" customHeight="1" x14ac:dyDescent="0.3"/>
    <row r="883" s="1" customFormat="1" ht="14.25" customHeight="1" x14ac:dyDescent="0.3"/>
    <row r="884" s="1" customFormat="1" ht="14.25" customHeight="1" x14ac:dyDescent="0.3"/>
    <row r="885" s="1" customFormat="1" ht="14.25" customHeight="1" x14ac:dyDescent="0.3"/>
    <row r="886" s="1" customFormat="1" ht="14.25" customHeight="1" x14ac:dyDescent="0.3"/>
    <row r="887" s="1" customFormat="1" ht="14.25" customHeight="1" x14ac:dyDescent="0.3"/>
    <row r="888" s="1" customFormat="1" ht="14.25" customHeight="1" x14ac:dyDescent="0.3"/>
    <row r="889" s="1" customFormat="1" ht="14.25" customHeight="1" x14ac:dyDescent="0.3"/>
    <row r="890" s="1" customFormat="1" ht="14.25" customHeight="1" x14ac:dyDescent="0.3"/>
    <row r="891" s="1" customFormat="1" ht="14.25" customHeight="1" x14ac:dyDescent="0.3"/>
    <row r="892" s="1" customFormat="1" ht="14.25" customHeight="1" x14ac:dyDescent="0.3"/>
    <row r="893" s="1" customFormat="1" ht="14.25" customHeight="1" x14ac:dyDescent="0.3"/>
    <row r="894" s="1" customFormat="1" ht="14.25" customHeight="1" x14ac:dyDescent="0.3"/>
    <row r="895" s="1" customFormat="1" ht="14.25" customHeight="1" x14ac:dyDescent="0.3"/>
    <row r="896" s="1" customFormat="1" ht="14.25" customHeight="1" x14ac:dyDescent="0.3"/>
    <row r="897" s="1" customFormat="1" ht="14.25" customHeight="1" x14ac:dyDescent="0.3"/>
    <row r="898" s="1" customFormat="1" ht="14.25" customHeight="1" x14ac:dyDescent="0.3"/>
    <row r="899" s="1" customFormat="1" ht="14.25" customHeight="1" x14ac:dyDescent="0.3"/>
    <row r="900" s="1" customFormat="1" ht="14.25" customHeight="1" x14ac:dyDescent="0.3"/>
    <row r="901" s="1" customFormat="1" ht="14.25" customHeight="1" x14ac:dyDescent="0.3"/>
    <row r="902" s="1" customFormat="1" ht="14.25" customHeight="1" x14ac:dyDescent="0.3"/>
    <row r="903" s="1" customFormat="1" ht="14.25" customHeight="1" x14ac:dyDescent="0.3"/>
    <row r="904" s="1" customFormat="1" ht="14.25" customHeight="1" x14ac:dyDescent="0.3"/>
    <row r="905" s="1" customFormat="1" ht="14.25" customHeight="1" x14ac:dyDescent="0.3"/>
    <row r="906" s="1" customFormat="1" ht="14.25" customHeight="1" x14ac:dyDescent="0.3"/>
    <row r="907" s="1" customFormat="1" ht="14.25" customHeight="1" x14ac:dyDescent="0.3"/>
    <row r="908" s="1" customFormat="1" ht="14.25" customHeight="1" x14ac:dyDescent="0.3"/>
    <row r="909" s="1" customFormat="1" ht="14.25" customHeight="1" x14ac:dyDescent="0.3"/>
    <row r="910" s="1" customFormat="1" ht="14.25" customHeight="1" x14ac:dyDescent="0.3"/>
    <row r="911" s="1" customFormat="1" ht="14.25" customHeight="1" x14ac:dyDescent="0.3"/>
    <row r="912" s="1" customFormat="1" ht="14.25" customHeight="1" x14ac:dyDescent="0.3"/>
    <row r="913" s="1" customFormat="1" ht="14.25" customHeight="1" x14ac:dyDescent="0.3"/>
    <row r="914" s="1" customFormat="1" ht="14.25" customHeight="1" x14ac:dyDescent="0.3"/>
    <row r="915" s="1" customFormat="1" ht="14.25" customHeight="1" x14ac:dyDescent="0.3"/>
    <row r="916" s="1" customFormat="1" ht="14.25" customHeight="1" x14ac:dyDescent="0.3"/>
    <row r="917" s="1" customFormat="1" ht="14.25" customHeight="1" x14ac:dyDescent="0.3"/>
    <row r="918" s="1" customFormat="1" ht="14.25" customHeight="1" x14ac:dyDescent="0.3"/>
    <row r="919" s="1" customFormat="1" ht="14.25" customHeight="1" x14ac:dyDescent="0.3"/>
    <row r="920" s="1" customFormat="1" ht="14.25" customHeight="1" x14ac:dyDescent="0.3"/>
    <row r="921" s="1" customFormat="1" ht="14.25" customHeight="1" x14ac:dyDescent="0.3"/>
    <row r="922" s="1" customFormat="1" ht="14.25" customHeight="1" x14ac:dyDescent="0.3"/>
    <row r="923" s="1" customFormat="1" ht="14.25" customHeight="1" x14ac:dyDescent="0.3"/>
    <row r="924" s="1" customFormat="1" ht="14.25" customHeight="1" x14ac:dyDescent="0.3"/>
    <row r="925" s="1" customFormat="1" ht="14.25" customHeight="1" x14ac:dyDescent="0.3"/>
    <row r="926" s="1" customFormat="1" ht="14.25" customHeight="1" x14ac:dyDescent="0.3"/>
    <row r="927" s="1" customFormat="1" ht="14.25" customHeight="1" x14ac:dyDescent="0.3"/>
    <row r="928" s="1" customFormat="1" ht="14.25" customHeight="1" x14ac:dyDescent="0.3"/>
    <row r="929" s="1" customFormat="1" ht="14.25" customHeight="1" x14ac:dyDescent="0.3"/>
    <row r="930" s="1" customFormat="1" ht="14.25" customHeight="1" x14ac:dyDescent="0.3"/>
    <row r="931" s="1" customFormat="1" ht="14.25" customHeight="1" x14ac:dyDescent="0.3"/>
    <row r="932" s="1" customFormat="1" ht="14.25" customHeight="1" x14ac:dyDescent="0.3"/>
    <row r="933" s="1" customFormat="1" ht="14.25" customHeight="1" x14ac:dyDescent="0.3"/>
    <row r="934" s="1" customFormat="1" ht="14.25" customHeight="1" x14ac:dyDescent="0.3"/>
    <row r="935" s="1" customFormat="1" ht="14.25" customHeight="1" x14ac:dyDescent="0.3"/>
    <row r="936" s="1" customFormat="1" ht="14.25" customHeight="1" x14ac:dyDescent="0.3"/>
    <row r="937" s="1" customFormat="1" ht="14.25" customHeight="1" x14ac:dyDescent="0.3"/>
    <row r="938" s="1" customFormat="1" ht="14.25" customHeight="1" x14ac:dyDescent="0.3"/>
    <row r="939" s="1" customFormat="1" ht="14.25" customHeight="1" x14ac:dyDescent="0.3"/>
    <row r="940" s="1" customFormat="1" ht="14.25" customHeight="1" x14ac:dyDescent="0.3"/>
    <row r="941" s="1" customFormat="1" ht="14.25" customHeight="1" x14ac:dyDescent="0.3"/>
    <row r="942" s="1" customFormat="1" ht="14.25" customHeight="1" x14ac:dyDescent="0.3"/>
    <row r="943" s="1" customFormat="1" ht="14.25" customHeight="1" x14ac:dyDescent="0.3"/>
    <row r="944" s="1" customFormat="1" ht="14.25" customHeight="1" x14ac:dyDescent="0.3"/>
    <row r="945" s="1" customFormat="1" ht="14.25" customHeight="1" x14ac:dyDescent="0.3"/>
    <row r="946" s="1" customFormat="1" ht="14.25" customHeight="1" x14ac:dyDescent="0.3"/>
    <row r="947" s="1" customFormat="1" ht="14.25" customHeight="1" x14ac:dyDescent="0.3"/>
    <row r="948" s="1" customFormat="1" ht="14.25" customHeight="1" x14ac:dyDescent="0.3"/>
    <row r="949" s="1" customFormat="1" ht="14.25" customHeight="1" x14ac:dyDescent="0.3"/>
    <row r="950" s="1" customFormat="1" ht="14.25" customHeight="1" x14ac:dyDescent="0.3"/>
    <row r="951" s="1" customFormat="1" ht="14.25" customHeight="1" x14ac:dyDescent="0.3"/>
    <row r="952" s="1" customFormat="1" ht="14.25" customHeight="1" x14ac:dyDescent="0.3"/>
    <row r="953" s="1" customFormat="1" ht="14.25" customHeight="1" x14ac:dyDescent="0.3"/>
    <row r="954" s="1" customFormat="1" ht="14.25" customHeight="1" x14ac:dyDescent="0.3"/>
    <row r="955" s="1" customFormat="1" ht="14.25" customHeight="1" x14ac:dyDescent="0.3"/>
    <row r="956" s="1" customFormat="1" ht="14.25" customHeight="1" x14ac:dyDescent="0.3"/>
    <row r="957" s="1" customFormat="1" ht="14.25" customHeight="1" x14ac:dyDescent="0.3"/>
    <row r="958" s="1" customFormat="1" ht="14.25" customHeight="1" x14ac:dyDescent="0.3"/>
    <row r="959" s="1" customFormat="1" ht="14.25" customHeight="1" x14ac:dyDescent="0.3"/>
    <row r="960" s="1" customFormat="1" ht="14.25" customHeight="1" x14ac:dyDescent="0.3"/>
    <row r="961" s="1" customFormat="1" ht="14.25" customHeight="1" x14ac:dyDescent="0.3"/>
    <row r="962" s="1" customFormat="1" ht="14.25" customHeight="1" x14ac:dyDescent="0.3"/>
    <row r="963" s="1" customFormat="1" ht="14.25" customHeight="1" x14ac:dyDescent="0.3"/>
    <row r="964" s="1" customFormat="1" ht="14.25" customHeight="1" x14ac:dyDescent="0.3"/>
    <row r="965" s="1" customFormat="1" ht="14.25" customHeight="1" x14ac:dyDescent="0.3"/>
    <row r="966" s="1" customFormat="1" ht="14.25" customHeight="1" x14ac:dyDescent="0.3"/>
    <row r="967" s="1" customFormat="1" ht="14.25" customHeight="1" x14ac:dyDescent="0.3"/>
    <row r="968" s="1" customFormat="1" ht="14.25" customHeight="1" x14ac:dyDescent="0.3"/>
    <row r="969" s="1" customFormat="1" ht="14.25" customHeight="1" x14ac:dyDescent="0.3"/>
    <row r="970" s="1" customFormat="1" ht="14.25" customHeight="1" x14ac:dyDescent="0.3"/>
    <row r="971" s="1" customFormat="1" ht="14.25" customHeight="1" x14ac:dyDescent="0.3"/>
    <row r="972" s="1" customFormat="1" ht="14.25" customHeight="1" x14ac:dyDescent="0.3"/>
    <row r="973" s="1" customFormat="1" ht="14.25" customHeight="1" x14ac:dyDescent="0.3"/>
    <row r="974" s="1" customFormat="1" ht="14.25" customHeight="1" x14ac:dyDescent="0.3"/>
    <row r="975" s="1" customFormat="1" ht="14.25" customHeight="1" x14ac:dyDescent="0.3"/>
    <row r="976" s="1" customFormat="1" ht="14.25" customHeight="1" x14ac:dyDescent="0.3"/>
    <row r="977" s="1" customFormat="1" ht="14.25" customHeight="1" x14ac:dyDescent="0.3"/>
    <row r="978" s="1" customFormat="1" ht="14.25" customHeight="1" x14ac:dyDescent="0.3"/>
    <row r="979" s="1" customFormat="1" ht="14.25" customHeight="1" x14ac:dyDescent="0.3"/>
    <row r="980" s="1" customFormat="1" ht="14.25" customHeight="1" x14ac:dyDescent="0.3"/>
    <row r="981" s="1" customFormat="1" ht="14.25" customHeight="1" x14ac:dyDescent="0.3"/>
    <row r="982" s="1" customFormat="1" ht="14.25" customHeight="1" x14ac:dyDescent="0.3"/>
    <row r="983" s="1" customFormat="1" ht="14.25" customHeight="1" x14ac:dyDescent="0.3"/>
    <row r="984" s="1" customFormat="1" ht="14.25" customHeight="1" x14ac:dyDescent="0.3"/>
    <row r="985" s="1" customFormat="1" ht="14.25" customHeight="1" x14ac:dyDescent="0.3"/>
    <row r="986" s="1" customFormat="1" ht="14.25" customHeight="1" x14ac:dyDescent="0.3"/>
    <row r="987" s="1" customFormat="1" ht="14.25" customHeight="1" x14ac:dyDescent="0.3"/>
    <row r="988" s="1" customFormat="1" ht="14.25" customHeight="1" x14ac:dyDescent="0.3"/>
    <row r="989" s="1" customFormat="1" ht="14.25" customHeight="1" x14ac:dyDescent="0.3"/>
    <row r="990" s="1" customFormat="1" ht="14.25" customHeight="1" x14ac:dyDescent="0.3"/>
    <row r="991" s="1" customFormat="1" ht="14.25" customHeight="1" x14ac:dyDescent="0.3"/>
    <row r="992" s="1" customFormat="1" ht="14.25" customHeight="1" x14ac:dyDescent="0.3"/>
    <row r="993" s="1" customFormat="1" ht="14.25" customHeight="1" x14ac:dyDescent="0.3"/>
    <row r="994" s="1" customFormat="1" ht="14.25" customHeight="1" x14ac:dyDescent="0.3"/>
    <row r="995" s="1" customFormat="1" ht="14.25" customHeight="1" x14ac:dyDescent="0.3"/>
    <row r="996" s="1" customFormat="1" ht="14.25" customHeight="1" x14ac:dyDescent="0.3"/>
    <row r="997" s="1" customFormat="1" ht="14.25" customHeight="1" x14ac:dyDescent="0.3"/>
    <row r="998" s="1" customFormat="1" ht="14.25" customHeight="1" x14ac:dyDescent="0.3"/>
    <row r="999" s="1" customFormat="1" ht="14.25" customHeight="1" x14ac:dyDescent="0.3"/>
  </sheetData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20F2F-9700-47DF-AF03-D580AA653A5D}">
  <dimension ref="A1:M999"/>
  <sheetViews>
    <sheetView workbookViewId="0">
      <selection activeCell="G3" sqref="G3"/>
    </sheetView>
  </sheetViews>
  <sheetFormatPr baseColWidth="10" defaultColWidth="12.6328125" defaultRowHeight="15" customHeight="1" x14ac:dyDescent="0.3"/>
  <cols>
    <col min="1" max="1" width="15.7265625" style="1" customWidth="1"/>
    <col min="2" max="7" width="10.6328125" style="1" customWidth="1"/>
    <col min="8" max="8" width="11.36328125" style="1" customWidth="1"/>
    <col min="9" max="9" width="12.26953125" style="1" customWidth="1"/>
    <col min="10" max="25" width="10.6328125" style="1" customWidth="1"/>
    <col min="26" max="16384" width="12.6328125" style="1"/>
  </cols>
  <sheetData>
    <row r="1" spans="1:13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4.25" customHeight="1" x14ac:dyDescent="0.3">
      <c r="A2" s="1" t="s">
        <v>12</v>
      </c>
      <c r="B2" s="1" t="s">
        <v>13</v>
      </c>
      <c r="H2" s="2" t="s">
        <v>14</v>
      </c>
      <c r="I2" s="3">
        <f>SUM([1]Art1!I2+[1]Art2!I2+[1]Art3!I2+[1]Art4!I2+[1]Art5!I2+[1]Art6!I2+[1]Art7!I2+[1]Art8!I2+[1]Art9!I2+[1]Art10!I2+[1]Art11!I2+[1]Art12!I2+[1]Art13!I2+[1]Art14!I2+[1]Art15!I2+[1]Art16!I2+[1]Art17!I2+[1]Art18!I2+[1]Art19!I2+[1]Art20!I2+[1]Art21!I2+[1]Art22!I2+[1]Art23!I2+[1]Art24!I2+[1]Art25!I2+[1]Art26!I2+[1]Art27!I2+[1]Art28!I2+[1]Art29!I2+[1]Art30!I2+[1]Art31!I2+[1]Art32!I2+[1]Art33!I2+[1]Art34!I2+[1]Art35!I2+[1]Art36!I2+[1]Art37!I2+[1]Art38!I2+[1]ArtT1!I2+[1]ArtT2!I2)</f>
        <v>415</v>
      </c>
      <c r="J2" s="3">
        <f>SUM([1]Art1!J2+[1]Art2!J2+[1]Art3!J2+[1]Art4!J2+[1]Art5!J2+[1]Art6!J2+[1]Art7!J2+[1]Art8!J2+[1]Art9!J2+[1]Art10!J2+[1]Art11!J2+[1]Art12!J2+[1]Art13!J2+[1]Art14!J2+[1]Art15!J2+[1]Art16!J2+[1]Art17!J2+[1]Art18!J2+[1]Art19!J2+[1]Art20!J2+[1]Art21!J2+[1]Art22!J2+[1]Art23!J2+[1]Art24!J2+[1]Art25!J2+[1]Art26!J2+[1]Art27!J2+[1]Art28!J2+[1]Art29!J2+[1]Art30!J2+[1]Art31!J2+[1]Art32!J2+[1]Art33!J2+[1]Art34!J2+[1]Art35!J2+[1]Art36!J2+[1]Art37!J2+[1]Art38!J2+[1]ArtT1!J2+[1]ArtT2!J2)</f>
        <v>6</v>
      </c>
      <c r="K2" s="3">
        <f>SUM([1]Art1!K2+[1]Art2!K2+[1]Art3!K2+[1]Art4!K2+[1]Art5!K2+[1]Art6!K2+[1]Art7!K2+[1]Art8!K2+[1]Art9!K2+[1]Art10!K2+[1]Art11!K2+[1]Art12!K2+[1]Art13!K2+[1]Art14!K2+[1]Art15!K2+[1]Art16!K2+[1]Art17!K2+[1]Art18!K2+[1]Art19!K2+[1]Art20!K2+[1]Art21!K2+[1]Art22!K2+[1]Art23!K2+[1]Art24!K2+[1]Art25!K2+[1]Art26!K2+[1]Art27!K2+[1]Art28!K2+[1]Art29!K2+[1]Art30!K2+[1]Art31!K2+[1]Art32!K2+[1]Art33!K2+[1]Art34!K2+[1]Art35!K2+[1]Art36!K2+[1]Art37!K2+[1]Art38!K2+[1]ArtT1!K2+[1]ArtT2!K2)</f>
        <v>15</v>
      </c>
      <c r="L2" s="3">
        <f>SUM([1]Art1!L2+[1]Art2!L2+[1]Art3!L2+[1]Art4!L2+[1]Art5!L2+[1]Art6!L2+[1]Art7!L2+[1]Art8!L2+[1]Art9!L2+[1]Art10!L2+[1]Art11!L2+[1]Art12!L2+[1]Art13!L2+[1]Art14!L2+[1]Art15!L2+[1]Art16!L2+[1]Art17!L2+[1]Art18!L2+[1]Art19!L2+[1]Art20!L2+[1]Art21!L2+[1]Art22!L2+[1]Art23!L2+[1]Art24!L2+[1]Art25!L2+[1]Art26!L2+[1]Art27!L2+[1]Art28!L2+[1]Art29!L2+[1]Art30!L2+[1]Art31!L2+[1]Art32!L2+[1]Art33!L2+[1]Art34!L2+[1]Art35!L2+[1]Art36!L2+[1]Art37!L2+[1]Art38!L2+[1]ArtT1!L2+[1]ArtT2!L2)</f>
        <v>4</v>
      </c>
      <c r="M2" s="3">
        <f>SUM([1]Art1!M2+[1]Art2!M2+[1]Art3!M2+[1]Art4!M2+[1]Art5!M2+[1]Art6!M2+[1]Art7!M2+[1]Art8!M2+[1]Art9!M2+[1]Art10!M2+[1]Art11!M2+[1]Art12!M2+[1]Art13!M2+[1]Art14!M2+[1]Art15!M2+[1]Art16!M2+[1]Art17!M2+[1]Art18!M2+[1]Art19!M2+[1]Art20!M2+[1]Art21!M2+[1]Art22!M2+[1]Art23!M2+[1]Art24!M2+[1]Art25!M2+[1]Art26!M2+[1]Art27!M2+[1]Art28!M2+[1]Art29!M2+[1]Art30!M2+[1]Art31!M2+[1]Art32!M2+[1]Art33!M2+[1]Art34!M2+[1]Art35!M2+[1]Art36!M2+[1]Art37!M2+[1]Art38!M2+[1]ArtT1!M2+[1]ArtT2!M2)</f>
        <v>440</v>
      </c>
    </row>
    <row r="3" spans="1:13" ht="14.25" customHeight="1" x14ac:dyDescent="0.3">
      <c r="A3" s="1" t="s">
        <v>15</v>
      </c>
      <c r="B3" s="1" t="s">
        <v>16</v>
      </c>
      <c r="H3" s="2" t="s">
        <v>17</v>
      </c>
      <c r="I3" s="3">
        <f>SUM([1]Art1!I3+[1]Art2!I3+[1]Art3!I3+[1]Art4!I3+[1]Art5!I3+[1]Art6!I3+[1]Art7!I3+[1]Art8!I3+[1]Art9!I3+[1]Art10!I3+[1]Art11!I3+[1]Art12!I3+[1]Art13!I3+[1]Art14!I3+[1]Art15!I3+[1]Art16!I3+[1]Art17!I3+[1]Art18!I3+[1]Art19!I3+[1]Art20!I3+[1]Art21!I3+[1]Art22!I3+[1]Art23!I3+[1]Art24!I3+[1]Art25!I3+[1]Art26!I3+[1]Art27!I3+[1]Art28!I3+[1]Art29!I3+[1]Art30!I3+[1]Art31!I3+[1]Art32!I3+[1]Art33!I3+[1]Art34!I3+[1]Art35!I3+[1]Art36!I3+[1]Art37!I3+[1]Art38!I3+[1]ArtT1!I3+[1]ArtT2!I3)</f>
        <v>353</v>
      </c>
      <c r="J3" s="3">
        <f>SUM([1]Art1!J3+[1]Art2!J3+[1]Art3!J3+[1]Art4!J3+[1]Art5!J3+[1]Art6!J3+[1]Art7!J3+[1]Art8!J3+[1]Art9!J3+[1]Art10!J3+[1]Art11!J3+[1]Art12!J3+[1]Art13!J3+[1]Art14!J3+[1]Art15!J3+[1]Art16!J3+[1]Art17!J3+[1]Art18!J3+[1]Art19!J3+[1]Art20!J3+[1]Art21!J3+[1]Art22!J3+[1]Art23!J3+[1]Art24!J3+[1]Art25!J3+[1]Art26!J3+[1]Art27!J3+[1]Art28!J3+[1]Art29!J3+[1]Art30!J3+[1]Art31!J3+[1]Art32!J3+[1]Art33!J3+[1]Art34!J3+[1]Art35!J3+[1]Art36!J3+[1]Art37!J3+[1]Art38!J3+[1]ArtT1!J3+[1]ArtT2!J3)</f>
        <v>112</v>
      </c>
      <c r="K3" s="3">
        <f>SUM([1]Art1!K3+[1]Art2!K3+[1]Art3!K3+[1]Art4!K3+[1]Art5!K3+[1]Art6!K3+[1]Art7!K3+[1]Art8!K3+[1]Art9!K3+[1]Art10!K3+[1]Art11!K3+[1]Art12!K3+[1]Art13!K3+[1]Art14!K3+[1]Art15!K3+[1]Art16!K3+[1]Art17!K3+[1]Art18!K3+[1]Art19!K3+[1]Art20!K3+[1]Art21!K3+[1]Art22!K3+[1]Art23!K3+[1]Art24!K3+[1]Art25!K3+[1]Art26!K3+[1]Art27!K3+[1]Art28!K3+[1]Art29!K3+[1]Art30!K3+[1]Art31!K3+[1]Art32!K3+[1]Art33!K3+[1]Art34!K3+[1]Art35!K3+[1]Art36!K3+[1]Art37!K3+[1]Art38!K3+[1]ArtT1!K3+[1]ArtT2!K3)</f>
        <v>8</v>
      </c>
      <c r="L3" s="3">
        <f>SUM([1]Art1!L3+[1]Art2!L3+[1]Art3!L3+[1]Art4!L3+[1]Art5!L3+[1]Art6!L3+[1]Art7!L3+[1]Art8!L3+[1]Art9!L3+[1]Art10!L3+[1]Art11!L3+[1]Art12!L3+[1]Art13!L3+[1]Art14!L3+[1]Art15!L3+[1]Art16!L3+[1]Art17!L3+[1]Art18!L3+[1]Art19!L3+[1]Art20!L3+[1]Art21!L3+[1]Art22!L3+[1]Art23!L3+[1]Art24!L3+[1]Art25!L3+[1]Art26!L3+[1]Art27!L3+[1]Art28!L3+[1]Art29!L3+[1]Art30!L3+[1]Art31!L3+[1]Art32!L3+[1]Art33!L3+[1]Art34!L3+[1]Art35!L3+[1]Art36!L3+[1]Art37!L3+[1]Art38!L3+[1]ArtT1!L3+[1]ArtT2!L3)</f>
        <v>7</v>
      </c>
      <c r="M3" s="3">
        <f>SUM([1]Art1!M3+[1]Art2!M3+[1]Art3!M3+[1]Art4!M3+[1]Art5!M3+[1]Art6!M3+[1]Art7!M3+[1]Art8!M3+[1]Art9!M3+[1]Art10!M3+[1]Art11!M3+[1]Art12!M3+[1]Art13!M3+[1]Art14!M3+[1]Art15!M3+[1]Art16!M3+[1]Art17!M3+[1]Art18!M3+[1]Art19!M3+[1]Art20!M3+[1]Art21!M3+[1]Art22!M3+[1]Art23!M3+[1]Art24!M3+[1]Art25!M3+[1]Art26!M3+[1]Art27!M3+[1]Art28!M3+[1]Art29!M3+[1]Art30!M3+[1]Art31!M3+[1]Art32!M3+[1]Art33!M3+[1]Art34!M3+[1]Art35!M3+[1]Art36!M3+[1]Art37!M3+[1]Art38!M3+[1]ArtT1!M3+[1]ArtT2!M3)</f>
        <v>480</v>
      </c>
    </row>
    <row r="4" spans="1:13" ht="14.25" customHeight="1" x14ac:dyDescent="0.3">
      <c r="A4" s="1" t="s">
        <v>18</v>
      </c>
      <c r="B4" s="1" t="s">
        <v>13</v>
      </c>
      <c r="H4" s="2" t="s">
        <v>19</v>
      </c>
      <c r="I4" s="3">
        <f>SUM([1]Art1!I4+[1]Art2!I4+[1]Art3!I4+[1]Art4!I4+[1]Art5!I4+[1]Art6!I4+[1]Art7!I4+[1]Art8!I4+[1]Art9!I4+[1]Art10!I4+[1]Art11!I4+[1]Art12!I4+[1]Art13!I4+[1]Art14!I4+[1]Art15!I4+[1]Art16!I4+[1]Art17!I4+[1]Art18!I4+[1]Art19!I4+[1]Art20!I4+[1]Art21!I4+[1]Art22!I4+[1]Art23!I4+[1]Art24!I4+[1]Art25!I4+[1]Art26!I4+[1]Art27!I4+[1]Art28!I4+[1]Art29!I4+[1]Art30!I4+[1]Art31!I4+[1]Art32!I4+[1]Art33!I4+[1]Art34!I4+[1]Art35!I4+[1]Art36!I4+[1]Art37!I4+[1]Art38!I4+[1]ArtT1!I4+[1]ArtT2!I4)</f>
        <v>389</v>
      </c>
      <c r="J4" s="3">
        <f>SUM([1]Art1!J4+[1]Art2!J4+[1]Art3!J4+[1]Art4!J4+[1]Art5!J4+[1]Art6!J4+[1]Art7!J4+[1]Art8!J4+[1]Art9!J4+[1]Art10!J4+[1]Art11!J4+[1]Art12!J4+[1]Art13!J4+[1]Art14!J4+[1]Art15!J4+[1]Art16!J4+[1]Art17!J4+[1]Art18!J4+[1]Art19!J4+[1]Art20!J4+[1]Art21!J4+[1]Art22!J4+[1]Art23!J4+[1]Art24!J4+[1]Art25!J4+[1]Art26!J4+[1]Art27!J4+[1]Art28!J4+[1]Art29!J4+[1]Art30!J4+[1]Art31!J4+[1]Art32!J4+[1]Art33!J4+[1]Art34!J4+[1]Art35!J4+[1]Art36!J4+[1]Art37!J4+[1]Art38!J4+[1]ArtT1!J4+[1]ArtT2!J4)</f>
        <v>6</v>
      </c>
      <c r="K4" s="3">
        <f>SUM([1]Art1!K4+[1]Art2!K4+[1]Art3!K4+[1]Art4!K4+[1]Art5!K4+[1]Art6!K4+[1]Art7!K4+[1]Art8!K4+[1]Art9!K4+[1]Art10!K4+[1]Art11!K4+[1]Art12!K4+[1]Art13!K4+[1]Art14!K4+[1]Art15!K4+[1]Art16!K4+[1]Art17!K4+[1]Art18!K4+[1]Art19!K4+[1]Art20!K4+[1]Art21!K4+[1]Art22!K4+[1]Art23!K4+[1]Art24!K4+[1]Art25!K4+[1]Art26!K4+[1]Art27!K4+[1]Art28!K4+[1]Art29!K4+[1]Art30!K4+[1]Art31!K4+[1]Art32!K4+[1]Art33!K4+[1]Art34!K4+[1]Art35!K4+[1]Art36!K4+[1]Art37!K4+[1]Art38!K4+[1]ArtT1!K4+[1]ArtT2!K4)</f>
        <v>1</v>
      </c>
      <c r="L4" s="3">
        <f>SUM([1]Art1!L4+[1]Art2!L4+[1]Art3!L4+[1]Art4!L4+[1]Art5!L4+[1]Art6!L4+[1]Art7!L4+[1]Art8!L4+[1]Art9!L4+[1]Art10!L4+[1]Art11!L4+[1]Art12!L4+[1]Art13!L4+[1]Art14!L4+[1]Art15!L4+[1]Art16!L4+[1]Art17!L4+[1]Art18!L4+[1]Art19!L4+[1]Art20!L4+[1]Art21!L4+[1]Art22!L4+[1]Art23!L4+[1]Art24!L4+[1]Art25!L4+[1]Art26!L4+[1]Art27!L4+[1]Art28!L4+[1]Art29!L4+[1]Art30!L4+[1]Art31!L4+[1]Art32!L4+[1]Art33!L4+[1]Art34!L4+[1]Art35!L4+[1]Art36!L4+[1]Art37!L4+[1]Art38!L4+[1]ArtT1!L4+[1]ArtT2!L4)</f>
        <v>4</v>
      </c>
      <c r="M4" s="3">
        <f>SUM([1]Art1!M4+[1]Art2!M4+[1]Art3!M4+[1]Art4!M4+[1]Art5!M4+[1]Art6!M4+[1]Art7!M4+[1]Art8!M4+[1]Art9!M4+[1]Art10!M4+[1]Art11!M4+[1]Art12!M4+[1]Art13!M4+[1]Art14!M4+[1]Art15!M4+[1]Art16!M4+[1]Art17!M4+[1]Art18!M4+[1]Art19!M4+[1]Art20!M4+[1]Art21!M4+[1]Art22!M4+[1]Art23!M4+[1]Art24!M4+[1]Art25!M4+[1]Art26!M4+[1]Art27!M4+[1]Art28!M4+[1]Art29!M4+[1]Art30!M4+[1]Art31!M4+[1]Art32!M4+[1]Art33!M4+[1]Art34!M4+[1]Art35!M4+[1]Art36!M4+[1]Art37!M4+[1]Art38!M4+[1]ArtT1!M4+[1]ArtT2!M4)</f>
        <v>400</v>
      </c>
    </row>
    <row r="5" spans="1:13" ht="14.25" customHeight="1" x14ac:dyDescent="0.3">
      <c r="A5" s="1" t="s">
        <v>20</v>
      </c>
      <c r="B5" s="1" t="s">
        <v>21</v>
      </c>
      <c r="H5" s="2" t="s">
        <v>22</v>
      </c>
      <c r="I5" s="3">
        <f>SUM([1]Art1!I5+[1]Art2!I5+[1]Art3!I5+[1]Art4!I5+[1]Art5!I5+[1]Art6!I5+[1]Art7!I5+[1]Art8!I5+[1]Art9!I5+[1]Art10!I5+[1]Art11!I5+[1]Art12!I5+[1]Art13!I5+[1]Art14!I5+[1]Art15!I5+[1]Art16!I5+[1]Art17!I5+[1]Art18!I5+[1]Art19!I5+[1]Art20!I5+[1]Art21!I5+[1]Art22!I5+[1]Art23!I5+[1]Art24!I5+[1]Art25!I5+[1]Art26!I5+[1]Art27!I5+[1]Art28!I5+[1]Art29!I5+[1]Art30!I5+[1]Art31!I5+[1]Art32!I5+[1]Art33!I5+[1]Art34!I5+[1]Art35!I5+[1]Art36!I5+[1]Art37!I5+[1]Art38!I5+[1]ArtT1!I5+[1]ArtT2!I5)</f>
        <v>142</v>
      </c>
      <c r="J5" s="3">
        <f>SUM([1]Art1!J5+[1]Art2!J5+[1]Art3!J5+[1]Art4!J5+[1]Art5!J5+[1]Art6!J5+[1]Art7!J5+[1]Art8!J5+[1]Art9!J5+[1]Art10!J5+[1]Art11!J5+[1]Art12!J5+[1]Art13!J5+[1]Art14!J5+[1]Art15!J5+[1]Art16!J5+[1]Art17!J5+[1]Art18!J5+[1]Art19!J5+[1]Art20!J5+[1]Art21!J5+[1]Art22!J5+[1]Art23!J5+[1]Art24!J5+[1]Art25!J5+[1]Art26!J5+[1]Art27!J5+[1]Art28!J5+[1]Art29!J5+[1]Art30!J5+[1]Art31!J5+[1]Art32!J5+[1]Art33!J5+[1]Art34!J5+[1]Art35!J5+[1]Art36!J5+[1]Art37!J5+[1]Art38!J5+[1]ArtT1!J5+[1]ArtT2!J5)</f>
        <v>65</v>
      </c>
      <c r="K5" s="3">
        <f>SUM([1]Art1!K5+[1]Art2!K5+[1]Art3!K5+[1]Art4!K5+[1]Art5!K5+[1]Art6!K5+[1]Art7!K5+[1]Art8!K5+[1]Art9!K5+[1]Art10!K5+[1]Art11!K5+[1]Art12!K5+[1]Art13!K5+[1]Art14!K5+[1]Art15!K5+[1]Art16!K5+[1]Art17!K5+[1]Art18!K5+[1]Art19!K5+[1]Art20!K5+[1]Art21!K5+[1]Art22!K5+[1]Art23!K5+[1]Art24!K5+[1]Art25!K5+[1]Art26!K5+[1]Art27!K5+[1]Art28!K5+[1]Art29!K5+[1]Art30!K5+[1]Art31!K5+[1]Art32!K5+[1]Art33!K5+[1]Art34!K5+[1]Art35!K5+[1]Art36!K5+[1]Art37!K5+[1]Art38!K5+[1]ArtT1!K5+[1]ArtT2!K5)</f>
        <v>108</v>
      </c>
      <c r="L5" s="3">
        <f>SUM([1]Art1!L5+[1]Art2!L5+[1]Art3!L5+[1]Art4!L5+[1]Art5!L5+[1]Art6!L5+[1]Art7!L5+[1]Art8!L5+[1]Art9!L5+[1]Art10!L5+[1]Art11!L5+[1]Art12!L5+[1]Art13!L5+[1]Art14!L5+[1]Art15!L5+[1]Art16!L5+[1]Art17!L5+[1]Art18!L5+[1]Art19!L5+[1]Art20!L5+[1]Art21!L5+[1]Art22!L5+[1]Art23!L5+[1]Art24!L5+[1]Art25!L5+[1]Art26!L5+[1]Art27!L5+[1]Art28!L5+[1]Art29!L5+[1]Art30!L5+[1]Art31!L5+[1]Art32!L5+[1]Art33!L5+[1]Art34!L5+[1]Art35!L5+[1]Art36!L5+[1]Art37!L5+[1]Art38!L5+[1]ArtT1!L5+[1]ArtT2!L5)</f>
        <v>45</v>
      </c>
      <c r="M5" s="3">
        <f>SUM([1]Art1!M5+[1]Art2!M5+[1]Art3!M5+[1]Art4!M5+[1]Art5!M5+[1]Art6!M5+[1]Art7!M5+[1]Art8!M5+[1]Art9!M5+[1]Art10!M5+[1]Art11!M5+[1]Art12!M5+[1]Art13!M5+[1]Art14!M5+[1]Art15!M5+[1]Art16!M5+[1]Art17!M5+[1]Art18!M5+[1]Art19!M5+[1]Art20!M5+[1]Art21!M5+[1]Art22!M5+[1]Art23!M5+[1]Art24!M5+[1]Art25!M5+[1]Art26!M5+[1]Art27!M5+[1]Art28!M5+[1]Art29!M5+[1]Art30!M5+[1]Art31!M5+[1]Art32!M5+[1]Art33!M5+[1]Art34!M5+[1]Art35!M5+[1]Art36!M5+[1]Art37!M5+[1]Art38!M5+[1]ArtT1!M5+[1]ArtT2!M5)</f>
        <v>360</v>
      </c>
    </row>
    <row r="6" spans="1:13" ht="14.25" customHeight="1" x14ac:dyDescent="0.3">
      <c r="A6" s="1" t="s">
        <v>23</v>
      </c>
      <c r="B6" s="1" t="s">
        <v>24</v>
      </c>
      <c r="H6" s="2" t="s">
        <v>25</v>
      </c>
      <c r="I6" s="3">
        <f>SUM([1]Art1!I6+[1]Art2!I6+[1]Art3!I6+[1]Art4!I6+[1]Art5!I6+[1]Art6!I6+[1]Art7!I6+[1]Art8!I6+[1]Art9!I6+[1]Art10!I6+[1]Art11!I6+[1]Art12!I6+[1]Art13!I6+[1]Art14!I6+[1]Art15!I6+[1]Art16!I6+[1]Art17!I6+[1]Art18!I6+[1]Art19!I6+[1]Art20!I6+[1]Art21!I6+[1]Art22!I6+[1]Art23!I6+[1]Art24!I6+[1]Art25!I6+[1]Art26!I6+[1]Art27!I6+[1]Art28!I6+[1]Art29!I6+[1]Art30!I6+[1]Art31!I6+[1]Art32!I6+[1]Art33!I6+[1]Art34!I6+[1]Art35!I6+[1]Art36!I6+[1]Art37!I6+[1]Art38!I6+[1]ArtT1!I6+[1]ArtT2!I6)</f>
        <v>604</v>
      </c>
      <c r="J6" s="3">
        <f>SUM([1]Art1!J6+[1]Art2!J6+[1]Art3!J6+[1]Art4!J6+[1]Art5!J6+[1]Art6!J6+[1]Art7!J6+[1]Art8!J6+[1]Art9!J6+[1]Art10!J6+[1]Art11!J6+[1]Art12!J6+[1]Art13!J6+[1]Art14!J6+[1]Art15!J6+[1]Art16!J6+[1]Art17!J6+[1]Art18!J6+[1]Art19!J6+[1]Art20!J6+[1]Art21!J6+[1]Art22!J6+[1]Art23!J6+[1]Art24!J6+[1]Art25!J6+[1]Art26!J6+[1]Art27!J6+[1]Art28!J6+[1]Art29!J6+[1]Art30!J6+[1]Art31!J6+[1]Art32!J6+[1]Art33!J6+[1]Art34!J6+[1]Art35!J6+[1]Art36!J6+[1]Art37!J6+[1]Art38!J6+[1]ArtT1!J6+[1]ArtT2!J6)</f>
        <v>19</v>
      </c>
      <c r="K6" s="3">
        <f>SUM([1]Art1!K6+[1]Art2!K6+[1]Art3!K6+[1]Art4!K6+[1]Art5!K6+[1]Art6!K6+[1]Art7!K6+[1]Art8!K6+[1]Art9!K6+[1]Art10!K6+[1]Art11!K6+[1]Art12!K6+[1]Art13!K6+[1]Art14!K6+[1]Art15!K6+[1]Art16!K6+[1]Art17!K6+[1]Art18!K6+[1]Art19!K6+[1]Art20!K6+[1]Art21!K6+[1]Art22!K6+[1]Art23!K6+[1]Art24!K6+[1]Art25!K6+[1]Art26!K6+[1]Art27!K6+[1]Art28!K6+[1]Art29!K6+[1]Art30!K6+[1]Art31!K6+[1]Art32!K6+[1]Art33!K6+[1]Art34!K6+[1]Art35!K6+[1]Art36!K6+[1]Art37!K6+[1]Art38!K6+[1]ArtT1!K6+[1]ArtT2!K6)</f>
        <v>7</v>
      </c>
      <c r="L6" s="3">
        <f>SUM([1]Art1!L6+[1]Art2!L6+[1]Art3!L6+[1]Art4!L6+[1]Art5!L6+[1]Art6!L6+[1]Art7!L6+[1]Art8!L6+[1]Art9!L6+[1]Art10!L6+[1]Art11!L6+[1]Art12!L6+[1]Art13!L6+[1]Art14!L6+[1]Art15!L6+[1]Art16!L6+[1]Art17!L6+[1]Art18!L6+[1]Art19!L6+[1]Art20!L6+[1]Art21!L6+[1]Art22!L6+[1]Art23!L6+[1]Art24!L6+[1]Art25!L6+[1]Art26!L6+[1]Art27!L6+[1]Art28!L6+[1]Art29!L6+[1]Art30!L6+[1]Art31!L6+[1]Art32!L6+[1]Art33!L6+[1]Art34!L6+[1]Art35!L6+[1]Art36!L6+[1]Art37!L6+[1]Art38!L6+[1]ArtT1!L6+[1]ArtT2!L6)</f>
        <v>10</v>
      </c>
      <c r="M6" s="3">
        <f>SUM([1]Art1!M6+[1]Art2!M6+[1]Art3!M6+[1]Art4!M6+[1]Art5!M6+[1]Art6!M6+[1]Art7!M6+[1]Art8!M6+[1]Art9!M6+[1]Art10!M6+[1]Art11!M6+[1]Art12!M6+[1]Art13!M6+[1]Art14!M6+[1]Art15!M6+[1]Art16!M6+[1]Art17!M6+[1]Art18!M6+[1]Art19!M6+[1]Art20!M6+[1]Art21!M6+[1]Art22!M6+[1]Art23!M6+[1]Art24!M6+[1]Art25!M6+[1]Art26!M6+[1]Art27!M6+[1]Art28!M6+[1]Art29!M6+[1]Art30!M6+[1]Art31!M6+[1]Art32!M6+[1]Art33!M6+[1]Art34!M6+[1]Art35!M6+[1]Art36!M6+[1]Art37!M6+[1]Art38!M6+[1]ArtT1!M6+[1]ArtT2!M6)</f>
        <v>640</v>
      </c>
    </row>
    <row r="7" spans="1:13" ht="14.25" customHeight="1" x14ac:dyDescent="0.3">
      <c r="A7" s="1" t="s">
        <v>26</v>
      </c>
      <c r="B7" s="1" t="s">
        <v>27</v>
      </c>
      <c r="H7" s="2" t="s">
        <v>28</v>
      </c>
      <c r="I7" s="3">
        <f>SUM([1]Art1!I7+[1]Art2!I7+[1]Art3!I7+[1]Art4!I7+[1]Art5!I7+[1]Art6!I7+[1]Art7!I7+[1]Art8!I7+[1]Art9!I7+[1]Art10!I7+[1]Art11!I7+[1]Art12!I7+[1]Art13!I7+[1]Art14!I7+[1]Art15!I7+[1]Art16!I7+[1]Art17!I7+[1]Art18!I7+[1]Art19!I7+[1]Art20!I7+[1]Art21!I7+[1]Art22!I7+[1]Art23!I7+[1]Art24!I7+[1]Art25!I7+[1]Art26!I7+[1]Art27!I7+[1]Art28!I7+[1]Art29!I7+[1]Art30!I7+[1]Art31!I7+[1]Art32!I7+[1]Art33!I7+[1]Art34!I7+[1]Art35!I7+[1]Art36!I7+[1]Art37!I7+[1]Art38!I7+[1]ArtT1!I7+[1]ArtT2!I7)</f>
        <v>279</v>
      </c>
      <c r="J7" s="3">
        <f>SUM([1]Art1!J7+[1]Art2!J7+[1]Art3!J7+[1]Art4!J7+[1]Art5!J7+[1]Art6!J7+[1]Art7!J7+[1]Art8!J7+[1]Art9!J7+[1]Art10!J7+[1]Art11!J7+[1]Art12!J7+[1]Art13!J7+[1]Art14!J7+[1]Art15!J7+[1]Art16!J7+[1]Art17!J7+[1]Art18!J7+[1]Art19!J7+[1]Art20!J7+[1]Art21!J7+[1]Art22!J7+[1]Art23!J7+[1]Art24!J7+[1]Art25!J7+[1]Art26!J7+[1]Art27!J7+[1]Art28!J7+[1]Art29!J7+[1]Art30!J7+[1]Art31!J7+[1]Art32!J7+[1]Art33!J7+[1]Art34!J7+[1]Art35!J7+[1]Art36!J7+[1]Art37!J7+[1]Art38!J7+[1]ArtT1!J7+[1]ArtT2!J7)</f>
        <v>112</v>
      </c>
      <c r="K7" s="3">
        <f>SUM([1]Art1!K7+[1]Art2!K7+[1]Art3!K7+[1]Art4!K7+[1]Art5!K7+[1]Art6!K7+[1]Art7!K7+[1]Art8!K7+[1]Art9!K7+[1]Art10!K7+[1]Art11!K7+[1]Art12!K7+[1]Art13!K7+[1]Art14!K7+[1]Art15!K7+[1]Art16!K7+[1]Art17!K7+[1]Art18!K7+[1]Art19!K7+[1]Art20!K7+[1]Art21!K7+[1]Art22!K7+[1]Art23!K7+[1]Art24!K7+[1]Art25!K7+[1]Art26!K7+[1]Art27!K7+[1]Art28!K7+[1]Art29!K7+[1]Art30!K7+[1]Art31!K7+[1]Art32!K7+[1]Art33!K7+[1]Art34!K7+[1]Art35!K7+[1]Art36!K7+[1]Art37!K7+[1]Art38!K7+[1]ArtT1!K7+[1]ArtT2!K7)</f>
        <v>88</v>
      </c>
      <c r="L7" s="3">
        <f>SUM([1]Art1!L7+[1]Art2!L7+[1]Art3!L7+[1]Art4!L7+[1]Art5!L7+[1]Art6!L7+[1]Art7!L7+[1]Art8!L7+[1]Art9!L7+[1]Art10!L7+[1]Art11!L7+[1]Art12!L7+[1]Art13!L7+[1]Art14!L7+[1]Art15!L7+[1]Art16!L7+[1]Art17!L7+[1]Art18!L7+[1]Art19!L7+[1]Art20!L7+[1]Art21!L7+[1]Art22!L7+[1]Art23!L7+[1]Art24!L7+[1]Art25!L7+[1]Art26!L7+[1]Art27!L7+[1]Art28!L7+[1]Art29!L7+[1]Art30!L7+[1]Art31!L7+[1]Art32!L7+[1]Art33!L7+[1]Art34!L7+[1]Art35!L7+[1]Art36!L7+[1]Art37!L7+[1]Art38!L7+[1]ArtT1!L7+[1]ArtT2!L7)</f>
        <v>1</v>
      </c>
      <c r="M7" s="3">
        <f>SUM([1]Art1!M7+[1]Art2!M7+[1]Art3!M7+[1]Art4!M7+[1]Art5!M7+[1]Art6!M7+[1]Art7!M7+[1]Art8!M7+[1]Art9!M7+[1]Art10!M7+[1]Art11!M7+[1]Art12!M7+[1]Art13!M7+[1]Art14!M7+[1]Art15!M7+[1]Art16!M7+[1]Art17!M7+[1]Art18!M7+[1]Art19!M7+[1]Art20!M7+[1]Art21!M7+[1]Art22!M7+[1]Art23!M7+[1]Art24!M7+[1]Art25!M7+[1]Art26!M7+[1]Art27!M7+[1]Art28!M7+[1]Art29!M7+[1]Art30!M7+[1]Art31!M7+[1]Art32!M7+[1]Art33!M7+[1]Art34!M7+[1]Art35!M7+[1]Art36!M7+[1]Art37!M7+[1]Art38!M7+[1]ArtT1!M7+[1]ArtT2!M7)</f>
        <v>480</v>
      </c>
    </row>
    <row r="8" spans="1:13" ht="14.25" customHeight="1" x14ac:dyDescent="0.3">
      <c r="A8" s="1" t="s">
        <v>29</v>
      </c>
      <c r="B8" s="1" t="s">
        <v>30</v>
      </c>
      <c r="H8" s="2" t="s">
        <v>27</v>
      </c>
      <c r="I8" s="3">
        <f>SUM([1]Art1!I8+[1]Art2!I8+[1]Art3!I8+[1]Art4!I8+[1]Art5!I8+[1]Art6!I8+[1]Art7!I8+[1]Art8!I8+[1]Art9!I8+[1]Art10!I8+[1]Art11!I8+[1]Art12!I8+[1]Art13!I8+[1]Art14!I8+[1]Art15!I8+[1]Art16!I8+[1]Art17!I8+[1]Art18!I8+[1]Art19!I8+[1]Art20!I8+[1]Art21!I8+[1]Art22!I8+[1]Art23!I8+[1]Art24!I8+[1]Art25!I8+[1]Art26!I8+[1]Art27!I8+[1]Art28!I8+[1]Art29!I8+[1]Art30!I8+[1]Art31!I8+[1]Art32!I8+[1]Art33!I8+[1]Art34!I8+[1]Art35!I8+[1]Art36!I8+[1]Art37!I8+[1]Art38!I8+[1]ArtT1!I8+[1]ArtT2!I8)</f>
        <v>221</v>
      </c>
      <c r="J8" s="3">
        <f>SUM([1]Art1!J8+[1]Art2!J8+[1]Art3!J8+[1]Art4!J8+[1]Art5!J8+[1]Art6!J8+[1]Art7!J8+[1]Art8!J8+[1]Art9!J8+[1]Art10!J8+[1]Art11!J8+[1]Art12!J8+[1]Art13!J8+[1]Art14!J8+[1]Art15!J8+[1]Art16!J8+[1]Art17!J8+[1]Art18!J8+[1]Art19!J8+[1]Art20!J8+[1]Art21!J8+[1]Art22!J8+[1]Art23!J8+[1]Art24!J8+[1]Art25!J8+[1]Art26!J8+[1]Art27!J8+[1]Art28!J8+[1]Art29!J8+[1]Art30!J8+[1]Art31!J8+[1]Art32!J8+[1]Art33!J8+[1]Art34!J8+[1]Art35!J8+[1]Art36!J8+[1]Art37!J8+[1]Art38!J8+[1]ArtT1!J8+[1]ArtT2!J8)</f>
        <v>327</v>
      </c>
      <c r="K8" s="3">
        <f>SUM([1]Art1!K8+[1]Art2!K8+[1]Art3!K8+[1]Art4!K8+[1]Art5!K8+[1]Art6!K8+[1]Art7!K8+[1]Art8!K8+[1]Art9!K8+[1]Art10!K8+[1]Art11!K8+[1]Art12!K8+[1]Art13!K8+[1]Art14!K8+[1]Art15!K8+[1]Art16!K8+[1]Art17!K8+[1]Art18!K8+[1]Art19!K8+[1]Art20!K8+[1]Art21!K8+[1]Art22!K8+[1]Art23!K8+[1]Art24!K8+[1]Art25!K8+[1]Art26!K8+[1]Art27!K8+[1]Art28!K8+[1]Art29!K8+[1]Art30!K8+[1]Art31!K8+[1]Art32!K8+[1]Art33!K8+[1]Art34!K8+[1]Art35!K8+[1]Art36!K8+[1]Art37!K8+[1]Art38!K8+[1]ArtT1!K8+[1]ArtT2!K8)</f>
        <v>48</v>
      </c>
      <c r="L8" s="3">
        <f>SUM([1]Art1!L8+[1]Art2!L8+[1]Art3!L8+[1]Art4!L8+[1]Art5!L8+[1]Art6!L8+[1]Art7!L8+[1]Art8!L8+[1]Art9!L8+[1]Art10!L8+[1]Art11!L8+[1]Art12!L8+[1]Art13!L8+[1]Art14!L8+[1]Art15!L8+[1]Art16!L8+[1]Art17!L8+[1]Art18!L8+[1]Art19!L8+[1]Art20!L8+[1]Art21!L8+[1]Art22!L8+[1]Art23!L8+[1]Art24!L8+[1]Art25!L8+[1]Art26!L8+[1]Art27!L8+[1]Art28!L8+[1]Art29!L8+[1]Art30!L8+[1]Art31!L8+[1]Art32!L8+[1]Art33!L8+[1]Art34!L8+[1]Art35!L8+[1]Art36!L8+[1]Art37!L8+[1]Art38!L8+[1]ArtT1!L8+[1]ArtT2!L8)</f>
        <v>4</v>
      </c>
      <c r="M8" s="3">
        <f>SUM([1]Art1!M8+[1]Art2!M8+[1]Art3!M8+[1]Art4!M8+[1]Art5!M8+[1]Art6!M8+[1]Art7!M8+[1]Art8!M8+[1]Art9!M8+[1]Art10!M8+[1]Art11!M8+[1]Art12!M8+[1]Art13!M8+[1]Art14!M8+[1]Art15!M8+[1]Art16!M8+[1]Art17!M8+[1]Art18!M8+[1]Art19!M8+[1]Art20!M8+[1]Art21!M8+[1]Art22!M8+[1]Art23!M8+[1]Art24!M8+[1]Art25!M8+[1]Art26!M8+[1]Art27!M8+[1]Art28!M8+[1]Art29!M8+[1]Art30!M8+[1]Art31!M8+[1]Art32!M8+[1]Art33!M8+[1]Art34!M8+[1]Art35!M8+[1]Art36!M8+[1]Art37!M8+[1]Art38!M8+[1]ArtT1!M8+[1]ArtT2!M8)</f>
        <v>600</v>
      </c>
    </row>
    <row r="9" spans="1:13" ht="14.25" customHeight="1" x14ac:dyDescent="0.3">
      <c r="A9" s="1" t="s">
        <v>31</v>
      </c>
      <c r="B9" s="1" t="s">
        <v>13</v>
      </c>
      <c r="H9" s="2" t="s">
        <v>13</v>
      </c>
      <c r="I9" s="3">
        <f>SUM([1]Art1!I9+[1]Art2!I9+[1]Art3!I9+[1]Art4!I9+[1]Art5!I9+[1]Art6!I9+[1]Art7!I9+[1]Art8!I9+[1]Art9!I9+[1]Art10!I9+[1]Art11!I9+[1]Art12!I9+[1]Art13!I9+[1]Art14!I9+[1]Art15!I9+[1]Art16!I9+[1]Art17!I9+[1]Art18!I9+[1]Art19!I9+[1]Art20!I9+[1]Art21!I9+[1]Art22!I9+[1]Art23!I9+[1]Art24!I9+[1]Art25!I9+[1]Art26!I9+[1]Art27!I9+[1]Art28!I9+[1]Art29!I9+[1]Art30!I9+[1]Art31!I9+[1]Art32!I9+[1]Art33!I9+[1]Art34!I9+[1]Art35!I9+[1]Art36!I9+[1]Art37!I9+[1]Art38!I9+[1]ArtT1!I9+[1]ArtT2!I9)</f>
        <v>169</v>
      </c>
      <c r="J9" s="3">
        <f>SUM([1]Art1!J9+[1]Art2!J9+[1]Art3!J9+[1]Art4!J9+[1]Art5!J9+[1]Art6!J9+[1]Art7!J9+[1]Art8!J9+[1]Art9!J9+[1]Art10!J9+[1]Art11!J9+[1]Art12!J9+[1]Art13!J9+[1]Art14!J9+[1]Art15!J9+[1]Art16!J9+[1]Art17!J9+[1]Art18!J9+[1]Art19!J9+[1]Art20!J9+[1]Art21!J9+[1]Art22!J9+[1]Art23!J9+[1]Art24!J9+[1]Art25!J9+[1]Art26!J9+[1]Art27!J9+[1]Art28!J9+[1]Art29!J9+[1]Art30!J9+[1]Art31!J9+[1]Art32!J9+[1]Art33!J9+[1]Art34!J9+[1]Art35!J9+[1]Art36!J9+[1]Art37!J9+[1]Art38!J9+[1]ArtT1!J9+[1]ArtT2!J9)</f>
        <v>275</v>
      </c>
      <c r="K9" s="3">
        <f>SUM([1]Art1!K9+[1]Art2!K9+[1]Art3!K9+[1]Art4!K9+[1]Art5!K9+[1]Art6!K9+[1]Art7!K9+[1]Art8!K9+[1]Art9!K9+[1]Art10!K9+[1]Art11!K9+[1]Art12!K9+[1]Art13!K9+[1]Art14!K9+[1]Art15!K9+[1]Art16!K9+[1]Art17!K9+[1]Art18!K9+[1]Art19!K9+[1]Art20!K9+[1]Art21!K9+[1]Art22!K9+[1]Art23!K9+[1]Art24!K9+[1]Art25!K9+[1]Art26!K9+[1]Art27!K9+[1]Art28!K9+[1]Art29!K9+[1]Art30!K9+[1]Art31!K9+[1]Art32!K9+[1]Art33!K9+[1]Art34!K9+[1]Art35!K9+[1]Art36!K9+[1]Art37!K9+[1]Art38!K9+[1]ArtT1!K9+[1]ArtT2!K9)</f>
        <v>275</v>
      </c>
      <c r="L9" s="3">
        <f>SUM([1]Art1!L9+[1]Art2!L9+[1]Art3!L9+[1]Art4!L9+[1]Art5!L9+[1]Art6!L9+[1]Art7!L9+[1]Art8!L9+[1]Art9!L9+[1]Art10!L9+[1]Art11!L9+[1]Art12!L9+[1]Art13!L9+[1]Art14!L9+[1]Art15!L9+[1]Art16!L9+[1]Art17!L9+[1]Art18!L9+[1]Art19!L9+[1]Art20!L9+[1]Art21!L9+[1]Art22!L9+[1]Art23!L9+[1]Art24!L9+[1]Art25!L9+[1]Art26!L9+[1]Art27!L9+[1]Art28!L9+[1]Art29!L9+[1]Art30!L9+[1]Art31!L9+[1]Art32!L9+[1]Art33!L9+[1]Art34!L9+[1]Art35!L9+[1]Art36!L9+[1]Art37!L9+[1]Art38!L9+[1]ArtT1!L9+[1]ArtT2!L9)</f>
        <v>1</v>
      </c>
      <c r="M9" s="3">
        <f>SUM([1]Art1!M9+[1]Art2!M9+[1]Art3!M9+[1]Art4!M9+[1]Art5!M9+[1]Art6!M9+[1]Art7!M9+[1]Art8!M9+[1]Art9!M9+[1]Art10!M9+[1]Art11!M9+[1]Art12!M9+[1]Art13!M9+[1]Art14!M9+[1]Art15!M9+[1]Art16!M9+[1]Art17!M9+[1]Art18!M9+[1]Art19!M9+[1]Art20!M9+[1]Art21!M9+[1]Art22!M9+[1]Art23!M9+[1]Art24!M9+[1]Art25!M9+[1]Art26!M9+[1]Art27!M9+[1]Art28!M9+[1]Art29!M9+[1]Art30!M9+[1]Art31!M9+[1]Art32!M9+[1]Art33!M9+[1]Art34!M9+[1]Art35!M9+[1]Art36!M9+[1]Art37!M9+[1]Art38!M9+[1]ArtT1!M9+[1]ArtT2!M9)</f>
        <v>720</v>
      </c>
    </row>
    <row r="10" spans="1:13" ht="14.25" customHeight="1" x14ac:dyDescent="0.3">
      <c r="A10" s="1" t="s">
        <v>32</v>
      </c>
      <c r="B10" s="1" t="s">
        <v>33</v>
      </c>
      <c r="H10" s="2" t="s">
        <v>30</v>
      </c>
      <c r="I10" s="3">
        <f>SUM([1]Art1!I10+[1]Art2!I10+[1]Art3!I10+[1]Art4!I10+[1]Art5!I10+[1]Art6!I10+[1]Art7!I10+[1]Art8!I10+[1]Art9!I10+[1]Art10!I10+[1]Art11!I10+[1]Art12!I10+[1]Art13!I10+[1]Art14!I10+[1]Art15!I10+[1]Art16!I10+[1]Art17!I10+[1]Art18!I10+[1]Art19!I10+[1]Art20!I10+[1]Art21!I10+[1]Art22!I10+[1]Art23!I10+[1]Art24!I10+[1]Art25!I10+[1]Art26!I10+[1]Art27!I10+[1]Art28!I10+[1]Art29!I10+[1]Art30!I10+[1]Art31!I10+[1]Art32!I10+[1]Art33!I10+[1]Art34!I10+[1]Art35!I10+[1]Art36!I10+[1]Art37!I10+[1]Art38!I10+[1]ArtT1!I10+[1]ArtT2!I10)</f>
        <v>5</v>
      </c>
      <c r="J10" s="3">
        <f>SUM([1]Art1!J10+[1]Art2!J10+[1]Art3!J10+[1]Art4!J10+[1]Art5!J10+[1]Art6!J10+[1]Art7!J10+[1]Art8!J10+[1]Art9!J10+[1]Art10!J10+[1]Art11!J10+[1]Art12!J10+[1]Art13!J10+[1]Art14!J10+[1]Art15!J10+[1]Art16!J10+[1]Art17!J10+[1]Art18!J10+[1]Art19!J10+[1]Art20!J10+[1]Art21!J10+[1]Art22!J10+[1]Art23!J10+[1]Art24!J10+[1]Art25!J10+[1]Art26!J10+[1]Art27!J10+[1]Art28!J10+[1]Art29!J10+[1]Art30!J10+[1]Art31!J10+[1]Art32!J10+[1]Art33!J10+[1]Art34!J10+[1]Art35!J10+[1]Art36!J10+[1]Art37!J10+[1]Art38!J10+[1]ArtT1!J10+[1]ArtT2!J10)</f>
        <v>662</v>
      </c>
      <c r="K10" s="3">
        <f>SUM([1]Art1!K10+[1]Art2!K10+[1]Art3!K10+[1]Art4!K10+[1]Art5!K10+[1]Art6!K10+[1]Art7!K10+[1]Art8!K10+[1]Art9!K10+[1]Art10!K10+[1]Art11!K10+[1]Art12!K10+[1]Art13!K10+[1]Art14!K10+[1]Art15!K10+[1]Art16!K10+[1]Art17!K10+[1]Art18!K10+[1]Art19!K10+[1]Art20!K10+[1]Art21!K10+[1]Art22!K10+[1]Art23!K10+[1]Art24!K10+[1]Art25!K10+[1]Art26!K10+[1]Art27!K10+[1]Art28!K10+[1]Art29!K10+[1]Art30!K10+[1]Art31!K10+[1]Art32!K10+[1]Art33!K10+[1]Art34!K10+[1]Art35!K10+[1]Art36!K10+[1]Art37!K10+[1]Art38!K10+[1]ArtT1!K10+[1]ArtT2!K10)</f>
        <v>172</v>
      </c>
      <c r="L10" s="3">
        <f>SUM([1]Art1!L10+[1]Art2!L10+[1]Art3!L10+[1]Art4!L10+[1]Art5!L10+[1]Art6!L10+[1]Art7!L10+[1]Art8!L10+[1]Art9!L10+[1]Art10!L10+[1]Art11!L10+[1]Art12!L10+[1]Art13!L10+[1]Art14!L10+[1]Art15!L10+[1]Art16!L10+[1]Art17!L10+[1]Art18!L10+[1]Art19!L10+[1]Art20!L10+[1]Art21!L10+[1]Art22!L10+[1]Art23!L10+[1]Art24!L10+[1]Art25!L10+[1]Art26!L10+[1]Art27!L10+[1]Art28!L10+[1]Art29!L10+[1]Art30!L10+[1]Art31!L10+[1]Art32!L10+[1]Art33!L10+[1]Art34!L10+[1]Art35!L10+[1]Art36!L10+[1]Art37!L10+[1]Art38!L10+[1]ArtT1!L10+[1]ArtT2!L10)</f>
        <v>1</v>
      </c>
      <c r="M10" s="3">
        <f>SUM([1]Art1!M10+[1]Art2!M10+[1]Art3!M10+[1]Art4!M10+[1]Art5!M10+[1]Art6!M10+[1]Art7!M10+[1]Art8!M10+[1]Art9!M10+[1]Art10!M10+[1]Art11!M10+[1]Art12!M10+[1]Art13!M10+[1]Art14!M10+[1]Art15!M10+[1]Art16!M10+[1]Art17!M10+[1]Art18!M10+[1]Art19!M10+[1]Art20!M10+[1]Art21!M10+[1]Art22!M10+[1]Art23!M10+[1]Art24!M10+[1]Art25!M10+[1]Art26!M10+[1]Art27!M10+[1]Art28!M10+[1]Art29!M10+[1]Art30!M10+[1]Art31!M10+[1]Art32!M10+[1]Art33!M10+[1]Art34!M10+[1]Art35!M10+[1]Art36!M10+[1]Art37!M10+[1]Art38!M10+[1]ArtT1!M10+[1]ArtT2!M10)</f>
        <v>840</v>
      </c>
    </row>
    <row r="11" spans="1:13" ht="14.25" customHeight="1" x14ac:dyDescent="0.3">
      <c r="A11" s="1" t="s">
        <v>34</v>
      </c>
      <c r="B11" s="1" t="s">
        <v>33</v>
      </c>
      <c r="H11" s="2" t="s">
        <v>35</v>
      </c>
      <c r="I11" s="3">
        <f>SUM([1]Art1!I11+[1]Art2!I11+[1]Art3!I11+[1]Art4!I11+[1]Art5!I11+[1]Art6!I11+[1]Art7!I11+[1]Art8!I11+[1]Art9!I11+[1]Art10!I11+[1]Art11!I11+[1]Art12!I11+[1]Art13!I11+[1]Art14!I11+[1]Art15!I11+[1]Art16!I11+[1]Art17!I11+[1]Art18!I11+[1]Art19!I11+[1]Art20!I11+[1]Art21!I11+[1]Art22!I11+[1]Art23!I11+[1]Art24!I11+[1]Art25!I11+[1]Art26!I11+[1]Art27!I11+[1]Art28!I11+[1]Art29!I11+[1]Art30!I11+[1]Art31!I11+[1]Art32!I11+[1]Art33!I11+[1]Art34!I11+[1]Art35!I11+[1]Art36!I11+[1]Art37!I11+[1]Art38!I11+[1]ArtT1!I11+[1]ArtT2!I11)</f>
        <v>35</v>
      </c>
      <c r="J11" s="3">
        <f>SUM([1]Art1!J11+[1]Art2!J11+[1]Art3!J11+[1]Art4!J11+[1]Art5!J11+[1]Art6!J11+[1]Art7!J11+[1]Art8!J11+[1]Art9!J11+[1]Art10!J11+[1]Art11!J11+[1]Art12!J11+[1]Art13!J11+[1]Art14!J11+[1]Art15!J11+[1]Art16!J11+[1]Art17!J11+[1]Art18!J11+[1]Art19!J11+[1]Art20!J11+[1]Art21!J11+[1]Art22!J11+[1]Art23!J11+[1]Art24!J11+[1]Art25!J11+[1]Art26!J11+[1]Art27!J11+[1]Art28!J11+[1]Art29!J11+[1]Art30!J11+[1]Art31!J11+[1]Art32!J11+[1]Art33!J11+[1]Art34!J11+[1]Art35!J11+[1]Art36!J11+[1]Art37!J11+[1]Art38!J11+[1]ArtT1!J11+[1]ArtT2!J11)</f>
        <v>378</v>
      </c>
      <c r="K11" s="3">
        <f>SUM([1]Art1!K11+[1]Art2!K11+[1]Art3!K11+[1]Art4!K11+[1]Art5!K11+[1]Art6!K11+[1]Art7!K11+[1]Art8!K11+[1]Art9!K11+[1]Art10!K11+[1]Art11!K11+[1]Art12!K11+[1]Art13!K11+[1]Art14!K11+[1]Art15!K11+[1]Art16!K11+[1]Art17!K11+[1]Art18!K11+[1]Art19!K11+[1]Art20!K11+[1]Art21!K11+[1]Art22!K11+[1]Art23!K11+[1]Art24!K11+[1]Art25!K11+[1]Art26!K11+[1]Art27!K11+[1]Art28!K11+[1]Art29!K11+[1]Art30!K11+[1]Art31!K11+[1]Art32!K11+[1]Art33!K11+[1]Art34!K11+[1]Art35!K11+[1]Art36!K11+[1]Art37!K11+[1]Art38!K11+[1]ArtT1!K11+[1]ArtT2!K11)</f>
        <v>192</v>
      </c>
      <c r="L11" s="3">
        <f>SUM([1]Art1!L11+[1]Art2!L11+[1]Art3!L11+[1]Art4!L11+[1]Art5!L11+[1]Art6!L11+[1]Art7!L11+[1]Art8!L11+[1]Art9!L11+[1]Art10!L11+[1]Art11!L11+[1]Art12!L11+[1]Art13!L11+[1]Art14!L11+[1]Art15!L11+[1]Art16!L11+[1]Art17!L11+[1]Art18!L11+[1]Art19!L11+[1]Art20!L11+[1]Art21!L11+[1]Art22!L11+[1]Art23!L11+[1]Art24!L11+[1]Art25!L11+[1]Art26!L11+[1]Art27!L11+[1]Art28!L11+[1]Art29!L11+[1]Art30!L11+[1]Art31!L11+[1]Art32!L11+[1]Art33!L11+[1]Art34!L11+[1]Art35!L11+[1]Art36!L11+[1]Art37!L11+[1]Art38!L11+[1]ArtT1!L11+[1]ArtT2!L11)</f>
        <v>5</v>
      </c>
      <c r="M11" s="3">
        <f>SUM([1]Art1!M11+[1]Art2!M11+[1]Art3!M11+[1]Art4!M11+[1]Art5!M11+[1]Art6!M11+[1]Art7!M11+[1]Art8!M11+[1]Art9!M11+[1]Art10!M11+[1]Art11!M11+[1]Art12!M11+[1]Art13!M11+[1]Art14!M11+[1]Art15!M11+[1]Art16!M11+[1]Art17!M11+[1]Art18!M11+[1]Art19!M11+[1]Art20!M11+[1]Art21!M11+[1]Art22!M11+[1]Art23!M11+[1]Art24!M11+[1]Art25!M11+[1]Art26!M11+[1]Art27!M11+[1]Art28!M11+[1]Art29!M11+[1]Art30!M11+[1]Art31!M11+[1]Art32!M11+[1]Art33!M11+[1]Art34!M11+[1]Art35!M11+[1]Art36!M11+[1]Art37!M11+[1]Art38!M11+[1]ArtT1!M11+[1]ArtT2!M11)</f>
        <v>610</v>
      </c>
    </row>
    <row r="12" spans="1:13" ht="14.25" customHeight="1" x14ac:dyDescent="0.3">
      <c r="A12" s="1" t="s">
        <v>36</v>
      </c>
      <c r="B12" s="1" t="s">
        <v>37</v>
      </c>
      <c r="H12" s="2" t="s">
        <v>38</v>
      </c>
      <c r="I12" s="3">
        <f>SUM([1]Art1!I12+[1]Art2!I12+[1]Art3!I12+[1]Art4!I12+[1]Art5!I12+[1]Art6!I12+[1]Art7!I12+[1]Art8!I12+[1]Art9!I12+[1]Art10!I12+[1]Art11!I12+[1]Art12!I12+[1]Art13!I12+[1]Art14!I12+[1]Art15!I12+[1]Art16!I12+[1]Art17!I12+[1]Art18!I12+[1]Art19!I12+[1]Art20!I12+[1]Art21!I12+[1]Art22!I12+[1]Art23!I12+[1]Art24!I12+[1]Art25!I12+[1]Art26!I12+[1]Art27!I12+[1]Art28!I12+[1]Art29!I12+[1]Art30!I12+[1]Art31!I12+[1]Art32!I12+[1]Art33!I12+[1]Art34!I12+[1]Art35!I12+[1]Art36!I12+[1]Art37!I12+[1]Art38!I12+[1]ArtT1!I12+[1]ArtT2!I12)</f>
        <v>65</v>
      </c>
      <c r="J12" s="3">
        <f>SUM([1]Art1!J12+[1]Art2!J12+[1]Art3!J12+[1]Art4!J12+[1]Art5!J12+[1]Art6!J12+[1]Art7!J12+[1]Art8!J12+[1]Art9!J12+[1]Art10!J12+[1]Art11!J12+[1]Art12!J12+[1]Art13!J12+[1]Art14!J12+[1]Art15!J12+[1]Art16!J12+[1]Art17!J12+[1]Art18!J12+[1]Art19!J12+[1]Art20!J12+[1]Art21!J12+[1]Art22!J12+[1]Art23!J12+[1]Art24!J12+[1]Art25!J12+[1]Art26!J12+[1]Art27!J12+[1]Art28!J12+[1]Art29!J12+[1]Art30!J12+[1]Art31!J12+[1]Art32!J12+[1]Art33!J12+[1]Art34!J12+[1]Art35!J12+[1]Art36!J12+[1]Art37!J12+[1]Art38!J12+[1]ArtT1!J12+[1]ArtT2!J12)</f>
        <v>159</v>
      </c>
      <c r="K12" s="3">
        <f>SUM([1]Art1!K12+[1]Art2!K12+[1]Art3!K12+[1]Art4!K12+[1]Art5!K12+[1]Art6!K12+[1]Art7!K12+[1]Art8!K12+[1]Art9!K12+[1]Art10!K12+[1]Art11!K12+[1]Art12!K12+[1]Art13!K12+[1]Art14!K12+[1]Art15!K12+[1]Art16!K12+[1]Art17!K12+[1]Art18!K12+[1]Art19!K12+[1]Art20!K12+[1]Art21!K12+[1]Art22!K12+[1]Art23!K12+[1]Art24!K12+[1]Art25!K12+[1]Art26!K12+[1]Art27!K12+[1]Art28!K12+[1]Art29!K12+[1]Art30!K12+[1]Art31!K12+[1]Art32!K12+[1]Art33!K12+[1]Art34!K12+[1]Art35!K12+[1]Art36!K12+[1]Art37!K12+[1]Art38!K12+[1]ArtT1!K12+[1]ArtT2!K12)</f>
        <v>52</v>
      </c>
      <c r="L12" s="3">
        <f>SUM([1]Art1!L12+[1]Art2!L12+[1]Art3!L12+[1]Art4!L12+[1]Art5!L12+[1]Art6!L12+[1]Art7!L12+[1]Art8!L12+[1]Art9!L12+[1]Art10!L12+[1]Art11!L12+[1]Art12!L12+[1]Art13!L12+[1]Art14!L12+[1]Art15!L12+[1]Art16!L12+[1]Art17!L12+[1]Art18!L12+[1]Art19!L12+[1]Art20!L12+[1]Art21!L12+[1]Art22!L12+[1]Art23!L12+[1]Art24!L12+[1]Art25!L12+[1]Art26!L12+[1]Art27!L12+[1]Art28!L12+[1]Art29!L12+[1]Art30!L12+[1]Art31!L12+[1]Art32!L12+[1]Art33!L12+[1]Art34!L12+[1]Art35!L12+[1]Art36!L12+[1]Art37!L12+[1]Art38!L12+[1]ArtT1!L12+[1]ArtT2!L12)</f>
        <v>4</v>
      </c>
      <c r="M12" s="3">
        <f>SUM([1]Art1!M12+[1]Art2!M12+[1]Art3!M12+[1]Art4!M12+[1]Art5!M12+[1]Art6!M12+[1]Art7!M12+[1]Art8!M12+[1]Art9!M12+[1]Art10!M12+[1]Art11!M12+[1]Art12!M12+[1]Art13!M12+[1]Art14!M12+[1]Art15!M12+[1]Art16!M12+[1]Art17!M12+[1]Art18!M12+[1]Art19!M12+[1]Art20!M12+[1]Art21!M12+[1]Art22!M12+[1]Art23!M12+[1]Art24!M12+[1]Art25!M12+[1]Art26!M12+[1]Art27!M12+[1]Art28!M12+[1]Art29!M12+[1]Art30!M12+[1]Art31!M12+[1]Art32!M12+[1]Art33!M12+[1]Art34!M12+[1]Art35!M12+[1]Art36!M12+[1]Art37!M12+[1]Art38!M12+[1]ArtT1!M12+[1]ArtT2!M12)</f>
        <v>280</v>
      </c>
    </row>
    <row r="13" spans="1:13" ht="14.25" customHeight="1" x14ac:dyDescent="0.3">
      <c r="A13" s="1" t="s">
        <v>39</v>
      </c>
      <c r="B13" s="1" t="s">
        <v>30</v>
      </c>
      <c r="H13" s="2" t="s">
        <v>33</v>
      </c>
      <c r="I13" s="3">
        <f>SUM([1]Art1!I13+[1]Art2!I13+[1]Art3!I13+[1]Art4!I13+[1]Art5!I13+[1]Art6!I13+[1]Art7!I13+[1]Art8!I13+[1]Art9!I13+[1]Art10!I13+[1]Art11!I13+[1]Art12!I13+[1]Art13!I13+[1]Art14!I13+[1]Art15!I13+[1]Art16!I13+[1]Art17!I13+[1]Art18!I13+[1]Art19!I13+[1]Art20!I13+[1]Art21!I13+[1]Art22!I13+[1]Art23!I13+[1]Art24!I13+[1]Art25!I13+[1]Art26!I13+[1]Art27!I13+[1]Art28!I13+[1]Art29!I13+[1]Art30!I13+[1]Art31!I13+[1]Art32!I13+[1]Art33!I13+[1]Art34!I13+[1]Art35!I13+[1]Art36!I13+[1]Art37!I13+[1]Art38!I13+[1]ArtT1!I13+[1]ArtT2!I13)</f>
        <v>167</v>
      </c>
      <c r="J13" s="3">
        <f>SUM([1]Art1!J13+[1]Art2!J13+[1]Art3!J13+[1]Art4!J13+[1]Art5!J13+[1]Art6!J13+[1]Art7!J13+[1]Art8!J13+[1]Art9!J13+[1]Art10!J13+[1]Art11!J13+[1]Art12!J13+[1]Art13!J13+[1]Art14!J13+[1]Art15!J13+[1]Art16!J13+[1]Art17!J13+[1]Art18!J13+[1]Art19!J13+[1]Art20!J13+[1]Art21!J13+[1]Art22!J13+[1]Art23!J13+[1]Art24!J13+[1]Art25!J13+[1]Art26!J13+[1]Art27!J13+[1]Art28!J13+[1]Art29!J13+[1]Art30!J13+[1]Art31!J13+[1]Art32!J13+[1]Art33!J13+[1]Art34!J13+[1]Art35!J13+[1]Art36!J13+[1]Art37!J13+[1]Art38!J13+[1]ArtT1!J13+[1]ArtT2!J13)</f>
        <v>27</v>
      </c>
      <c r="K13" s="3">
        <f>SUM([1]Art1!K13+[1]Art2!K13+[1]Art3!K13+[1]Art4!K13+[1]Art5!K13+[1]Art6!K13+[1]Art7!K13+[1]Art8!K13+[1]Art9!K13+[1]Art10!K13+[1]Art11!K13+[1]Art12!K13+[1]Art13!K13+[1]Art14!K13+[1]Art15!K13+[1]Art16!K13+[1]Art17!K13+[1]Art18!K13+[1]Art19!K13+[1]Art20!K13+[1]Art21!K13+[1]Art22!K13+[1]Art23!K13+[1]Art24!K13+[1]Art25!K13+[1]Art26!K13+[1]Art27!K13+[1]Art28!K13+[1]Art29!K13+[1]Art30!K13+[1]Art31!K13+[1]Art32!K13+[1]Art33!K13+[1]Art34!K13+[1]Art35!K13+[1]Art36!K13+[1]Art37!K13+[1]Art38!K13+[1]ArtT1!K13+[1]ArtT2!K13)</f>
        <v>6</v>
      </c>
      <c r="L13" s="3">
        <f>SUM([1]Art1!L13+[1]Art2!L13+[1]Art3!L13+[1]Art4!L13+[1]Art5!L13+[1]Art6!L13+[1]Art7!L13+[1]Art8!L13+[1]Art9!L13+[1]Art10!L13+[1]Art11!L13+[1]Art12!L13+[1]Art13!L13+[1]Art14!L13+[1]Art15!L13+[1]Art16!L13+[1]Art17!L13+[1]Art18!L13+[1]Art19!L13+[1]Art20!L13+[1]Art21!L13+[1]Art22!L13+[1]Art23!L13+[1]Art24!L13+[1]Art25!L13+[1]Art26!L13+[1]Art27!L13+[1]Art28!L13+[1]Art29!L13+[1]Art30!L13+[1]Art31!L13+[1]Art32!L13+[1]Art33!L13+[1]Art34!L13+[1]Art35!L13+[1]Art36!L13+[1]Art37!L13+[1]Art38!L13+[1]ArtT1!L13+[1]ArtT2!L13)</f>
        <v>0</v>
      </c>
      <c r="M13" s="3">
        <f>SUM([1]Art1!M13+[1]Art2!M13+[1]Art3!M13+[1]Art4!M13+[1]Art5!M13+[1]Art6!M13+[1]Art7!M13+[1]Art8!M13+[1]Art9!M13+[1]Art10!M13+[1]Art11!M13+[1]Art12!M13+[1]Art13!M13+[1]Art14!M13+[1]Art15!M13+[1]Art16!M13+[1]Art17!M13+[1]Art18!M13+[1]Art19!M13+[1]Art20!M13+[1]Art21!M13+[1]Art22!M13+[1]Art23!M13+[1]Art24!M13+[1]Art25!M13+[1]Art26!M13+[1]Art27!M13+[1]Art28!M13+[1]Art29!M13+[1]Art30!M13+[1]Art31!M13+[1]Art32!M13+[1]Art33!M13+[1]Art34!M13+[1]Art35!M13+[1]Art36!M13+[1]Art37!M13+[1]Art38!M13+[1]ArtT1!M13+[1]ArtT2!M13)</f>
        <v>200</v>
      </c>
    </row>
    <row r="14" spans="1:13" ht="14.25" customHeight="1" x14ac:dyDescent="0.3">
      <c r="A14" s="1" t="s">
        <v>40</v>
      </c>
      <c r="B14" s="1" t="s">
        <v>19</v>
      </c>
      <c r="I14" s="4"/>
      <c r="J14" s="4"/>
      <c r="K14" s="4"/>
      <c r="L14" s="4"/>
    </row>
    <row r="15" spans="1:13" ht="14.25" customHeight="1" x14ac:dyDescent="0.3">
      <c r="A15" s="1" t="s">
        <v>41</v>
      </c>
      <c r="B15" s="1" t="s">
        <v>42</v>
      </c>
      <c r="I15" s="4"/>
      <c r="J15" s="4"/>
      <c r="K15" s="4"/>
      <c r="L15" s="4"/>
    </row>
    <row r="16" spans="1:13" ht="14.25" customHeight="1" x14ac:dyDescent="0.3">
      <c r="A16" s="1" t="s">
        <v>43</v>
      </c>
      <c r="B16" s="1" t="s">
        <v>30</v>
      </c>
      <c r="I16" s="4"/>
      <c r="J16" s="4"/>
      <c r="K16" s="4"/>
      <c r="L16" s="4"/>
    </row>
    <row r="17" spans="1:12" ht="14.25" customHeight="1" x14ac:dyDescent="0.3">
      <c r="A17" s="1" t="s">
        <v>44</v>
      </c>
      <c r="B17" s="1" t="s">
        <v>13</v>
      </c>
      <c r="I17" s="4"/>
      <c r="J17" s="4"/>
      <c r="K17" s="4"/>
      <c r="L17" s="4"/>
    </row>
    <row r="18" spans="1:12" ht="14.25" customHeight="1" x14ac:dyDescent="0.3">
      <c r="A18" s="1" t="s">
        <v>45</v>
      </c>
      <c r="B18" s="1" t="s">
        <v>37</v>
      </c>
      <c r="I18" s="4"/>
      <c r="J18" s="4"/>
      <c r="K18" s="4"/>
      <c r="L18" s="4"/>
    </row>
    <row r="19" spans="1:12" ht="14.25" customHeight="1" x14ac:dyDescent="0.3">
      <c r="A19" s="1" t="s">
        <v>46</v>
      </c>
      <c r="B19" s="1" t="s">
        <v>13</v>
      </c>
    </row>
    <row r="20" spans="1:12" ht="14.25" customHeight="1" x14ac:dyDescent="0.3">
      <c r="A20" s="1" t="s">
        <v>47</v>
      </c>
      <c r="B20" s="1" t="s">
        <v>16</v>
      </c>
    </row>
    <row r="21" spans="1:12" ht="14.25" customHeight="1" x14ac:dyDescent="0.3">
      <c r="A21" s="1" t="s">
        <v>48</v>
      </c>
      <c r="B21" s="1" t="s">
        <v>38</v>
      </c>
    </row>
    <row r="22" spans="1:12" ht="14.25" customHeight="1" x14ac:dyDescent="0.3">
      <c r="A22" s="1" t="s">
        <v>49</v>
      </c>
      <c r="B22" s="1" t="s">
        <v>14</v>
      </c>
    </row>
    <row r="23" spans="1:12" ht="14.25" customHeight="1" x14ac:dyDescent="0.3">
      <c r="A23" s="1" t="s">
        <v>50</v>
      </c>
      <c r="B23" s="1" t="s">
        <v>13</v>
      </c>
    </row>
    <row r="24" spans="1:12" ht="14.25" customHeight="1" x14ac:dyDescent="0.3">
      <c r="A24" s="1" t="s">
        <v>51</v>
      </c>
      <c r="B24" s="1" t="s">
        <v>38</v>
      </c>
    </row>
    <row r="25" spans="1:12" ht="14.25" customHeight="1" x14ac:dyDescent="0.3">
      <c r="A25" s="1" t="s">
        <v>52</v>
      </c>
      <c r="B25" s="1" t="s">
        <v>30</v>
      </c>
    </row>
    <row r="26" spans="1:12" ht="14.25" customHeight="1" x14ac:dyDescent="0.3">
      <c r="A26" s="1" t="s">
        <v>53</v>
      </c>
      <c r="B26" s="1" t="s">
        <v>19</v>
      </c>
    </row>
    <row r="27" spans="1:12" ht="14.25" customHeight="1" x14ac:dyDescent="0.3">
      <c r="A27" s="1" t="s">
        <v>54</v>
      </c>
      <c r="B27" s="1" t="s">
        <v>19</v>
      </c>
    </row>
    <row r="28" spans="1:12" ht="14.25" customHeight="1" x14ac:dyDescent="0.3">
      <c r="A28" s="1" t="s">
        <v>55</v>
      </c>
      <c r="B28" s="1" t="s">
        <v>37</v>
      </c>
    </row>
    <row r="29" spans="1:12" ht="14.25" customHeight="1" x14ac:dyDescent="0.3">
      <c r="A29" s="1" t="s">
        <v>56</v>
      </c>
      <c r="B29" s="1" t="s">
        <v>27</v>
      </c>
    </row>
    <row r="30" spans="1:12" ht="14.25" customHeight="1" x14ac:dyDescent="0.3">
      <c r="A30" s="1" t="s">
        <v>57</v>
      </c>
      <c r="B30" s="1" t="s">
        <v>27</v>
      </c>
    </row>
    <row r="31" spans="1:12" ht="14.25" customHeight="1" x14ac:dyDescent="0.3">
      <c r="A31" s="1" t="s">
        <v>58</v>
      </c>
      <c r="B31" s="1" t="s">
        <v>30</v>
      </c>
    </row>
    <row r="32" spans="1:12" ht="14.25" customHeight="1" x14ac:dyDescent="0.3">
      <c r="A32" s="1" t="s">
        <v>59</v>
      </c>
      <c r="B32" s="1" t="s">
        <v>24</v>
      </c>
    </row>
    <row r="33" spans="1:12" ht="14.25" customHeight="1" x14ac:dyDescent="0.3">
      <c r="A33" s="1" t="s">
        <v>60</v>
      </c>
      <c r="B33" s="1" t="s">
        <v>27</v>
      </c>
    </row>
    <row r="34" spans="1:12" ht="14.25" customHeight="1" x14ac:dyDescent="0.3">
      <c r="A34" s="1" t="s">
        <v>61</v>
      </c>
      <c r="B34" s="1" t="s">
        <v>38</v>
      </c>
    </row>
    <row r="35" spans="1:12" ht="14.25" customHeight="1" x14ac:dyDescent="0.3">
      <c r="A35" s="1" t="s">
        <v>62</v>
      </c>
      <c r="B35" s="1" t="s">
        <v>30</v>
      </c>
    </row>
    <row r="36" spans="1:12" ht="14.25" customHeight="1" x14ac:dyDescent="0.3">
      <c r="A36" s="1" t="s">
        <v>63</v>
      </c>
      <c r="B36" s="1" t="s">
        <v>21</v>
      </c>
    </row>
    <row r="37" spans="1:12" ht="14.25" customHeight="1" x14ac:dyDescent="0.3">
      <c r="A37" s="1" t="s">
        <v>64</v>
      </c>
      <c r="B37" s="1" t="s">
        <v>14</v>
      </c>
    </row>
    <row r="38" spans="1:12" ht="14.25" customHeight="1" x14ac:dyDescent="0.3">
      <c r="A38" s="1" t="s">
        <v>65</v>
      </c>
      <c r="B38" s="1" t="s">
        <v>66</v>
      </c>
    </row>
    <row r="39" spans="1:12" ht="14.25" customHeight="1" x14ac:dyDescent="0.3">
      <c r="A39" s="1" t="s">
        <v>67</v>
      </c>
      <c r="B39" s="1" t="s">
        <v>16</v>
      </c>
    </row>
    <row r="40" spans="1:12" ht="14.25" customHeight="1" x14ac:dyDescent="0.3">
      <c r="A40" s="1" t="s">
        <v>68</v>
      </c>
      <c r="B40" s="1" t="s">
        <v>38</v>
      </c>
    </row>
    <row r="41" spans="1:12" ht="14.25" customHeight="1" x14ac:dyDescent="0.3">
      <c r="A41" s="1" t="s">
        <v>69</v>
      </c>
      <c r="B41" s="1" t="s">
        <v>37</v>
      </c>
    </row>
    <row r="42" spans="1:12" ht="14.25" customHeight="1" x14ac:dyDescent="0.3">
      <c r="A42" s="1" t="s">
        <v>70</v>
      </c>
      <c r="B42" s="1" t="s">
        <v>66</v>
      </c>
    </row>
    <row r="43" spans="1:12" ht="14.25" customHeight="1" x14ac:dyDescent="0.3">
      <c r="A43" s="1" t="s">
        <v>71</v>
      </c>
      <c r="B43" s="1" t="s">
        <v>30</v>
      </c>
    </row>
    <row r="44" spans="1:12" ht="14.25" customHeight="1" x14ac:dyDescent="0.3">
      <c r="A44" s="1" t="s">
        <v>72</v>
      </c>
      <c r="B44" s="1" t="s">
        <v>27</v>
      </c>
    </row>
    <row r="45" spans="1:12" ht="14.25" customHeight="1" x14ac:dyDescent="0.3">
      <c r="A45" s="1" t="s">
        <v>73</v>
      </c>
      <c r="B45" s="1" t="s">
        <v>30</v>
      </c>
      <c r="H45" s="1" t="s">
        <v>6</v>
      </c>
      <c r="I45" s="1" t="s">
        <v>7</v>
      </c>
      <c r="J45" s="1" t="s">
        <v>8</v>
      </c>
      <c r="K45" s="1" t="s">
        <v>9</v>
      </c>
      <c r="L45" s="1" t="s">
        <v>10</v>
      </c>
    </row>
    <row r="46" spans="1:12" ht="14.25" customHeight="1" x14ac:dyDescent="0.3">
      <c r="A46" s="1" t="s">
        <v>74</v>
      </c>
      <c r="B46" s="1" t="s">
        <v>16</v>
      </c>
      <c r="H46" s="2" t="s">
        <v>14</v>
      </c>
      <c r="I46" s="4">
        <f t="shared" ref="I46:I57" si="0">I2/M2</f>
        <v>0.94318181818181823</v>
      </c>
      <c r="J46" s="4">
        <f t="shared" ref="J46:J57" si="1">J2/M2</f>
        <v>1.3636363636363636E-2</v>
      </c>
      <c r="K46" s="4">
        <f t="shared" ref="K46:K57" si="2">K2/M2</f>
        <v>3.4090909090909088E-2</v>
      </c>
      <c r="L46" s="4">
        <f t="shared" ref="L46:L57" si="3">L2/M2</f>
        <v>9.0909090909090905E-3</v>
      </c>
    </row>
    <row r="47" spans="1:12" ht="14.25" customHeight="1" x14ac:dyDescent="0.3">
      <c r="A47" s="1" t="s">
        <v>75</v>
      </c>
      <c r="B47" s="1" t="s">
        <v>66</v>
      </c>
      <c r="H47" s="2" t="s">
        <v>17</v>
      </c>
      <c r="I47" s="4">
        <f t="shared" si="0"/>
        <v>0.73541666666666672</v>
      </c>
      <c r="J47" s="4">
        <f t="shared" si="1"/>
        <v>0.23333333333333334</v>
      </c>
      <c r="K47" s="4">
        <f t="shared" si="2"/>
        <v>1.6666666666666666E-2</v>
      </c>
      <c r="L47" s="4">
        <f t="shared" si="3"/>
        <v>1.4583333333333334E-2</v>
      </c>
    </row>
    <row r="48" spans="1:12" ht="14.25" customHeight="1" x14ac:dyDescent="0.3">
      <c r="A48" s="1" t="s">
        <v>76</v>
      </c>
      <c r="B48" s="1" t="s">
        <v>13</v>
      </c>
      <c r="H48" s="2" t="s">
        <v>19</v>
      </c>
      <c r="I48" s="4">
        <f t="shared" si="0"/>
        <v>0.97250000000000003</v>
      </c>
      <c r="J48" s="4">
        <f t="shared" si="1"/>
        <v>1.4999999999999999E-2</v>
      </c>
      <c r="K48" s="4">
        <f t="shared" si="2"/>
        <v>2.5000000000000001E-3</v>
      </c>
      <c r="L48" s="4">
        <f t="shared" si="3"/>
        <v>0.01</v>
      </c>
    </row>
    <row r="49" spans="1:12" ht="14.25" customHeight="1" x14ac:dyDescent="0.3">
      <c r="A49" s="1" t="s">
        <v>77</v>
      </c>
      <c r="B49" s="1" t="s">
        <v>16</v>
      </c>
      <c r="H49" s="2" t="s">
        <v>22</v>
      </c>
      <c r="I49" s="4">
        <f t="shared" si="0"/>
        <v>0.39444444444444443</v>
      </c>
      <c r="J49" s="4">
        <f t="shared" si="1"/>
        <v>0.18055555555555555</v>
      </c>
      <c r="K49" s="4">
        <f t="shared" si="2"/>
        <v>0.3</v>
      </c>
      <c r="L49" s="4">
        <f t="shared" si="3"/>
        <v>0.125</v>
      </c>
    </row>
    <row r="50" spans="1:12" ht="14.25" customHeight="1" x14ac:dyDescent="0.3">
      <c r="A50" s="1" t="s">
        <v>78</v>
      </c>
      <c r="B50" s="1" t="s">
        <v>24</v>
      </c>
      <c r="H50" s="2" t="s">
        <v>25</v>
      </c>
      <c r="I50" s="4">
        <f t="shared" si="0"/>
        <v>0.94374999999999998</v>
      </c>
      <c r="J50" s="4">
        <f t="shared" si="1"/>
        <v>2.9687499999999999E-2</v>
      </c>
      <c r="K50" s="4">
        <f t="shared" si="2"/>
        <v>1.0937499999999999E-2</v>
      </c>
      <c r="L50" s="4">
        <f t="shared" si="3"/>
        <v>1.5625E-2</v>
      </c>
    </row>
    <row r="51" spans="1:12" ht="14.25" customHeight="1" x14ac:dyDescent="0.3">
      <c r="A51" s="1" t="s">
        <v>79</v>
      </c>
      <c r="B51" s="1" t="s">
        <v>27</v>
      </c>
      <c r="H51" s="2" t="s">
        <v>28</v>
      </c>
      <c r="I51" s="4">
        <f t="shared" si="0"/>
        <v>0.58125000000000004</v>
      </c>
      <c r="J51" s="4">
        <f t="shared" si="1"/>
        <v>0.23333333333333334</v>
      </c>
      <c r="K51" s="4">
        <f t="shared" si="2"/>
        <v>0.18333333333333332</v>
      </c>
      <c r="L51" s="4">
        <f t="shared" si="3"/>
        <v>2.0833333333333333E-3</v>
      </c>
    </row>
    <row r="52" spans="1:12" ht="14.25" customHeight="1" x14ac:dyDescent="0.3">
      <c r="A52" s="1" t="s">
        <v>80</v>
      </c>
      <c r="B52" s="1" t="s">
        <v>24</v>
      </c>
      <c r="H52" s="2" t="s">
        <v>27</v>
      </c>
      <c r="I52" s="4">
        <f t="shared" si="0"/>
        <v>0.36833333333333335</v>
      </c>
      <c r="J52" s="4">
        <f t="shared" si="1"/>
        <v>0.54500000000000004</v>
      </c>
      <c r="K52" s="4">
        <f t="shared" si="2"/>
        <v>0.08</v>
      </c>
      <c r="L52" s="4">
        <f t="shared" si="3"/>
        <v>6.6666666666666671E-3</v>
      </c>
    </row>
    <row r="53" spans="1:12" ht="14.25" customHeight="1" x14ac:dyDescent="0.3">
      <c r="A53" s="1" t="s">
        <v>81</v>
      </c>
      <c r="B53" s="1" t="s">
        <v>66</v>
      </c>
      <c r="H53" s="2" t="s">
        <v>13</v>
      </c>
      <c r="I53" s="4">
        <f t="shared" si="0"/>
        <v>0.23472222222222222</v>
      </c>
      <c r="J53" s="4">
        <f t="shared" si="1"/>
        <v>0.38194444444444442</v>
      </c>
      <c r="K53" s="4">
        <f t="shared" si="2"/>
        <v>0.38194444444444442</v>
      </c>
      <c r="L53" s="4">
        <f t="shared" si="3"/>
        <v>1.3888888888888889E-3</v>
      </c>
    </row>
    <row r="54" spans="1:12" ht="14.25" customHeight="1" x14ac:dyDescent="0.3">
      <c r="A54" s="1" t="s">
        <v>82</v>
      </c>
      <c r="B54" s="1" t="s">
        <v>16</v>
      </c>
      <c r="H54" s="2" t="s">
        <v>30</v>
      </c>
      <c r="I54" s="4">
        <f t="shared" si="0"/>
        <v>5.9523809523809521E-3</v>
      </c>
      <c r="J54" s="4">
        <f t="shared" si="1"/>
        <v>0.78809523809523807</v>
      </c>
      <c r="K54" s="4">
        <f t="shared" si="2"/>
        <v>0.20476190476190476</v>
      </c>
      <c r="L54" s="4">
        <f t="shared" si="3"/>
        <v>1.1904761904761906E-3</v>
      </c>
    </row>
    <row r="55" spans="1:12" ht="14.25" customHeight="1" x14ac:dyDescent="0.3">
      <c r="A55" s="1" t="s">
        <v>83</v>
      </c>
      <c r="B55" s="1" t="s">
        <v>14</v>
      </c>
      <c r="H55" s="2" t="s">
        <v>35</v>
      </c>
      <c r="I55" s="4">
        <f t="shared" si="0"/>
        <v>5.737704918032787E-2</v>
      </c>
      <c r="J55" s="4">
        <f t="shared" si="1"/>
        <v>0.61967213114754094</v>
      </c>
      <c r="K55" s="4">
        <f t="shared" si="2"/>
        <v>0.31475409836065577</v>
      </c>
      <c r="L55" s="4">
        <f t="shared" si="3"/>
        <v>8.1967213114754103E-3</v>
      </c>
    </row>
    <row r="56" spans="1:12" ht="14.25" customHeight="1" x14ac:dyDescent="0.3">
      <c r="A56" s="1" t="s">
        <v>84</v>
      </c>
      <c r="B56" s="1" t="s">
        <v>21</v>
      </c>
      <c r="H56" s="2" t="s">
        <v>38</v>
      </c>
      <c r="I56" s="4">
        <f t="shared" si="0"/>
        <v>0.23214285714285715</v>
      </c>
      <c r="J56" s="4">
        <f t="shared" si="1"/>
        <v>0.56785714285714284</v>
      </c>
      <c r="K56" s="4">
        <f t="shared" si="2"/>
        <v>0.18571428571428572</v>
      </c>
      <c r="L56" s="4">
        <f t="shared" si="3"/>
        <v>1.4285714285714285E-2</v>
      </c>
    </row>
    <row r="57" spans="1:12" ht="14.25" customHeight="1" x14ac:dyDescent="0.3">
      <c r="A57" s="1" t="s">
        <v>85</v>
      </c>
      <c r="B57" s="1" t="s">
        <v>33</v>
      </c>
      <c r="H57" s="2" t="s">
        <v>33</v>
      </c>
      <c r="I57" s="4">
        <f t="shared" si="0"/>
        <v>0.83499999999999996</v>
      </c>
      <c r="J57" s="4">
        <f t="shared" si="1"/>
        <v>0.13500000000000001</v>
      </c>
      <c r="K57" s="4">
        <f t="shared" si="2"/>
        <v>0.03</v>
      </c>
      <c r="L57" s="4">
        <f t="shared" si="3"/>
        <v>0</v>
      </c>
    </row>
    <row r="58" spans="1:12" ht="14.25" customHeight="1" x14ac:dyDescent="0.3">
      <c r="A58" s="1" t="s">
        <v>86</v>
      </c>
      <c r="B58" s="1" t="s">
        <v>24</v>
      </c>
    </row>
    <row r="59" spans="1:12" ht="14.25" customHeight="1" x14ac:dyDescent="0.3">
      <c r="A59" s="1" t="s">
        <v>87</v>
      </c>
      <c r="B59" s="1" t="s">
        <v>37</v>
      </c>
    </row>
    <row r="60" spans="1:12" ht="14.25" customHeight="1" x14ac:dyDescent="0.3">
      <c r="A60" s="1" t="s">
        <v>88</v>
      </c>
      <c r="B60" s="1" t="s">
        <v>27</v>
      </c>
    </row>
    <row r="61" spans="1:12" ht="14.25" customHeight="1" x14ac:dyDescent="0.3">
      <c r="A61" s="1" t="s">
        <v>89</v>
      </c>
      <c r="B61" s="1" t="s">
        <v>13</v>
      </c>
    </row>
    <row r="62" spans="1:12" ht="14.25" customHeight="1" x14ac:dyDescent="0.3">
      <c r="A62" s="1" t="s">
        <v>90</v>
      </c>
      <c r="B62" s="1" t="s">
        <v>19</v>
      </c>
    </row>
    <row r="63" spans="1:12" ht="14.25" customHeight="1" x14ac:dyDescent="0.3">
      <c r="A63" s="1" t="s">
        <v>91</v>
      </c>
      <c r="B63" s="1" t="s">
        <v>21</v>
      </c>
    </row>
    <row r="64" spans="1:12" ht="14.25" customHeight="1" x14ac:dyDescent="0.3">
      <c r="A64" s="1" t="s">
        <v>92</v>
      </c>
      <c r="B64" s="1" t="s">
        <v>42</v>
      </c>
    </row>
    <row r="65" spans="1:2" ht="14.25" customHeight="1" x14ac:dyDescent="0.3">
      <c r="A65" s="1" t="s">
        <v>93</v>
      </c>
      <c r="B65" s="1" t="s">
        <v>14</v>
      </c>
    </row>
    <row r="66" spans="1:2" ht="14.25" customHeight="1" x14ac:dyDescent="0.3">
      <c r="A66" s="1" t="s">
        <v>94</v>
      </c>
      <c r="B66" s="1" t="s">
        <v>14</v>
      </c>
    </row>
    <row r="67" spans="1:2" ht="14.25" customHeight="1" x14ac:dyDescent="0.3">
      <c r="A67" s="1" t="s">
        <v>95</v>
      </c>
      <c r="B67" s="1" t="s">
        <v>38</v>
      </c>
    </row>
    <row r="68" spans="1:2" ht="14.25" customHeight="1" x14ac:dyDescent="0.3">
      <c r="A68" s="1" t="s">
        <v>96</v>
      </c>
      <c r="B68" s="1" t="s">
        <v>19</v>
      </c>
    </row>
    <row r="69" spans="1:2" ht="14.25" customHeight="1" x14ac:dyDescent="0.3">
      <c r="A69" s="1" t="s">
        <v>97</v>
      </c>
      <c r="B69" s="1" t="s">
        <v>24</v>
      </c>
    </row>
    <row r="70" spans="1:2" ht="14.25" customHeight="1" x14ac:dyDescent="0.3">
      <c r="A70" s="1" t="s">
        <v>98</v>
      </c>
      <c r="B70" s="1" t="s">
        <v>30</v>
      </c>
    </row>
    <row r="71" spans="1:2" ht="14.25" customHeight="1" x14ac:dyDescent="0.3">
      <c r="A71" s="1" t="s">
        <v>99</v>
      </c>
      <c r="B71" s="1" t="s">
        <v>30</v>
      </c>
    </row>
    <row r="72" spans="1:2" ht="14.25" customHeight="1" x14ac:dyDescent="0.3">
      <c r="A72" s="1" t="s">
        <v>100</v>
      </c>
      <c r="B72" s="1" t="s">
        <v>27</v>
      </c>
    </row>
    <row r="73" spans="1:2" ht="14.25" customHeight="1" x14ac:dyDescent="0.3">
      <c r="A73" s="1" t="s">
        <v>101</v>
      </c>
      <c r="B73" s="1" t="s">
        <v>21</v>
      </c>
    </row>
    <row r="74" spans="1:2" ht="14.25" customHeight="1" x14ac:dyDescent="0.3">
      <c r="A74" s="1" t="s">
        <v>102</v>
      </c>
      <c r="B74" s="1" t="s">
        <v>66</v>
      </c>
    </row>
    <row r="75" spans="1:2" ht="14.25" customHeight="1" x14ac:dyDescent="0.3">
      <c r="A75" s="1" t="s">
        <v>103</v>
      </c>
      <c r="B75" s="1" t="s">
        <v>30</v>
      </c>
    </row>
    <row r="76" spans="1:2" ht="14.25" customHeight="1" x14ac:dyDescent="0.3">
      <c r="A76" s="1" t="s">
        <v>104</v>
      </c>
      <c r="B76" s="1" t="s">
        <v>24</v>
      </c>
    </row>
    <row r="77" spans="1:2" ht="14.25" customHeight="1" x14ac:dyDescent="0.3">
      <c r="A77" s="1" t="s">
        <v>105</v>
      </c>
      <c r="B77" s="1" t="s">
        <v>66</v>
      </c>
    </row>
    <row r="78" spans="1:2" ht="14.25" customHeight="1" x14ac:dyDescent="0.3">
      <c r="A78" s="1" t="s">
        <v>106</v>
      </c>
      <c r="B78" s="1" t="s">
        <v>42</v>
      </c>
    </row>
    <row r="79" spans="1:2" ht="14.25" customHeight="1" x14ac:dyDescent="0.3">
      <c r="A79" s="1" t="s">
        <v>107</v>
      </c>
      <c r="B79" s="1" t="s">
        <v>27</v>
      </c>
    </row>
    <row r="80" spans="1:2" ht="14.25" customHeight="1" x14ac:dyDescent="0.3">
      <c r="A80" s="1" t="s">
        <v>108</v>
      </c>
      <c r="B80" s="1" t="s">
        <v>66</v>
      </c>
    </row>
    <row r="81" spans="1:2" ht="14.25" customHeight="1" x14ac:dyDescent="0.3">
      <c r="A81" s="1" t="s">
        <v>109</v>
      </c>
      <c r="B81" s="1" t="s">
        <v>30</v>
      </c>
    </row>
    <row r="82" spans="1:2" ht="14.25" customHeight="1" x14ac:dyDescent="0.3">
      <c r="A82" s="1" t="s">
        <v>110</v>
      </c>
      <c r="B82" s="1" t="s">
        <v>37</v>
      </c>
    </row>
    <row r="83" spans="1:2" ht="14.25" customHeight="1" x14ac:dyDescent="0.3">
      <c r="A83" s="1" t="s">
        <v>111</v>
      </c>
      <c r="B83" s="1" t="s">
        <v>37</v>
      </c>
    </row>
    <row r="84" spans="1:2" ht="14.25" customHeight="1" x14ac:dyDescent="0.3">
      <c r="A84" s="1" t="s">
        <v>112</v>
      </c>
      <c r="B84" s="1" t="s">
        <v>38</v>
      </c>
    </row>
    <row r="85" spans="1:2" ht="14.25" customHeight="1" x14ac:dyDescent="0.3">
      <c r="A85" s="1" t="s">
        <v>113</v>
      </c>
      <c r="B85" s="1" t="s">
        <v>21</v>
      </c>
    </row>
    <row r="86" spans="1:2" ht="14.25" customHeight="1" x14ac:dyDescent="0.3">
      <c r="A86" s="1" t="s">
        <v>114</v>
      </c>
      <c r="B86" s="1" t="s">
        <v>42</v>
      </c>
    </row>
    <row r="87" spans="1:2" ht="14.25" customHeight="1" x14ac:dyDescent="0.3">
      <c r="A87" s="1" t="s">
        <v>115</v>
      </c>
      <c r="B87" s="1" t="s">
        <v>21</v>
      </c>
    </row>
    <row r="88" spans="1:2" ht="14.25" customHeight="1" x14ac:dyDescent="0.3">
      <c r="A88" s="1" t="s">
        <v>116</v>
      </c>
      <c r="B88" s="1" t="s">
        <v>30</v>
      </c>
    </row>
    <row r="89" spans="1:2" ht="14.25" customHeight="1" x14ac:dyDescent="0.3">
      <c r="A89" s="1" t="s">
        <v>117</v>
      </c>
      <c r="B89" s="1" t="s">
        <v>16</v>
      </c>
    </row>
    <row r="90" spans="1:2" ht="14.25" customHeight="1" x14ac:dyDescent="0.3">
      <c r="A90" s="1" t="s">
        <v>118</v>
      </c>
      <c r="B90" s="1" t="s">
        <v>16</v>
      </c>
    </row>
    <row r="91" spans="1:2" ht="14.25" customHeight="1" x14ac:dyDescent="0.3">
      <c r="A91" s="1" t="s">
        <v>119</v>
      </c>
      <c r="B91" s="1" t="s">
        <v>66</v>
      </c>
    </row>
    <row r="92" spans="1:2" ht="14.25" customHeight="1" x14ac:dyDescent="0.3">
      <c r="A92" s="1" t="s">
        <v>120</v>
      </c>
      <c r="B92" s="1" t="s">
        <v>13</v>
      </c>
    </row>
    <row r="93" spans="1:2" ht="14.25" customHeight="1" x14ac:dyDescent="0.3">
      <c r="A93" s="1" t="s">
        <v>121</v>
      </c>
      <c r="B93" s="1" t="s">
        <v>30</v>
      </c>
    </row>
    <row r="94" spans="1:2" ht="14.25" customHeight="1" x14ac:dyDescent="0.3">
      <c r="A94" s="1" t="s">
        <v>122</v>
      </c>
      <c r="B94" s="1" t="s">
        <v>24</v>
      </c>
    </row>
    <row r="95" spans="1:2" ht="14.25" customHeight="1" x14ac:dyDescent="0.3">
      <c r="A95" s="1" t="s">
        <v>123</v>
      </c>
      <c r="B95" s="1" t="s">
        <v>21</v>
      </c>
    </row>
    <row r="96" spans="1:2" ht="14.25" customHeight="1" x14ac:dyDescent="0.3">
      <c r="A96" s="1" t="s">
        <v>124</v>
      </c>
      <c r="B96" s="1" t="s">
        <v>14</v>
      </c>
    </row>
    <row r="97" spans="1:2" ht="14.25" customHeight="1" x14ac:dyDescent="0.3">
      <c r="A97" s="1" t="s">
        <v>125</v>
      </c>
      <c r="B97" s="1" t="s">
        <v>66</v>
      </c>
    </row>
    <row r="98" spans="1:2" ht="14.25" customHeight="1" x14ac:dyDescent="0.3">
      <c r="A98" s="1" t="s">
        <v>126</v>
      </c>
      <c r="B98" s="1" t="s">
        <v>30</v>
      </c>
    </row>
    <row r="99" spans="1:2" ht="14.25" customHeight="1" x14ac:dyDescent="0.3">
      <c r="A99" s="1" t="s">
        <v>127</v>
      </c>
      <c r="B99" s="1" t="s">
        <v>27</v>
      </c>
    </row>
    <row r="100" spans="1:2" ht="14.25" customHeight="1" x14ac:dyDescent="0.3">
      <c r="A100" s="1" t="s">
        <v>128</v>
      </c>
      <c r="B100" s="1" t="s">
        <v>30</v>
      </c>
    </row>
    <row r="101" spans="1:2" ht="14.25" customHeight="1" x14ac:dyDescent="0.3">
      <c r="A101" s="1" t="s">
        <v>129</v>
      </c>
      <c r="B101" s="1" t="s">
        <v>27</v>
      </c>
    </row>
    <row r="102" spans="1:2" ht="14.25" customHeight="1" x14ac:dyDescent="0.3">
      <c r="A102" s="1" t="s">
        <v>130</v>
      </c>
      <c r="B102" s="1" t="s">
        <v>16</v>
      </c>
    </row>
    <row r="103" spans="1:2" ht="14.25" customHeight="1" x14ac:dyDescent="0.3">
      <c r="A103" s="1" t="s">
        <v>131</v>
      </c>
      <c r="B103" s="1" t="s">
        <v>66</v>
      </c>
    </row>
    <row r="104" spans="1:2" ht="14.25" customHeight="1" x14ac:dyDescent="0.3">
      <c r="A104" s="1" t="s">
        <v>132</v>
      </c>
      <c r="B104" s="1" t="s">
        <v>30</v>
      </c>
    </row>
    <row r="105" spans="1:2" ht="14.25" customHeight="1" x14ac:dyDescent="0.3">
      <c r="A105" s="1" t="s">
        <v>133</v>
      </c>
      <c r="B105" s="1" t="s">
        <v>14</v>
      </c>
    </row>
    <row r="106" spans="1:2" ht="14.25" customHeight="1" x14ac:dyDescent="0.3">
      <c r="A106" s="1" t="s">
        <v>134</v>
      </c>
      <c r="B106" s="1" t="s">
        <v>42</v>
      </c>
    </row>
    <row r="107" spans="1:2" ht="14.25" customHeight="1" x14ac:dyDescent="0.3">
      <c r="A107" s="1" t="s">
        <v>135</v>
      </c>
      <c r="B107" s="1" t="s">
        <v>27</v>
      </c>
    </row>
    <row r="108" spans="1:2" ht="14.25" customHeight="1" x14ac:dyDescent="0.3">
      <c r="A108" s="1" t="s">
        <v>136</v>
      </c>
      <c r="B108" s="1" t="s">
        <v>66</v>
      </c>
    </row>
    <row r="109" spans="1:2" ht="14.25" customHeight="1" x14ac:dyDescent="0.3">
      <c r="A109" s="1" t="s">
        <v>137</v>
      </c>
      <c r="B109" s="1" t="s">
        <v>13</v>
      </c>
    </row>
    <row r="110" spans="1:2" ht="14.25" customHeight="1" x14ac:dyDescent="0.3">
      <c r="A110" s="1" t="s">
        <v>138</v>
      </c>
      <c r="B110" s="1" t="s">
        <v>42</v>
      </c>
    </row>
    <row r="111" spans="1:2" ht="14.25" customHeight="1" x14ac:dyDescent="0.3">
      <c r="A111" s="1" t="s">
        <v>139</v>
      </c>
      <c r="B111" s="1" t="s">
        <v>27</v>
      </c>
    </row>
    <row r="112" spans="1:2" ht="14.25" customHeight="1" x14ac:dyDescent="0.3">
      <c r="A112" s="1" t="s">
        <v>140</v>
      </c>
      <c r="B112" s="1" t="s">
        <v>16</v>
      </c>
    </row>
    <row r="113" spans="1:2" ht="14.25" customHeight="1" x14ac:dyDescent="0.3">
      <c r="A113" s="1" t="s">
        <v>141</v>
      </c>
      <c r="B113" s="1" t="s">
        <v>14</v>
      </c>
    </row>
    <row r="114" spans="1:2" ht="14.25" customHeight="1" x14ac:dyDescent="0.3">
      <c r="A114" s="1" t="s">
        <v>142</v>
      </c>
      <c r="B114" s="1" t="s">
        <v>16</v>
      </c>
    </row>
    <row r="115" spans="1:2" ht="14.25" customHeight="1" x14ac:dyDescent="0.3">
      <c r="A115" s="1" t="s">
        <v>143</v>
      </c>
      <c r="B115" s="1" t="s">
        <v>24</v>
      </c>
    </row>
    <row r="116" spans="1:2" ht="14.25" customHeight="1" x14ac:dyDescent="0.3">
      <c r="A116" s="1" t="s">
        <v>144</v>
      </c>
      <c r="B116" s="1" t="s">
        <v>66</v>
      </c>
    </row>
    <row r="117" spans="1:2" ht="14.25" customHeight="1" x14ac:dyDescent="0.3">
      <c r="A117" s="1" t="s">
        <v>145</v>
      </c>
      <c r="B117" s="1" t="s">
        <v>27</v>
      </c>
    </row>
    <row r="118" spans="1:2" ht="14.25" customHeight="1" x14ac:dyDescent="0.3">
      <c r="A118" s="1" t="s">
        <v>146</v>
      </c>
      <c r="B118" s="1" t="s">
        <v>30</v>
      </c>
    </row>
    <row r="119" spans="1:2" ht="14.25" customHeight="1" x14ac:dyDescent="0.3">
      <c r="A119" s="1" t="s">
        <v>147</v>
      </c>
      <c r="B119" s="1" t="s">
        <v>42</v>
      </c>
    </row>
    <row r="120" spans="1:2" ht="14.25" customHeight="1" x14ac:dyDescent="0.3">
      <c r="A120" s="1" t="s">
        <v>148</v>
      </c>
      <c r="B120" s="1" t="s">
        <v>13</v>
      </c>
    </row>
    <row r="121" spans="1:2" ht="14.25" customHeight="1" x14ac:dyDescent="0.3">
      <c r="A121" s="1" t="s">
        <v>149</v>
      </c>
      <c r="B121" s="1" t="s">
        <v>150</v>
      </c>
    </row>
    <row r="122" spans="1:2" ht="14.25" customHeight="1" x14ac:dyDescent="0.3">
      <c r="A122" s="1" t="s">
        <v>151</v>
      </c>
      <c r="B122" s="1" t="s">
        <v>24</v>
      </c>
    </row>
    <row r="123" spans="1:2" ht="14.25" customHeight="1" x14ac:dyDescent="0.3">
      <c r="A123" s="1" t="s">
        <v>152</v>
      </c>
      <c r="B123" s="1" t="s">
        <v>24</v>
      </c>
    </row>
    <row r="124" spans="1:2" ht="14.25" customHeight="1" x14ac:dyDescent="0.3">
      <c r="A124" s="1" t="s">
        <v>153</v>
      </c>
      <c r="B124" s="1" t="s">
        <v>19</v>
      </c>
    </row>
    <row r="125" spans="1:2" ht="14.25" customHeight="1" x14ac:dyDescent="0.3">
      <c r="A125" s="1" t="s">
        <v>154</v>
      </c>
      <c r="B125" s="1" t="s">
        <v>33</v>
      </c>
    </row>
    <row r="126" spans="1:2" ht="14.25" customHeight="1" x14ac:dyDescent="0.3">
      <c r="A126" s="1" t="s">
        <v>155</v>
      </c>
      <c r="B126" s="1" t="s">
        <v>13</v>
      </c>
    </row>
    <row r="127" spans="1:2" ht="14.25" customHeight="1" x14ac:dyDescent="0.3">
      <c r="A127" s="1" t="s">
        <v>156</v>
      </c>
      <c r="B127" s="1" t="s">
        <v>13</v>
      </c>
    </row>
    <row r="128" spans="1:2" ht="14.25" customHeight="1" x14ac:dyDescent="0.3">
      <c r="A128" s="1" t="s">
        <v>157</v>
      </c>
      <c r="B128" s="1" t="s">
        <v>14</v>
      </c>
    </row>
    <row r="129" spans="1:2" ht="14.25" customHeight="1" x14ac:dyDescent="0.3">
      <c r="A129" s="1" t="s">
        <v>158</v>
      </c>
      <c r="B129" s="1" t="s">
        <v>16</v>
      </c>
    </row>
    <row r="130" spans="1:2" ht="14.25" customHeight="1" x14ac:dyDescent="0.3">
      <c r="A130" s="1" t="s">
        <v>159</v>
      </c>
      <c r="B130" s="1" t="s">
        <v>13</v>
      </c>
    </row>
    <row r="131" spans="1:2" ht="14.25" customHeight="1" x14ac:dyDescent="0.3">
      <c r="A131" s="1" t="s">
        <v>160</v>
      </c>
      <c r="B131" s="1" t="s">
        <v>66</v>
      </c>
    </row>
    <row r="132" spans="1:2" ht="14.25" customHeight="1" x14ac:dyDescent="0.3">
      <c r="A132" s="1" t="s">
        <v>161</v>
      </c>
      <c r="B132" s="1" t="s">
        <v>38</v>
      </c>
    </row>
    <row r="133" spans="1:2" ht="14.25" customHeight="1" x14ac:dyDescent="0.3">
      <c r="A133" s="1" t="s">
        <v>162</v>
      </c>
      <c r="B133" s="1" t="s">
        <v>13</v>
      </c>
    </row>
    <row r="134" spans="1:2" ht="14.25" customHeight="1" x14ac:dyDescent="0.3">
      <c r="A134" s="1" t="s">
        <v>163</v>
      </c>
      <c r="B134" s="1" t="s">
        <v>66</v>
      </c>
    </row>
    <row r="135" spans="1:2" ht="14.25" customHeight="1" x14ac:dyDescent="0.3">
      <c r="A135" s="1" t="s">
        <v>164</v>
      </c>
      <c r="B135" s="1" t="s">
        <v>21</v>
      </c>
    </row>
    <row r="136" spans="1:2" ht="14.25" customHeight="1" x14ac:dyDescent="0.3">
      <c r="A136" s="1" t="s">
        <v>165</v>
      </c>
      <c r="B136" s="1" t="s">
        <v>30</v>
      </c>
    </row>
    <row r="137" spans="1:2" ht="14.25" customHeight="1" x14ac:dyDescent="0.3">
      <c r="A137" s="1" t="s">
        <v>166</v>
      </c>
      <c r="B137" s="1" t="s">
        <v>30</v>
      </c>
    </row>
    <row r="138" spans="1:2" ht="14.25" customHeight="1" x14ac:dyDescent="0.3">
      <c r="A138" s="1" t="s">
        <v>167</v>
      </c>
      <c r="B138" s="1" t="s">
        <v>19</v>
      </c>
    </row>
    <row r="139" spans="1:2" ht="14.25" customHeight="1" x14ac:dyDescent="0.3">
      <c r="A139" s="1" t="s">
        <v>168</v>
      </c>
      <c r="B139" s="1" t="s">
        <v>13</v>
      </c>
    </row>
    <row r="140" spans="1:2" ht="14.25" customHeight="1" x14ac:dyDescent="0.3">
      <c r="A140" s="1" t="s">
        <v>169</v>
      </c>
      <c r="B140" s="1" t="s">
        <v>27</v>
      </c>
    </row>
    <row r="141" spans="1:2" ht="14.25" customHeight="1" x14ac:dyDescent="0.3">
      <c r="A141" s="1" t="s">
        <v>170</v>
      </c>
      <c r="B141" s="1" t="s">
        <v>16</v>
      </c>
    </row>
    <row r="142" spans="1:2" ht="14.25" customHeight="1" x14ac:dyDescent="0.3">
      <c r="A142" s="1" t="s">
        <v>171</v>
      </c>
      <c r="B142" s="1" t="s">
        <v>19</v>
      </c>
    </row>
    <row r="143" spans="1:2" ht="14.25" customHeight="1" x14ac:dyDescent="0.3">
      <c r="A143" s="1" t="s">
        <v>172</v>
      </c>
      <c r="B143" s="1" t="s">
        <v>37</v>
      </c>
    </row>
    <row r="144" spans="1:2" ht="14.25" customHeight="1" x14ac:dyDescent="0.3">
      <c r="A144" s="1" t="s">
        <v>173</v>
      </c>
      <c r="B144" s="1" t="s">
        <v>27</v>
      </c>
    </row>
    <row r="145" spans="1:2" ht="14.25" customHeight="1" x14ac:dyDescent="0.3">
      <c r="A145" s="1" t="s">
        <v>174</v>
      </c>
      <c r="B145" s="1" t="s">
        <v>66</v>
      </c>
    </row>
    <row r="146" spans="1:2" ht="14.25" customHeight="1" x14ac:dyDescent="0.3">
      <c r="A146" s="1" t="s">
        <v>175</v>
      </c>
      <c r="B146" s="1" t="s">
        <v>14</v>
      </c>
    </row>
    <row r="147" spans="1:2" ht="14.25" customHeight="1" x14ac:dyDescent="0.3">
      <c r="A147" s="1" t="s">
        <v>176</v>
      </c>
      <c r="B147" s="1" t="s">
        <v>66</v>
      </c>
    </row>
    <row r="148" spans="1:2" ht="14.25" customHeight="1" x14ac:dyDescent="0.3">
      <c r="A148" s="1" t="s">
        <v>177</v>
      </c>
      <c r="B148" s="1" t="s">
        <v>42</v>
      </c>
    </row>
    <row r="149" spans="1:2" ht="14.25" customHeight="1" x14ac:dyDescent="0.3">
      <c r="A149" s="1" t="s">
        <v>178</v>
      </c>
      <c r="B149" s="1" t="s">
        <v>33</v>
      </c>
    </row>
    <row r="150" spans="1:2" ht="14.25" customHeight="1" x14ac:dyDescent="0.3">
      <c r="A150" s="1" t="s">
        <v>179</v>
      </c>
      <c r="B150" s="1" t="s">
        <v>14</v>
      </c>
    </row>
    <row r="151" spans="1:2" ht="14.25" customHeight="1" x14ac:dyDescent="0.3">
      <c r="A151" s="1" t="s">
        <v>180</v>
      </c>
      <c r="B151" s="1" t="s">
        <v>13</v>
      </c>
    </row>
    <row r="152" spans="1:2" ht="14.25" customHeight="1" x14ac:dyDescent="0.3">
      <c r="A152" s="1" t="s">
        <v>181</v>
      </c>
      <c r="B152" s="1" t="s">
        <v>24</v>
      </c>
    </row>
    <row r="153" spans="1:2" ht="14.25" customHeight="1" x14ac:dyDescent="0.3">
      <c r="A153" s="1" t="s">
        <v>182</v>
      </c>
      <c r="B153" s="1" t="s">
        <v>19</v>
      </c>
    </row>
    <row r="154" spans="1:2" ht="14.25" customHeight="1" x14ac:dyDescent="0.3">
      <c r="A154" s="1" t="s">
        <v>183</v>
      </c>
      <c r="B154" s="1" t="s">
        <v>42</v>
      </c>
    </row>
    <row r="155" spans="1:2" ht="14.25" customHeight="1" x14ac:dyDescent="0.3">
      <c r="A155" s="1" t="s">
        <v>184</v>
      </c>
      <c r="B155" s="1" t="s">
        <v>19</v>
      </c>
    </row>
    <row r="156" spans="1:2" ht="14.25" customHeight="1" x14ac:dyDescent="0.3">
      <c r="A156" s="1" t="s">
        <v>185</v>
      </c>
      <c r="B156" s="1" t="s">
        <v>30</v>
      </c>
    </row>
    <row r="157" spans="1:2" ht="14.25" customHeight="1" x14ac:dyDescent="0.3"/>
    <row r="158" spans="1:2" ht="14.25" customHeight="1" x14ac:dyDescent="0.3"/>
    <row r="159" spans="1:2" ht="14.25" customHeight="1" x14ac:dyDescent="0.3"/>
    <row r="160" spans="1:2" ht="14.25" customHeight="1" x14ac:dyDescent="0.3"/>
    <row r="161" ht="13" x14ac:dyDescent="0.3"/>
    <row r="162" ht="13" x14ac:dyDescent="0.3"/>
    <row r="163" ht="13" x14ac:dyDescent="0.3"/>
    <row r="164" ht="13" x14ac:dyDescent="0.3"/>
    <row r="165" ht="13" x14ac:dyDescent="0.3"/>
    <row r="166" ht="13" x14ac:dyDescent="0.3"/>
    <row r="167" ht="13" x14ac:dyDescent="0.3"/>
    <row r="168" ht="13" x14ac:dyDescent="0.3"/>
    <row r="169" ht="13" x14ac:dyDescent="0.3"/>
    <row r="170" ht="13" x14ac:dyDescent="0.3"/>
    <row r="171" ht="13" x14ac:dyDescent="0.3"/>
    <row r="172" ht="13" x14ac:dyDescent="0.3"/>
    <row r="173" ht="13" x14ac:dyDescent="0.3"/>
    <row r="174" ht="13" x14ac:dyDescent="0.3"/>
    <row r="175" ht="13" x14ac:dyDescent="0.3"/>
    <row r="176" ht="13" x14ac:dyDescent="0.3"/>
    <row r="177" ht="13" x14ac:dyDescent="0.3"/>
    <row r="178" ht="13" x14ac:dyDescent="0.3"/>
    <row r="179" ht="13" x14ac:dyDescent="0.3"/>
    <row r="180" ht="13" x14ac:dyDescent="0.3"/>
    <row r="181" ht="13" x14ac:dyDescent="0.3"/>
    <row r="182" ht="13" x14ac:dyDescent="0.3"/>
    <row r="183" ht="13" x14ac:dyDescent="0.3"/>
    <row r="184" ht="13" x14ac:dyDescent="0.3"/>
    <row r="185" ht="13" x14ac:dyDescent="0.3"/>
    <row r="186" ht="13" x14ac:dyDescent="0.3"/>
    <row r="187" ht="13" x14ac:dyDescent="0.3"/>
    <row r="188" ht="13" x14ac:dyDescent="0.3"/>
    <row r="189" ht="13" x14ac:dyDescent="0.3"/>
    <row r="190" ht="13" x14ac:dyDescent="0.3"/>
    <row r="191" ht="13" x14ac:dyDescent="0.3"/>
    <row r="192" ht="13" x14ac:dyDescent="0.3"/>
    <row r="193" ht="13" x14ac:dyDescent="0.3"/>
    <row r="194" ht="13" x14ac:dyDescent="0.3"/>
    <row r="195" ht="13" x14ac:dyDescent="0.3"/>
    <row r="196" ht="13" x14ac:dyDescent="0.3"/>
    <row r="197" ht="13" x14ac:dyDescent="0.3"/>
    <row r="198" ht="13" x14ac:dyDescent="0.3"/>
    <row r="199" ht="13" x14ac:dyDescent="0.3"/>
    <row r="200" ht="13" x14ac:dyDescent="0.3"/>
    <row r="201" ht="13" x14ac:dyDescent="0.3"/>
    <row r="202" ht="13" x14ac:dyDescent="0.3"/>
    <row r="203" ht="13" x14ac:dyDescent="0.3"/>
    <row r="204" ht="13" x14ac:dyDescent="0.3"/>
    <row r="205" ht="13" x14ac:dyDescent="0.3"/>
    <row r="206" ht="13" x14ac:dyDescent="0.3"/>
    <row r="207" ht="13" x14ac:dyDescent="0.3"/>
    <row r="208" ht="13" x14ac:dyDescent="0.3"/>
    <row r="209" ht="13" x14ac:dyDescent="0.3"/>
    <row r="210" ht="13" x14ac:dyDescent="0.3"/>
    <row r="211" ht="13" x14ac:dyDescent="0.3"/>
    <row r="212" ht="13" x14ac:dyDescent="0.3"/>
    <row r="213" ht="13" x14ac:dyDescent="0.3"/>
    <row r="214" ht="13" x14ac:dyDescent="0.3"/>
    <row r="215" ht="13" x14ac:dyDescent="0.3"/>
    <row r="216" ht="13" x14ac:dyDescent="0.3"/>
    <row r="217" ht="13" x14ac:dyDescent="0.3"/>
    <row r="218" ht="13" x14ac:dyDescent="0.3"/>
    <row r="219" ht="13" x14ac:dyDescent="0.3"/>
    <row r="220" ht="13" x14ac:dyDescent="0.3"/>
    <row r="221" ht="13" x14ac:dyDescent="0.3"/>
    <row r="222" ht="13" x14ac:dyDescent="0.3"/>
    <row r="223" ht="13" x14ac:dyDescent="0.3"/>
    <row r="224" ht="13" x14ac:dyDescent="0.3"/>
    <row r="225" ht="13" x14ac:dyDescent="0.3"/>
    <row r="226" ht="13" x14ac:dyDescent="0.3"/>
    <row r="227" ht="13" x14ac:dyDescent="0.3"/>
    <row r="228" ht="13" x14ac:dyDescent="0.3"/>
    <row r="229" ht="13" x14ac:dyDescent="0.3"/>
    <row r="230" ht="13" x14ac:dyDescent="0.3"/>
    <row r="231" ht="13" x14ac:dyDescent="0.3"/>
    <row r="232" ht="13" x14ac:dyDescent="0.3"/>
    <row r="233" ht="13" x14ac:dyDescent="0.3"/>
    <row r="234" ht="13" x14ac:dyDescent="0.3"/>
    <row r="235" ht="13" x14ac:dyDescent="0.3"/>
    <row r="236" ht="13" x14ac:dyDescent="0.3"/>
    <row r="237" ht="13" x14ac:dyDescent="0.3"/>
    <row r="238" ht="13" x14ac:dyDescent="0.3"/>
    <row r="239" ht="13" x14ac:dyDescent="0.3"/>
    <row r="240" ht="13" x14ac:dyDescent="0.3"/>
    <row r="241" ht="13" x14ac:dyDescent="0.3"/>
    <row r="242" ht="13" x14ac:dyDescent="0.3"/>
    <row r="243" ht="13" x14ac:dyDescent="0.3"/>
    <row r="244" ht="13" x14ac:dyDescent="0.3"/>
    <row r="245" ht="13" x14ac:dyDescent="0.3"/>
    <row r="246" ht="13" x14ac:dyDescent="0.3"/>
    <row r="247" ht="13" x14ac:dyDescent="0.3"/>
    <row r="248" ht="13" x14ac:dyDescent="0.3"/>
    <row r="249" ht="13" x14ac:dyDescent="0.3"/>
    <row r="250" ht="13" x14ac:dyDescent="0.3"/>
    <row r="251" ht="13" x14ac:dyDescent="0.3"/>
    <row r="252" ht="13" x14ac:dyDescent="0.3"/>
    <row r="253" ht="13" x14ac:dyDescent="0.3"/>
    <row r="254" ht="13" x14ac:dyDescent="0.3"/>
    <row r="255" ht="13" x14ac:dyDescent="0.3"/>
    <row r="256" ht="13" x14ac:dyDescent="0.3"/>
    <row r="257" ht="13" x14ac:dyDescent="0.3"/>
    <row r="258" ht="13" x14ac:dyDescent="0.3"/>
    <row r="259" ht="13" x14ac:dyDescent="0.3"/>
    <row r="260" ht="13" x14ac:dyDescent="0.3"/>
    <row r="261" ht="13" x14ac:dyDescent="0.3"/>
    <row r="262" ht="13" x14ac:dyDescent="0.3"/>
    <row r="263" ht="13" x14ac:dyDescent="0.3"/>
    <row r="264" ht="13" x14ac:dyDescent="0.3"/>
    <row r="265" ht="13" x14ac:dyDescent="0.3"/>
    <row r="266" ht="13" x14ac:dyDescent="0.3"/>
    <row r="267" ht="13" x14ac:dyDescent="0.3"/>
    <row r="268" ht="13" x14ac:dyDescent="0.3"/>
    <row r="269" ht="13" x14ac:dyDescent="0.3"/>
    <row r="270" ht="13" x14ac:dyDescent="0.3"/>
    <row r="271" ht="13" x14ac:dyDescent="0.3"/>
    <row r="272" ht="13" x14ac:dyDescent="0.3"/>
    <row r="273" ht="13" x14ac:dyDescent="0.3"/>
    <row r="274" ht="13" x14ac:dyDescent="0.3"/>
    <row r="275" ht="13" x14ac:dyDescent="0.3"/>
    <row r="276" ht="13" x14ac:dyDescent="0.3"/>
    <row r="277" ht="13" x14ac:dyDescent="0.3"/>
    <row r="278" ht="13" x14ac:dyDescent="0.3"/>
    <row r="279" ht="13" x14ac:dyDescent="0.3"/>
    <row r="280" ht="13" x14ac:dyDescent="0.3"/>
    <row r="281" ht="13" x14ac:dyDescent="0.3"/>
    <row r="282" ht="13" x14ac:dyDescent="0.3"/>
    <row r="283" ht="13" x14ac:dyDescent="0.3"/>
    <row r="284" ht="13" x14ac:dyDescent="0.3"/>
    <row r="285" ht="13" x14ac:dyDescent="0.3"/>
    <row r="286" ht="13" x14ac:dyDescent="0.3"/>
    <row r="287" ht="13" x14ac:dyDescent="0.3"/>
    <row r="288" ht="13" x14ac:dyDescent="0.3"/>
    <row r="289" ht="13" x14ac:dyDescent="0.3"/>
    <row r="290" ht="13" x14ac:dyDescent="0.3"/>
    <row r="291" ht="13" x14ac:dyDescent="0.3"/>
    <row r="292" ht="13" x14ac:dyDescent="0.3"/>
    <row r="293" ht="13" x14ac:dyDescent="0.3"/>
    <row r="294" ht="13" x14ac:dyDescent="0.3"/>
    <row r="295" ht="13" x14ac:dyDescent="0.3"/>
    <row r="296" ht="13" x14ac:dyDescent="0.3"/>
    <row r="297" ht="13" x14ac:dyDescent="0.3"/>
    <row r="298" ht="13" x14ac:dyDescent="0.3"/>
    <row r="299" ht="13" x14ac:dyDescent="0.3"/>
    <row r="300" ht="13" x14ac:dyDescent="0.3"/>
    <row r="301" ht="13" x14ac:dyDescent="0.3"/>
    <row r="302" ht="13" x14ac:dyDescent="0.3"/>
    <row r="303" ht="13" x14ac:dyDescent="0.3"/>
    <row r="304" ht="13" x14ac:dyDescent="0.3"/>
    <row r="305" ht="13" x14ac:dyDescent="0.3"/>
    <row r="306" ht="13" x14ac:dyDescent="0.3"/>
    <row r="307" ht="13" x14ac:dyDescent="0.3"/>
    <row r="308" ht="13" x14ac:dyDescent="0.3"/>
    <row r="309" ht="13" x14ac:dyDescent="0.3"/>
    <row r="310" ht="13" x14ac:dyDescent="0.3"/>
    <row r="311" ht="13" x14ac:dyDescent="0.3"/>
    <row r="312" ht="13" x14ac:dyDescent="0.3"/>
    <row r="313" ht="13" x14ac:dyDescent="0.3"/>
    <row r="314" ht="13" x14ac:dyDescent="0.3"/>
    <row r="315" ht="13" x14ac:dyDescent="0.3"/>
    <row r="316" ht="13" x14ac:dyDescent="0.3"/>
    <row r="317" ht="13" x14ac:dyDescent="0.3"/>
    <row r="318" ht="13" x14ac:dyDescent="0.3"/>
    <row r="319" ht="13" x14ac:dyDescent="0.3"/>
    <row r="320" ht="13" x14ac:dyDescent="0.3"/>
    <row r="321" ht="13" x14ac:dyDescent="0.3"/>
    <row r="322" ht="13" x14ac:dyDescent="0.3"/>
    <row r="323" ht="13" x14ac:dyDescent="0.3"/>
    <row r="324" ht="13" x14ac:dyDescent="0.3"/>
    <row r="325" ht="13" x14ac:dyDescent="0.3"/>
    <row r="326" ht="13" x14ac:dyDescent="0.3"/>
    <row r="327" ht="13" x14ac:dyDescent="0.3"/>
    <row r="328" ht="13" x14ac:dyDescent="0.3"/>
    <row r="329" ht="13" x14ac:dyDescent="0.3"/>
    <row r="330" ht="13" x14ac:dyDescent="0.3"/>
    <row r="331" ht="13" x14ac:dyDescent="0.3"/>
    <row r="332" ht="13" x14ac:dyDescent="0.3"/>
    <row r="333" ht="13" x14ac:dyDescent="0.3"/>
    <row r="334" ht="13" x14ac:dyDescent="0.3"/>
    <row r="335" ht="13" x14ac:dyDescent="0.3"/>
    <row r="336" ht="13" x14ac:dyDescent="0.3"/>
    <row r="337" ht="13" x14ac:dyDescent="0.3"/>
    <row r="338" ht="13" x14ac:dyDescent="0.3"/>
    <row r="339" ht="13" x14ac:dyDescent="0.3"/>
    <row r="340" ht="13" x14ac:dyDescent="0.3"/>
    <row r="341" ht="13" x14ac:dyDescent="0.3"/>
    <row r="342" ht="13" x14ac:dyDescent="0.3"/>
    <row r="343" ht="13" x14ac:dyDescent="0.3"/>
    <row r="344" ht="13" x14ac:dyDescent="0.3"/>
    <row r="345" ht="13" x14ac:dyDescent="0.3"/>
    <row r="346" ht="13" x14ac:dyDescent="0.3"/>
    <row r="347" ht="13" x14ac:dyDescent="0.3"/>
    <row r="348" ht="13" x14ac:dyDescent="0.3"/>
    <row r="349" ht="13" x14ac:dyDescent="0.3"/>
    <row r="350" ht="13" x14ac:dyDescent="0.3"/>
    <row r="351" ht="13" x14ac:dyDescent="0.3"/>
    <row r="352" ht="13" x14ac:dyDescent="0.3"/>
    <row r="353" ht="13" x14ac:dyDescent="0.3"/>
    <row r="354" ht="13" x14ac:dyDescent="0.3"/>
    <row r="355" ht="13" x14ac:dyDescent="0.3"/>
    <row r="356" ht="13" x14ac:dyDescent="0.3"/>
    <row r="357" ht="13" x14ac:dyDescent="0.3"/>
    <row r="358" ht="13" x14ac:dyDescent="0.3"/>
    <row r="359" ht="13" x14ac:dyDescent="0.3"/>
    <row r="360" ht="13" x14ac:dyDescent="0.3"/>
    <row r="361" ht="13" x14ac:dyDescent="0.3"/>
    <row r="362" ht="13" x14ac:dyDescent="0.3"/>
    <row r="363" ht="13" x14ac:dyDescent="0.3"/>
    <row r="364" ht="13" x14ac:dyDescent="0.3"/>
    <row r="365" ht="13" x14ac:dyDescent="0.3"/>
    <row r="366" ht="13" x14ac:dyDescent="0.3"/>
    <row r="367" ht="13" x14ac:dyDescent="0.3"/>
    <row r="368" ht="13" x14ac:dyDescent="0.3"/>
    <row r="369" ht="13" x14ac:dyDescent="0.3"/>
    <row r="370" ht="13" x14ac:dyDescent="0.3"/>
    <row r="371" ht="13" x14ac:dyDescent="0.3"/>
    <row r="372" ht="13" x14ac:dyDescent="0.3"/>
    <row r="373" ht="13" x14ac:dyDescent="0.3"/>
    <row r="374" ht="13" x14ac:dyDescent="0.3"/>
    <row r="375" ht="13" x14ac:dyDescent="0.3"/>
    <row r="376" ht="13" x14ac:dyDescent="0.3"/>
    <row r="377" ht="13" x14ac:dyDescent="0.3"/>
    <row r="378" ht="13" x14ac:dyDescent="0.3"/>
    <row r="379" ht="13" x14ac:dyDescent="0.3"/>
    <row r="380" ht="13" x14ac:dyDescent="0.3"/>
    <row r="381" ht="13" x14ac:dyDescent="0.3"/>
    <row r="382" ht="13" x14ac:dyDescent="0.3"/>
    <row r="383" ht="13" x14ac:dyDescent="0.3"/>
    <row r="384" ht="13" x14ac:dyDescent="0.3"/>
    <row r="385" ht="13" x14ac:dyDescent="0.3"/>
    <row r="386" ht="13" x14ac:dyDescent="0.3"/>
    <row r="387" ht="13" x14ac:dyDescent="0.3"/>
    <row r="388" ht="13" x14ac:dyDescent="0.3"/>
    <row r="389" ht="13" x14ac:dyDescent="0.3"/>
    <row r="390" ht="13" x14ac:dyDescent="0.3"/>
    <row r="391" ht="13" x14ac:dyDescent="0.3"/>
    <row r="392" ht="13" x14ac:dyDescent="0.3"/>
    <row r="393" ht="13" x14ac:dyDescent="0.3"/>
    <row r="394" ht="13" x14ac:dyDescent="0.3"/>
    <row r="395" ht="13" x14ac:dyDescent="0.3"/>
    <row r="396" ht="13" x14ac:dyDescent="0.3"/>
    <row r="397" ht="13" x14ac:dyDescent="0.3"/>
    <row r="398" ht="13" x14ac:dyDescent="0.3"/>
    <row r="399" ht="13" x14ac:dyDescent="0.3"/>
    <row r="400" ht="13" x14ac:dyDescent="0.3"/>
    <row r="401" ht="13" x14ac:dyDescent="0.3"/>
    <row r="402" ht="13" x14ac:dyDescent="0.3"/>
    <row r="403" ht="13" x14ac:dyDescent="0.3"/>
    <row r="404" ht="13" x14ac:dyDescent="0.3"/>
    <row r="405" ht="13" x14ac:dyDescent="0.3"/>
    <row r="406" ht="13" x14ac:dyDescent="0.3"/>
    <row r="407" ht="13" x14ac:dyDescent="0.3"/>
    <row r="408" ht="13" x14ac:dyDescent="0.3"/>
    <row r="409" ht="13" x14ac:dyDescent="0.3"/>
    <row r="410" ht="13" x14ac:dyDescent="0.3"/>
    <row r="411" ht="13" x14ac:dyDescent="0.3"/>
    <row r="412" ht="13" x14ac:dyDescent="0.3"/>
    <row r="413" ht="13" x14ac:dyDescent="0.3"/>
    <row r="414" ht="13" x14ac:dyDescent="0.3"/>
    <row r="415" ht="13" x14ac:dyDescent="0.3"/>
    <row r="416" ht="13" x14ac:dyDescent="0.3"/>
    <row r="417" ht="13" x14ac:dyDescent="0.3"/>
    <row r="418" ht="13" x14ac:dyDescent="0.3"/>
    <row r="419" ht="13" x14ac:dyDescent="0.3"/>
    <row r="420" ht="13" x14ac:dyDescent="0.3"/>
    <row r="421" ht="13" x14ac:dyDescent="0.3"/>
    <row r="422" ht="13" x14ac:dyDescent="0.3"/>
    <row r="423" ht="13" x14ac:dyDescent="0.3"/>
    <row r="424" ht="13" x14ac:dyDescent="0.3"/>
    <row r="425" ht="13" x14ac:dyDescent="0.3"/>
    <row r="426" ht="13" x14ac:dyDescent="0.3"/>
    <row r="427" ht="13" x14ac:dyDescent="0.3"/>
    <row r="428" ht="13" x14ac:dyDescent="0.3"/>
    <row r="429" ht="13" x14ac:dyDescent="0.3"/>
    <row r="430" ht="13" x14ac:dyDescent="0.3"/>
    <row r="431" ht="13" x14ac:dyDescent="0.3"/>
    <row r="432" ht="13" x14ac:dyDescent="0.3"/>
    <row r="433" ht="13" x14ac:dyDescent="0.3"/>
    <row r="434" ht="13" x14ac:dyDescent="0.3"/>
    <row r="435" ht="13" x14ac:dyDescent="0.3"/>
    <row r="436" ht="13" x14ac:dyDescent="0.3"/>
    <row r="437" ht="13" x14ac:dyDescent="0.3"/>
    <row r="438" ht="13" x14ac:dyDescent="0.3"/>
    <row r="439" ht="13" x14ac:dyDescent="0.3"/>
    <row r="440" ht="13" x14ac:dyDescent="0.3"/>
    <row r="441" ht="13" x14ac:dyDescent="0.3"/>
    <row r="442" ht="13" x14ac:dyDescent="0.3"/>
    <row r="443" ht="13" x14ac:dyDescent="0.3"/>
    <row r="444" ht="13" x14ac:dyDescent="0.3"/>
    <row r="445" ht="13" x14ac:dyDescent="0.3"/>
    <row r="446" ht="13" x14ac:dyDescent="0.3"/>
    <row r="447" ht="13" x14ac:dyDescent="0.3"/>
    <row r="448" ht="13" x14ac:dyDescent="0.3"/>
    <row r="449" ht="13" x14ac:dyDescent="0.3"/>
    <row r="450" ht="13" x14ac:dyDescent="0.3"/>
    <row r="451" ht="13" x14ac:dyDescent="0.3"/>
    <row r="452" ht="13" x14ac:dyDescent="0.3"/>
    <row r="453" ht="13" x14ac:dyDescent="0.3"/>
    <row r="454" ht="13" x14ac:dyDescent="0.3"/>
    <row r="455" ht="13" x14ac:dyDescent="0.3"/>
    <row r="456" ht="13" x14ac:dyDescent="0.3"/>
    <row r="457" ht="13" x14ac:dyDescent="0.3"/>
    <row r="458" ht="13" x14ac:dyDescent="0.3"/>
    <row r="459" ht="13" x14ac:dyDescent="0.3"/>
    <row r="460" ht="13" x14ac:dyDescent="0.3"/>
    <row r="461" ht="13" x14ac:dyDescent="0.3"/>
    <row r="462" ht="13" x14ac:dyDescent="0.3"/>
    <row r="463" ht="13" x14ac:dyDescent="0.3"/>
    <row r="464" ht="13" x14ac:dyDescent="0.3"/>
    <row r="465" ht="13" x14ac:dyDescent="0.3"/>
    <row r="466" ht="13" x14ac:dyDescent="0.3"/>
    <row r="467" ht="13" x14ac:dyDescent="0.3"/>
    <row r="468" ht="13" x14ac:dyDescent="0.3"/>
    <row r="469" ht="13" x14ac:dyDescent="0.3"/>
    <row r="470" ht="13" x14ac:dyDescent="0.3"/>
    <row r="471" ht="13" x14ac:dyDescent="0.3"/>
    <row r="472" ht="13" x14ac:dyDescent="0.3"/>
    <row r="473" ht="13" x14ac:dyDescent="0.3"/>
    <row r="474" ht="13" x14ac:dyDescent="0.3"/>
    <row r="475" ht="13" x14ac:dyDescent="0.3"/>
    <row r="476" ht="13" x14ac:dyDescent="0.3"/>
    <row r="477" ht="13" x14ac:dyDescent="0.3"/>
    <row r="478" ht="13" x14ac:dyDescent="0.3"/>
    <row r="479" ht="13" x14ac:dyDescent="0.3"/>
    <row r="480" ht="13" x14ac:dyDescent="0.3"/>
    <row r="481" ht="13" x14ac:dyDescent="0.3"/>
    <row r="482" ht="13" x14ac:dyDescent="0.3"/>
    <row r="483" ht="13" x14ac:dyDescent="0.3"/>
    <row r="484" ht="13" x14ac:dyDescent="0.3"/>
    <row r="485" ht="13" x14ac:dyDescent="0.3"/>
    <row r="486" ht="13" x14ac:dyDescent="0.3"/>
    <row r="487" ht="13" x14ac:dyDescent="0.3"/>
    <row r="488" ht="13" x14ac:dyDescent="0.3"/>
    <row r="489" ht="13" x14ac:dyDescent="0.3"/>
    <row r="490" ht="13" x14ac:dyDescent="0.3"/>
    <row r="491" ht="13" x14ac:dyDescent="0.3"/>
    <row r="492" ht="13" x14ac:dyDescent="0.3"/>
    <row r="493" ht="13" x14ac:dyDescent="0.3"/>
    <row r="494" ht="13" x14ac:dyDescent="0.3"/>
    <row r="495" ht="13" x14ac:dyDescent="0.3"/>
    <row r="496" ht="13" x14ac:dyDescent="0.3"/>
    <row r="497" ht="13" x14ac:dyDescent="0.3"/>
    <row r="498" ht="13" x14ac:dyDescent="0.3"/>
    <row r="499" ht="13" x14ac:dyDescent="0.3"/>
    <row r="500" ht="13" x14ac:dyDescent="0.3"/>
    <row r="501" ht="13" x14ac:dyDescent="0.3"/>
    <row r="502" ht="13" x14ac:dyDescent="0.3"/>
    <row r="503" ht="13" x14ac:dyDescent="0.3"/>
    <row r="504" ht="13" x14ac:dyDescent="0.3"/>
    <row r="505" ht="13" x14ac:dyDescent="0.3"/>
    <row r="506" ht="13" x14ac:dyDescent="0.3"/>
    <row r="507" ht="13" x14ac:dyDescent="0.3"/>
    <row r="508" ht="13" x14ac:dyDescent="0.3"/>
    <row r="509" ht="13" x14ac:dyDescent="0.3"/>
    <row r="510" ht="13" x14ac:dyDescent="0.3"/>
    <row r="511" ht="13" x14ac:dyDescent="0.3"/>
    <row r="512" ht="13" x14ac:dyDescent="0.3"/>
    <row r="513" ht="13" x14ac:dyDescent="0.3"/>
    <row r="514" ht="13" x14ac:dyDescent="0.3"/>
    <row r="515" ht="13" x14ac:dyDescent="0.3"/>
    <row r="516" ht="13" x14ac:dyDescent="0.3"/>
    <row r="517" ht="13" x14ac:dyDescent="0.3"/>
    <row r="518" ht="13" x14ac:dyDescent="0.3"/>
    <row r="519" ht="13" x14ac:dyDescent="0.3"/>
    <row r="520" ht="13" x14ac:dyDescent="0.3"/>
    <row r="521" ht="13" x14ac:dyDescent="0.3"/>
    <row r="522" ht="13" x14ac:dyDescent="0.3"/>
    <row r="523" ht="13" x14ac:dyDescent="0.3"/>
    <row r="524" ht="13" x14ac:dyDescent="0.3"/>
    <row r="525" ht="13" x14ac:dyDescent="0.3"/>
    <row r="526" ht="13" x14ac:dyDescent="0.3"/>
    <row r="527" ht="13" x14ac:dyDescent="0.3"/>
    <row r="528" ht="13" x14ac:dyDescent="0.3"/>
    <row r="529" ht="13" x14ac:dyDescent="0.3"/>
    <row r="530" ht="13" x14ac:dyDescent="0.3"/>
    <row r="531" ht="13" x14ac:dyDescent="0.3"/>
    <row r="532" ht="13" x14ac:dyDescent="0.3"/>
    <row r="533" ht="13" x14ac:dyDescent="0.3"/>
    <row r="534" ht="13" x14ac:dyDescent="0.3"/>
    <row r="535" ht="13" x14ac:dyDescent="0.3"/>
    <row r="536" ht="13" x14ac:dyDescent="0.3"/>
    <row r="537" ht="13" x14ac:dyDescent="0.3"/>
    <row r="538" ht="13" x14ac:dyDescent="0.3"/>
    <row r="539" ht="13" x14ac:dyDescent="0.3"/>
    <row r="540" ht="13" x14ac:dyDescent="0.3"/>
    <row r="541" ht="13" x14ac:dyDescent="0.3"/>
    <row r="542" ht="13" x14ac:dyDescent="0.3"/>
    <row r="543" ht="13" x14ac:dyDescent="0.3"/>
    <row r="544" ht="13" x14ac:dyDescent="0.3"/>
    <row r="545" ht="13" x14ac:dyDescent="0.3"/>
    <row r="546" ht="13" x14ac:dyDescent="0.3"/>
    <row r="547" ht="13" x14ac:dyDescent="0.3"/>
    <row r="548" ht="13" x14ac:dyDescent="0.3"/>
    <row r="549" ht="13" x14ac:dyDescent="0.3"/>
    <row r="550" ht="13" x14ac:dyDescent="0.3"/>
    <row r="551" ht="13" x14ac:dyDescent="0.3"/>
    <row r="552" ht="13" x14ac:dyDescent="0.3"/>
    <row r="553" ht="13" x14ac:dyDescent="0.3"/>
    <row r="554" ht="13" x14ac:dyDescent="0.3"/>
    <row r="555" ht="13" x14ac:dyDescent="0.3"/>
    <row r="556" ht="13" x14ac:dyDescent="0.3"/>
    <row r="557" ht="13" x14ac:dyDescent="0.3"/>
    <row r="558" ht="13" x14ac:dyDescent="0.3"/>
    <row r="559" ht="13" x14ac:dyDescent="0.3"/>
    <row r="560" ht="13" x14ac:dyDescent="0.3"/>
    <row r="561" ht="13" x14ac:dyDescent="0.3"/>
    <row r="562" ht="13" x14ac:dyDescent="0.3"/>
    <row r="563" ht="13" x14ac:dyDescent="0.3"/>
    <row r="564" ht="13" x14ac:dyDescent="0.3"/>
    <row r="565" ht="13" x14ac:dyDescent="0.3"/>
    <row r="566" ht="13" x14ac:dyDescent="0.3"/>
    <row r="567" ht="13" x14ac:dyDescent="0.3"/>
    <row r="568" ht="13" x14ac:dyDescent="0.3"/>
    <row r="569" ht="13" x14ac:dyDescent="0.3"/>
    <row r="570" ht="13" x14ac:dyDescent="0.3"/>
    <row r="571" ht="13" x14ac:dyDescent="0.3"/>
    <row r="572" ht="13" x14ac:dyDescent="0.3"/>
    <row r="573" ht="13" x14ac:dyDescent="0.3"/>
    <row r="574" ht="13" x14ac:dyDescent="0.3"/>
    <row r="575" ht="13" x14ac:dyDescent="0.3"/>
    <row r="576" ht="13" x14ac:dyDescent="0.3"/>
    <row r="577" ht="13" x14ac:dyDescent="0.3"/>
    <row r="578" ht="13" x14ac:dyDescent="0.3"/>
    <row r="579" ht="13" x14ac:dyDescent="0.3"/>
    <row r="580" ht="13" x14ac:dyDescent="0.3"/>
    <row r="581" ht="13" x14ac:dyDescent="0.3"/>
    <row r="582" ht="13" x14ac:dyDescent="0.3"/>
    <row r="583" ht="13" x14ac:dyDescent="0.3"/>
    <row r="584" ht="13" x14ac:dyDescent="0.3"/>
    <row r="585" ht="13" x14ac:dyDescent="0.3"/>
    <row r="586" ht="13" x14ac:dyDescent="0.3"/>
    <row r="587" ht="13" x14ac:dyDescent="0.3"/>
    <row r="588" ht="13" x14ac:dyDescent="0.3"/>
    <row r="589" ht="13" x14ac:dyDescent="0.3"/>
    <row r="590" ht="13" x14ac:dyDescent="0.3"/>
    <row r="591" ht="13" x14ac:dyDescent="0.3"/>
    <row r="592" ht="13" x14ac:dyDescent="0.3"/>
    <row r="593" ht="13" x14ac:dyDescent="0.3"/>
    <row r="594" ht="13" x14ac:dyDescent="0.3"/>
    <row r="595" ht="13" x14ac:dyDescent="0.3"/>
    <row r="596" ht="13" x14ac:dyDescent="0.3"/>
    <row r="597" ht="13" x14ac:dyDescent="0.3"/>
    <row r="598" ht="13" x14ac:dyDescent="0.3"/>
    <row r="599" ht="13" x14ac:dyDescent="0.3"/>
    <row r="600" ht="13" x14ac:dyDescent="0.3"/>
    <row r="601" ht="13" x14ac:dyDescent="0.3"/>
    <row r="602" ht="13" x14ac:dyDescent="0.3"/>
    <row r="603" ht="13" x14ac:dyDescent="0.3"/>
    <row r="604" ht="13" x14ac:dyDescent="0.3"/>
    <row r="605" ht="13" x14ac:dyDescent="0.3"/>
    <row r="606" ht="13" x14ac:dyDescent="0.3"/>
    <row r="607" ht="13" x14ac:dyDescent="0.3"/>
    <row r="608" ht="13" x14ac:dyDescent="0.3"/>
    <row r="609" ht="13" x14ac:dyDescent="0.3"/>
    <row r="610" ht="13" x14ac:dyDescent="0.3"/>
    <row r="611" ht="13" x14ac:dyDescent="0.3"/>
    <row r="612" ht="13" x14ac:dyDescent="0.3"/>
    <row r="613" ht="13" x14ac:dyDescent="0.3"/>
    <row r="614" ht="13" x14ac:dyDescent="0.3"/>
    <row r="615" ht="13" x14ac:dyDescent="0.3"/>
    <row r="616" ht="13" x14ac:dyDescent="0.3"/>
    <row r="617" ht="13" x14ac:dyDescent="0.3"/>
    <row r="618" ht="13" x14ac:dyDescent="0.3"/>
    <row r="619" ht="13" x14ac:dyDescent="0.3"/>
    <row r="620" ht="13" x14ac:dyDescent="0.3"/>
    <row r="621" ht="13" x14ac:dyDescent="0.3"/>
    <row r="622" ht="13" x14ac:dyDescent="0.3"/>
    <row r="623" ht="13" x14ac:dyDescent="0.3"/>
    <row r="624" ht="13" x14ac:dyDescent="0.3"/>
    <row r="625" ht="13" x14ac:dyDescent="0.3"/>
    <row r="626" ht="13" x14ac:dyDescent="0.3"/>
    <row r="627" ht="13" x14ac:dyDescent="0.3"/>
    <row r="628" ht="13" x14ac:dyDescent="0.3"/>
    <row r="629" ht="13" x14ac:dyDescent="0.3"/>
    <row r="630" ht="13" x14ac:dyDescent="0.3"/>
    <row r="631" ht="13" x14ac:dyDescent="0.3"/>
    <row r="632" ht="13" x14ac:dyDescent="0.3"/>
    <row r="633" ht="13" x14ac:dyDescent="0.3"/>
    <row r="634" ht="13" x14ac:dyDescent="0.3"/>
    <row r="635" ht="13" x14ac:dyDescent="0.3"/>
    <row r="636" ht="13" x14ac:dyDescent="0.3"/>
    <row r="637" ht="13" x14ac:dyDescent="0.3"/>
    <row r="638" ht="13" x14ac:dyDescent="0.3"/>
    <row r="639" ht="13" x14ac:dyDescent="0.3"/>
    <row r="640" ht="13" x14ac:dyDescent="0.3"/>
    <row r="641" ht="13" x14ac:dyDescent="0.3"/>
    <row r="642" ht="13" x14ac:dyDescent="0.3"/>
    <row r="643" ht="13" x14ac:dyDescent="0.3"/>
    <row r="644" ht="13" x14ac:dyDescent="0.3"/>
    <row r="645" ht="13" x14ac:dyDescent="0.3"/>
    <row r="646" ht="13" x14ac:dyDescent="0.3"/>
    <row r="647" ht="13" x14ac:dyDescent="0.3"/>
    <row r="648" ht="13" x14ac:dyDescent="0.3"/>
    <row r="649" ht="13" x14ac:dyDescent="0.3"/>
    <row r="650" ht="13" x14ac:dyDescent="0.3"/>
    <row r="651" ht="13" x14ac:dyDescent="0.3"/>
    <row r="652" ht="13" x14ac:dyDescent="0.3"/>
    <row r="653" ht="13" x14ac:dyDescent="0.3"/>
    <row r="654" ht="13" x14ac:dyDescent="0.3"/>
    <row r="655" ht="13" x14ac:dyDescent="0.3"/>
    <row r="656" ht="13" x14ac:dyDescent="0.3"/>
    <row r="657" ht="13" x14ac:dyDescent="0.3"/>
    <row r="658" ht="13" x14ac:dyDescent="0.3"/>
    <row r="659" ht="13" x14ac:dyDescent="0.3"/>
    <row r="660" ht="13" x14ac:dyDescent="0.3"/>
    <row r="661" ht="13" x14ac:dyDescent="0.3"/>
    <row r="662" ht="13" x14ac:dyDescent="0.3"/>
    <row r="663" ht="13" x14ac:dyDescent="0.3"/>
    <row r="664" ht="13" x14ac:dyDescent="0.3"/>
    <row r="665" ht="13" x14ac:dyDescent="0.3"/>
    <row r="666" ht="13" x14ac:dyDescent="0.3"/>
    <row r="667" ht="13" x14ac:dyDescent="0.3"/>
    <row r="668" ht="13" x14ac:dyDescent="0.3"/>
    <row r="669" ht="13" x14ac:dyDescent="0.3"/>
    <row r="670" ht="13" x14ac:dyDescent="0.3"/>
    <row r="671" ht="13" x14ac:dyDescent="0.3"/>
    <row r="672" ht="13" x14ac:dyDescent="0.3"/>
    <row r="673" ht="13" x14ac:dyDescent="0.3"/>
    <row r="674" ht="13" x14ac:dyDescent="0.3"/>
    <row r="675" ht="13" x14ac:dyDescent="0.3"/>
    <row r="676" ht="13" x14ac:dyDescent="0.3"/>
    <row r="677" ht="13" x14ac:dyDescent="0.3"/>
    <row r="678" ht="13" x14ac:dyDescent="0.3"/>
    <row r="679" ht="13" x14ac:dyDescent="0.3"/>
    <row r="680" ht="13" x14ac:dyDescent="0.3"/>
    <row r="681" ht="13" x14ac:dyDescent="0.3"/>
    <row r="682" ht="13" x14ac:dyDescent="0.3"/>
    <row r="683" ht="13" x14ac:dyDescent="0.3"/>
    <row r="684" ht="13" x14ac:dyDescent="0.3"/>
    <row r="685" ht="13" x14ac:dyDescent="0.3"/>
    <row r="686" ht="13" x14ac:dyDescent="0.3"/>
    <row r="687" ht="13" x14ac:dyDescent="0.3"/>
    <row r="688" ht="13" x14ac:dyDescent="0.3"/>
    <row r="689" ht="13" x14ac:dyDescent="0.3"/>
    <row r="690" ht="13" x14ac:dyDescent="0.3"/>
    <row r="691" ht="13" x14ac:dyDescent="0.3"/>
    <row r="692" ht="13" x14ac:dyDescent="0.3"/>
    <row r="693" ht="13" x14ac:dyDescent="0.3"/>
    <row r="694" ht="13" x14ac:dyDescent="0.3"/>
    <row r="695" ht="13" x14ac:dyDescent="0.3"/>
    <row r="696" ht="13" x14ac:dyDescent="0.3"/>
    <row r="697" ht="13" x14ac:dyDescent="0.3"/>
    <row r="698" ht="13" x14ac:dyDescent="0.3"/>
    <row r="699" ht="13" x14ac:dyDescent="0.3"/>
    <row r="700" ht="13" x14ac:dyDescent="0.3"/>
    <row r="701" ht="13" x14ac:dyDescent="0.3"/>
    <row r="702" ht="13" x14ac:dyDescent="0.3"/>
    <row r="703" ht="13" x14ac:dyDescent="0.3"/>
    <row r="704" ht="13" x14ac:dyDescent="0.3"/>
    <row r="705" ht="13" x14ac:dyDescent="0.3"/>
    <row r="706" ht="13" x14ac:dyDescent="0.3"/>
    <row r="707" ht="13" x14ac:dyDescent="0.3"/>
    <row r="708" ht="13" x14ac:dyDescent="0.3"/>
    <row r="709" ht="13" x14ac:dyDescent="0.3"/>
    <row r="710" ht="13" x14ac:dyDescent="0.3"/>
    <row r="711" ht="13" x14ac:dyDescent="0.3"/>
    <row r="712" ht="13" x14ac:dyDescent="0.3"/>
    <row r="713" ht="13" x14ac:dyDescent="0.3"/>
    <row r="714" ht="13" x14ac:dyDescent="0.3"/>
    <row r="715" ht="13" x14ac:dyDescent="0.3"/>
    <row r="716" ht="13" x14ac:dyDescent="0.3"/>
    <row r="717" ht="13" x14ac:dyDescent="0.3"/>
    <row r="718" ht="13" x14ac:dyDescent="0.3"/>
    <row r="719" ht="13" x14ac:dyDescent="0.3"/>
    <row r="720" ht="13" x14ac:dyDescent="0.3"/>
    <row r="721" ht="13" x14ac:dyDescent="0.3"/>
    <row r="722" ht="13" x14ac:dyDescent="0.3"/>
    <row r="723" ht="13" x14ac:dyDescent="0.3"/>
    <row r="724" ht="13" x14ac:dyDescent="0.3"/>
    <row r="725" ht="13" x14ac:dyDescent="0.3"/>
    <row r="726" ht="13" x14ac:dyDescent="0.3"/>
    <row r="727" ht="13" x14ac:dyDescent="0.3"/>
    <row r="728" ht="13" x14ac:dyDescent="0.3"/>
    <row r="729" ht="13" x14ac:dyDescent="0.3"/>
    <row r="730" ht="13" x14ac:dyDescent="0.3"/>
    <row r="731" ht="13" x14ac:dyDescent="0.3"/>
    <row r="732" ht="13" x14ac:dyDescent="0.3"/>
    <row r="733" ht="13" x14ac:dyDescent="0.3"/>
    <row r="734" ht="13" x14ac:dyDescent="0.3"/>
    <row r="735" ht="13" x14ac:dyDescent="0.3"/>
    <row r="736" ht="13" x14ac:dyDescent="0.3"/>
    <row r="737" ht="13" x14ac:dyDescent="0.3"/>
    <row r="738" ht="13" x14ac:dyDescent="0.3"/>
    <row r="739" ht="13" x14ac:dyDescent="0.3"/>
    <row r="740" ht="13" x14ac:dyDescent="0.3"/>
    <row r="741" ht="13" x14ac:dyDescent="0.3"/>
    <row r="742" ht="13" x14ac:dyDescent="0.3"/>
    <row r="743" ht="13" x14ac:dyDescent="0.3"/>
    <row r="744" ht="13" x14ac:dyDescent="0.3"/>
    <row r="745" ht="13" x14ac:dyDescent="0.3"/>
    <row r="746" ht="13" x14ac:dyDescent="0.3"/>
    <row r="747" ht="13" x14ac:dyDescent="0.3"/>
    <row r="748" ht="13" x14ac:dyDescent="0.3"/>
    <row r="749" ht="13" x14ac:dyDescent="0.3"/>
    <row r="750" ht="13" x14ac:dyDescent="0.3"/>
    <row r="751" ht="13" x14ac:dyDescent="0.3"/>
    <row r="752" ht="13" x14ac:dyDescent="0.3"/>
    <row r="753" ht="13" x14ac:dyDescent="0.3"/>
    <row r="754" ht="13" x14ac:dyDescent="0.3"/>
    <row r="755" ht="13" x14ac:dyDescent="0.3"/>
    <row r="756" ht="13" x14ac:dyDescent="0.3"/>
    <row r="757" ht="13" x14ac:dyDescent="0.3"/>
    <row r="758" ht="13" x14ac:dyDescent="0.3"/>
    <row r="759" ht="13" x14ac:dyDescent="0.3"/>
    <row r="760" ht="13" x14ac:dyDescent="0.3"/>
    <row r="761" ht="13" x14ac:dyDescent="0.3"/>
    <row r="762" ht="13" x14ac:dyDescent="0.3"/>
    <row r="763" ht="13" x14ac:dyDescent="0.3"/>
    <row r="764" ht="13" x14ac:dyDescent="0.3"/>
    <row r="765" ht="13" x14ac:dyDescent="0.3"/>
    <row r="766" ht="13" x14ac:dyDescent="0.3"/>
    <row r="767" ht="13" x14ac:dyDescent="0.3"/>
    <row r="768" ht="13" x14ac:dyDescent="0.3"/>
    <row r="769" ht="13" x14ac:dyDescent="0.3"/>
    <row r="770" ht="13" x14ac:dyDescent="0.3"/>
    <row r="771" ht="13" x14ac:dyDescent="0.3"/>
    <row r="772" ht="13" x14ac:dyDescent="0.3"/>
    <row r="773" ht="13" x14ac:dyDescent="0.3"/>
    <row r="774" ht="13" x14ac:dyDescent="0.3"/>
    <row r="775" ht="13" x14ac:dyDescent="0.3"/>
    <row r="776" ht="13" x14ac:dyDescent="0.3"/>
    <row r="777" ht="13" x14ac:dyDescent="0.3"/>
    <row r="778" ht="13" x14ac:dyDescent="0.3"/>
    <row r="779" ht="13" x14ac:dyDescent="0.3"/>
    <row r="780" ht="13" x14ac:dyDescent="0.3"/>
    <row r="781" ht="13" x14ac:dyDescent="0.3"/>
    <row r="782" ht="13" x14ac:dyDescent="0.3"/>
    <row r="783" ht="13" x14ac:dyDescent="0.3"/>
    <row r="784" ht="13" x14ac:dyDescent="0.3"/>
    <row r="785" ht="13" x14ac:dyDescent="0.3"/>
    <row r="786" ht="13" x14ac:dyDescent="0.3"/>
    <row r="787" ht="13" x14ac:dyDescent="0.3"/>
    <row r="788" ht="13" x14ac:dyDescent="0.3"/>
    <row r="789" ht="13" x14ac:dyDescent="0.3"/>
    <row r="790" ht="13" x14ac:dyDescent="0.3"/>
    <row r="791" ht="13" x14ac:dyDescent="0.3"/>
    <row r="792" ht="13" x14ac:dyDescent="0.3"/>
    <row r="793" ht="13" x14ac:dyDescent="0.3"/>
    <row r="794" ht="13" x14ac:dyDescent="0.3"/>
    <row r="795" ht="13" x14ac:dyDescent="0.3"/>
    <row r="796" ht="13" x14ac:dyDescent="0.3"/>
    <row r="797" ht="13" x14ac:dyDescent="0.3"/>
    <row r="798" ht="13" x14ac:dyDescent="0.3"/>
    <row r="799" ht="13" x14ac:dyDescent="0.3"/>
    <row r="800" ht="13" x14ac:dyDescent="0.3"/>
    <row r="801" ht="13" x14ac:dyDescent="0.3"/>
    <row r="802" ht="13" x14ac:dyDescent="0.3"/>
    <row r="803" ht="13" x14ac:dyDescent="0.3"/>
    <row r="804" ht="13" x14ac:dyDescent="0.3"/>
    <row r="805" ht="13" x14ac:dyDescent="0.3"/>
    <row r="806" ht="13" x14ac:dyDescent="0.3"/>
    <row r="807" ht="13" x14ac:dyDescent="0.3"/>
    <row r="808" ht="13" x14ac:dyDescent="0.3"/>
    <row r="809" ht="13" x14ac:dyDescent="0.3"/>
    <row r="810" ht="13" x14ac:dyDescent="0.3"/>
    <row r="811" ht="13" x14ac:dyDescent="0.3"/>
    <row r="812" ht="13" x14ac:dyDescent="0.3"/>
    <row r="813" ht="13" x14ac:dyDescent="0.3"/>
    <row r="814" ht="13" x14ac:dyDescent="0.3"/>
    <row r="815" ht="13" x14ac:dyDescent="0.3"/>
    <row r="816" ht="13" x14ac:dyDescent="0.3"/>
    <row r="817" ht="13" x14ac:dyDescent="0.3"/>
    <row r="818" ht="13" x14ac:dyDescent="0.3"/>
    <row r="819" ht="13" x14ac:dyDescent="0.3"/>
    <row r="820" ht="13" x14ac:dyDescent="0.3"/>
    <row r="821" ht="13" x14ac:dyDescent="0.3"/>
    <row r="822" ht="13" x14ac:dyDescent="0.3"/>
    <row r="823" ht="13" x14ac:dyDescent="0.3"/>
    <row r="824" ht="13" x14ac:dyDescent="0.3"/>
    <row r="825" ht="13" x14ac:dyDescent="0.3"/>
    <row r="826" ht="13" x14ac:dyDescent="0.3"/>
    <row r="827" ht="13" x14ac:dyDescent="0.3"/>
    <row r="828" ht="13" x14ac:dyDescent="0.3"/>
    <row r="829" ht="13" x14ac:dyDescent="0.3"/>
    <row r="830" ht="13" x14ac:dyDescent="0.3"/>
    <row r="831" ht="13" x14ac:dyDescent="0.3"/>
    <row r="832" ht="13" x14ac:dyDescent="0.3"/>
    <row r="833" ht="13" x14ac:dyDescent="0.3"/>
    <row r="834" ht="13" x14ac:dyDescent="0.3"/>
    <row r="835" ht="13" x14ac:dyDescent="0.3"/>
    <row r="836" ht="13" x14ac:dyDescent="0.3"/>
    <row r="837" ht="13" x14ac:dyDescent="0.3"/>
    <row r="838" ht="13" x14ac:dyDescent="0.3"/>
    <row r="839" ht="13" x14ac:dyDescent="0.3"/>
    <row r="840" ht="13" x14ac:dyDescent="0.3"/>
    <row r="841" ht="13" x14ac:dyDescent="0.3"/>
    <row r="842" ht="13" x14ac:dyDescent="0.3"/>
    <row r="843" ht="13" x14ac:dyDescent="0.3"/>
    <row r="844" ht="13" x14ac:dyDescent="0.3"/>
    <row r="845" ht="13" x14ac:dyDescent="0.3"/>
    <row r="846" ht="13" x14ac:dyDescent="0.3"/>
    <row r="847" ht="13" x14ac:dyDescent="0.3"/>
    <row r="848" ht="13" x14ac:dyDescent="0.3"/>
    <row r="849" ht="13" x14ac:dyDescent="0.3"/>
    <row r="850" ht="13" x14ac:dyDescent="0.3"/>
    <row r="851" ht="13" x14ac:dyDescent="0.3"/>
    <row r="852" ht="13" x14ac:dyDescent="0.3"/>
    <row r="853" ht="13" x14ac:dyDescent="0.3"/>
    <row r="854" ht="13" x14ac:dyDescent="0.3"/>
    <row r="855" ht="13" x14ac:dyDescent="0.3"/>
    <row r="856" ht="13" x14ac:dyDescent="0.3"/>
    <row r="857" ht="13" x14ac:dyDescent="0.3"/>
    <row r="858" ht="13" x14ac:dyDescent="0.3"/>
    <row r="859" ht="13" x14ac:dyDescent="0.3"/>
    <row r="860" ht="13" x14ac:dyDescent="0.3"/>
    <row r="861" ht="13" x14ac:dyDescent="0.3"/>
    <row r="862" ht="13" x14ac:dyDescent="0.3"/>
    <row r="863" ht="13" x14ac:dyDescent="0.3"/>
    <row r="864" ht="13" x14ac:dyDescent="0.3"/>
    <row r="865" ht="13" x14ac:dyDescent="0.3"/>
    <row r="866" ht="13" x14ac:dyDescent="0.3"/>
    <row r="867" ht="13" x14ac:dyDescent="0.3"/>
    <row r="868" ht="13" x14ac:dyDescent="0.3"/>
    <row r="869" ht="13" x14ac:dyDescent="0.3"/>
    <row r="870" ht="13" x14ac:dyDescent="0.3"/>
    <row r="871" ht="13" x14ac:dyDescent="0.3"/>
    <row r="872" ht="13" x14ac:dyDescent="0.3"/>
    <row r="873" ht="13" x14ac:dyDescent="0.3"/>
    <row r="874" ht="13" x14ac:dyDescent="0.3"/>
    <row r="875" ht="13" x14ac:dyDescent="0.3"/>
    <row r="876" ht="13" x14ac:dyDescent="0.3"/>
    <row r="877" ht="13" x14ac:dyDescent="0.3"/>
    <row r="878" ht="13" x14ac:dyDescent="0.3"/>
    <row r="879" ht="13" x14ac:dyDescent="0.3"/>
    <row r="880" ht="13" x14ac:dyDescent="0.3"/>
    <row r="881" ht="13" x14ac:dyDescent="0.3"/>
    <row r="882" ht="13" x14ac:dyDescent="0.3"/>
    <row r="883" ht="13" x14ac:dyDescent="0.3"/>
    <row r="884" ht="13" x14ac:dyDescent="0.3"/>
    <row r="885" ht="13" x14ac:dyDescent="0.3"/>
    <row r="886" ht="13" x14ac:dyDescent="0.3"/>
    <row r="887" ht="13" x14ac:dyDescent="0.3"/>
    <row r="888" ht="13" x14ac:dyDescent="0.3"/>
    <row r="889" ht="13" x14ac:dyDescent="0.3"/>
    <row r="890" ht="13" x14ac:dyDescent="0.3"/>
    <row r="891" ht="13" x14ac:dyDescent="0.3"/>
    <row r="892" ht="13" x14ac:dyDescent="0.3"/>
    <row r="893" ht="13" x14ac:dyDescent="0.3"/>
    <row r="894" ht="13" x14ac:dyDescent="0.3"/>
    <row r="895" ht="13" x14ac:dyDescent="0.3"/>
    <row r="896" ht="13" x14ac:dyDescent="0.3"/>
    <row r="897" ht="13" x14ac:dyDescent="0.3"/>
    <row r="898" ht="13" x14ac:dyDescent="0.3"/>
    <row r="899" ht="13" x14ac:dyDescent="0.3"/>
    <row r="900" ht="13" x14ac:dyDescent="0.3"/>
    <row r="901" ht="13" x14ac:dyDescent="0.3"/>
    <row r="902" ht="13" x14ac:dyDescent="0.3"/>
    <row r="903" ht="13" x14ac:dyDescent="0.3"/>
    <row r="904" ht="13" x14ac:dyDescent="0.3"/>
    <row r="905" ht="13" x14ac:dyDescent="0.3"/>
    <row r="906" ht="13" x14ac:dyDescent="0.3"/>
    <row r="907" ht="13" x14ac:dyDescent="0.3"/>
    <row r="908" ht="13" x14ac:dyDescent="0.3"/>
    <row r="909" ht="13" x14ac:dyDescent="0.3"/>
    <row r="910" ht="13" x14ac:dyDescent="0.3"/>
    <row r="911" ht="13" x14ac:dyDescent="0.3"/>
    <row r="912" ht="13" x14ac:dyDescent="0.3"/>
    <row r="913" ht="13" x14ac:dyDescent="0.3"/>
    <row r="914" ht="13" x14ac:dyDescent="0.3"/>
    <row r="915" ht="13" x14ac:dyDescent="0.3"/>
    <row r="916" ht="13" x14ac:dyDescent="0.3"/>
    <row r="917" ht="13" x14ac:dyDescent="0.3"/>
    <row r="918" ht="13" x14ac:dyDescent="0.3"/>
    <row r="919" ht="13" x14ac:dyDescent="0.3"/>
    <row r="920" ht="13" x14ac:dyDescent="0.3"/>
    <row r="921" ht="13" x14ac:dyDescent="0.3"/>
    <row r="922" ht="13" x14ac:dyDescent="0.3"/>
    <row r="923" ht="13" x14ac:dyDescent="0.3"/>
    <row r="924" ht="13" x14ac:dyDescent="0.3"/>
    <row r="925" ht="13" x14ac:dyDescent="0.3"/>
    <row r="926" ht="13" x14ac:dyDescent="0.3"/>
    <row r="927" ht="13" x14ac:dyDescent="0.3"/>
    <row r="928" ht="13" x14ac:dyDescent="0.3"/>
    <row r="929" ht="13" x14ac:dyDescent="0.3"/>
    <row r="930" ht="13" x14ac:dyDescent="0.3"/>
    <row r="931" ht="13" x14ac:dyDescent="0.3"/>
    <row r="932" ht="13" x14ac:dyDescent="0.3"/>
    <row r="933" ht="13" x14ac:dyDescent="0.3"/>
    <row r="934" ht="13" x14ac:dyDescent="0.3"/>
    <row r="935" ht="13" x14ac:dyDescent="0.3"/>
    <row r="936" ht="13" x14ac:dyDescent="0.3"/>
    <row r="937" ht="13" x14ac:dyDescent="0.3"/>
    <row r="938" ht="13" x14ac:dyDescent="0.3"/>
    <row r="939" ht="13" x14ac:dyDescent="0.3"/>
    <row r="940" ht="13" x14ac:dyDescent="0.3"/>
    <row r="941" ht="13" x14ac:dyDescent="0.3"/>
    <row r="942" ht="13" x14ac:dyDescent="0.3"/>
    <row r="943" ht="13" x14ac:dyDescent="0.3"/>
    <row r="944" ht="13" x14ac:dyDescent="0.3"/>
    <row r="945" ht="13" x14ac:dyDescent="0.3"/>
    <row r="946" ht="13" x14ac:dyDescent="0.3"/>
    <row r="947" ht="13" x14ac:dyDescent="0.3"/>
    <row r="948" ht="13" x14ac:dyDescent="0.3"/>
    <row r="949" ht="13" x14ac:dyDescent="0.3"/>
    <row r="950" ht="13" x14ac:dyDescent="0.3"/>
    <row r="951" ht="13" x14ac:dyDescent="0.3"/>
    <row r="952" ht="13" x14ac:dyDescent="0.3"/>
    <row r="953" ht="13" x14ac:dyDescent="0.3"/>
    <row r="954" ht="13" x14ac:dyDescent="0.3"/>
    <row r="955" ht="13" x14ac:dyDescent="0.3"/>
    <row r="956" ht="13" x14ac:dyDescent="0.3"/>
    <row r="957" ht="13" x14ac:dyDescent="0.3"/>
    <row r="958" ht="13" x14ac:dyDescent="0.3"/>
    <row r="959" ht="13" x14ac:dyDescent="0.3"/>
    <row r="960" ht="13" x14ac:dyDescent="0.3"/>
    <row r="961" ht="13" x14ac:dyDescent="0.3"/>
    <row r="962" ht="13" x14ac:dyDescent="0.3"/>
    <row r="963" ht="13" x14ac:dyDescent="0.3"/>
    <row r="964" ht="13" x14ac:dyDescent="0.3"/>
    <row r="965" ht="13" x14ac:dyDescent="0.3"/>
    <row r="966" ht="13" x14ac:dyDescent="0.3"/>
    <row r="967" ht="13" x14ac:dyDescent="0.3"/>
    <row r="968" ht="13" x14ac:dyDescent="0.3"/>
    <row r="969" ht="13" x14ac:dyDescent="0.3"/>
    <row r="970" ht="13" x14ac:dyDescent="0.3"/>
    <row r="971" ht="13" x14ac:dyDescent="0.3"/>
    <row r="972" ht="13" x14ac:dyDescent="0.3"/>
    <row r="973" ht="13" x14ac:dyDescent="0.3"/>
    <row r="974" ht="13" x14ac:dyDescent="0.3"/>
    <row r="975" ht="13" x14ac:dyDescent="0.3"/>
    <row r="976" ht="13" x14ac:dyDescent="0.3"/>
    <row r="977" ht="13" x14ac:dyDescent="0.3"/>
    <row r="978" ht="13" x14ac:dyDescent="0.3"/>
    <row r="979" ht="13" x14ac:dyDescent="0.3"/>
    <row r="980" ht="13" x14ac:dyDescent="0.3"/>
    <row r="981" ht="13" x14ac:dyDescent="0.3"/>
    <row r="982" ht="13" x14ac:dyDescent="0.3"/>
    <row r="983" ht="13" x14ac:dyDescent="0.3"/>
    <row r="984" ht="13" x14ac:dyDescent="0.3"/>
    <row r="985" ht="13" x14ac:dyDescent="0.3"/>
    <row r="986" ht="13" x14ac:dyDescent="0.3"/>
    <row r="987" ht="13" x14ac:dyDescent="0.3"/>
    <row r="988" ht="13" x14ac:dyDescent="0.3"/>
    <row r="989" ht="13" x14ac:dyDescent="0.3"/>
    <row r="990" ht="13" x14ac:dyDescent="0.3"/>
    <row r="991" ht="13" x14ac:dyDescent="0.3"/>
    <row r="992" ht="13" x14ac:dyDescent="0.3"/>
    <row r="993" ht="13" x14ac:dyDescent="0.3"/>
    <row r="994" ht="13" x14ac:dyDescent="0.3"/>
    <row r="995" ht="13" x14ac:dyDescent="0.3"/>
    <row r="996" ht="13" x14ac:dyDescent="0.3"/>
    <row r="997" ht="13" x14ac:dyDescent="0.3"/>
    <row r="998" ht="13" x14ac:dyDescent="0.3"/>
    <row r="999" ht="13" x14ac:dyDescent="0.3"/>
  </sheetData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454AF-D532-4929-A406-CC32FB615A73}">
  <dimension ref="A1:K999"/>
  <sheetViews>
    <sheetView workbookViewId="0">
      <selection activeCell="E10" sqref="E10"/>
    </sheetView>
  </sheetViews>
  <sheetFormatPr baseColWidth="10" defaultColWidth="12.6328125" defaultRowHeight="15" customHeight="1" x14ac:dyDescent="0.3"/>
  <cols>
    <col min="1" max="25" width="10.6328125" style="1" customWidth="1"/>
    <col min="26" max="16384" width="12.6328125" style="1"/>
  </cols>
  <sheetData>
    <row r="1" spans="1:11" ht="12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186</v>
      </c>
    </row>
    <row r="2" spans="1:11" ht="12.75" customHeight="1" x14ac:dyDescent="0.3">
      <c r="A2" s="1" t="s">
        <v>12</v>
      </c>
      <c r="B2" s="1" t="s">
        <v>13</v>
      </c>
      <c r="C2" s="1">
        <f>SUM([1]Art1!C2+[1]Art2!C2+[1]Art3!C2+[1]Art4!C2+[1]Art5!C2+[1]Art6!C2+[1]Art7!C2+[1]Art8!C2+[1]Art9!C2+[1]Art10!C2+[1]Art11!C2+[1]Art12!C2+[1]Art13!C2+[1]Art14!C2+[1]Art15!C2+[1]Art16!C2+[1]Art17!C2+[1]Art18!C2+[1]Art19!C2+[1]Art20!C2+[1]Art21!C2+[1]Art22!C2+[1]Art23!C2+[1]Art24!C2+[1]Art25!C2+[1]Art26!C2+[1]Art27!C2+[1]Art28!C2+[1]Art29!C2+[1]Art30!C2+[1]Art31!C2+[1]Art32!C2+[1]Art33!C2+[1]Art34!C2+[1]Art35!C2+[1]Art36!C2+[1]Art37!C2+[1]Art38!C2+[1]ArtT1!C2+[1]ArtT2!C2)</f>
        <v>16</v>
      </c>
      <c r="D2" s="1">
        <f>SUM([1]Art1!D2+[1]Art2!D2+[1]Art3!D2+[1]Art4!D2+[1]Art5!D2+[1]Art6!D2+[1]Art7!D2+[1]Art8!D2+[1]Art9!D2+[1]Art10!D2+[1]Art11!D2+[1]Art12!D2+[1]Art13!D2+[1]Art14!D2+[1]Art15!D2+[1]Art16!D2+[1]Art17!D2+[1]Art18!D2+[1]Art19!D2+[1]Art20!D2+[1]Art21!D2+[1]Art22!D2+[1]Art23!D2+[1]Art24!D2+[1]Art25!D2+[1]Art26!D2+[1]Art27!D2+[1]Art28!D2+[1]Art29!D2+[1]Art30!D2+[1]Art31!D2+[1]Art32!D2+[1]Art33!D2+[1]Art34!D2+[1]Art35!D2+[1]Art36!D2+[1]Art37!D2+[1]Art38!D2+[1]ArtT1!D2+[1]ArtT2!D2)</f>
        <v>11</v>
      </c>
      <c r="E2" s="1">
        <f>SUM([1]Art1!E2+[1]Art2!E2+[1]Art3!E2+[1]Art4!E2+[1]Art5!E2+[1]Art6!E2+[1]Art7!E2+[1]Art8!E2+[1]Art9!E2+[1]Art10!E2+[1]Art11!E2+[1]Art12!E2+[1]Art13!E2+[1]Art14!E2+[1]Art15!E2+[1]Art16!E2+[1]Art17!E2+[1]Art18!E2+[1]Art19!E2+[1]Art20!E2+[1]Art21!E2+[1]Art22!E2+[1]Art23!E2+[1]Art24!E2+[1]Art25!E2+[1]Art26!E2+[1]Art27!E2+[1]Art28!E2+[1]Art29!E2+[1]Art30!E2+[1]Art31!E2+[1]Art32!E2+[1]Art33!E2+[1]Art34!E2+[1]Art35!E2+[1]Art36!E2+[1]Art37!E2+[1]Art38!E2+[1]ArtT1!E2+[1]ArtT2!E2)</f>
        <v>13</v>
      </c>
      <c r="F2" s="1">
        <f>SUM([1]Art1!F2+[1]Art2!F2+[1]Art3!F2+[1]Art4!F2+[1]Art5!F2+[1]Art6!F2+[1]Art7!F2+[1]Art8!F2+[1]Art9!F2+[1]Art10!F2+[1]Art11!F2+[1]Art12!F2+[1]Art13!F2+[1]Art14!F2+[1]Art15!F2+[1]Art16!F2+[1]Art17!F2+[1]Art18!F2+[1]Art19!F2+[1]Art20!F2+[1]Art21!F2+[1]Art22!F2+[1]Art23!F2+[1]Art24!F2+[1]Art25!F2+[1]Art26!F2+[1]Art27!F2+[1]Art28!F2+[1]Art29!F2+[1]Art30!F2+[1]Art31!F2+[1]Art32!F2+[1]Art33!F2+[1]Art34!F2+[1]Art35!F2+[1]Art36!F2+[1]Art37!F2+[1]Art38!F2+[1]ArtT1!F2+[1]ArtT2!F2)</f>
        <v>0</v>
      </c>
      <c r="H2" s="4"/>
      <c r="I2" s="4"/>
      <c r="J2" s="4"/>
      <c r="K2" s="4"/>
    </row>
    <row r="3" spans="1:11" ht="12.75" customHeight="1" x14ac:dyDescent="0.3">
      <c r="A3" s="1" t="s">
        <v>15</v>
      </c>
      <c r="B3" s="1" t="s">
        <v>16</v>
      </c>
      <c r="C3" s="1">
        <f>SUM([1]Art1!C3+[1]Art2!C3+[1]Art3!C3+[1]Art4!C3+[1]Art5!C3+[1]Art6!C3+[1]Art7!C3+[1]Art8!C3+[1]Art9!C3+[1]Art10!C3+[1]Art11!C3+[1]Art12!C3+[1]Art13!C3+[1]Art14!C3+[1]Art15!C3+[1]Art16!C3+[1]Art17!C3+[1]Art18!C3+[1]Art19!C3+[1]Art20!C3+[1]Art21!C3+[1]Art22!C3+[1]Art23!C3+[1]Art24!C3+[1]Art25!C3+[1]Art26!C3+[1]Art27!C3+[1]Art28!C3+[1]Art29!C3+[1]Art30!C3+[1]Art31!C3+[1]Art32!C3+[1]Art33!C3+[1]Art34!C3+[1]Art35!C3+[1]Art36!C3+[1]Art37!C3+[1]Art38!C3+[1]ArtT1!C3+[1]ArtT2!C3)</f>
        <v>37</v>
      </c>
      <c r="D3" s="1">
        <f>SUM([1]Art1!D3+[1]Art2!D3+[1]Art3!D3+[1]Art4!D3+[1]Art5!D3+[1]Art6!D3+[1]Art7!D3+[1]Art8!D3+[1]Art9!D3+[1]Art10!D3+[1]Art11!D3+[1]Art12!D3+[1]Art13!D3+[1]Art14!D3+[1]Art15!D3+[1]Art16!D3+[1]Art17!D3+[1]Art18!D3+[1]Art19!D3+[1]Art20!D3+[1]Art21!D3+[1]Art22!D3+[1]Art23!D3+[1]Art24!D3+[1]Art25!D3+[1]Art26!D3+[1]Art27!D3+[1]Art28!D3+[1]Art29!D3+[1]Art30!D3+[1]Art31!D3+[1]Art32!D3+[1]Art33!D3+[1]Art34!D3+[1]Art35!D3+[1]Art36!D3+[1]Art37!D3+[1]Art38!D3+[1]ArtT1!D3+[1]ArtT2!D3)</f>
        <v>1</v>
      </c>
      <c r="E3" s="1">
        <f>SUM([1]Art1!E3+[1]Art2!E3+[1]Art3!E3+[1]Art4!E3+[1]Art5!E3+[1]Art6!E3+[1]Art7!E3+[1]Art8!E3+[1]Art9!E3+[1]Art10!E3+[1]Art11!E3+[1]Art12!E3+[1]Art13!E3+[1]Art14!E3+[1]Art15!E3+[1]Art16!E3+[1]Art17!E3+[1]Art18!E3+[1]Art19!E3+[1]Art20!E3+[1]Art21!E3+[1]Art22!E3+[1]Art23!E3+[1]Art24!E3+[1]Art25!E3+[1]Art26!E3+[1]Art27!E3+[1]Art28!E3+[1]Art29!E3+[1]Art30!E3+[1]Art31!E3+[1]Art32!E3+[1]Art33!E3+[1]Art34!E3+[1]Art35!E3+[1]Art36!E3+[1]Art37!E3+[1]Art38!E3+[1]ArtT1!E3+[1]ArtT2!E3)</f>
        <v>2</v>
      </c>
      <c r="F3" s="1">
        <f>SUM([1]Art1!F3+[1]Art2!F3+[1]Art3!F3+[1]Art4!F3+[1]Art5!F3+[1]Art6!F3+[1]Art7!F3+[1]Art8!F3+[1]Art9!F3+[1]Art10!F3+[1]Art11!F3+[1]Art12!F3+[1]Art13!F3+[1]Art14!F3+[1]Art15!F3+[1]Art16!F3+[1]Art17!F3+[1]Art18!F3+[1]Art19!F3+[1]Art20!F3+[1]Art21!F3+[1]Art22!F3+[1]Art23!F3+[1]Art24!F3+[1]Art25!F3+[1]Art26!F3+[1]Art27!F3+[1]Art28!F3+[1]Art29!F3+[1]Art30!F3+[1]Art31!F3+[1]Art32!F3+[1]Art33!F3+[1]Art34!F3+[1]Art35!F3+[1]Art36!F3+[1]Art37!F3+[1]Art38!F3+[1]ArtT1!F3+[1]ArtT2!F3)</f>
        <v>0</v>
      </c>
      <c r="H3" s="4"/>
      <c r="I3" s="4"/>
      <c r="J3" s="4"/>
      <c r="K3" s="4"/>
    </row>
    <row r="4" spans="1:11" ht="12.75" customHeight="1" x14ac:dyDescent="0.3">
      <c r="A4" s="1" t="s">
        <v>18</v>
      </c>
      <c r="B4" s="1" t="s">
        <v>13</v>
      </c>
      <c r="C4" s="1">
        <f>SUM([1]Art1!C4+[1]Art2!C4+[1]Art3!C4+[1]Art4!C4+[1]Art5!C4+[1]Art6!C4+[1]Art7!C4+[1]Art8!C4+[1]Art9!C4+[1]Art10!C4+[1]Art11!C4+[1]Art12!C4+[1]Art13!C4+[1]Art14!C4+[1]Art15!C4+[1]Art16!C4+[1]Art17!C4+[1]Art18!C4+[1]Art19!C4+[1]Art20!C4+[1]Art21!C4+[1]Art22!C4+[1]Art23!C4+[1]Art24!C4+[1]Art25!C4+[1]Art26!C4+[1]Art27!C4+[1]Art28!C4+[1]Art29!C4+[1]Art30!C4+[1]Art31!C4+[1]Art32!C4+[1]Art33!C4+[1]Art34!C4+[1]Art35!C4+[1]Art36!C4+[1]Art37!C4+[1]Art38!C4+[1]ArtT1!C4+[1]ArtT2!C4)</f>
        <v>11</v>
      </c>
      <c r="D4" s="1">
        <f>SUM([1]Art1!D4+[1]Art2!D4+[1]Art3!D4+[1]Art4!D4+[1]Art5!D4+[1]Art6!D4+[1]Art7!D4+[1]Art8!D4+[1]Art9!D4+[1]Art10!D4+[1]Art11!D4+[1]Art12!D4+[1]Art13!D4+[1]Art14!D4+[1]Art15!D4+[1]Art16!D4+[1]Art17!D4+[1]Art18!D4+[1]Art19!D4+[1]Art20!D4+[1]Art21!D4+[1]Art22!D4+[1]Art23!D4+[1]Art24!D4+[1]Art25!D4+[1]Art26!D4+[1]Art27!D4+[1]Art28!D4+[1]Art29!D4+[1]Art30!D4+[1]Art31!D4+[1]Art32!D4+[1]Art33!D4+[1]Art34!D4+[1]Art35!D4+[1]Art36!D4+[1]Art37!D4+[1]Art38!D4+[1]ArtT1!D4+[1]ArtT2!D4)</f>
        <v>24</v>
      </c>
      <c r="E4" s="1">
        <f>SUM([1]Art1!E4+[1]Art2!E4+[1]Art3!E4+[1]Art4!E4+[1]Art5!E4+[1]Art6!E4+[1]Art7!E4+[1]Art8!E4+[1]Art9!E4+[1]Art10!E4+[1]Art11!E4+[1]Art12!E4+[1]Art13!E4+[1]Art14!E4+[1]Art15!E4+[1]Art16!E4+[1]Art17!E4+[1]Art18!E4+[1]Art19!E4+[1]Art20!E4+[1]Art21!E4+[1]Art22!E4+[1]Art23!E4+[1]Art24!E4+[1]Art25!E4+[1]Art26!E4+[1]Art27!E4+[1]Art28!E4+[1]Art29!E4+[1]Art30!E4+[1]Art31!E4+[1]Art32!E4+[1]Art33!E4+[1]Art34!E4+[1]Art35!E4+[1]Art36!E4+[1]Art37!E4+[1]Art38!E4+[1]ArtT1!E4+[1]ArtT2!E4)</f>
        <v>5</v>
      </c>
      <c r="F4" s="1">
        <f>SUM([1]Art1!F4+[1]Art2!F4+[1]Art3!F4+[1]Art4!F4+[1]Art5!F4+[1]Art6!F4+[1]Art7!F4+[1]Art8!F4+[1]Art9!F4+[1]Art10!F4+[1]Art11!F4+[1]Art12!F4+[1]Art13!F4+[1]Art14!F4+[1]Art15!F4+[1]Art16!F4+[1]Art17!F4+[1]Art18!F4+[1]Art19!F4+[1]Art20!F4+[1]Art21!F4+[1]Art22!F4+[1]Art23!F4+[1]Art24!F4+[1]Art25!F4+[1]Art26!F4+[1]Art27!F4+[1]Art28!F4+[1]Art29!F4+[1]Art30!F4+[1]Art31!F4+[1]Art32!F4+[1]Art33!F4+[1]Art34!F4+[1]Art35!F4+[1]Art36!F4+[1]Art37!F4+[1]Art38!F4+[1]ArtT1!F4+[1]ArtT2!F4)</f>
        <v>0</v>
      </c>
      <c r="H4" s="4"/>
      <c r="I4" s="4"/>
      <c r="J4" s="4"/>
      <c r="K4" s="4"/>
    </row>
    <row r="5" spans="1:11" ht="12.75" customHeight="1" x14ac:dyDescent="0.3">
      <c r="A5" s="1" t="s">
        <v>20</v>
      </c>
      <c r="B5" s="1" t="s">
        <v>21</v>
      </c>
      <c r="C5" s="1">
        <f>SUM([1]Art1!C5+[1]Art2!C5+[1]Art3!C5+[1]Art4!C5+[1]Art5!C5+[1]Art6!C5+[1]Art7!C5+[1]Art8!C5+[1]Art9!C5+[1]Art10!C5+[1]Art11!C5+[1]Art12!C5+[1]Art13!C5+[1]Art14!C5+[1]Art15!C5+[1]Art16!C5+[1]Art17!C5+[1]Art18!C5+[1]Art19!C5+[1]Art20!C5+[1]Art21!C5+[1]Art22!C5+[1]Art23!C5+[1]Art24!C5+[1]Art25!C5+[1]Art26!C5+[1]Art27!C5+[1]Art28!C5+[1]Art29!C5+[1]Art30!C5+[1]Art31!C5+[1]Art32!C5+[1]Art33!C5+[1]Art34!C5+[1]Art35!C5+[1]Art36!C5+[1]Art37!C5+[1]Art38!C5+[1]ArtT1!C5+[1]ArtT2!C5)</f>
        <v>17</v>
      </c>
      <c r="D5" s="1">
        <f>SUM([1]Art1!D5+[1]Art2!D5+[1]Art3!D5+[1]Art4!D5+[1]Art5!D5+[1]Art6!D5+[1]Art7!D5+[1]Art8!D5+[1]Art9!D5+[1]Art10!D5+[1]Art11!D5+[1]Art12!D5+[1]Art13!D5+[1]Art14!D5+[1]Art15!D5+[1]Art16!D5+[1]Art17!D5+[1]Art18!D5+[1]Art19!D5+[1]Art20!D5+[1]Art21!D5+[1]Art22!D5+[1]Art23!D5+[1]Art24!D5+[1]Art25!D5+[1]Art26!D5+[1]Art27!D5+[1]Art28!D5+[1]Art29!D5+[1]Art30!D5+[1]Art31!D5+[1]Art32!D5+[1]Art33!D5+[1]Art34!D5+[1]Art35!D5+[1]Art36!D5+[1]Art37!D5+[1]Art38!D5+[1]ArtT1!D5+[1]ArtT2!D5)</f>
        <v>8</v>
      </c>
      <c r="E5" s="1">
        <f>SUM([1]Art1!E5+[1]Art2!E5+[1]Art3!E5+[1]Art4!E5+[1]Art5!E5+[1]Art6!E5+[1]Art7!E5+[1]Art8!E5+[1]Art9!E5+[1]Art10!E5+[1]Art11!E5+[1]Art12!E5+[1]Art13!E5+[1]Art14!E5+[1]Art15!E5+[1]Art16!E5+[1]Art17!E5+[1]Art18!E5+[1]Art19!E5+[1]Art20!E5+[1]Art21!E5+[1]Art22!E5+[1]Art23!E5+[1]Art24!E5+[1]Art25!E5+[1]Art26!E5+[1]Art27!E5+[1]Art28!E5+[1]Art29!E5+[1]Art30!E5+[1]Art31!E5+[1]Art32!E5+[1]Art33!E5+[1]Art34!E5+[1]Art35!E5+[1]Art36!E5+[1]Art37!E5+[1]Art38!E5+[1]ArtT1!E5+[1]ArtT2!E5)</f>
        <v>15</v>
      </c>
      <c r="F5" s="1">
        <f>SUM([1]Art1!F5+[1]Art2!F5+[1]Art3!F5+[1]Art4!F5+[1]Art5!F5+[1]Art6!F5+[1]Art7!F5+[1]Art8!F5+[1]Art9!F5+[1]Art10!F5+[1]Art11!F5+[1]Art12!F5+[1]Art13!F5+[1]Art14!F5+[1]Art15!F5+[1]Art16!F5+[1]Art17!F5+[1]Art18!F5+[1]Art19!F5+[1]Art20!F5+[1]Art21!F5+[1]Art22!F5+[1]Art23!F5+[1]Art24!F5+[1]Art25!F5+[1]Art26!F5+[1]Art27!F5+[1]Art28!F5+[1]Art29!F5+[1]Art30!F5+[1]Art31!F5+[1]Art32!F5+[1]Art33!F5+[1]Art34!F5+[1]Art35!F5+[1]Art36!F5+[1]Art37!F5+[1]Art38!F5+[1]ArtT1!F5+[1]ArtT2!F5)</f>
        <v>0</v>
      </c>
      <c r="H5" s="4"/>
      <c r="I5" s="4"/>
      <c r="J5" s="4"/>
      <c r="K5" s="4"/>
    </row>
    <row r="6" spans="1:11" ht="12.75" customHeight="1" x14ac:dyDescent="0.3">
      <c r="A6" s="1" t="s">
        <v>23</v>
      </c>
      <c r="B6" s="1" t="s">
        <v>24</v>
      </c>
      <c r="C6" s="1">
        <f>SUM([1]Art1!C6+[1]Art2!C6+[1]Art3!C6+[1]Art4!C6+[1]Art5!C6+[1]Art6!C6+[1]Art7!C6+[1]Art8!C6+[1]Art9!C6+[1]Art10!C6+[1]Art11!C6+[1]Art12!C6+[1]Art13!C6+[1]Art14!C6+[1]Art15!C6+[1]Art16!C6+[1]Art17!C6+[1]Art18!C6+[1]Art19!C6+[1]Art20!C6+[1]Art21!C6+[1]Art22!C6+[1]Art23!C6+[1]Art24!C6+[1]Art25!C6+[1]Art26!C6+[1]Art27!C6+[1]Art28!C6+[1]Art29!C6+[1]Art30!C6+[1]Art31!C6+[1]Art32!C6+[1]Art33!C6+[1]Art34!C6+[1]Art35!C6+[1]Art36!C6+[1]Art37!C6+[1]Art38!C6+[1]ArtT1!C6+[1]ArtT2!C6)</f>
        <v>39</v>
      </c>
      <c r="D6" s="1">
        <f>SUM([1]Art1!D6+[1]Art2!D6+[1]Art3!D6+[1]Art4!D6+[1]Art5!D6+[1]Art6!D6+[1]Art7!D6+[1]Art8!D6+[1]Art9!D6+[1]Art10!D6+[1]Art11!D6+[1]Art12!D6+[1]Art13!D6+[1]Art14!D6+[1]Art15!D6+[1]Art16!D6+[1]Art17!D6+[1]Art18!D6+[1]Art19!D6+[1]Art20!D6+[1]Art21!D6+[1]Art22!D6+[1]Art23!D6+[1]Art24!D6+[1]Art25!D6+[1]Art26!D6+[1]Art27!D6+[1]Art28!D6+[1]Art29!D6+[1]Art30!D6+[1]Art31!D6+[1]Art32!D6+[1]Art33!D6+[1]Art34!D6+[1]Art35!D6+[1]Art36!D6+[1]Art37!D6+[1]Art38!D6+[1]ArtT1!D6+[1]ArtT2!D6)</f>
        <v>1</v>
      </c>
      <c r="E6" s="1">
        <f>SUM([1]Art1!E6+[1]Art2!E6+[1]Art3!E6+[1]Art4!E6+[1]Art5!E6+[1]Art6!E6+[1]Art7!E6+[1]Art8!E6+[1]Art9!E6+[1]Art10!E6+[1]Art11!E6+[1]Art12!E6+[1]Art13!E6+[1]Art14!E6+[1]Art15!E6+[1]Art16!E6+[1]Art17!E6+[1]Art18!E6+[1]Art19!E6+[1]Art20!E6+[1]Art21!E6+[1]Art22!E6+[1]Art23!E6+[1]Art24!E6+[1]Art25!E6+[1]Art26!E6+[1]Art27!E6+[1]Art28!E6+[1]Art29!E6+[1]Art30!E6+[1]Art31!E6+[1]Art32!E6+[1]Art33!E6+[1]Art34!E6+[1]Art35!E6+[1]Art36!E6+[1]Art37!E6+[1]Art38!E6+[1]ArtT1!E6+[1]ArtT2!E6)</f>
        <v>0</v>
      </c>
      <c r="F6" s="1">
        <f>SUM([1]Art1!F6+[1]Art2!F6+[1]Art3!F6+[1]Art4!F6+[1]Art5!F6+[1]Art6!F6+[1]Art7!F6+[1]Art8!F6+[1]Art9!F6+[1]Art10!F6+[1]Art11!F6+[1]Art12!F6+[1]Art13!F6+[1]Art14!F6+[1]Art15!F6+[1]Art16!F6+[1]Art17!F6+[1]Art18!F6+[1]Art19!F6+[1]Art20!F6+[1]Art21!F6+[1]Art22!F6+[1]Art23!F6+[1]Art24!F6+[1]Art25!F6+[1]Art26!F6+[1]Art27!F6+[1]Art28!F6+[1]Art29!F6+[1]Art30!F6+[1]Art31!F6+[1]Art32!F6+[1]Art33!F6+[1]Art34!F6+[1]Art35!F6+[1]Art36!F6+[1]Art37!F6+[1]Art38!F6+[1]ArtT1!F6+[1]ArtT2!F6)</f>
        <v>0</v>
      </c>
      <c r="H6" s="4"/>
      <c r="I6" s="4"/>
      <c r="J6" s="4"/>
      <c r="K6" s="4"/>
    </row>
    <row r="7" spans="1:11" ht="12.75" customHeight="1" x14ac:dyDescent="0.3">
      <c r="A7" s="1" t="s">
        <v>26</v>
      </c>
      <c r="B7" s="1" t="s">
        <v>27</v>
      </c>
      <c r="C7" s="1">
        <f>SUM([1]Art1!C7+[1]Art2!C7+[1]Art3!C7+[1]Art4!C7+[1]Art5!C7+[1]Art6!C7+[1]Art7!C7+[1]Art8!C7+[1]Art9!C7+[1]Art10!C7+[1]Art11!C7+[1]Art12!C7+[1]Art13!C7+[1]Art14!C7+[1]Art15!C7+[1]Art16!C7+[1]Art17!C7+[1]Art18!C7+[1]Art19!C7+[1]Art20!C7+[1]Art21!C7+[1]Art22!C7+[1]Art23!C7+[1]Art24!C7+[1]Art25!C7+[1]Art26!C7+[1]Art27!C7+[1]Art28!C7+[1]Art29!C7+[1]Art30!C7+[1]Art31!C7+[1]Art32!C7+[1]Art33!C7+[1]Art34!C7+[1]Art35!C7+[1]Art36!C7+[1]Art37!C7+[1]Art38!C7+[1]ArtT1!C7+[1]ArtT2!C7)</f>
        <v>19</v>
      </c>
      <c r="D7" s="1">
        <f>SUM([1]Art1!D7+[1]Art2!D7+[1]Art3!D7+[1]Art4!D7+[1]Art5!D7+[1]Art6!D7+[1]Art7!D7+[1]Art8!D7+[1]Art9!D7+[1]Art10!D7+[1]Art11!D7+[1]Art12!D7+[1]Art13!D7+[1]Art14!D7+[1]Art15!D7+[1]Art16!D7+[1]Art17!D7+[1]Art18!D7+[1]Art19!D7+[1]Art20!D7+[1]Art21!D7+[1]Art22!D7+[1]Art23!D7+[1]Art24!D7+[1]Art25!D7+[1]Art26!D7+[1]Art27!D7+[1]Art28!D7+[1]Art29!D7+[1]Art30!D7+[1]Art31!D7+[1]Art32!D7+[1]Art33!D7+[1]Art34!D7+[1]Art35!D7+[1]Art36!D7+[1]Art37!D7+[1]Art38!D7+[1]ArtT1!D7+[1]ArtT2!D7)</f>
        <v>18</v>
      </c>
      <c r="E7" s="1">
        <f>SUM([1]Art1!E7+[1]Art2!E7+[1]Art3!E7+[1]Art4!E7+[1]Art5!E7+[1]Art6!E7+[1]Art7!E7+[1]Art8!E7+[1]Art9!E7+[1]Art10!E7+[1]Art11!E7+[1]Art12!E7+[1]Art13!E7+[1]Art14!E7+[1]Art15!E7+[1]Art16!E7+[1]Art17!E7+[1]Art18!E7+[1]Art19!E7+[1]Art20!E7+[1]Art21!E7+[1]Art22!E7+[1]Art23!E7+[1]Art24!E7+[1]Art25!E7+[1]Art26!E7+[1]Art27!E7+[1]Art28!E7+[1]Art29!E7+[1]Art30!E7+[1]Art31!E7+[1]Art32!E7+[1]Art33!E7+[1]Art34!E7+[1]Art35!E7+[1]Art36!E7+[1]Art37!E7+[1]Art38!E7+[1]ArtT1!E7+[1]ArtT2!E7)</f>
        <v>3</v>
      </c>
      <c r="F7" s="1">
        <f>SUM([1]Art1!F7+[1]Art2!F7+[1]Art3!F7+[1]Art4!F7+[1]Art5!F7+[1]Art6!F7+[1]Art7!F7+[1]Art8!F7+[1]Art9!F7+[1]Art10!F7+[1]Art11!F7+[1]Art12!F7+[1]Art13!F7+[1]Art14!F7+[1]Art15!F7+[1]Art16!F7+[1]Art17!F7+[1]Art18!F7+[1]Art19!F7+[1]Art20!F7+[1]Art21!F7+[1]Art22!F7+[1]Art23!F7+[1]Art24!F7+[1]Art25!F7+[1]Art26!F7+[1]Art27!F7+[1]Art28!F7+[1]Art29!F7+[1]Art30!F7+[1]Art31!F7+[1]Art32!F7+[1]Art33!F7+[1]Art34!F7+[1]Art35!F7+[1]Art36!F7+[1]Art37!F7+[1]Art38!F7+[1]ArtT1!F7+[1]ArtT2!F7)</f>
        <v>0</v>
      </c>
      <c r="H7" s="4"/>
      <c r="I7" s="4"/>
      <c r="J7" s="4"/>
      <c r="K7" s="4"/>
    </row>
    <row r="8" spans="1:11" ht="12.75" customHeight="1" x14ac:dyDescent="0.3">
      <c r="A8" s="1" t="s">
        <v>29</v>
      </c>
      <c r="B8" s="1" t="s">
        <v>30</v>
      </c>
      <c r="C8" s="1">
        <f>SUM([1]Art1!C8+[1]Art2!C8+[1]Art3!C8+[1]Art4!C8+[1]Art5!C8+[1]Art6!C8+[1]Art7!C8+[1]Art8!C8+[1]Art9!C8+[1]Art10!C8+[1]Art11!C8+[1]Art12!C8+[1]Art13!C8+[1]Art14!C8+[1]Art15!C8+[1]Art16!C8+[1]Art17!C8+[1]Art18!C8+[1]Art19!C8+[1]Art20!C8+[1]Art21!C8+[1]Art22!C8+[1]Art23!C8+[1]Art24!C8+[1]Art25!C8+[1]Art26!C8+[1]Art27!C8+[1]Art28!C8+[1]Art29!C8+[1]Art30!C8+[1]Art31!C8+[1]Art32!C8+[1]Art33!C8+[1]Art34!C8+[1]Art35!C8+[1]Art36!C8+[1]Art37!C8+[1]Art38!C8+[1]ArtT1!C8+[1]ArtT2!C8)</f>
        <v>1</v>
      </c>
      <c r="D8" s="1">
        <f>SUM([1]Art1!D8+[1]Art2!D8+[1]Art3!D8+[1]Art4!D8+[1]Art5!D8+[1]Art6!D8+[1]Art7!D8+[1]Art8!D8+[1]Art9!D8+[1]Art10!D8+[1]Art11!D8+[1]Art12!D8+[1]Art13!D8+[1]Art14!D8+[1]Art15!D8+[1]Art16!D8+[1]Art17!D8+[1]Art18!D8+[1]Art19!D8+[1]Art20!D8+[1]Art21!D8+[1]Art22!D8+[1]Art23!D8+[1]Art24!D8+[1]Art25!D8+[1]Art26!D8+[1]Art27!D8+[1]Art28!D8+[1]Art29!D8+[1]Art30!D8+[1]Art31!D8+[1]Art32!D8+[1]Art33!D8+[1]Art34!D8+[1]Art35!D8+[1]Art36!D8+[1]Art37!D8+[1]Art38!D8+[1]ArtT1!D8+[1]ArtT2!D8)</f>
        <v>30</v>
      </c>
      <c r="E8" s="1">
        <f>SUM([1]Art1!E8+[1]Art2!E8+[1]Art3!E8+[1]Art4!E8+[1]Art5!E8+[1]Art6!E8+[1]Art7!E8+[1]Art8!E8+[1]Art9!E8+[1]Art10!E8+[1]Art11!E8+[1]Art12!E8+[1]Art13!E8+[1]Art14!E8+[1]Art15!E8+[1]Art16!E8+[1]Art17!E8+[1]Art18!E8+[1]Art19!E8+[1]Art20!E8+[1]Art21!E8+[1]Art22!E8+[1]Art23!E8+[1]Art24!E8+[1]Art25!E8+[1]Art26!E8+[1]Art27!E8+[1]Art28!E8+[1]Art29!E8+[1]Art30!E8+[1]Art31!E8+[1]Art32!E8+[1]Art33!E8+[1]Art34!E8+[1]Art35!E8+[1]Art36!E8+[1]Art37!E8+[1]Art38!E8+[1]ArtT1!E8+[1]ArtT2!E8)</f>
        <v>9</v>
      </c>
      <c r="F8" s="1">
        <f>SUM([1]Art1!F8+[1]Art2!F8+[1]Art3!F8+[1]Art4!F8+[1]Art5!F8+[1]Art6!F8+[1]Art7!F8+[1]Art8!F8+[1]Art9!F8+[1]Art10!F8+[1]Art11!F8+[1]Art12!F8+[1]Art13!F8+[1]Art14!F8+[1]Art15!F8+[1]Art16!F8+[1]Art17!F8+[1]Art18!F8+[1]Art19!F8+[1]Art20!F8+[1]Art21!F8+[1]Art22!F8+[1]Art23!F8+[1]Art24!F8+[1]Art25!F8+[1]Art26!F8+[1]Art27!F8+[1]Art28!F8+[1]Art29!F8+[1]Art30!F8+[1]Art31!F8+[1]Art32!F8+[1]Art33!F8+[1]Art34!F8+[1]Art35!F8+[1]Art36!F8+[1]Art37!F8+[1]Art38!F8+[1]ArtT1!F8+[1]ArtT2!F8)</f>
        <v>0</v>
      </c>
      <c r="H8" s="4"/>
      <c r="I8" s="4"/>
      <c r="J8" s="4"/>
      <c r="K8" s="4"/>
    </row>
    <row r="9" spans="1:11" ht="12.75" customHeight="1" x14ac:dyDescent="0.3">
      <c r="A9" s="1" t="s">
        <v>31</v>
      </c>
      <c r="B9" s="1" t="s">
        <v>13</v>
      </c>
      <c r="C9" s="1">
        <f>SUM([1]Art1!C9+[1]Art2!C9+[1]Art3!C9+[1]Art4!C9+[1]Art5!C9+[1]Art6!C9+[1]Art7!C9+[1]Art8!C9+[1]Art9!C9+[1]Art10!C9+[1]Art11!C9+[1]Art12!C9+[1]Art13!C9+[1]Art14!C9+[1]Art15!C9+[1]Art16!C9+[1]Art17!C9+[1]Art18!C9+[1]Art19!C9+[1]Art20!C9+[1]Art21!C9+[1]Art22!C9+[1]Art23!C9+[1]Art24!C9+[1]Art25!C9+[1]Art26!C9+[1]Art27!C9+[1]Art28!C9+[1]Art29!C9+[1]Art30!C9+[1]Art31!C9+[1]Art32!C9+[1]Art33!C9+[1]Art34!C9+[1]Art35!C9+[1]Art36!C9+[1]Art37!C9+[1]Art38!C9+[1]ArtT1!C9+[1]ArtT2!C9)</f>
        <v>18</v>
      </c>
      <c r="D9" s="1">
        <f>SUM([1]Art1!D9+[1]Art2!D9+[1]Art3!D9+[1]Art4!D9+[1]Art5!D9+[1]Art6!D9+[1]Art7!D9+[1]Art8!D9+[1]Art9!D9+[1]Art10!D9+[1]Art11!D9+[1]Art12!D9+[1]Art13!D9+[1]Art14!D9+[1]Art15!D9+[1]Art16!D9+[1]Art17!D9+[1]Art18!D9+[1]Art19!D9+[1]Art20!D9+[1]Art21!D9+[1]Art22!D9+[1]Art23!D9+[1]Art24!D9+[1]Art25!D9+[1]Art26!D9+[1]Art27!D9+[1]Art28!D9+[1]Art29!D9+[1]Art30!D9+[1]Art31!D9+[1]Art32!D9+[1]Art33!D9+[1]Art34!D9+[1]Art35!D9+[1]Art36!D9+[1]Art37!D9+[1]Art38!D9+[1]ArtT1!D9+[1]ArtT2!D9)</f>
        <v>17</v>
      </c>
      <c r="E9" s="1">
        <f>SUM([1]Art1!E9+[1]Art2!E9+[1]Art3!E9+[1]Art4!E9+[1]Art5!E9+[1]Art6!E9+[1]Art7!E9+[1]Art8!E9+[1]Art9!E9+[1]Art10!E9+[1]Art11!E9+[1]Art12!E9+[1]Art13!E9+[1]Art14!E9+[1]Art15!E9+[1]Art16!E9+[1]Art17!E9+[1]Art18!E9+[1]Art19!E9+[1]Art20!E9+[1]Art21!E9+[1]Art22!E9+[1]Art23!E9+[1]Art24!E9+[1]Art25!E9+[1]Art26!E9+[1]Art27!E9+[1]Art28!E9+[1]Art29!E9+[1]Art30!E9+[1]Art31!E9+[1]Art32!E9+[1]Art33!E9+[1]Art34!E9+[1]Art35!E9+[1]Art36!E9+[1]Art37!E9+[1]Art38!E9+[1]ArtT1!E9+[1]ArtT2!E9)</f>
        <v>5</v>
      </c>
      <c r="F9" s="1">
        <f>SUM([1]Art1!F9+[1]Art2!F9+[1]Art3!F9+[1]Art4!F9+[1]Art5!F9+[1]Art6!F9+[1]Art7!F9+[1]Art8!F9+[1]Art9!F9+[1]Art10!F9+[1]Art11!F9+[1]Art12!F9+[1]Art13!F9+[1]Art14!F9+[1]Art15!F9+[1]Art16!F9+[1]Art17!F9+[1]Art18!F9+[1]Art19!F9+[1]Art20!F9+[1]Art21!F9+[1]Art22!F9+[1]Art23!F9+[1]Art24!F9+[1]Art25!F9+[1]Art26!F9+[1]Art27!F9+[1]Art28!F9+[1]Art29!F9+[1]Art30!F9+[1]Art31!F9+[1]Art32!F9+[1]Art33!F9+[1]Art34!F9+[1]Art35!F9+[1]Art36!F9+[1]Art37!F9+[1]Art38!F9+[1]ArtT1!F9+[1]ArtT2!F9)</f>
        <v>0</v>
      </c>
      <c r="H9" s="4"/>
      <c r="I9" s="4"/>
      <c r="J9" s="4"/>
      <c r="K9" s="4"/>
    </row>
    <row r="10" spans="1:11" ht="12.75" customHeight="1" x14ac:dyDescent="0.3">
      <c r="A10" s="1" t="s">
        <v>32</v>
      </c>
      <c r="B10" s="1" t="s">
        <v>33</v>
      </c>
      <c r="C10" s="1">
        <f>SUM([1]Art1!C10+[1]Art2!C10+[1]Art3!C10+[1]Art4!C10+[1]Art5!C10+[1]Art6!C10+[1]Art7!C10+[1]Art8!C10+[1]Art9!C10+[1]Art10!C10+[1]Art11!C10+[1]Art12!C10+[1]Art13!C10+[1]Art14!C10+[1]Art15!C10+[1]Art16!C10+[1]Art17!C10+[1]Art18!C10+[1]Art19!C10+[1]Art20!C10+[1]Art21!C10+[1]Art22!C10+[1]Art23!C10+[1]Art24!C10+[1]Art25!C10+[1]Art26!C10+[1]Art27!C10+[1]Art28!C10+[1]Art29!C10+[1]Art30!C10+[1]Art31!C10+[1]Art32!C10+[1]Art33!C10+[1]Art34!C10+[1]Art35!C10+[1]Art36!C10+[1]Art37!C10+[1]Art38!C10+[1]ArtT1!C10+[1]ArtT2!C10)</f>
        <v>36</v>
      </c>
      <c r="D10" s="1">
        <f>SUM([1]Art1!D10+[1]Art2!D10+[1]Art3!D10+[1]Art4!D10+[1]Art5!D10+[1]Art6!D10+[1]Art7!D10+[1]Art8!D10+[1]Art9!D10+[1]Art10!D10+[1]Art11!D10+[1]Art12!D10+[1]Art13!D10+[1]Art14!D10+[1]Art15!D10+[1]Art16!D10+[1]Art17!D10+[1]Art18!D10+[1]Art19!D10+[1]Art20!D10+[1]Art21!D10+[1]Art22!D10+[1]Art23!D10+[1]Art24!D10+[1]Art25!D10+[1]Art26!D10+[1]Art27!D10+[1]Art28!D10+[1]Art29!D10+[1]Art30!D10+[1]Art31!D10+[1]Art32!D10+[1]Art33!D10+[1]Art34!D10+[1]Art35!D10+[1]Art36!D10+[1]Art37!D10+[1]Art38!D10+[1]ArtT1!D10+[1]ArtT2!D10)</f>
        <v>0</v>
      </c>
      <c r="E10" s="1">
        <f>SUM([1]Art1!E10+[1]Art2!E10+[1]Art3!E10+[1]Art4!E10+[1]Art5!E10+[1]Art6!E10+[1]Art7!E10+[1]Art8!E10+[1]Art9!E10+[1]Art10!E10+[1]Art11!E10+[1]Art12!E10+[1]Art13!E10+[1]Art14!E10+[1]Art15!E10+[1]Art16!E10+[1]Art17!E10+[1]Art18!E10+[1]Art19!E10+[1]Art20!E10+[1]Art21!E10+[1]Art22!E10+[1]Art23!E10+[1]Art24!E10+[1]Art25!E10+[1]Art26!E10+[1]Art27!E10+[1]Art28!E10+[1]Art29!E10+[1]Art30!E10+[1]Art31!E10+[1]Art32!E10+[1]Art33!E10+[1]Art34!E10+[1]Art35!E10+[1]Art36!E10+[1]Art37!E10+[1]Art38!E10+[1]ArtT1!E10+[1]ArtT2!E10)</f>
        <v>4</v>
      </c>
      <c r="F10" s="1">
        <f>SUM([1]Art1!F10+[1]Art2!F10+[1]Art3!F10+[1]Art4!F10+[1]Art5!F10+[1]Art6!F10+[1]Art7!F10+[1]Art8!F10+[1]Art9!F10+[1]Art10!F10+[1]Art11!F10+[1]Art12!F10+[1]Art13!F10+[1]Art14!F10+[1]Art15!F10+[1]Art16!F10+[1]Art17!F10+[1]Art18!F10+[1]Art19!F10+[1]Art20!F10+[1]Art21!F10+[1]Art22!F10+[1]Art23!F10+[1]Art24!F10+[1]Art25!F10+[1]Art26!F10+[1]Art27!F10+[1]Art28!F10+[1]Art29!F10+[1]Art30!F10+[1]Art31!F10+[1]Art32!F10+[1]Art33!F10+[1]Art34!F10+[1]Art35!F10+[1]Art36!F10+[1]Art37!F10+[1]Art38!F10+[1]ArtT1!F10+[1]ArtT2!F10)</f>
        <v>0</v>
      </c>
      <c r="H10" s="4"/>
      <c r="I10" s="4"/>
      <c r="J10" s="4"/>
      <c r="K10" s="4"/>
    </row>
    <row r="11" spans="1:11" ht="12.75" customHeight="1" x14ac:dyDescent="0.3">
      <c r="A11" s="1" t="s">
        <v>34</v>
      </c>
      <c r="B11" s="1" t="s">
        <v>33</v>
      </c>
      <c r="C11" s="1">
        <f>SUM([1]Art1!C11+[1]Art2!C11+[1]Art3!C11+[1]Art4!C11+[1]Art5!C11+[1]Art6!C11+[1]Art7!C11+[1]Art8!C11+[1]Art9!C11+[1]Art10!C11+[1]Art11!C11+[1]Art12!C11+[1]Art13!C11+[1]Art14!C11+[1]Art15!C11+[1]Art16!C11+[1]Art17!C11+[1]Art18!C11+[1]Art19!C11+[1]Art20!C11+[1]Art21!C11+[1]Art22!C11+[1]Art23!C11+[1]Art24!C11+[1]Art25!C11+[1]Art26!C11+[1]Art27!C11+[1]Art28!C11+[1]Art29!C11+[1]Art30!C11+[1]Art31!C11+[1]Art32!C11+[1]Art33!C11+[1]Art34!C11+[1]Art35!C11+[1]Art36!C11+[1]Art37!C11+[1]Art38!C11+[1]ArtT1!C11+[1]ArtT2!C11)</f>
        <v>40</v>
      </c>
      <c r="D11" s="1">
        <f>SUM([1]Art1!D11+[1]Art2!D11+[1]Art3!D11+[1]Art4!D11+[1]Art5!D11+[1]Art6!D11+[1]Art7!D11+[1]Art8!D11+[1]Art9!D11+[1]Art10!D11+[1]Art11!D11+[1]Art12!D11+[1]Art13!D11+[1]Art14!D11+[1]Art15!D11+[1]Art16!D11+[1]Art17!D11+[1]Art18!D11+[1]Art19!D11+[1]Art20!D11+[1]Art21!D11+[1]Art22!D11+[1]Art23!D11+[1]Art24!D11+[1]Art25!D11+[1]Art26!D11+[1]Art27!D11+[1]Art28!D11+[1]Art29!D11+[1]Art30!D11+[1]Art31!D11+[1]Art32!D11+[1]Art33!D11+[1]Art34!D11+[1]Art35!D11+[1]Art36!D11+[1]Art37!D11+[1]Art38!D11+[1]ArtT1!D11+[1]ArtT2!D11)</f>
        <v>0</v>
      </c>
      <c r="E11" s="1">
        <f>SUM([1]Art1!E11+[1]Art2!E11+[1]Art3!E11+[1]Art4!E11+[1]Art5!E11+[1]Art6!E11+[1]Art7!E11+[1]Art8!E11+[1]Art9!E11+[1]Art10!E11+[1]Art11!E11+[1]Art12!E11+[1]Art13!E11+[1]Art14!E11+[1]Art15!E11+[1]Art16!E11+[1]Art17!E11+[1]Art18!E11+[1]Art19!E11+[1]Art20!E11+[1]Art21!E11+[1]Art22!E11+[1]Art23!E11+[1]Art24!E11+[1]Art25!E11+[1]Art26!E11+[1]Art27!E11+[1]Art28!E11+[1]Art29!E11+[1]Art30!E11+[1]Art31!E11+[1]Art32!E11+[1]Art33!E11+[1]Art34!E11+[1]Art35!E11+[1]Art36!E11+[1]Art37!E11+[1]Art38!E11+[1]ArtT1!E11+[1]ArtT2!E11)</f>
        <v>0</v>
      </c>
      <c r="F11" s="1">
        <f>SUM([1]Art1!F11+[1]Art2!F11+[1]Art3!F11+[1]Art4!F11+[1]Art5!F11+[1]Art6!F11+[1]Art7!F11+[1]Art8!F11+[1]Art9!F11+[1]Art10!F11+[1]Art11!F11+[1]Art12!F11+[1]Art13!F11+[1]Art14!F11+[1]Art15!F11+[1]Art16!F11+[1]Art17!F11+[1]Art18!F11+[1]Art19!F11+[1]Art20!F11+[1]Art21!F11+[1]Art22!F11+[1]Art23!F11+[1]Art24!F11+[1]Art25!F11+[1]Art26!F11+[1]Art27!F11+[1]Art28!F11+[1]Art29!F11+[1]Art30!F11+[1]Art31!F11+[1]Art32!F11+[1]Art33!F11+[1]Art34!F11+[1]Art35!F11+[1]Art36!F11+[1]Art37!F11+[1]Art38!F11+[1]ArtT1!F11+[1]ArtT2!F11)</f>
        <v>0</v>
      </c>
      <c r="H11" s="4"/>
      <c r="I11" s="4"/>
      <c r="J11" s="4"/>
      <c r="K11" s="4"/>
    </row>
    <row r="12" spans="1:11" ht="12.75" customHeight="1" x14ac:dyDescent="0.3">
      <c r="A12" s="1" t="s">
        <v>36</v>
      </c>
      <c r="B12" s="1" t="s">
        <v>37</v>
      </c>
      <c r="C12" s="1">
        <f>SUM([1]Art1!C12+[1]Art2!C12+[1]Art3!C12+[1]Art4!C12+[1]Art5!C12+[1]Art6!C12+[1]Art7!C12+[1]Art8!C12+[1]Art9!C12+[1]Art10!C12+[1]Art11!C12+[1]Art12!C12+[1]Art13!C12+[1]Art14!C12+[1]Art15!C12+[1]Art16!C12+[1]Art17!C12+[1]Art18!C12+[1]Art19!C12+[1]Art20!C12+[1]Art21!C12+[1]Art22!C12+[1]Art23!C12+[1]Art24!C12+[1]Art25!C12+[1]Art26!C12+[1]Art27!C12+[1]Art28!C12+[1]Art29!C12+[1]Art30!C12+[1]Art31!C12+[1]Art32!C12+[1]Art33!C12+[1]Art34!C12+[1]Art35!C12+[1]Art36!C12+[1]Art37!C12+[1]Art38!C12+[1]ArtT1!C12+[1]ArtT2!C12)</f>
        <v>39</v>
      </c>
      <c r="D12" s="1">
        <f>SUM([1]Art1!D12+[1]Art2!D12+[1]Art3!D12+[1]Art4!D12+[1]Art5!D12+[1]Art6!D12+[1]Art7!D12+[1]Art8!D12+[1]Art9!D12+[1]Art10!D12+[1]Art11!D12+[1]Art12!D12+[1]Art13!D12+[1]Art14!D12+[1]Art15!D12+[1]Art16!D12+[1]Art17!D12+[1]Art18!D12+[1]Art19!D12+[1]Art20!D12+[1]Art21!D12+[1]Art22!D12+[1]Art23!D12+[1]Art24!D12+[1]Art25!D12+[1]Art26!D12+[1]Art27!D12+[1]Art28!D12+[1]Art29!D12+[1]Art30!D12+[1]Art31!D12+[1]Art32!D12+[1]Art33!D12+[1]Art34!D12+[1]Art35!D12+[1]Art36!D12+[1]Art37!D12+[1]Art38!D12+[1]ArtT1!D12+[1]ArtT2!D12)</f>
        <v>0</v>
      </c>
      <c r="E12" s="1">
        <f>SUM([1]Art1!E12+[1]Art2!E12+[1]Art3!E12+[1]Art4!E12+[1]Art5!E12+[1]Art6!E12+[1]Art7!E12+[1]Art8!E12+[1]Art9!E12+[1]Art10!E12+[1]Art11!E12+[1]Art12!E12+[1]Art13!E12+[1]Art14!E12+[1]Art15!E12+[1]Art16!E12+[1]Art17!E12+[1]Art18!E12+[1]Art19!E12+[1]Art20!E12+[1]Art21!E12+[1]Art22!E12+[1]Art23!E12+[1]Art24!E12+[1]Art25!E12+[1]Art26!E12+[1]Art27!E12+[1]Art28!E12+[1]Art29!E12+[1]Art30!E12+[1]Art31!E12+[1]Art32!E12+[1]Art33!E12+[1]Art34!E12+[1]Art35!E12+[1]Art36!E12+[1]Art37!E12+[1]Art38!E12+[1]ArtT1!E12+[1]ArtT2!E12)</f>
        <v>0</v>
      </c>
      <c r="F12" s="1">
        <f>SUM([1]Art1!F12+[1]Art2!F12+[1]Art3!F12+[1]Art4!F12+[1]Art5!F12+[1]Art6!F12+[1]Art7!F12+[1]Art8!F12+[1]Art9!F12+[1]Art10!F12+[1]Art11!F12+[1]Art12!F12+[1]Art13!F12+[1]Art14!F12+[1]Art15!F12+[1]Art16!F12+[1]Art17!F12+[1]Art18!F12+[1]Art19!F12+[1]Art20!F12+[1]Art21!F12+[1]Art22!F12+[1]Art23!F12+[1]Art24!F12+[1]Art25!F12+[1]Art26!F12+[1]Art27!F12+[1]Art28!F12+[1]Art29!F12+[1]Art30!F12+[1]Art31!F12+[1]Art32!F12+[1]Art33!F12+[1]Art34!F12+[1]Art35!F12+[1]Art36!F12+[1]Art37!F12+[1]Art38!F12+[1]ArtT1!F12+[1]ArtT2!F12)</f>
        <v>1</v>
      </c>
      <c r="H12" s="4"/>
      <c r="I12" s="4"/>
      <c r="J12" s="4"/>
      <c r="K12" s="4"/>
    </row>
    <row r="13" spans="1:11" ht="12.75" customHeight="1" x14ac:dyDescent="0.3">
      <c r="A13" s="1" t="s">
        <v>39</v>
      </c>
      <c r="B13" s="1" t="s">
        <v>30</v>
      </c>
      <c r="C13" s="1">
        <f>SUM([1]Art1!C13+[1]Art2!C13+[1]Art3!C13+[1]Art4!C13+[1]Art5!C13+[1]Art6!C13+[1]Art7!C13+[1]Art8!C13+[1]Art9!C13+[1]Art10!C13+[1]Art11!C13+[1]Art12!C13+[1]Art13!C13+[1]Art14!C13+[1]Art15!C13+[1]Art16!C13+[1]Art17!C13+[1]Art18!C13+[1]Art19!C13+[1]Art20!C13+[1]Art21!C13+[1]Art22!C13+[1]Art23!C13+[1]Art24!C13+[1]Art25!C13+[1]Art26!C13+[1]Art27!C13+[1]Art28!C13+[1]Art29!C13+[1]Art30!C13+[1]Art31!C13+[1]Art32!C13+[1]Art33!C13+[1]Art34!C13+[1]Art35!C13+[1]Art36!C13+[1]Art37!C13+[1]Art38!C13+[1]ArtT1!C13+[1]ArtT2!C13)</f>
        <v>0</v>
      </c>
      <c r="D13" s="1">
        <f>SUM([1]Art1!D13+[1]Art2!D13+[1]Art3!D13+[1]Art4!D13+[1]Art5!D13+[1]Art6!D13+[1]Art7!D13+[1]Art8!D13+[1]Art9!D13+[1]Art10!D13+[1]Art11!D13+[1]Art12!D13+[1]Art13!D13+[1]Art14!D13+[1]Art15!D13+[1]Art16!D13+[1]Art17!D13+[1]Art18!D13+[1]Art19!D13+[1]Art20!D13+[1]Art21!D13+[1]Art22!D13+[1]Art23!D13+[1]Art24!D13+[1]Art25!D13+[1]Art26!D13+[1]Art27!D13+[1]Art28!D13+[1]Art29!D13+[1]Art30!D13+[1]Art31!D13+[1]Art32!D13+[1]Art33!D13+[1]Art34!D13+[1]Art35!D13+[1]Art36!D13+[1]Art37!D13+[1]Art38!D13+[1]ArtT1!D13+[1]ArtT2!D13)</f>
        <v>30</v>
      </c>
      <c r="E13" s="1">
        <f>SUM([1]Art1!E13+[1]Art2!E13+[1]Art3!E13+[1]Art4!E13+[1]Art5!E13+[1]Art6!E13+[1]Art7!E13+[1]Art8!E13+[1]Art9!E13+[1]Art10!E13+[1]Art11!E13+[1]Art12!E13+[1]Art13!E13+[1]Art14!E13+[1]Art15!E13+[1]Art16!E13+[1]Art17!E13+[1]Art18!E13+[1]Art19!E13+[1]Art20!E13+[1]Art21!E13+[1]Art22!E13+[1]Art23!E13+[1]Art24!E13+[1]Art25!E13+[1]Art26!E13+[1]Art27!E13+[1]Art28!E13+[1]Art29!E13+[1]Art30!E13+[1]Art31!E13+[1]Art32!E13+[1]Art33!E13+[1]Art34!E13+[1]Art35!E13+[1]Art36!E13+[1]Art37!E13+[1]Art38!E13+[1]ArtT1!E13+[1]ArtT2!E13)</f>
        <v>10</v>
      </c>
      <c r="F13" s="1">
        <f>SUM([1]Art1!F13+[1]Art2!F13+[1]Art3!F13+[1]Art4!F13+[1]Art5!F13+[1]Art6!F13+[1]Art7!F13+[1]Art8!F13+[1]Art9!F13+[1]Art10!F13+[1]Art11!F13+[1]Art12!F13+[1]Art13!F13+[1]Art14!F13+[1]Art15!F13+[1]Art16!F13+[1]Art17!F13+[1]Art18!F13+[1]Art19!F13+[1]Art20!F13+[1]Art21!F13+[1]Art22!F13+[1]Art23!F13+[1]Art24!F13+[1]Art25!F13+[1]Art26!F13+[1]Art27!F13+[1]Art28!F13+[1]Art29!F13+[1]Art30!F13+[1]Art31!F13+[1]Art32!F13+[1]Art33!F13+[1]Art34!F13+[1]Art35!F13+[1]Art36!F13+[1]Art37!F13+[1]Art38!F13+[1]ArtT1!F13+[1]ArtT2!F13)</f>
        <v>0</v>
      </c>
      <c r="H13" s="4"/>
      <c r="I13" s="4"/>
      <c r="J13" s="4"/>
      <c r="K13" s="4"/>
    </row>
    <row r="14" spans="1:11" ht="12.75" customHeight="1" x14ac:dyDescent="0.3">
      <c r="A14" s="1" t="s">
        <v>40</v>
      </c>
      <c r="B14" s="1" t="s">
        <v>19</v>
      </c>
      <c r="C14" s="1">
        <f>SUM([1]Art1!C14+[1]Art2!C14+[1]Art3!C14+[1]Art4!C14+[1]Art5!C14+[1]Art6!C14+[1]Art7!C14+[1]Art8!C14+[1]Art9!C14+[1]Art10!C14+[1]Art11!C14+[1]Art12!C14+[1]Art13!C14+[1]Art14!C14+[1]Art15!C14+[1]Art16!C14+[1]Art17!C14+[1]Art18!C14+[1]Art19!C14+[1]Art20!C14+[1]Art21!C14+[1]Art22!C14+[1]Art23!C14+[1]Art24!C14+[1]Art25!C14+[1]Art26!C14+[1]Art27!C14+[1]Art28!C14+[1]Art29!C14+[1]Art30!C14+[1]Art31!C14+[1]Art32!C14+[1]Art33!C14+[1]Art34!C14+[1]Art35!C14+[1]Art36!C14+[1]Art37!C14+[1]Art38!C14+[1]ArtT1!C14+[1]ArtT2!C14)</f>
        <v>40</v>
      </c>
      <c r="D14" s="1">
        <f>SUM([1]Art1!D14+[1]Art2!D14+[1]Art3!D14+[1]Art4!D14+[1]Art5!D14+[1]Art6!D14+[1]Art7!D14+[1]Art8!D14+[1]Art9!D14+[1]Art10!D14+[1]Art11!D14+[1]Art12!D14+[1]Art13!D14+[1]Art14!D14+[1]Art15!D14+[1]Art16!D14+[1]Art17!D14+[1]Art18!D14+[1]Art19!D14+[1]Art20!D14+[1]Art21!D14+[1]Art22!D14+[1]Art23!D14+[1]Art24!D14+[1]Art25!D14+[1]Art26!D14+[1]Art27!D14+[1]Art28!D14+[1]Art29!D14+[1]Art30!D14+[1]Art31!D14+[1]Art32!D14+[1]Art33!D14+[1]Art34!D14+[1]Art35!D14+[1]Art36!D14+[1]Art37!D14+[1]Art38!D14+[1]ArtT1!D14+[1]ArtT2!D14)</f>
        <v>0</v>
      </c>
      <c r="E14" s="1">
        <f>SUM([1]Art1!E14+[1]Art2!E14+[1]Art3!E14+[1]Art4!E14+[1]Art5!E14+[1]Art6!E14+[1]Art7!E14+[1]Art8!E14+[1]Art9!E14+[1]Art10!E14+[1]Art11!E14+[1]Art12!E14+[1]Art13!E14+[1]Art14!E14+[1]Art15!E14+[1]Art16!E14+[1]Art17!E14+[1]Art18!E14+[1]Art19!E14+[1]Art20!E14+[1]Art21!E14+[1]Art22!E14+[1]Art23!E14+[1]Art24!E14+[1]Art25!E14+[1]Art26!E14+[1]Art27!E14+[1]Art28!E14+[1]Art29!E14+[1]Art30!E14+[1]Art31!E14+[1]Art32!E14+[1]Art33!E14+[1]Art34!E14+[1]Art35!E14+[1]Art36!E14+[1]Art37!E14+[1]Art38!E14+[1]ArtT1!E14+[1]ArtT2!E14)</f>
        <v>0</v>
      </c>
      <c r="F14" s="1">
        <f>SUM([1]Art1!F14+[1]Art2!F14+[1]Art3!F14+[1]Art4!F14+[1]Art5!F14+[1]Art6!F14+[1]Art7!F14+[1]Art8!F14+[1]Art9!F14+[1]Art10!F14+[1]Art11!F14+[1]Art12!F14+[1]Art13!F14+[1]Art14!F14+[1]Art15!F14+[1]Art16!F14+[1]Art17!F14+[1]Art18!F14+[1]Art19!F14+[1]Art20!F14+[1]Art21!F14+[1]Art22!F14+[1]Art23!F14+[1]Art24!F14+[1]Art25!F14+[1]Art26!F14+[1]Art27!F14+[1]Art28!F14+[1]Art29!F14+[1]Art30!F14+[1]Art31!F14+[1]Art32!F14+[1]Art33!F14+[1]Art34!F14+[1]Art35!F14+[1]Art36!F14+[1]Art37!F14+[1]Art38!F14+[1]ArtT1!F14+[1]ArtT2!F14)</f>
        <v>0</v>
      </c>
      <c r="H14" s="4"/>
      <c r="I14" s="4"/>
      <c r="J14" s="4"/>
      <c r="K14" s="4"/>
    </row>
    <row r="15" spans="1:11" ht="12.75" customHeight="1" x14ac:dyDescent="0.3">
      <c r="A15" s="1" t="s">
        <v>41</v>
      </c>
      <c r="B15" s="1" t="s">
        <v>42</v>
      </c>
      <c r="C15" s="1">
        <f>SUM([1]Art1!C15+[1]Art2!C15+[1]Art3!C15+[1]Art4!C15+[1]Art5!C15+[1]Art6!C15+[1]Art7!C15+[1]Art8!C15+[1]Art9!C15+[1]Art10!C15+[1]Art11!C15+[1]Art12!C15+[1]Art13!C15+[1]Art14!C15+[1]Art15!C15+[1]Art16!C15+[1]Art17!C15+[1]Art18!C15+[1]Art19!C15+[1]Art20!C15+[1]Art21!C15+[1]Art22!C15+[1]Art23!C15+[1]Art24!C15+[1]Art25!C15+[1]Art26!C15+[1]Art27!C15+[1]Art28!C15+[1]Art29!C15+[1]Art30!C15+[1]Art31!C15+[1]Art32!C15+[1]Art33!C15+[1]Art34!C15+[1]Art35!C15+[1]Art36!C15+[1]Art37!C15+[1]Art38!C15+[1]ArtT1!C15+[1]ArtT2!C15)</f>
        <v>40</v>
      </c>
      <c r="D15" s="1">
        <f>SUM([1]Art1!D15+[1]Art2!D15+[1]Art3!D15+[1]Art4!D15+[1]Art5!D15+[1]Art6!D15+[1]Art7!D15+[1]Art8!D15+[1]Art9!D15+[1]Art10!D15+[1]Art11!D15+[1]Art12!D15+[1]Art13!D15+[1]Art14!D15+[1]Art15!D15+[1]Art16!D15+[1]Art17!D15+[1]Art18!D15+[1]Art19!D15+[1]Art20!D15+[1]Art21!D15+[1]Art22!D15+[1]Art23!D15+[1]Art24!D15+[1]Art25!D15+[1]Art26!D15+[1]Art27!D15+[1]Art28!D15+[1]Art29!D15+[1]Art30!D15+[1]Art31!D15+[1]Art32!D15+[1]Art33!D15+[1]Art34!D15+[1]Art35!D15+[1]Art36!D15+[1]Art37!D15+[1]Art38!D15+[1]ArtT1!D15+[1]ArtT2!D15)</f>
        <v>0</v>
      </c>
      <c r="E15" s="1">
        <f>SUM([1]Art1!E15+[1]Art2!E15+[1]Art3!E15+[1]Art4!E15+[1]Art5!E15+[1]Art6!E15+[1]Art7!E15+[1]Art8!E15+[1]Art9!E15+[1]Art10!E15+[1]Art11!E15+[1]Art12!E15+[1]Art13!E15+[1]Art14!E15+[1]Art15!E15+[1]Art16!E15+[1]Art17!E15+[1]Art18!E15+[1]Art19!E15+[1]Art20!E15+[1]Art21!E15+[1]Art22!E15+[1]Art23!E15+[1]Art24!E15+[1]Art25!E15+[1]Art26!E15+[1]Art27!E15+[1]Art28!E15+[1]Art29!E15+[1]Art30!E15+[1]Art31!E15+[1]Art32!E15+[1]Art33!E15+[1]Art34!E15+[1]Art35!E15+[1]Art36!E15+[1]Art37!E15+[1]Art38!E15+[1]ArtT1!E15+[1]ArtT2!E15)</f>
        <v>0</v>
      </c>
      <c r="F15" s="1">
        <f>SUM([1]Art1!F15+[1]Art2!F15+[1]Art3!F15+[1]Art4!F15+[1]Art5!F15+[1]Art6!F15+[1]Art7!F15+[1]Art8!F15+[1]Art9!F15+[1]Art10!F15+[1]Art11!F15+[1]Art12!F15+[1]Art13!F15+[1]Art14!F15+[1]Art15!F15+[1]Art16!F15+[1]Art17!F15+[1]Art18!F15+[1]Art19!F15+[1]Art20!F15+[1]Art21!F15+[1]Art22!F15+[1]Art23!F15+[1]Art24!F15+[1]Art25!F15+[1]Art26!F15+[1]Art27!F15+[1]Art28!F15+[1]Art29!F15+[1]Art30!F15+[1]Art31!F15+[1]Art32!F15+[1]Art33!F15+[1]Art34!F15+[1]Art35!F15+[1]Art36!F15+[1]Art37!F15+[1]Art38!F15+[1]ArtT1!F15+[1]ArtT2!F15)</f>
        <v>0</v>
      </c>
      <c r="H15" s="4"/>
      <c r="I15" s="4"/>
      <c r="J15" s="4"/>
      <c r="K15" s="4"/>
    </row>
    <row r="16" spans="1:11" ht="12.75" customHeight="1" x14ac:dyDescent="0.3">
      <c r="A16" s="1" t="s">
        <v>43</v>
      </c>
      <c r="B16" s="1" t="s">
        <v>30</v>
      </c>
      <c r="C16" s="1">
        <f>SUM([1]Art1!C16+[1]Art2!C16+[1]Art3!C16+[1]Art4!C16+[1]Art5!C16+[1]Art6!C16+[1]Art7!C16+[1]Art8!C16+[1]Art9!C16+[1]Art10!C16+[1]Art11!C16+[1]Art12!C16+[1]Art13!C16+[1]Art14!C16+[1]Art15!C16+[1]Art16!C16+[1]Art17!C16+[1]Art18!C16+[1]Art19!C16+[1]Art20!C16+[1]Art21!C16+[1]Art22!C16+[1]Art23!C16+[1]Art24!C16+[1]Art25!C16+[1]Art26!C16+[1]Art27!C16+[1]Art28!C16+[1]Art29!C16+[1]Art30!C16+[1]Art31!C16+[1]Art32!C16+[1]Art33!C16+[1]Art34!C16+[1]Art35!C16+[1]Art36!C16+[1]Art37!C16+[1]Art38!C16+[1]ArtT1!C16+[1]ArtT2!C16)</f>
        <v>0</v>
      </c>
      <c r="D16" s="1">
        <f>SUM([1]Art1!D16+[1]Art2!D16+[1]Art3!D16+[1]Art4!D16+[1]Art5!D16+[1]Art6!D16+[1]Art7!D16+[1]Art8!D16+[1]Art9!D16+[1]Art10!D16+[1]Art11!D16+[1]Art12!D16+[1]Art13!D16+[1]Art14!D16+[1]Art15!D16+[1]Art16!D16+[1]Art17!D16+[1]Art18!D16+[1]Art19!D16+[1]Art20!D16+[1]Art21!D16+[1]Art22!D16+[1]Art23!D16+[1]Art24!D16+[1]Art25!D16+[1]Art26!D16+[1]Art27!D16+[1]Art28!D16+[1]Art29!D16+[1]Art30!D16+[1]Art31!D16+[1]Art32!D16+[1]Art33!D16+[1]Art34!D16+[1]Art35!D16+[1]Art36!D16+[1]Art37!D16+[1]Art38!D16+[1]ArtT1!D16+[1]ArtT2!D16)</f>
        <v>36</v>
      </c>
      <c r="E16" s="1">
        <f>SUM([1]Art1!E16+[1]Art2!E16+[1]Art3!E16+[1]Art4!E16+[1]Art5!E16+[1]Art6!E16+[1]Art7!E16+[1]Art8!E16+[1]Art9!E16+[1]Art10!E16+[1]Art11!E16+[1]Art12!E16+[1]Art13!E16+[1]Art14!E16+[1]Art15!E16+[1]Art16!E16+[1]Art17!E16+[1]Art18!E16+[1]Art19!E16+[1]Art20!E16+[1]Art21!E16+[1]Art22!E16+[1]Art23!E16+[1]Art24!E16+[1]Art25!E16+[1]Art26!E16+[1]Art27!E16+[1]Art28!E16+[1]Art29!E16+[1]Art30!E16+[1]Art31!E16+[1]Art32!E16+[1]Art33!E16+[1]Art34!E16+[1]Art35!E16+[1]Art36!E16+[1]Art37!E16+[1]Art38!E16+[1]ArtT1!E16+[1]ArtT2!E16)</f>
        <v>4</v>
      </c>
      <c r="F16" s="1">
        <f>SUM([1]Art1!F16+[1]Art2!F16+[1]Art3!F16+[1]Art4!F16+[1]Art5!F16+[1]Art6!F16+[1]Art7!F16+[1]Art8!F16+[1]Art9!F16+[1]Art10!F16+[1]Art11!F16+[1]Art12!F16+[1]Art13!F16+[1]Art14!F16+[1]Art15!F16+[1]Art16!F16+[1]Art17!F16+[1]Art18!F16+[1]Art19!F16+[1]Art20!F16+[1]Art21!F16+[1]Art22!F16+[1]Art23!F16+[1]Art24!F16+[1]Art25!F16+[1]Art26!F16+[1]Art27!F16+[1]Art28!F16+[1]Art29!F16+[1]Art30!F16+[1]Art31!F16+[1]Art32!F16+[1]Art33!F16+[1]Art34!F16+[1]Art35!F16+[1]Art36!F16+[1]Art37!F16+[1]Art38!F16+[1]ArtT1!F16+[1]ArtT2!F16)</f>
        <v>0</v>
      </c>
      <c r="H16" s="4"/>
      <c r="I16" s="4"/>
      <c r="J16" s="4"/>
      <c r="K16" s="4"/>
    </row>
    <row r="17" spans="1:11" ht="12.75" customHeight="1" x14ac:dyDescent="0.3">
      <c r="A17" s="1" t="s">
        <v>44</v>
      </c>
      <c r="B17" s="1" t="s">
        <v>13</v>
      </c>
      <c r="C17" s="1">
        <f>SUM([1]Art1!C17+[1]Art2!C17+[1]Art3!C17+[1]Art4!C17+[1]Art5!C17+[1]Art6!C17+[1]Art7!C17+[1]Art8!C17+[1]Art9!C17+[1]Art10!C17+[1]Art11!C17+[1]Art12!C17+[1]Art13!C17+[1]Art14!C17+[1]Art15!C17+[1]Art16!C17+[1]Art17!C17+[1]Art18!C17+[1]Art19!C17+[1]Art20!C17+[1]Art21!C17+[1]Art22!C17+[1]Art23!C17+[1]Art24!C17+[1]Art25!C17+[1]Art26!C17+[1]Art27!C17+[1]Art28!C17+[1]Art29!C17+[1]Art30!C17+[1]Art31!C17+[1]Art32!C17+[1]Art33!C17+[1]Art34!C17+[1]Art35!C17+[1]Art36!C17+[1]Art37!C17+[1]Art38!C17+[1]ArtT1!C17+[1]ArtT2!C17)</f>
        <v>5</v>
      </c>
      <c r="D17" s="1">
        <f>SUM([1]Art1!D17+[1]Art2!D17+[1]Art3!D17+[1]Art4!D17+[1]Art5!D17+[1]Art6!D17+[1]Art7!D17+[1]Art8!D17+[1]Art9!D17+[1]Art10!D17+[1]Art11!D17+[1]Art12!D17+[1]Art13!D17+[1]Art14!D17+[1]Art15!D17+[1]Art16!D17+[1]Art17!D17+[1]Art18!D17+[1]Art19!D17+[1]Art20!D17+[1]Art21!D17+[1]Art22!D17+[1]Art23!D17+[1]Art24!D17+[1]Art25!D17+[1]Art26!D17+[1]Art27!D17+[1]Art28!D17+[1]Art29!D17+[1]Art30!D17+[1]Art31!D17+[1]Art32!D17+[1]Art33!D17+[1]Art34!D17+[1]Art35!D17+[1]Art36!D17+[1]Art37!D17+[1]Art38!D17+[1]ArtT1!D17+[1]ArtT2!D17)</f>
        <v>35</v>
      </c>
      <c r="E17" s="1">
        <f>SUM([1]Art1!E17+[1]Art2!E17+[1]Art3!E17+[1]Art4!E17+[1]Art5!E17+[1]Art6!E17+[1]Art7!E17+[1]Art8!E17+[1]Art9!E17+[1]Art10!E17+[1]Art11!E17+[1]Art12!E17+[1]Art13!E17+[1]Art14!E17+[1]Art15!E17+[1]Art16!E17+[1]Art17!E17+[1]Art18!E17+[1]Art19!E17+[1]Art20!E17+[1]Art21!E17+[1]Art22!E17+[1]Art23!E17+[1]Art24!E17+[1]Art25!E17+[1]Art26!E17+[1]Art27!E17+[1]Art28!E17+[1]Art29!E17+[1]Art30!E17+[1]Art31!E17+[1]Art32!E17+[1]Art33!E17+[1]Art34!E17+[1]Art35!E17+[1]Art36!E17+[1]Art37!E17+[1]Art38!E17+[1]ArtT1!E17+[1]ArtT2!E17)</f>
        <v>0</v>
      </c>
      <c r="F17" s="1">
        <f>SUM([1]Art1!F17+[1]Art2!F17+[1]Art3!F17+[1]Art4!F17+[1]Art5!F17+[1]Art6!F17+[1]Art7!F17+[1]Art8!F17+[1]Art9!F17+[1]Art10!F17+[1]Art11!F17+[1]Art12!F17+[1]Art13!F17+[1]Art14!F17+[1]Art15!F17+[1]Art16!F17+[1]Art17!F17+[1]Art18!F17+[1]Art19!F17+[1]Art20!F17+[1]Art21!F17+[1]Art22!F17+[1]Art23!F17+[1]Art24!F17+[1]Art25!F17+[1]Art26!F17+[1]Art27!F17+[1]Art28!F17+[1]Art29!F17+[1]Art30!F17+[1]Art31!F17+[1]Art32!F17+[1]Art33!F17+[1]Art34!F17+[1]Art35!F17+[1]Art36!F17+[1]Art37!F17+[1]Art38!F17+[1]ArtT1!F17+[1]ArtT2!F17)</f>
        <v>0</v>
      </c>
      <c r="H17" s="4"/>
      <c r="I17" s="4"/>
      <c r="J17" s="4"/>
      <c r="K17" s="4"/>
    </row>
    <row r="18" spans="1:11" ht="12.75" customHeight="1" x14ac:dyDescent="0.3">
      <c r="A18" s="1" t="s">
        <v>45</v>
      </c>
      <c r="B18" s="1" t="s">
        <v>37</v>
      </c>
      <c r="C18" s="1">
        <f>SUM([1]Art1!C18+[1]Art2!C18+[1]Art3!C18+[1]Art4!C18+[1]Art5!C18+[1]Art6!C18+[1]Art7!C18+[1]Art8!C18+[1]Art9!C18+[1]Art10!C18+[1]Art11!C18+[1]Art12!C18+[1]Art13!C18+[1]Art14!C18+[1]Art15!C18+[1]Art16!C18+[1]Art17!C18+[1]Art18!C18+[1]Art19!C18+[1]Art20!C18+[1]Art21!C18+[1]Art22!C18+[1]Art23!C18+[1]Art24!C18+[1]Art25!C18+[1]Art26!C18+[1]Art27!C18+[1]Art28!C18+[1]Art29!C18+[1]Art30!C18+[1]Art31!C18+[1]Art32!C18+[1]Art33!C18+[1]Art34!C18+[1]Art35!C18+[1]Art36!C18+[1]Art37!C18+[1]Art38!C18+[1]ArtT1!C18+[1]ArtT2!C18)</f>
        <v>35</v>
      </c>
      <c r="D18" s="1">
        <f>SUM([1]Art1!D18+[1]Art2!D18+[1]Art3!D18+[1]Art4!D18+[1]Art5!D18+[1]Art6!D18+[1]Art7!D18+[1]Art8!D18+[1]Art9!D18+[1]Art10!D18+[1]Art11!D18+[1]Art12!D18+[1]Art13!D18+[1]Art14!D18+[1]Art15!D18+[1]Art16!D18+[1]Art17!D18+[1]Art18!D18+[1]Art19!D18+[1]Art20!D18+[1]Art21!D18+[1]Art22!D18+[1]Art23!D18+[1]Art24!D18+[1]Art25!D18+[1]Art26!D18+[1]Art27!D18+[1]Art28!D18+[1]Art29!D18+[1]Art30!D18+[1]Art31!D18+[1]Art32!D18+[1]Art33!D18+[1]Art34!D18+[1]Art35!D18+[1]Art36!D18+[1]Art37!D18+[1]Art38!D18+[1]ArtT1!D18+[1]ArtT2!D18)</f>
        <v>1</v>
      </c>
      <c r="E18" s="1">
        <f>SUM([1]Art1!E18+[1]Art2!E18+[1]Art3!E18+[1]Art4!E18+[1]Art5!E18+[1]Art6!E18+[1]Art7!E18+[1]Art8!E18+[1]Art9!E18+[1]Art10!E18+[1]Art11!E18+[1]Art12!E18+[1]Art13!E18+[1]Art14!E18+[1]Art15!E18+[1]Art16!E18+[1]Art17!E18+[1]Art18!E18+[1]Art19!E18+[1]Art20!E18+[1]Art21!E18+[1]Art22!E18+[1]Art23!E18+[1]Art24!E18+[1]Art25!E18+[1]Art26!E18+[1]Art27!E18+[1]Art28!E18+[1]Art29!E18+[1]Art30!E18+[1]Art31!E18+[1]Art32!E18+[1]Art33!E18+[1]Art34!E18+[1]Art35!E18+[1]Art36!E18+[1]Art37!E18+[1]Art38!E18+[1]ArtT1!E18+[1]ArtT2!E18)</f>
        <v>4</v>
      </c>
      <c r="F18" s="1">
        <f>SUM([1]Art1!F18+[1]Art2!F18+[1]Art3!F18+[1]Art4!F18+[1]Art5!F18+[1]Art6!F18+[1]Art7!F18+[1]Art8!F18+[1]Art9!F18+[1]Art10!F18+[1]Art11!F18+[1]Art12!F18+[1]Art13!F18+[1]Art14!F18+[1]Art15!F18+[1]Art16!F18+[1]Art17!F18+[1]Art18!F18+[1]Art19!F18+[1]Art20!F18+[1]Art21!F18+[1]Art22!F18+[1]Art23!F18+[1]Art24!F18+[1]Art25!F18+[1]Art26!F18+[1]Art27!F18+[1]Art28!F18+[1]Art29!F18+[1]Art30!F18+[1]Art31!F18+[1]Art32!F18+[1]Art33!F18+[1]Art34!F18+[1]Art35!F18+[1]Art36!F18+[1]Art37!F18+[1]Art38!F18+[1]ArtT1!F18+[1]ArtT2!F18)</f>
        <v>0</v>
      </c>
      <c r="H18" s="4"/>
      <c r="I18" s="4"/>
      <c r="J18" s="4"/>
      <c r="K18" s="4"/>
    </row>
    <row r="19" spans="1:11" ht="12.75" customHeight="1" x14ac:dyDescent="0.3">
      <c r="A19" s="1" t="s">
        <v>46</v>
      </c>
      <c r="B19" s="1" t="s">
        <v>13</v>
      </c>
      <c r="C19" s="1">
        <f>SUM([1]Art1!C19+[1]Art2!C19+[1]Art3!C19+[1]Art4!C19+[1]Art5!C19+[1]Art6!C19+[1]Art7!C19+[1]Art8!C19+[1]Art9!C19+[1]Art10!C19+[1]Art11!C19+[1]Art12!C19+[1]Art13!C19+[1]Art14!C19+[1]Art15!C19+[1]Art16!C19+[1]Art17!C19+[1]Art18!C19+[1]Art19!C19+[1]Art20!C19+[1]Art21!C19+[1]Art22!C19+[1]Art23!C19+[1]Art24!C19+[1]Art25!C19+[1]Art26!C19+[1]Art27!C19+[1]Art28!C19+[1]Art29!C19+[1]Art30!C19+[1]Art31!C19+[1]Art32!C19+[1]Art33!C19+[1]Art34!C19+[1]Art35!C19+[1]Art36!C19+[1]Art37!C19+[1]Art38!C19+[1]ArtT1!C19+[1]ArtT2!C19)</f>
        <v>11</v>
      </c>
      <c r="D19" s="1">
        <f>SUM([1]Art1!D19+[1]Art2!D19+[1]Art3!D19+[1]Art4!D19+[1]Art5!D19+[1]Art6!D19+[1]Art7!D19+[1]Art8!D19+[1]Art9!D19+[1]Art10!D19+[1]Art11!D19+[1]Art12!D19+[1]Art13!D19+[1]Art14!D19+[1]Art15!D19+[1]Art16!D19+[1]Art17!D19+[1]Art18!D19+[1]Art19!D19+[1]Art20!D19+[1]Art21!D19+[1]Art22!D19+[1]Art23!D19+[1]Art24!D19+[1]Art25!D19+[1]Art26!D19+[1]Art27!D19+[1]Art28!D19+[1]Art29!D19+[1]Art30!D19+[1]Art31!D19+[1]Art32!D19+[1]Art33!D19+[1]Art34!D19+[1]Art35!D19+[1]Art36!D19+[1]Art37!D19+[1]Art38!D19+[1]ArtT1!D19+[1]ArtT2!D19)</f>
        <v>29</v>
      </c>
      <c r="E19" s="1">
        <f>SUM([1]Art1!E19+[1]Art2!E19+[1]Art3!E19+[1]Art4!E19+[1]Art5!E19+[1]Art6!E19+[1]Art7!E19+[1]Art8!E19+[1]Art9!E19+[1]Art10!E19+[1]Art11!E19+[1]Art12!E19+[1]Art13!E19+[1]Art14!E19+[1]Art15!E19+[1]Art16!E19+[1]Art17!E19+[1]Art18!E19+[1]Art19!E19+[1]Art20!E19+[1]Art21!E19+[1]Art22!E19+[1]Art23!E19+[1]Art24!E19+[1]Art25!E19+[1]Art26!E19+[1]Art27!E19+[1]Art28!E19+[1]Art29!E19+[1]Art30!E19+[1]Art31!E19+[1]Art32!E19+[1]Art33!E19+[1]Art34!E19+[1]Art35!E19+[1]Art36!E19+[1]Art37!E19+[1]Art38!E19+[1]ArtT1!E19+[1]ArtT2!E19)</f>
        <v>0</v>
      </c>
      <c r="F19" s="1">
        <f>SUM([1]Art1!F19+[1]Art2!F19+[1]Art3!F19+[1]Art4!F19+[1]Art5!F19+[1]Art6!F19+[1]Art7!F19+[1]Art8!F19+[1]Art9!F19+[1]Art10!F19+[1]Art11!F19+[1]Art12!F19+[1]Art13!F19+[1]Art14!F19+[1]Art15!F19+[1]Art16!F19+[1]Art17!F19+[1]Art18!F19+[1]Art19!F19+[1]Art20!F19+[1]Art21!F19+[1]Art22!F19+[1]Art23!F19+[1]Art24!F19+[1]Art25!F19+[1]Art26!F19+[1]Art27!F19+[1]Art28!F19+[1]Art29!F19+[1]Art30!F19+[1]Art31!F19+[1]Art32!F19+[1]Art33!F19+[1]Art34!F19+[1]Art35!F19+[1]Art36!F19+[1]Art37!F19+[1]Art38!F19+[1]ArtT1!F19+[1]ArtT2!F19)</f>
        <v>0</v>
      </c>
      <c r="H19" s="4"/>
      <c r="I19" s="4"/>
      <c r="J19" s="4"/>
      <c r="K19" s="4"/>
    </row>
    <row r="20" spans="1:11" ht="12.75" customHeight="1" x14ac:dyDescent="0.3">
      <c r="A20" s="1" t="s">
        <v>47</v>
      </c>
      <c r="B20" s="1" t="s">
        <v>16</v>
      </c>
      <c r="C20" s="1">
        <f>SUM([1]Art1!C20+[1]Art2!C20+[1]Art3!C20+[1]Art4!C20+[1]Art5!C20+[1]Art6!C20+[1]Art7!C20+[1]Art8!C20+[1]Art9!C20+[1]Art10!C20+[1]Art11!C20+[1]Art12!C20+[1]Art13!C20+[1]Art14!C20+[1]Art15!C20+[1]Art16!C20+[1]Art17!C20+[1]Art18!C20+[1]Art19!C20+[1]Art20!C20+[1]Art21!C20+[1]Art22!C20+[1]Art23!C20+[1]Art24!C20+[1]Art25!C20+[1]Art26!C20+[1]Art27!C20+[1]Art28!C20+[1]Art29!C20+[1]Art30!C20+[1]Art31!C20+[1]Art32!C20+[1]Art33!C20+[1]Art34!C20+[1]Art35!C20+[1]Art36!C20+[1]Art37!C20+[1]Art38!C20+[1]ArtT1!C20+[1]ArtT2!C20)</f>
        <v>31</v>
      </c>
      <c r="D20" s="1">
        <f>SUM([1]Art1!D20+[1]Art2!D20+[1]Art3!D20+[1]Art4!D20+[1]Art5!D20+[1]Art6!D20+[1]Art7!D20+[1]Art8!D20+[1]Art9!D20+[1]Art10!D20+[1]Art11!D20+[1]Art12!D20+[1]Art13!D20+[1]Art14!D20+[1]Art15!D20+[1]Art16!D20+[1]Art17!D20+[1]Art18!D20+[1]Art19!D20+[1]Art20!D20+[1]Art21!D20+[1]Art22!D20+[1]Art23!D20+[1]Art24!D20+[1]Art25!D20+[1]Art26!D20+[1]Art27!D20+[1]Art28!D20+[1]Art29!D20+[1]Art30!D20+[1]Art31!D20+[1]Art32!D20+[1]Art33!D20+[1]Art34!D20+[1]Art35!D20+[1]Art36!D20+[1]Art37!D20+[1]Art38!D20+[1]ArtT1!D20+[1]ArtT2!D20)</f>
        <v>8</v>
      </c>
      <c r="E20" s="1">
        <f>SUM([1]Art1!E20+[1]Art2!E20+[1]Art3!E20+[1]Art4!E20+[1]Art5!E20+[1]Art6!E20+[1]Art7!E20+[1]Art8!E20+[1]Art9!E20+[1]Art10!E20+[1]Art11!E20+[1]Art12!E20+[1]Art13!E20+[1]Art14!E20+[1]Art15!E20+[1]Art16!E20+[1]Art17!E20+[1]Art18!E20+[1]Art19!E20+[1]Art20!E20+[1]Art21!E20+[1]Art22!E20+[1]Art23!E20+[1]Art24!E20+[1]Art25!E20+[1]Art26!E20+[1]Art27!E20+[1]Art28!E20+[1]Art29!E20+[1]Art30!E20+[1]Art31!E20+[1]Art32!E20+[1]Art33!E20+[1]Art34!E20+[1]Art35!E20+[1]Art36!E20+[1]Art37!E20+[1]Art38!E20+[1]ArtT1!E20+[1]ArtT2!E20)</f>
        <v>0</v>
      </c>
      <c r="F20" s="1">
        <f>SUM([1]Art1!F20+[1]Art2!F20+[1]Art3!F20+[1]Art4!F20+[1]Art5!F20+[1]Art6!F20+[1]Art7!F20+[1]Art8!F20+[1]Art9!F20+[1]Art10!F20+[1]Art11!F20+[1]Art12!F20+[1]Art13!F20+[1]Art14!F20+[1]Art15!F20+[1]Art16!F20+[1]Art17!F20+[1]Art18!F20+[1]Art19!F20+[1]Art20!F20+[1]Art21!F20+[1]Art22!F20+[1]Art23!F20+[1]Art24!F20+[1]Art25!F20+[1]Art26!F20+[1]Art27!F20+[1]Art28!F20+[1]Art29!F20+[1]Art30!F20+[1]Art31!F20+[1]Art32!F20+[1]Art33!F20+[1]Art34!F20+[1]Art35!F20+[1]Art36!F20+[1]Art37!F20+[1]Art38!F20+[1]ArtT1!F20+[1]ArtT2!F20)</f>
        <v>1</v>
      </c>
      <c r="H20" s="4"/>
      <c r="I20" s="4"/>
      <c r="J20" s="4"/>
      <c r="K20" s="4"/>
    </row>
    <row r="21" spans="1:11" ht="12.75" customHeight="1" x14ac:dyDescent="0.3">
      <c r="A21" s="1" t="s">
        <v>48</v>
      </c>
      <c r="B21" s="1" t="s">
        <v>38</v>
      </c>
      <c r="C21" s="1">
        <f>SUM([1]Art1!C21+[1]Art2!C21+[1]Art3!C21+[1]Art4!C21+[1]Art5!C21+[1]Art6!C21+[1]Art7!C21+[1]Art8!C21+[1]Art9!C21+[1]Art10!C21+[1]Art11!C21+[1]Art12!C21+[1]Art13!C21+[1]Art14!C21+[1]Art15!C21+[1]Art16!C21+[1]Art17!C21+[1]Art18!C21+[1]Art19!C21+[1]Art20!C21+[1]Art21!C21+[1]Art22!C21+[1]Art23!C21+[1]Art24!C21+[1]Art25!C21+[1]Art26!C21+[1]Art27!C21+[1]Art28!C21+[1]Art29!C21+[1]Art30!C21+[1]Art31!C21+[1]Art32!C21+[1]Art33!C21+[1]Art34!C21+[1]Art35!C21+[1]Art36!C21+[1]Art37!C21+[1]Art38!C21+[1]ArtT1!C21+[1]ArtT2!C21)</f>
        <v>20</v>
      </c>
      <c r="D21" s="1">
        <f>SUM([1]Art1!D21+[1]Art2!D21+[1]Art3!D21+[1]Art4!D21+[1]Art5!D21+[1]Art6!D21+[1]Art7!D21+[1]Art8!D21+[1]Art9!D21+[1]Art10!D21+[1]Art11!D21+[1]Art12!D21+[1]Art13!D21+[1]Art14!D21+[1]Art15!D21+[1]Art16!D21+[1]Art17!D21+[1]Art18!D21+[1]Art19!D21+[1]Art20!D21+[1]Art21!D21+[1]Art22!D21+[1]Art23!D21+[1]Art24!D21+[1]Art25!D21+[1]Art26!D21+[1]Art27!D21+[1]Art28!D21+[1]Art29!D21+[1]Art30!D21+[1]Art31!D21+[1]Art32!D21+[1]Art33!D21+[1]Art34!D21+[1]Art35!D21+[1]Art36!D21+[1]Art37!D21+[1]Art38!D21+[1]ArtT1!D21+[1]ArtT2!D21)</f>
        <v>18</v>
      </c>
      <c r="E21" s="1">
        <f>SUM([1]Art1!E21+[1]Art2!E21+[1]Art3!E21+[1]Art4!E21+[1]Art5!E21+[1]Art6!E21+[1]Art7!E21+[1]Art8!E21+[1]Art9!E21+[1]Art10!E21+[1]Art11!E21+[1]Art12!E21+[1]Art13!E21+[1]Art14!E21+[1]Art15!E21+[1]Art16!E21+[1]Art17!E21+[1]Art18!E21+[1]Art19!E21+[1]Art20!E21+[1]Art21!E21+[1]Art22!E21+[1]Art23!E21+[1]Art24!E21+[1]Art25!E21+[1]Art26!E21+[1]Art27!E21+[1]Art28!E21+[1]Art29!E21+[1]Art30!E21+[1]Art31!E21+[1]Art32!E21+[1]Art33!E21+[1]Art34!E21+[1]Art35!E21+[1]Art36!E21+[1]Art37!E21+[1]Art38!E21+[1]ArtT1!E21+[1]ArtT2!E21)</f>
        <v>1</v>
      </c>
      <c r="F21" s="1">
        <f>SUM([1]Art1!F21+[1]Art2!F21+[1]Art3!F21+[1]Art4!F21+[1]Art5!F21+[1]Art6!F21+[1]Art7!F21+[1]Art8!F21+[1]Art9!F21+[1]Art10!F21+[1]Art11!F21+[1]Art12!F21+[1]Art13!F21+[1]Art14!F21+[1]Art15!F21+[1]Art16!F21+[1]Art17!F21+[1]Art18!F21+[1]Art19!F21+[1]Art20!F21+[1]Art21!F21+[1]Art22!F21+[1]Art23!F21+[1]Art24!F21+[1]Art25!F21+[1]Art26!F21+[1]Art27!F21+[1]Art28!F21+[1]Art29!F21+[1]Art30!F21+[1]Art31!F21+[1]Art32!F21+[1]Art33!F21+[1]Art34!F21+[1]Art35!F21+[1]Art36!F21+[1]Art37!F21+[1]Art38!F21+[1]ArtT1!F21+[1]ArtT2!F21)</f>
        <v>1</v>
      </c>
      <c r="H21" s="4"/>
      <c r="I21" s="4"/>
      <c r="J21" s="4"/>
      <c r="K21" s="4"/>
    </row>
    <row r="22" spans="1:11" ht="12.75" customHeight="1" x14ac:dyDescent="0.3">
      <c r="A22" s="1" t="s">
        <v>49</v>
      </c>
      <c r="B22" s="1" t="s">
        <v>14</v>
      </c>
      <c r="C22" s="1">
        <f>SUM([1]Art1!C22+[1]Art2!C22+[1]Art3!C22+[1]Art4!C22+[1]Art5!C22+[1]Art6!C22+[1]Art7!C22+[1]Art8!C22+[1]Art9!C22+[1]Art10!C22+[1]Art11!C22+[1]Art12!C22+[1]Art13!C22+[1]Art14!C22+[1]Art15!C22+[1]Art16!C22+[1]Art17!C22+[1]Art18!C22+[1]Art19!C22+[1]Art20!C22+[1]Art21!C22+[1]Art22!C22+[1]Art23!C22+[1]Art24!C22+[1]Art25!C22+[1]Art26!C22+[1]Art27!C22+[1]Art28!C22+[1]Art29!C22+[1]Art30!C22+[1]Art31!C22+[1]Art32!C22+[1]Art33!C22+[1]Art34!C22+[1]Art35!C22+[1]Art36!C22+[1]Art37!C22+[1]Art38!C22+[1]ArtT1!C22+[1]ArtT2!C22)</f>
        <v>40</v>
      </c>
      <c r="D22" s="1">
        <f>SUM([1]Art1!D22+[1]Art2!D22+[1]Art3!D22+[1]Art4!D22+[1]Art5!D22+[1]Art6!D22+[1]Art7!D22+[1]Art8!D22+[1]Art9!D22+[1]Art10!D22+[1]Art11!D22+[1]Art12!D22+[1]Art13!D22+[1]Art14!D22+[1]Art15!D22+[1]Art16!D22+[1]Art17!D22+[1]Art18!D22+[1]Art19!D22+[1]Art20!D22+[1]Art21!D22+[1]Art22!D22+[1]Art23!D22+[1]Art24!D22+[1]Art25!D22+[1]Art26!D22+[1]Art27!D22+[1]Art28!D22+[1]Art29!D22+[1]Art30!D22+[1]Art31!D22+[1]Art32!D22+[1]Art33!D22+[1]Art34!D22+[1]Art35!D22+[1]Art36!D22+[1]Art37!D22+[1]Art38!D22+[1]ArtT1!D22+[1]ArtT2!D22)</f>
        <v>0</v>
      </c>
      <c r="E22" s="1">
        <f>SUM([1]Art1!E22+[1]Art2!E22+[1]Art3!E22+[1]Art4!E22+[1]Art5!E22+[1]Art6!E22+[1]Art7!E22+[1]Art8!E22+[1]Art9!E22+[1]Art10!E22+[1]Art11!E22+[1]Art12!E22+[1]Art13!E22+[1]Art14!E22+[1]Art15!E22+[1]Art16!E22+[1]Art17!E22+[1]Art18!E22+[1]Art19!E22+[1]Art20!E22+[1]Art21!E22+[1]Art22!E22+[1]Art23!E22+[1]Art24!E22+[1]Art25!E22+[1]Art26!E22+[1]Art27!E22+[1]Art28!E22+[1]Art29!E22+[1]Art30!E22+[1]Art31!E22+[1]Art32!E22+[1]Art33!E22+[1]Art34!E22+[1]Art35!E22+[1]Art36!E22+[1]Art37!E22+[1]Art38!E22+[1]ArtT1!E22+[1]ArtT2!E22)</f>
        <v>0</v>
      </c>
      <c r="F22" s="1">
        <f>SUM([1]Art1!F22+[1]Art2!F22+[1]Art3!F22+[1]Art4!F22+[1]Art5!F22+[1]Art6!F22+[1]Art7!F22+[1]Art8!F22+[1]Art9!F22+[1]Art10!F22+[1]Art11!F22+[1]Art12!F22+[1]Art13!F22+[1]Art14!F22+[1]Art15!F22+[1]Art16!F22+[1]Art17!F22+[1]Art18!F22+[1]Art19!F22+[1]Art20!F22+[1]Art21!F22+[1]Art22!F22+[1]Art23!F22+[1]Art24!F22+[1]Art25!F22+[1]Art26!F22+[1]Art27!F22+[1]Art28!F22+[1]Art29!F22+[1]Art30!F22+[1]Art31!F22+[1]Art32!F22+[1]Art33!F22+[1]Art34!F22+[1]Art35!F22+[1]Art36!F22+[1]Art37!F22+[1]Art38!F22+[1]ArtT1!F22+[1]ArtT2!F22)</f>
        <v>0</v>
      </c>
      <c r="H22" s="4"/>
      <c r="I22" s="4"/>
      <c r="J22" s="4"/>
      <c r="K22" s="4"/>
    </row>
    <row r="23" spans="1:11" ht="12.75" customHeight="1" x14ac:dyDescent="0.3">
      <c r="A23" s="1" t="s">
        <v>50</v>
      </c>
      <c r="B23" s="1" t="s">
        <v>13</v>
      </c>
      <c r="C23" s="1">
        <f>SUM([1]Art1!C23+[1]Art2!C23+[1]Art3!C23+[1]Art4!C23+[1]Art5!C23+[1]Art6!C23+[1]Art7!C23+[1]Art8!C23+[1]Art9!C23+[1]Art10!C23+[1]Art11!C23+[1]Art12!C23+[1]Art13!C23+[1]Art14!C23+[1]Art15!C23+[1]Art16!C23+[1]Art17!C23+[1]Art18!C23+[1]Art19!C23+[1]Art20!C23+[1]Art21!C23+[1]Art22!C23+[1]Art23!C23+[1]Art24!C23+[1]Art25!C23+[1]Art26!C23+[1]Art27!C23+[1]Art28!C23+[1]Art29!C23+[1]Art30!C23+[1]Art31!C23+[1]Art32!C23+[1]Art33!C23+[1]Art34!C23+[1]Art35!C23+[1]Art36!C23+[1]Art37!C23+[1]Art38!C23+[1]ArtT1!C23+[1]ArtT2!C23)</f>
        <v>9</v>
      </c>
      <c r="D23" s="1">
        <f>SUM([1]Art1!D23+[1]Art2!D23+[1]Art3!D23+[1]Art4!D23+[1]Art5!D23+[1]Art6!D23+[1]Art7!D23+[1]Art8!D23+[1]Art9!D23+[1]Art10!D23+[1]Art11!D23+[1]Art12!D23+[1]Art13!D23+[1]Art14!D23+[1]Art15!D23+[1]Art16!D23+[1]Art17!D23+[1]Art18!D23+[1]Art19!D23+[1]Art20!D23+[1]Art21!D23+[1]Art22!D23+[1]Art23!D23+[1]Art24!D23+[1]Art25!D23+[1]Art26!D23+[1]Art27!D23+[1]Art28!D23+[1]Art29!D23+[1]Art30!D23+[1]Art31!D23+[1]Art32!D23+[1]Art33!D23+[1]Art34!D23+[1]Art35!D23+[1]Art36!D23+[1]Art37!D23+[1]Art38!D23+[1]ArtT1!D23+[1]ArtT2!D23)</f>
        <v>17</v>
      </c>
      <c r="E23" s="1">
        <f>SUM([1]Art1!E23+[1]Art2!E23+[1]Art3!E23+[1]Art4!E23+[1]Art5!E23+[1]Art6!E23+[1]Art7!E23+[1]Art8!E23+[1]Art9!E23+[1]Art10!E23+[1]Art11!E23+[1]Art12!E23+[1]Art13!E23+[1]Art14!E23+[1]Art15!E23+[1]Art16!E23+[1]Art17!E23+[1]Art18!E23+[1]Art19!E23+[1]Art20!E23+[1]Art21!E23+[1]Art22!E23+[1]Art23!E23+[1]Art24!E23+[1]Art25!E23+[1]Art26!E23+[1]Art27!E23+[1]Art28!E23+[1]Art29!E23+[1]Art30!E23+[1]Art31!E23+[1]Art32!E23+[1]Art33!E23+[1]Art34!E23+[1]Art35!E23+[1]Art36!E23+[1]Art37!E23+[1]Art38!E23+[1]ArtT1!E23+[1]ArtT2!E23)</f>
        <v>12</v>
      </c>
      <c r="F23" s="1">
        <f>SUM([1]Art1!F23+[1]Art2!F23+[1]Art3!F23+[1]Art4!F23+[1]Art5!F23+[1]Art6!F23+[1]Art7!F23+[1]Art8!F23+[1]Art9!F23+[1]Art10!F23+[1]Art11!F23+[1]Art12!F23+[1]Art13!F23+[1]Art14!F23+[1]Art15!F23+[1]Art16!F23+[1]Art17!F23+[1]Art18!F23+[1]Art19!F23+[1]Art20!F23+[1]Art21!F23+[1]Art22!F23+[1]Art23!F23+[1]Art24!F23+[1]Art25!F23+[1]Art26!F23+[1]Art27!F23+[1]Art28!F23+[1]Art29!F23+[1]Art30!F23+[1]Art31!F23+[1]Art32!F23+[1]Art33!F23+[1]Art34!F23+[1]Art35!F23+[1]Art36!F23+[1]Art37!F23+[1]Art38!F23+[1]ArtT1!F23+[1]ArtT2!F23)</f>
        <v>2</v>
      </c>
      <c r="H23" s="4"/>
      <c r="I23" s="4"/>
      <c r="J23" s="4"/>
      <c r="K23" s="4"/>
    </row>
    <row r="24" spans="1:11" ht="12.75" customHeight="1" x14ac:dyDescent="0.3">
      <c r="A24" s="1" t="s">
        <v>51</v>
      </c>
      <c r="B24" s="1" t="s">
        <v>38</v>
      </c>
      <c r="C24" s="1">
        <f>SUM([1]Art1!C24+[1]Art2!C24+[1]Art3!C24+[1]Art4!C24+[1]Art5!C24+[1]Art6!C24+[1]Art7!C24+[1]Art8!C24+[1]Art9!C24+[1]Art10!C24+[1]Art11!C24+[1]Art12!C24+[1]Art13!C24+[1]Art14!C24+[1]Art15!C24+[1]Art16!C24+[1]Art17!C24+[1]Art18!C24+[1]Art19!C24+[1]Art20!C24+[1]Art21!C24+[1]Art22!C24+[1]Art23!C24+[1]Art24!C24+[1]Art25!C24+[1]Art26!C24+[1]Art27!C24+[1]Art28!C24+[1]Art29!C24+[1]Art30!C24+[1]Art31!C24+[1]Art32!C24+[1]Art33!C24+[1]Art34!C24+[1]Art35!C24+[1]Art36!C24+[1]Art37!C24+[1]Art38!C24+[1]ArtT1!C24+[1]ArtT2!C24)</f>
        <v>13</v>
      </c>
      <c r="D24" s="1">
        <f>SUM([1]Art1!D24+[1]Art2!D24+[1]Art3!D24+[1]Art4!D24+[1]Art5!D24+[1]Art6!D24+[1]Art7!D24+[1]Art8!D24+[1]Art9!D24+[1]Art10!D24+[1]Art11!D24+[1]Art12!D24+[1]Art13!D24+[1]Art14!D24+[1]Art15!D24+[1]Art16!D24+[1]Art17!D24+[1]Art18!D24+[1]Art19!D24+[1]Art20!D24+[1]Art21!D24+[1]Art22!D24+[1]Art23!D24+[1]Art24!D24+[1]Art25!D24+[1]Art26!D24+[1]Art27!D24+[1]Art28!D24+[1]Art29!D24+[1]Art30!D24+[1]Art31!D24+[1]Art32!D24+[1]Art33!D24+[1]Art34!D24+[1]Art35!D24+[1]Art36!D24+[1]Art37!D24+[1]Art38!D24+[1]ArtT1!D24+[1]ArtT2!D24)</f>
        <v>8</v>
      </c>
      <c r="E24" s="1">
        <f>SUM([1]Art1!E24+[1]Art2!E24+[1]Art3!E24+[1]Art4!E24+[1]Art5!E24+[1]Art6!E24+[1]Art7!E24+[1]Art8!E24+[1]Art9!E24+[1]Art10!E24+[1]Art11!E24+[1]Art12!E24+[1]Art13!E24+[1]Art14!E24+[1]Art15!E24+[1]Art16!E24+[1]Art17!E24+[1]Art18!E24+[1]Art19!E24+[1]Art20!E24+[1]Art21!E24+[1]Art22!E24+[1]Art23!E24+[1]Art24!E24+[1]Art25!E24+[1]Art26!E24+[1]Art27!E24+[1]Art28!E24+[1]Art29!E24+[1]Art30!E24+[1]Art31!E24+[1]Art32!E24+[1]Art33!E24+[1]Art34!E24+[1]Art35!E24+[1]Art36!E24+[1]Art37!E24+[1]Art38!E24+[1]ArtT1!E24+[1]ArtT2!E24)</f>
        <v>17</v>
      </c>
      <c r="F24" s="1">
        <f>SUM([1]Art1!F24+[1]Art2!F24+[1]Art3!F24+[1]Art4!F24+[1]Art5!F24+[1]Art6!F24+[1]Art7!F24+[1]Art8!F24+[1]Art9!F24+[1]Art10!F24+[1]Art11!F24+[1]Art12!F24+[1]Art13!F24+[1]Art14!F24+[1]Art15!F24+[1]Art16!F24+[1]Art17!F24+[1]Art18!F24+[1]Art19!F24+[1]Art20!F24+[1]Art21!F24+[1]Art22!F24+[1]Art23!F24+[1]Art24!F24+[1]Art25!F24+[1]Art26!F24+[1]Art27!F24+[1]Art28!F24+[1]Art29!F24+[1]Art30!F24+[1]Art31!F24+[1]Art32!F24+[1]Art33!F24+[1]Art34!F24+[1]Art35!F24+[1]Art36!F24+[1]Art37!F24+[1]Art38!F24+[1]ArtT1!F24+[1]ArtT2!F24)</f>
        <v>2</v>
      </c>
      <c r="H24" s="4"/>
      <c r="I24" s="4"/>
      <c r="J24" s="4"/>
      <c r="K24" s="4"/>
    </row>
    <row r="25" spans="1:11" ht="12.75" customHeight="1" x14ac:dyDescent="0.3">
      <c r="A25" s="1" t="s">
        <v>52</v>
      </c>
      <c r="B25" s="1" t="s">
        <v>30</v>
      </c>
      <c r="C25" s="1">
        <f>SUM([1]Art1!C25+[1]Art2!C25+[1]Art3!C25+[1]Art4!C25+[1]Art5!C25+[1]Art6!C25+[1]Art7!C25+[1]Art8!C25+[1]Art9!C25+[1]Art10!C25+[1]Art11!C25+[1]Art12!C25+[1]Art13!C25+[1]Art14!C25+[1]Art15!C25+[1]Art16!C25+[1]Art17!C25+[1]Art18!C25+[1]Art19!C25+[1]Art20!C25+[1]Art21!C25+[1]Art22!C25+[1]Art23!C25+[1]Art24!C25+[1]Art25!C25+[1]Art26!C25+[1]Art27!C25+[1]Art28!C25+[1]Art29!C25+[1]Art30!C25+[1]Art31!C25+[1]Art32!C25+[1]Art33!C25+[1]Art34!C25+[1]Art35!C25+[1]Art36!C25+[1]Art37!C25+[1]Art38!C25+[1]ArtT1!C25+[1]ArtT2!C25)</f>
        <v>0</v>
      </c>
      <c r="D25" s="1">
        <f>SUM([1]Art1!D25+[1]Art2!D25+[1]Art3!D25+[1]Art4!D25+[1]Art5!D25+[1]Art6!D25+[1]Art7!D25+[1]Art8!D25+[1]Art9!D25+[1]Art10!D25+[1]Art11!D25+[1]Art12!D25+[1]Art13!D25+[1]Art14!D25+[1]Art15!D25+[1]Art16!D25+[1]Art17!D25+[1]Art18!D25+[1]Art19!D25+[1]Art20!D25+[1]Art21!D25+[1]Art22!D25+[1]Art23!D25+[1]Art24!D25+[1]Art25!D25+[1]Art26!D25+[1]Art27!D25+[1]Art28!D25+[1]Art29!D25+[1]Art30!D25+[1]Art31!D25+[1]Art32!D25+[1]Art33!D25+[1]Art34!D25+[1]Art35!D25+[1]Art36!D25+[1]Art37!D25+[1]Art38!D25+[1]ArtT1!D25+[1]ArtT2!D25)</f>
        <v>34</v>
      </c>
      <c r="E25" s="1">
        <f>SUM([1]Art1!E25+[1]Art2!E25+[1]Art3!E25+[1]Art4!E25+[1]Art5!E25+[1]Art6!E25+[1]Art7!E25+[1]Art8!E25+[1]Art9!E25+[1]Art10!E25+[1]Art11!E25+[1]Art12!E25+[1]Art13!E25+[1]Art14!E25+[1]Art15!E25+[1]Art16!E25+[1]Art17!E25+[1]Art18!E25+[1]Art19!E25+[1]Art20!E25+[1]Art21!E25+[1]Art22!E25+[1]Art23!E25+[1]Art24!E25+[1]Art25!E25+[1]Art26!E25+[1]Art27!E25+[1]Art28!E25+[1]Art29!E25+[1]Art30!E25+[1]Art31!E25+[1]Art32!E25+[1]Art33!E25+[1]Art34!E25+[1]Art35!E25+[1]Art36!E25+[1]Art37!E25+[1]Art38!E25+[1]ArtT1!E25+[1]ArtT2!E25)</f>
        <v>6</v>
      </c>
      <c r="F25" s="1">
        <f>SUM([1]Art1!F25+[1]Art2!F25+[1]Art3!F25+[1]Art4!F25+[1]Art5!F25+[1]Art6!F25+[1]Art7!F25+[1]Art8!F25+[1]Art9!F25+[1]Art10!F25+[1]Art11!F25+[1]Art12!F25+[1]Art13!F25+[1]Art14!F25+[1]Art15!F25+[1]Art16!F25+[1]Art17!F25+[1]Art18!F25+[1]Art19!F25+[1]Art20!F25+[1]Art21!F25+[1]Art22!F25+[1]Art23!F25+[1]Art24!F25+[1]Art25!F25+[1]Art26!F25+[1]Art27!F25+[1]Art28!F25+[1]Art29!F25+[1]Art30!F25+[1]Art31!F25+[1]Art32!F25+[1]Art33!F25+[1]Art34!F25+[1]Art35!F25+[1]Art36!F25+[1]Art37!F25+[1]Art38!F25+[1]ArtT1!F25+[1]ArtT2!F25)</f>
        <v>0</v>
      </c>
      <c r="H25" s="4"/>
      <c r="I25" s="4"/>
      <c r="J25" s="4"/>
      <c r="K25" s="4"/>
    </row>
    <row r="26" spans="1:11" ht="12.75" customHeight="1" x14ac:dyDescent="0.3">
      <c r="A26" s="1" t="s">
        <v>53</v>
      </c>
      <c r="B26" s="1" t="s">
        <v>19</v>
      </c>
      <c r="C26" s="1">
        <f>SUM([1]Art1!C26+[1]Art2!C26+[1]Art3!C26+[1]Art4!C26+[1]Art5!C26+[1]Art6!C26+[1]Art7!C26+[1]Art8!C26+[1]Art9!C26+[1]Art10!C26+[1]Art11!C26+[1]Art12!C26+[1]Art13!C26+[1]Art14!C26+[1]Art15!C26+[1]Art16!C26+[1]Art17!C26+[1]Art18!C26+[1]Art19!C26+[1]Art20!C26+[1]Art21!C26+[1]Art22!C26+[1]Art23!C26+[1]Art24!C26+[1]Art25!C26+[1]Art26!C26+[1]Art27!C26+[1]Art28!C26+[1]Art29!C26+[1]Art30!C26+[1]Art31!C26+[1]Art32!C26+[1]Art33!C26+[1]Art34!C26+[1]Art35!C26+[1]Art36!C26+[1]Art37!C26+[1]Art38!C26+[1]ArtT1!C26+[1]ArtT2!C26)</f>
        <v>37</v>
      </c>
      <c r="D26" s="1">
        <f>SUM([1]Art1!D26+[1]Art2!D26+[1]Art3!D26+[1]Art4!D26+[1]Art5!D26+[1]Art6!D26+[1]Art7!D26+[1]Art8!D26+[1]Art9!D26+[1]Art10!D26+[1]Art11!D26+[1]Art12!D26+[1]Art13!D26+[1]Art14!D26+[1]Art15!D26+[1]Art16!D26+[1]Art17!D26+[1]Art18!D26+[1]Art19!D26+[1]Art20!D26+[1]Art21!D26+[1]Art22!D26+[1]Art23!D26+[1]Art24!D26+[1]Art25!D26+[1]Art26!D26+[1]Art27!D26+[1]Art28!D26+[1]Art29!D26+[1]Art30!D26+[1]Art31!D26+[1]Art32!D26+[1]Art33!D26+[1]Art34!D26+[1]Art35!D26+[1]Art36!D26+[1]Art37!D26+[1]Art38!D26+[1]ArtT1!D26+[1]ArtT2!D26)</f>
        <v>3</v>
      </c>
      <c r="E26" s="1">
        <f>SUM([1]Art1!E26+[1]Art2!E26+[1]Art3!E26+[1]Art4!E26+[1]Art5!E26+[1]Art6!E26+[1]Art7!E26+[1]Art8!E26+[1]Art9!E26+[1]Art10!E26+[1]Art11!E26+[1]Art12!E26+[1]Art13!E26+[1]Art14!E26+[1]Art15!E26+[1]Art16!E26+[1]Art17!E26+[1]Art18!E26+[1]Art19!E26+[1]Art20!E26+[1]Art21!E26+[1]Art22!E26+[1]Art23!E26+[1]Art24!E26+[1]Art25!E26+[1]Art26!E26+[1]Art27!E26+[1]Art28!E26+[1]Art29!E26+[1]Art30!E26+[1]Art31!E26+[1]Art32!E26+[1]Art33!E26+[1]Art34!E26+[1]Art35!E26+[1]Art36!E26+[1]Art37!E26+[1]Art38!E26+[1]ArtT1!E26+[1]ArtT2!E26)</f>
        <v>0</v>
      </c>
      <c r="F26" s="1">
        <f>SUM([1]Art1!F26+[1]Art2!F26+[1]Art3!F26+[1]Art4!F26+[1]Art5!F26+[1]Art6!F26+[1]Art7!F26+[1]Art8!F26+[1]Art9!F26+[1]Art10!F26+[1]Art11!F26+[1]Art12!F26+[1]Art13!F26+[1]Art14!F26+[1]Art15!F26+[1]Art16!F26+[1]Art17!F26+[1]Art18!F26+[1]Art19!F26+[1]Art20!F26+[1]Art21!F26+[1]Art22!F26+[1]Art23!F26+[1]Art24!F26+[1]Art25!F26+[1]Art26!F26+[1]Art27!F26+[1]Art28!F26+[1]Art29!F26+[1]Art30!F26+[1]Art31!F26+[1]Art32!F26+[1]Art33!F26+[1]Art34!F26+[1]Art35!F26+[1]Art36!F26+[1]Art37!F26+[1]Art38!F26+[1]ArtT1!F26+[1]ArtT2!F26)</f>
        <v>0</v>
      </c>
      <c r="H26" s="4"/>
      <c r="I26" s="4"/>
      <c r="J26" s="4"/>
      <c r="K26" s="4"/>
    </row>
    <row r="27" spans="1:11" ht="12.75" customHeight="1" x14ac:dyDescent="0.3">
      <c r="A27" s="1" t="s">
        <v>54</v>
      </c>
      <c r="B27" s="1" t="s">
        <v>19</v>
      </c>
      <c r="C27" s="1">
        <f>SUM([1]Art1!C27+[1]Art2!C27+[1]Art3!C27+[1]Art4!C27+[1]Art5!C27+[1]Art6!C27+[1]Art7!C27+[1]Art8!C27+[1]Art9!C27+[1]Art10!C27+[1]Art11!C27+[1]Art12!C27+[1]Art13!C27+[1]Art14!C27+[1]Art15!C27+[1]Art16!C27+[1]Art17!C27+[1]Art18!C27+[1]Art19!C27+[1]Art20!C27+[1]Art21!C27+[1]Art22!C27+[1]Art23!C27+[1]Art24!C27+[1]Art25!C27+[1]Art26!C27+[1]Art27!C27+[1]Art28!C27+[1]Art29!C27+[1]Art30!C27+[1]Art31!C27+[1]Art32!C27+[1]Art33!C27+[1]Art34!C27+[1]Art35!C27+[1]Art36!C27+[1]Art37!C27+[1]Art38!C27+[1]ArtT1!C27+[1]ArtT2!C27)</f>
        <v>40</v>
      </c>
      <c r="D27" s="1">
        <f>SUM([1]Art1!D27+[1]Art2!D27+[1]Art3!D27+[1]Art4!D27+[1]Art5!D27+[1]Art6!D27+[1]Art7!D27+[1]Art8!D27+[1]Art9!D27+[1]Art10!D27+[1]Art11!D27+[1]Art12!D27+[1]Art13!D27+[1]Art14!D27+[1]Art15!D27+[1]Art16!D27+[1]Art17!D27+[1]Art18!D27+[1]Art19!D27+[1]Art20!D27+[1]Art21!D27+[1]Art22!D27+[1]Art23!D27+[1]Art24!D27+[1]Art25!D27+[1]Art26!D27+[1]Art27!D27+[1]Art28!D27+[1]Art29!D27+[1]Art30!D27+[1]Art31!D27+[1]Art32!D27+[1]Art33!D27+[1]Art34!D27+[1]Art35!D27+[1]Art36!D27+[1]Art37!D27+[1]Art38!D27+[1]ArtT1!D27+[1]ArtT2!D27)</f>
        <v>0</v>
      </c>
      <c r="E27" s="1">
        <f>SUM([1]Art1!E27+[1]Art2!E27+[1]Art3!E27+[1]Art4!E27+[1]Art5!E27+[1]Art6!E27+[1]Art7!E27+[1]Art8!E27+[1]Art9!E27+[1]Art10!E27+[1]Art11!E27+[1]Art12!E27+[1]Art13!E27+[1]Art14!E27+[1]Art15!E27+[1]Art16!E27+[1]Art17!E27+[1]Art18!E27+[1]Art19!E27+[1]Art20!E27+[1]Art21!E27+[1]Art22!E27+[1]Art23!E27+[1]Art24!E27+[1]Art25!E27+[1]Art26!E27+[1]Art27!E27+[1]Art28!E27+[1]Art29!E27+[1]Art30!E27+[1]Art31!E27+[1]Art32!E27+[1]Art33!E27+[1]Art34!E27+[1]Art35!E27+[1]Art36!E27+[1]Art37!E27+[1]Art38!E27+[1]ArtT1!E27+[1]ArtT2!E27)</f>
        <v>0</v>
      </c>
      <c r="F27" s="1">
        <f>SUM([1]Art1!F27+[1]Art2!F27+[1]Art3!F27+[1]Art4!F27+[1]Art5!F27+[1]Art6!F27+[1]Art7!F27+[1]Art8!F27+[1]Art9!F27+[1]Art10!F27+[1]Art11!F27+[1]Art12!F27+[1]Art13!F27+[1]Art14!F27+[1]Art15!F27+[1]Art16!F27+[1]Art17!F27+[1]Art18!F27+[1]Art19!F27+[1]Art20!F27+[1]Art21!F27+[1]Art22!F27+[1]Art23!F27+[1]Art24!F27+[1]Art25!F27+[1]Art26!F27+[1]Art27!F27+[1]Art28!F27+[1]Art29!F27+[1]Art30!F27+[1]Art31!F27+[1]Art32!F27+[1]Art33!F27+[1]Art34!F27+[1]Art35!F27+[1]Art36!F27+[1]Art37!F27+[1]Art38!F27+[1]ArtT1!F27+[1]ArtT2!F27)</f>
        <v>0</v>
      </c>
      <c r="H27" s="4"/>
      <c r="I27" s="4"/>
      <c r="J27" s="4"/>
      <c r="K27" s="4"/>
    </row>
    <row r="28" spans="1:11" ht="12.75" customHeight="1" x14ac:dyDescent="0.3">
      <c r="A28" s="1" t="s">
        <v>55</v>
      </c>
      <c r="B28" s="1" t="s">
        <v>37</v>
      </c>
      <c r="C28" s="1">
        <f>SUM([1]Art1!C28+[1]Art2!C28+[1]Art3!C28+[1]Art4!C28+[1]Art5!C28+[1]Art6!C28+[1]Art7!C28+[1]Art8!C28+[1]Art9!C28+[1]Art10!C28+[1]Art11!C28+[1]Art12!C28+[1]Art13!C28+[1]Art14!C28+[1]Art15!C28+[1]Art16!C28+[1]Art17!C28+[1]Art18!C28+[1]Art19!C28+[1]Art20!C28+[1]Art21!C28+[1]Art22!C28+[1]Art23!C28+[1]Art24!C28+[1]Art25!C28+[1]Art26!C28+[1]Art27!C28+[1]Art28!C28+[1]Art29!C28+[1]Art30!C28+[1]Art31!C28+[1]Art32!C28+[1]Art33!C28+[1]Art34!C28+[1]Art35!C28+[1]Art36!C28+[1]Art37!C28+[1]Art38!C28+[1]ArtT1!C28+[1]ArtT2!C28)</f>
        <v>36</v>
      </c>
      <c r="D28" s="1">
        <f>SUM([1]Art1!D28+[1]Art2!D28+[1]Art3!D28+[1]Art4!D28+[1]Art5!D28+[1]Art6!D28+[1]Art7!D28+[1]Art8!D28+[1]Art9!D28+[1]Art10!D28+[1]Art11!D28+[1]Art12!D28+[1]Art13!D28+[1]Art14!D28+[1]Art15!D28+[1]Art16!D28+[1]Art17!D28+[1]Art18!D28+[1]Art19!D28+[1]Art20!D28+[1]Art21!D28+[1]Art22!D28+[1]Art23!D28+[1]Art24!D28+[1]Art25!D28+[1]Art26!D28+[1]Art27!D28+[1]Art28!D28+[1]Art29!D28+[1]Art30!D28+[1]Art31!D28+[1]Art32!D28+[1]Art33!D28+[1]Art34!D28+[1]Art35!D28+[1]Art36!D28+[1]Art37!D28+[1]Art38!D28+[1]ArtT1!D28+[1]ArtT2!D28)</f>
        <v>3</v>
      </c>
      <c r="E28" s="1">
        <f>SUM([1]Art1!E28+[1]Art2!E28+[1]Art3!E28+[1]Art4!E28+[1]Art5!E28+[1]Art6!E28+[1]Art7!E28+[1]Art8!E28+[1]Art9!E28+[1]Art10!E28+[1]Art11!E28+[1]Art12!E28+[1]Art13!E28+[1]Art14!E28+[1]Art15!E28+[1]Art16!E28+[1]Art17!E28+[1]Art18!E28+[1]Art19!E28+[1]Art20!E28+[1]Art21!E28+[1]Art22!E28+[1]Art23!E28+[1]Art24!E28+[1]Art25!E28+[1]Art26!E28+[1]Art27!E28+[1]Art28!E28+[1]Art29!E28+[1]Art30!E28+[1]Art31!E28+[1]Art32!E28+[1]Art33!E28+[1]Art34!E28+[1]Art35!E28+[1]Art36!E28+[1]Art37!E28+[1]Art38!E28+[1]ArtT1!E28+[1]ArtT2!E28)</f>
        <v>0</v>
      </c>
      <c r="F28" s="1">
        <f>SUM([1]Art1!F28+[1]Art2!F28+[1]Art3!F28+[1]Art4!F28+[1]Art5!F28+[1]Art6!F28+[1]Art7!F28+[1]Art8!F28+[1]Art9!F28+[1]Art10!F28+[1]Art11!F28+[1]Art12!F28+[1]Art13!F28+[1]Art14!F28+[1]Art15!F28+[1]Art16!F28+[1]Art17!F28+[1]Art18!F28+[1]Art19!F28+[1]Art20!F28+[1]Art21!F28+[1]Art22!F28+[1]Art23!F28+[1]Art24!F28+[1]Art25!F28+[1]Art26!F28+[1]Art27!F28+[1]Art28!F28+[1]Art29!F28+[1]Art30!F28+[1]Art31!F28+[1]Art32!F28+[1]Art33!F28+[1]Art34!F28+[1]Art35!F28+[1]Art36!F28+[1]Art37!F28+[1]Art38!F28+[1]ArtT1!F28+[1]ArtT2!F28)</f>
        <v>1</v>
      </c>
      <c r="H28" s="4"/>
      <c r="I28" s="4"/>
      <c r="J28" s="4"/>
      <c r="K28" s="4"/>
    </row>
    <row r="29" spans="1:11" ht="12.75" customHeight="1" x14ac:dyDescent="0.3">
      <c r="A29" s="1" t="s">
        <v>56</v>
      </c>
      <c r="B29" s="1" t="s">
        <v>27</v>
      </c>
      <c r="C29" s="1">
        <f>SUM([1]Art1!C29+[1]Art2!C29+[1]Art3!C29+[1]Art4!C29+[1]Art5!C29+[1]Art6!C29+[1]Art7!C29+[1]Art8!C29+[1]Art9!C29+[1]Art10!C29+[1]Art11!C29+[1]Art12!C29+[1]Art13!C29+[1]Art14!C29+[1]Art15!C29+[1]Art16!C29+[1]Art17!C29+[1]Art18!C29+[1]Art19!C29+[1]Art20!C29+[1]Art21!C29+[1]Art22!C29+[1]Art23!C29+[1]Art24!C29+[1]Art25!C29+[1]Art26!C29+[1]Art27!C29+[1]Art28!C29+[1]Art29!C29+[1]Art30!C29+[1]Art31!C29+[1]Art32!C29+[1]Art33!C29+[1]Art34!C29+[1]Art35!C29+[1]Art36!C29+[1]Art37!C29+[1]Art38!C29+[1]ArtT1!C29+[1]ArtT2!C29)</f>
        <v>22</v>
      </c>
      <c r="D29" s="1">
        <f>SUM([1]Art1!D29+[1]Art2!D29+[1]Art3!D29+[1]Art4!D29+[1]Art5!D29+[1]Art6!D29+[1]Art7!D29+[1]Art8!D29+[1]Art9!D29+[1]Art10!D29+[1]Art11!D29+[1]Art12!D29+[1]Art13!D29+[1]Art14!D29+[1]Art15!D29+[1]Art16!D29+[1]Art17!D29+[1]Art18!D29+[1]Art19!D29+[1]Art20!D29+[1]Art21!D29+[1]Art22!D29+[1]Art23!D29+[1]Art24!D29+[1]Art25!D29+[1]Art26!D29+[1]Art27!D29+[1]Art28!D29+[1]Art29!D29+[1]Art30!D29+[1]Art31!D29+[1]Art32!D29+[1]Art33!D29+[1]Art34!D29+[1]Art35!D29+[1]Art36!D29+[1]Art37!D29+[1]Art38!D29+[1]ArtT1!D29+[1]ArtT2!D29)</f>
        <v>18</v>
      </c>
      <c r="E29" s="1">
        <f>SUM([1]Art1!E29+[1]Art2!E29+[1]Art3!E29+[1]Art4!E29+[1]Art5!E29+[1]Art6!E29+[1]Art7!E29+[1]Art8!E29+[1]Art9!E29+[1]Art10!E29+[1]Art11!E29+[1]Art12!E29+[1]Art13!E29+[1]Art14!E29+[1]Art15!E29+[1]Art16!E29+[1]Art17!E29+[1]Art18!E29+[1]Art19!E29+[1]Art20!E29+[1]Art21!E29+[1]Art22!E29+[1]Art23!E29+[1]Art24!E29+[1]Art25!E29+[1]Art26!E29+[1]Art27!E29+[1]Art28!E29+[1]Art29!E29+[1]Art30!E29+[1]Art31!E29+[1]Art32!E29+[1]Art33!E29+[1]Art34!E29+[1]Art35!E29+[1]Art36!E29+[1]Art37!E29+[1]Art38!E29+[1]ArtT1!E29+[1]ArtT2!E29)</f>
        <v>0</v>
      </c>
      <c r="F29" s="1">
        <f>SUM([1]Art1!F29+[1]Art2!F29+[1]Art3!F29+[1]Art4!F29+[1]Art5!F29+[1]Art6!F29+[1]Art7!F29+[1]Art8!F29+[1]Art9!F29+[1]Art10!F29+[1]Art11!F29+[1]Art12!F29+[1]Art13!F29+[1]Art14!F29+[1]Art15!F29+[1]Art16!F29+[1]Art17!F29+[1]Art18!F29+[1]Art19!F29+[1]Art20!F29+[1]Art21!F29+[1]Art22!F29+[1]Art23!F29+[1]Art24!F29+[1]Art25!F29+[1]Art26!F29+[1]Art27!F29+[1]Art28!F29+[1]Art29!F29+[1]Art30!F29+[1]Art31!F29+[1]Art32!F29+[1]Art33!F29+[1]Art34!F29+[1]Art35!F29+[1]Art36!F29+[1]Art37!F29+[1]Art38!F29+[1]ArtT1!F29+[1]ArtT2!F29)</f>
        <v>0</v>
      </c>
      <c r="H29" s="4"/>
      <c r="I29" s="4"/>
      <c r="J29" s="4"/>
      <c r="K29" s="4"/>
    </row>
    <row r="30" spans="1:11" ht="12.75" customHeight="1" x14ac:dyDescent="0.3">
      <c r="A30" s="1" t="s">
        <v>57</v>
      </c>
      <c r="B30" s="1" t="s">
        <v>27</v>
      </c>
      <c r="C30" s="1">
        <f>SUM([1]Art1!C30+[1]Art2!C30+[1]Art3!C30+[1]Art4!C30+[1]Art5!C30+[1]Art6!C30+[1]Art7!C30+[1]Art8!C30+[1]Art9!C30+[1]Art10!C30+[1]Art11!C30+[1]Art12!C30+[1]Art13!C30+[1]Art14!C30+[1]Art15!C30+[1]Art16!C30+[1]Art17!C30+[1]Art18!C30+[1]Art19!C30+[1]Art20!C30+[1]Art21!C30+[1]Art22!C30+[1]Art23!C30+[1]Art24!C30+[1]Art25!C30+[1]Art26!C30+[1]Art27!C30+[1]Art28!C30+[1]Art29!C30+[1]Art30!C30+[1]Art31!C30+[1]Art32!C30+[1]Art33!C30+[1]Art34!C30+[1]Art35!C30+[1]Art36!C30+[1]Art37!C30+[1]Art38!C30+[1]ArtT1!C30+[1]ArtT2!C30)</f>
        <v>19</v>
      </c>
      <c r="D30" s="1">
        <f>SUM([1]Art1!D30+[1]Art2!D30+[1]Art3!D30+[1]Art4!D30+[1]Art5!D30+[1]Art6!D30+[1]Art7!D30+[1]Art8!D30+[1]Art9!D30+[1]Art10!D30+[1]Art11!D30+[1]Art12!D30+[1]Art13!D30+[1]Art14!D30+[1]Art15!D30+[1]Art16!D30+[1]Art17!D30+[1]Art18!D30+[1]Art19!D30+[1]Art20!D30+[1]Art21!D30+[1]Art22!D30+[1]Art23!D30+[1]Art24!D30+[1]Art25!D30+[1]Art26!D30+[1]Art27!D30+[1]Art28!D30+[1]Art29!D30+[1]Art30!D30+[1]Art31!D30+[1]Art32!D30+[1]Art33!D30+[1]Art34!D30+[1]Art35!D30+[1]Art36!D30+[1]Art37!D30+[1]Art38!D30+[1]ArtT1!D30+[1]ArtT2!D30)</f>
        <v>19</v>
      </c>
      <c r="E30" s="1">
        <f>SUM([1]Art1!E30+[1]Art2!E30+[1]Art3!E30+[1]Art4!E30+[1]Art5!E30+[1]Art6!E30+[1]Art7!E30+[1]Art8!E30+[1]Art9!E30+[1]Art10!E30+[1]Art11!E30+[1]Art12!E30+[1]Art13!E30+[1]Art14!E30+[1]Art15!E30+[1]Art16!E30+[1]Art17!E30+[1]Art18!E30+[1]Art19!E30+[1]Art20!E30+[1]Art21!E30+[1]Art22!E30+[1]Art23!E30+[1]Art24!E30+[1]Art25!E30+[1]Art26!E30+[1]Art27!E30+[1]Art28!E30+[1]Art29!E30+[1]Art30!E30+[1]Art31!E30+[1]Art32!E30+[1]Art33!E30+[1]Art34!E30+[1]Art35!E30+[1]Art36!E30+[1]Art37!E30+[1]Art38!E30+[1]ArtT1!E30+[1]ArtT2!E30)</f>
        <v>1</v>
      </c>
      <c r="F30" s="1">
        <f>SUM([1]Art1!F30+[1]Art2!F30+[1]Art3!F30+[1]Art4!F30+[1]Art5!F30+[1]Art6!F30+[1]Art7!F30+[1]Art8!F30+[1]Art9!F30+[1]Art10!F30+[1]Art11!F30+[1]Art12!F30+[1]Art13!F30+[1]Art14!F30+[1]Art15!F30+[1]Art16!F30+[1]Art17!F30+[1]Art18!F30+[1]Art19!F30+[1]Art20!F30+[1]Art21!F30+[1]Art22!F30+[1]Art23!F30+[1]Art24!F30+[1]Art25!F30+[1]Art26!F30+[1]Art27!F30+[1]Art28!F30+[1]Art29!F30+[1]Art30!F30+[1]Art31!F30+[1]Art32!F30+[1]Art33!F30+[1]Art34!F30+[1]Art35!F30+[1]Art36!F30+[1]Art37!F30+[1]Art38!F30+[1]ArtT1!F30+[1]ArtT2!F30)</f>
        <v>1</v>
      </c>
      <c r="H30" s="4"/>
      <c r="I30" s="4"/>
      <c r="J30" s="4"/>
      <c r="K30" s="4"/>
    </row>
    <row r="31" spans="1:11" ht="12.75" customHeight="1" x14ac:dyDescent="0.3">
      <c r="A31" s="1" t="s">
        <v>58</v>
      </c>
      <c r="B31" s="1" t="s">
        <v>30</v>
      </c>
      <c r="C31" s="1">
        <f>SUM([1]Art1!C31+[1]Art2!C31+[1]Art3!C31+[1]Art4!C31+[1]Art5!C31+[1]Art6!C31+[1]Art7!C31+[1]Art8!C31+[1]Art9!C31+[1]Art10!C31+[1]Art11!C31+[1]Art12!C31+[1]Art13!C31+[1]Art14!C31+[1]Art15!C31+[1]Art16!C31+[1]Art17!C31+[1]Art18!C31+[1]Art19!C31+[1]Art20!C31+[1]Art21!C31+[1]Art22!C31+[1]Art23!C31+[1]Art24!C31+[1]Art25!C31+[1]Art26!C31+[1]Art27!C31+[1]Art28!C31+[1]Art29!C31+[1]Art30!C31+[1]Art31!C31+[1]Art32!C31+[1]Art33!C31+[1]Art34!C31+[1]Art35!C31+[1]Art36!C31+[1]Art37!C31+[1]Art38!C31+[1]ArtT1!C31+[1]ArtT2!C31)</f>
        <v>0</v>
      </c>
      <c r="D31" s="1">
        <f>SUM([1]Art1!D31+[1]Art2!D31+[1]Art3!D31+[1]Art4!D31+[1]Art5!D31+[1]Art6!D31+[1]Art7!D31+[1]Art8!D31+[1]Art9!D31+[1]Art10!D31+[1]Art11!D31+[1]Art12!D31+[1]Art13!D31+[1]Art14!D31+[1]Art15!D31+[1]Art16!D31+[1]Art17!D31+[1]Art18!D31+[1]Art19!D31+[1]Art20!D31+[1]Art21!D31+[1]Art22!D31+[1]Art23!D31+[1]Art24!D31+[1]Art25!D31+[1]Art26!D31+[1]Art27!D31+[1]Art28!D31+[1]Art29!D31+[1]Art30!D31+[1]Art31!D31+[1]Art32!D31+[1]Art33!D31+[1]Art34!D31+[1]Art35!D31+[1]Art36!D31+[1]Art37!D31+[1]Art38!D31+[1]ArtT1!D31+[1]ArtT2!D31)</f>
        <v>40</v>
      </c>
      <c r="E31" s="1">
        <f>SUM([1]Art1!E31+[1]Art2!E31+[1]Art3!E31+[1]Art4!E31+[1]Art5!E31+[1]Art6!E31+[1]Art7!E31+[1]Art8!E31+[1]Art9!E31+[1]Art10!E31+[1]Art11!E31+[1]Art12!E31+[1]Art13!E31+[1]Art14!E31+[1]Art15!E31+[1]Art16!E31+[1]Art17!E31+[1]Art18!E31+[1]Art19!E31+[1]Art20!E31+[1]Art21!E31+[1]Art22!E31+[1]Art23!E31+[1]Art24!E31+[1]Art25!E31+[1]Art26!E31+[1]Art27!E31+[1]Art28!E31+[1]Art29!E31+[1]Art30!E31+[1]Art31!E31+[1]Art32!E31+[1]Art33!E31+[1]Art34!E31+[1]Art35!E31+[1]Art36!E31+[1]Art37!E31+[1]Art38!E31+[1]ArtT1!E31+[1]ArtT2!E31)</f>
        <v>0</v>
      </c>
      <c r="F31" s="1">
        <f>SUM([1]Art1!F31+[1]Art2!F31+[1]Art3!F31+[1]Art4!F31+[1]Art5!F31+[1]Art6!F31+[1]Art7!F31+[1]Art8!F31+[1]Art9!F31+[1]Art10!F31+[1]Art11!F31+[1]Art12!F31+[1]Art13!F31+[1]Art14!F31+[1]Art15!F31+[1]Art16!F31+[1]Art17!F31+[1]Art18!F31+[1]Art19!F31+[1]Art20!F31+[1]Art21!F31+[1]Art22!F31+[1]Art23!F31+[1]Art24!F31+[1]Art25!F31+[1]Art26!F31+[1]Art27!F31+[1]Art28!F31+[1]Art29!F31+[1]Art30!F31+[1]Art31!F31+[1]Art32!F31+[1]Art33!F31+[1]Art34!F31+[1]Art35!F31+[1]Art36!F31+[1]Art37!F31+[1]Art38!F31+[1]ArtT1!F31+[1]ArtT2!F31)</f>
        <v>0</v>
      </c>
      <c r="H31" s="4"/>
      <c r="I31" s="4"/>
      <c r="J31" s="4"/>
      <c r="K31" s="4"/>
    </row>
    <row r="32" spans="1:11" ht="12.75" customHeight="1" x14ac:dyDescent="0.3">
      <c r="A32" s="1" t="s">
        <v>59</v>
      </c>
      <c r="B32" s="1" t="s">
        <v>24</v>
      </c>
      <c r="C32" s="1">
        <f>SUM([1]Art1!C32+[1]Art2!C32+[1]Art3!C32+[1]Art4!C32+[1]Art5!C32+[1]Art6!C32+[1]Art7!C32+[1]Art8!C32+[1]Art9!C32+[1]Art10!C32+[1]Art11!C32+[1]Art12!C32+[1]Art13!C32+[1]Art14!C32+[1]Art15!C32+[1]Art16!C32+[1]Art17!C32+[1]Art18!C32+[1]Art19!C32+[1]Art20!C32+[1]Art21!C32+[1]Art22!C32+[1]Art23!C32+[1]Art24!C32+[1]Art25!C32+[1]Art26!C32+[1]Art27!C32+[1]Art28!C32+[1]Art29!C32+[1]Art30!C32+[1]Art31!C32+[1]Art32!C32+[1]Art33!C32+[1]Art34!C32+[1]Art35!C32+[1]Art36!C32+[1]Art37!C32+[1]Art38!C32+[1]ArtT1!C32+[1]ArtT2!C32)</f>
        <v>26</v>
      </c>
      <c r="D32" s="1">
        <f>SUM([1]Art1!D32+[1]Art2!D32+[1]Art3!D32+[1]Art4!D32+[1]Art5!D32+[1]Art6!D32+[1]Art7!D32+[1]Art8!D32+[1]Art9!D32+[1]Art10!D32+[1]Art11!D32+[1]Art12!D32+[1]Art13!D32+[1]Art14!D32+[1]Art15!D32+[1]Art16!D32+[1]Art17!D32+[1]Art18!D32+[1]Art19!D32+[1]Art20!D32+[1]Art21!D32+[1]Art22!D32+[1]Art23!D32+[1]Art24!D32+[1]Art25!D32+[1]Art26!D32+[1]Art27!D32+[1]Art28!D32+[1]Art29!D32+[1]Art30!D32+[1]Art31!D32+[1]Art32!D32+[1]Art33!D32+[1]Art34!D32+[1]Art35!D32+[1]Art36!D32+[1]Art37!D32+[1]Art38!D32+[1]ArtT1!D32+[1]ArtT2!D32)</f>
        <v>13</v>
      </c>
      <c r="E32" s="1">
        <f>SUM([1]Art1!E32+[1]Art2!E32+[1]Art3!E32+[1]Art4!E32+[1]Art5!E32+[1]Art6!E32+[1]Art7!E32+[1]Art8!E32+[1]Art9!E32+[1]Art10!E32+[1]Art11!E32+[1]Art12!E32+[1]Art13!E32+[1]Art14!E32+[1]Art15!E32+[1]Art16!E32+[1]Art17!E32+[1]Art18!E32+[1]Art19!E32+[1]Art20!E32+[1]Art21!E32+[1]Art22!E32+[1]Art23!E32+[1]Art24!E32+[1]Art25!E32+[1]Art26!E32+[1]Art27!E32+[1]Art28!E32+[1]Art29!E32+[1]Art30!E32+[1]Art31!E32+[1]Art32!E32+[1]Art33!E32+[1]Art34!E32+[1]Art35!E32+[1]Art36!E32+[1]Art37!E32+[1]Art38!E32+[1]ArtT1!E32+[1]ArtT2!E32)</f>
        <v>0</v>
      </c>
      <c r="F32" s="1">
        <f>SUM([1]Art1!F32+[1]Art2!F32+[1]Art3!F32+[1]Art4!F32+[1]Art5!F32+[1]Art6!F32+[1]Art7!F32+[1]Art8!F32+[1]Art9!F32+[1]Art10!F32+[1]Art11!F32+[1]Art12!F32+[1]Art13!F32+[1]Art14!F32+[1]Art15!F32+[1]Art16!F32+[1]Art17!F32+[1]Art18!F32+[1]Art19!F32+[1]Art20!F32+[1]Art21!F32+[1]Art22!F32+[1]Art23!F32+[1]Art24!F32+[1]Art25!F32+[1]Art26!F32+[1]Art27!F32+[1]Art28!F32+[1]Art29!F32+[1]Art30!F32+[1]Art31!F32+[1]Art32!F32+[1]Art33!F32+[1]Art34!F32+[1]Art35!F32+[1]Art36!F32+[1]Art37!F32+[1]Art38!F32+[1]ArtT1!F32+[1]ArtT2!F32)</f>
        <v>1</v>
      </c>
      <c r="H32" s="4"/>
      <c r="I32" s="4"/>
      <c r="J32" s="4"/>
      <c r="K32" s="4"/>
    </row>
    <row r="33" spans="1:11" ht="12.75" customHeight="1" x14ac:dyDescent="0.3">
      <c r="A33" s="1" t="s">
        <v>60</v>
      </c>
      <c r="B33" s="1" t="s">
        <v>27</v>
      </c>
      <c r="C33" s="1">
        <f>SUM([1]Art1!C33+[1]Art2!C33+[1]Art3!C33+[1]Art4!C33+[1]Art5!C33+[1]Art6!C33+[1]Art7!C33+[1]Art8!C33+[1]Art9!C33+[1]Art10!C33+[1]Art11!C33+[1]Art12!C33+[1]Art13!C33+[1]Art14!C33+[1]Art15!C33+[1]Art16!C33+[1]Art17!C33+[1]Art18!C33+[1]Art19!C33+[1]Art20!C33+[1]Art21!C33+[1]Art22!C33+[1]Art23!C33+[1]Art24!C33+[1]Art25!C33+[1]Art26!C33+[1]Art27!C33+[1]Art28!C33+[1]Art29!C33+[1]Art30!C33+[1]Art31!C33+[1]Art32!C33+[1]Art33!C33+[1]Art34!C33+[1]Art35!C33+[1]Art36!C33+[1]Art37!C33+[1]Art38!C33+[1]ArtT1!C33+[1]ArtT2!C33)</f>
        <v>12</v>
      </c>
      <c r="D33" s="1">
        <f>SUM([1]Art1!D33+[1]Art2!D33+[1]Art3!D33+[1]Art4!D33+[1]Art5!D33+[1]Art6!D33+[1]Art7!D33+[1]Art8!D33+[1]Art9!D33+[1]Art10!D33+[1]Art11!D33+[1]Art12!D33+[1]Art13!D33+[1]Art14!D33+[1]Art15!D33+[1]Art16!D33+[1]Art17!D33+[1]Art18!D33+[1]Art19!D33+[1]Art20!D33+[1]Art21!D33+[1]Art22!D33+[1]Art23!D33+[1]Art24!D33+[1]Art25!D33+[1]Art26!D33+[1]Art27!D33+[1]Art28!D33+[1]Art29!D33+[1]Art30!D33+[1]Art31!D33+[1]Art32!D33+[1]Art33!D33+[1]Art34!D33+[1]Art35!D33+[1]Art36!D33+[1]Art37!D33+[1]Art38!D33+[1]ArtT1!D33+[1]ArtT2!D33)</f>
        <v>28</v>
      </c>
      <c r="E33" s="1">
        <f>SUM([1]Art1!E33+[1]Art2!E33+[1]Art3!E33+[1]Art4!E33+[1]Art5!E33+[1]Art6!E33+[1]Art7!E33+[1]Art8!E33+[1]Art9!E33+[1]Art10!E33+[1]Art11!E33+[1]Art12!E33+[1]Art13!E33+[1]Art14!E33+[1]Art15!E33+[1]Art16!E33+[1]Art17!E33+[1]Art18!E33+[1]Art19!E33+[1]Art20!E33+[1]Art21!E33+[1]Art22!E33+[1]Art23!E33+[1]Art24!E33+[1]Art25!E33+[1]Art26!E33+[1]Art27!E33+[1]Art28!E33+[1]Art29!E33+[1]Art30!E33+[1]Art31!E33+[1]Art32!E33+[1]Art33!E33+[1]Art34!E33+[1]Art35!E33+[1]Art36!E33+[1]Art37!E33+[1]Art38!E33+[1]ArtT1!E33+[1]ArtT2!E33)</f>
        <v>0</v>
      </c>
      <c r="F33" s="1">
        <f>SUM([1]Art1!F33+[1]Art2!F33+[1]Art3!F33+[1]Art4!F33+[1]Art5!F33+[1]Art6!F33+[1]Art7!F33+[1]Art8!F33+[1]Art9!F33+[1]Art10!F33+[1]Art11!F33+[1]Art12!F33+[1]Art13!F33+[1]Art14!F33+[1]Art15!F33+[1]Art16!F33+[1]Art17!F33+[1]Art18!F33+[1]Art19!F33+[1]Art20!F33+[1]Art21!F33+[1]Art22!F33+[1]Art23!F33+[1]Art24!F33+[1]Art25!F33+[1]Art26!F33+[1]Art27!F33+[1]Art28!F33+[1]Art29!F33+[1]Art30!F33+[1]Art31!F33+[1]Art32!F33+[1]Art33!F33+[1]Art34!F33+[1]Art35!F33+[1]Art36!F33+[1]Art37!F33+[1]Art38!F33+[1]ArtT1!F33+[1]ArtT2!F33)</f>
        <v>0</v>
      </c>
      <c r="H33" s="4"/>
      <c r="I33" s="4"/>
      <c r="J33" s="4"/>
      <c r="K33" s="4"/>
    </row>
    <row r="34" spans="1:11" ht="12.75" customHeight="1" x14ac:dyDescent="0.3">
      <c r="A34" s="1" t="s">
        <v>61</v>
      </c>
      <c r="B34" s="1" t="s">
        <v>38</v>
      </c>
      <c r="C34" s="1">
        <f>SUM([1]Art1!C34+[1]Art2!C34+[1]Art3!C34+[1]Art4!C34+[1]Art5!C34+[1]Art6!C34+[1]Art7!C34+[1]Art8!C34+[1]Art9!C34+[1]Art10!C34+[1]Art11!C34+[1]Art12!C34+[1]Art13!C34+[1]Art14!C34+[1]Art15!C34+[1]Art16!C34+[1]Art17!C34+[1]Art18!C34+[1]Art19!C34+[1]Art20!C34+[1]Art21!C34+[1]Art22!C34+[1]Art23!C34+[1]Art24!C34+[1]Art25!C34+[1]Art26!C34+[1]Art27!C34+[1]Art28!C34+[1]Art29!C34+[1]Art30!C34+[1]Art31!C34+[1]Art32!C34+[1]Art33!C34+[1]Art34!C34+[1]Art35!C34+[1]Art36!C34+[1]Art37!C34+[1]Art38!C34+[1]ArtT1!C34+[1]ArtT2!C34)</f>
        <v>6</v>
      </c>
      <c r="D34" s="1">
        <f>SUM([1]Art1!D34+[1]Art2!D34+[1]Art3!D34+[1]Art4!D34+[1]Art5!D34+[1]Art6!D34+[1]Art7!D34+[1]Art8!D34+[1]Art9!D34+[1]Art10!D34+[1]Art11!D34+[1]Art12!D34+[1]Art13!D34+[1]Art14!D34+[1]Art15!D34+[1]Art16!D34+[1]Art17!D34+[1]Art18!D34+[1]Art19!D34+[1]Art20!D34+[1]Art21!D34+[1]Art22!D34+[1]Art23!D34+[1]Art24!D34+[1]Art25!D34+[1]Art26!D34+[1]Art27!D34+[1]Art28!D34+[1]Art29!D34+[1]Art30!D34+[1]Art31!D34+[1]Art32!D34+[1]Art33!D34+[1]Art34!D34+[1]Art35!D34+[1]Art36!D34+[1]Art37!D34+[1]Art38!D34+[1]ArtT1!D34+[1]ArtT2!D34)</f>
        <v>29</v>
      </c>
      <c r="E34" s="1">
        <f>SUM([1]Art1!E34+[1]Art2!E34+[1]Art3!E34+[1]Art4!E34+[1]Art5!E34+[1]Art6!E34+[1]Art7!E34+[1]Art8!E34+[1]Art9!E34+[1]Art10!E34+[1]Art11!E34+[1]Art12!E34+[1]Art13!E34+[1]Art14!E34+[1]Art15!E34+[1]Art16!E34+[1]Art17!E34+[1]Art18!E34+[1]Art19!E34+[1]Art20!E34+[1]Art21!E34+[1]Art22!E34+[1]Art23!E34+[1]Art24!E34+[1]Art25!E34+[1]Art26!E34+[1]Art27!E34+[1]Art28!E34+[1]Art29!E34+[1]Art30!E34+[1]Art31!E34+[1]Art32!E34+[1]Art33!E34+[1]Art34!E34+[1]Art35!E34+[1]Art36!E34+[1]Art37!E34+[1]Art38!E34+[1]ArtT1!E34+[1]ArtT2!E34)</f>
        <v>5</v>
      </c>
      <c r="F34" s="1">
        <f>SUM([1]Art1!F34+[1]Art2!F34+[1]Art3!F34+[1]Art4!F34+[1]Art5!F34+[1]Art6!F34+[1]Art7!F34+[1]Art8!F34+[1]Art9!F34+[1]Art10!F34+[1]Art11!F34+[1]Art12!F34+[1]Art13!F34+[1]Art14!F34+[1]Art15!F34+[1]Art16!F34+[1]Art17!F34+[1]Art18!F34+[1]Art19!F34+[1]Art20!F34+[1]Art21!F34+[1]Art22!F34+[1]Art23!F34+[1]Art24!F34+[1]Art25!F34+[1]Art26!F34+[1]Art27!F34+[1]Art28!F34+[1]Art29!F34+[1]Art30!F34+[1]Art31!F34+[1]Art32!F34+[1]Art33!F34+[1]Art34!F34+[1]Art35!F34+[1]Art36!F34+[1]Art37!F34+[1]Art38!F34+[1]ArtT1!F34+[1]ArtT2!F34)</f>
        <v>0</v>
      </c>
      <c r="H34" s="4"/>
      <c r="I34" s="4"/>
      <c r="J34" s="4"/>
      <c r="K34" s="4"/>
    </row>
    <row r="35" spans="1:11" ht="12.75" customHeight="1" x14ac:dyDescent="0.3">
      <c r="A35" s="1" t="s">
        <v>62</v>
      </c>
      <c r="B35" s="1" t="s">
        <v>30</v>
      </c>
      <c r="C35" s="1">
        <f>SUM([1]Art1!C35+[1]Art2!C35+[1]Art3!C35+[1]Art4!C35+[1]Art5!C35+[1]Art6!C35+[1]Art7!C35+[1]Art8!C35+[1]Art9!C35+[1]Art10!C35+[1]Art11!C35+[1]Art12!C35+[1]Art13!C35+[1]Art14!C35+[1]Art15!C35+[1]Art16!C35+[1]Art17!C35+[1]Art18!C35+[1]Art19!C35+[1]Art20!C35+[1]Art21!C35+[1]Art22!C35+[1]Art23!C35+[1]Art24!C35+[1]Art25!C35+[1]Art26!C35+[1]Art27!C35+[1]Art28!C35+[1]Art29!C35+[1]Art30!C35+[1]Art31!C35+[1]Art32!C35+[1]Art33!C35+[1]Art34!C35+[1]Art35!C35+[1]Art36!C35+[1]Art37!C35+[1]Art38!C35+[1]ArtT1!C35+[1]ArtT2!C35)</f>
        <v>0</v>
      </c>
      <c r="D35" s="1">
        <f>SUM([1]Art1!D35+[1]Art2!D35+[1]Art3!D35+[1]Art4!D35+[1]Art5!D35+[1]Art6!D35+[1]Art7!D35+[1]Art8!D35+[1]Art9!D35+[1]Art10!D35+[1]Art11!D35+[1]Art12!D35+[1]Art13!D35+[1]Art14!D35+[1]Art15!D35+[1]Art16!D35+[1]Art17!D35+[1]Art18!D35+[1]Art19!D35+[1]Art20!D35+[1]Art21!D35+[1]Art22!D35+[1]Art23!D35+[1]Art24!D35+[1]Art25!D35+[1]Art26!D35+[1]Art27!D35+[1]Art28!D35+[1]Art29!D35+[1]Art30!D35+[1]Art31!D35+[1]Art32!D35+[1]Art33!D35+[1]Art34!D35+[1]Art35!D35+[1]Art36!D35+[1]Art37!D35+[1]Art38!D35+[1]ArtT1!D35+[1]ArtT2!D35)</f>
        <v>29</v>
      </c>
      <c r="E35" s="1">
        <f>SUM([1]Art1!E35+[1]Art2!E35+[1]Art3!E35+[1]Art4!E35+[1]Art5!E35+[1]Art6!E35+[1]Art7!E35+[1]Art8!E35+[1]Art9!E35+[1]Art10!E35+[1]Art11!E35+[1]Art12!E35+[1]Art13!E35+[1]Art14!E35+[1]Art15!E35+[1]Art16!E35+[1]Art17!E35+[1]Art18!E35+[1]Art19!E35+[1]Art20!E35+[1]Art21!E35+[1]Art22!E35+[1]Art23!E35+[1]Art24!E35+[1]Art25!E35+[1]Art26!E35+[1]Art27!E35+[1]Art28!E35+[1]Art29!E35+[1]Art30!E35+[1]Art31!E35+[1]Art32!E35+[1]Art33!E35+[1]Art34!E35+[1]Art35!E35+[1]Art36!E35+[1]Art37!E35+[1]Art38!E35+[1]ArtT1!E35+[1]ArtT2!E35)</f>
        <v>11</v>
      </c>
      <c r="F35" s="1">
        <f>SUM([1]Art1!F35+[1]Art2!F35+[1]Art3!F35+[1]Art4!F35+[1]Art5!F35+[1]Art6!F35+[1]Art7!F35+[1]Art8!F35+[1]Art9!F35+[1]Art10!F35+[1]Art11!F35+[1]Art12!F35+[1]Art13!F35+[1]Art14!F35+[1]Art15!F35+[1]Art16!F35+[1]Art17!F35+[1]Art18!F35+[1]Art19!F35+[1]Art20!F35+[1]Art21!F35+[1]Art22!F35+[1]Art23!F35+[1]Art24!F35+[1]Art25!F35+[1]Art26!F35+[1]Art27!F35+[1]Art28!F35+[1]Art29!F35+[1]Art30!F35+[1]Art31!F35+[1]Art32!F35+[1]Art33!F35+[1]Art34!F35+[1]Art35!F35+[1]Art36!F35+[1]Art37!F35+[1]Art38!F35+[1]ArtT1!F35+[1]ArtT2!F35)</f>
        <v>0</v>
      </c>
      <c r="H35" s="4"/>
      <c r="I35" s="4"/>
      <c r="J35" s="4"/>
      <c r="K35" s="4"/>
    </row>
    <row r="36" spans="1:11" ht="12.75" customHeight="1" x14ac:dyDescent="0.3">
      <c r="A36" s="1" t="s">
        <v>63</v>
      </c>
      <c r="B36" s="1" t="s">
        <v>21</v>
      </c>
      <c r="C36" s="1">
        <f>SUM([1]Art1!C36+[1]Art2!C36+[1]Art3!C36+[1]Art4!C36+[1]Art5!C36+[1]Art6!C36+[1]Art7!C36+[1]Art8!C36+[1]Art9!C36+[1]Art10!C36+[1]Art11!C36+[1]Art12!C36+[1]Art13!C36+[1]Art14!C36+[1]Art15!C36+[1]Art16!C36+[1]Art17!C36+[1]Art18!C36+[1]Art19!C36+[1]Art20!C36+[1]Art21!C36+[1]Art22!C36+[1]Art23!C36+[1]Art24!C36+[1]Art25!C36+[1]Art26!C36+[1]Art27!C36+[1]Art28!C36+[1]Art29!C36+[1]Art30!C36+[1]Art31!C36+[1]Art32!C36+[1]Art33!C36+[1]Art34!C36+[1]Art35!C36+[1]Art36!C36+[1]Art37!C36+[1]Art38!C36+[1]ArtT1!C36+[1]ArtT2!C36)</f>
        <v>18</v>
      </c>
      <c r="D36" s="1">
        <f>SUM([1]Art1!D36+[1]Art2!D36+[1]Art3!D36+[1]Art4!D36+[1]Art5!D36+[1]Art6!D36+[1]Art7!D36+[1]Art8!D36+[1]Art9!D36+[1]Art10!D36+[1]Art11!D36+[1]Art12!D36+[1]Art13!D36+[1]Art14!D36+[1]Art15!D36+[1]Art16!D36+[1]Art17!D36+[1]Art18!D36+[1]Art19!D36+[1]Art20!D36+[1]Art21!D36+[1]Art22!D36+[1]Art23!D36+[1]Art24!D36+[1]Art25!D36+[1]Art26!D36+[1]Art27!D36+[1]Art28!D36+[1]Art29!D36+[1]Art30!D36+[1]Art31!D36+[1]Art32!D36+[1]Art33!D36+[1]Art34!D36+[1]Art35!D36+[1]Art36!D36+[1]Art37!D36+[1]Art38!D36+[1]ArtT1!D36+[1]ArtT2!D36)</f>
        <v>8</v>
      </c>
      <c r="E36" s="1">
        <f>SUM([1]Art1!E36+[1]Art2!E36+[1]Art3!E36+[1]Art4!E36+[1]Art5!E36+[1]Art6!E36+[1]Art7!E36+[1]Art8!E36+[1]Art9!E36+[1]Art10!E36+[1]Art11!E36+[1]Art12!E36+[1]Art13!E36+[1]Art14!E36+[1]Art15!E36+[1]Art16!E36+[1]Art17!E36+[1]Art18!E36+[1]Art19!E36+[1]Art20!E36+[1]Art21!E36+[1]Art22!E36+[1]Art23!E36+[1]Art24!E36+[1]Art25!E36+[1]Art26!E36+[1]Art27!E36+[1]Art28!E36+[1]Art29!E36+[1]Art30!E36+[1]Art31!E36+[1]Art32!E36+[1]Art33!E36+[1]Art34!E36+[1]Art35!E36+[1]Art36!E36+[1]Art37!E36+[1]Art38!E36+[1]ArtT1!E36+[1]ArtT2!E36)</f>
        <v>14</v>
      </c>
      <c r="F36" s="1">
        <f>SUM([1]Art1!F36+[1]Art2!F36+[1]Art3!F36+[1]Art4!F36+[1]Art5!F36+[1]Art6!F36+[1]Art7!F36+[1]Art8!F36+[1]Art9!F36+[1]Art10!F36+[1]Art11!F36+[1]Art12!F36+[1]Art13!F36+[1]Art14!F36+[1]Art15!F36+[1]Art16!F36+[1]Art17!F36+[1]Art18!F36+[1]Art19!F36+[1]Art20!F36+[1]Art21!F36+[1]Art22!F36+[1]Art23!F36+[1]Art24!F36+[1]Art25!F36+[1]Art26!F36+[1]Art27!F36+[1]Art28!F36+[1]Art29!F36+[1]Art30!F36+[1]Art31!F36+[1]Art32!F36+[1]Art33!F36+[1]Art34!F36+[1]Art35!F36+[1]Art36!F36+[1]Art37!F36+[1]Art38!F36+[1]ArtT1!F36+[1]ArtT2!F36)</f>
        <v>0</v>
      </c>
      <c r="H36" s="4"/>
      <c r="I36" s="4"/>
      <c r="J36" s="4"/>
      <c r="K36" s="4"/>
    </row>
    <row r="37" spans="1:11" ht="12.75" customHeight="1" x14ac:dyDescent="0.3">
      <c r="A37" s="1" t="s">
        <v>64</v>
      </c>
      <c r="B37" s="1" t="s">
        <v>14</v>
      </c>
      <c r="C37" s="1">
        <f>SUM([1]Art1!C37+[1]Art2!C37+[1]Art3!C37+[1]Art4!C37+[1]Art5!C37+[1]Art6!C37+[1]Art7!C37+[1]Art8!C37+[1]Art9!C37+[1]Art10!C37+[1]Art11!C37+[1]Art12!C37+[1]Art13!C37+[1]Art14!C37+[1]Art15!C37+[1]Art16!C37+[1]Art17!C37+[1]Art18!C37+[1]Art19!C37+[1]Art20!C37+[1]Art21!C37+[1]Art22!C37+[1]Art23!C37+[1]Art24!C37+[1]Art25!C37+[1]Art26!C37+[1]Art27!C37+[1]Art28!C37+[1]Art29!C37+[1]Art30!C37+[1]Art31!C37+[1]Art32!C37+[1]Art33!C37+[1]Art34!C37+[1]Art35!C37+[1]Art36!C37+[1]Art37!C37+[1]Art38!C37+[1]ArtT1!C37+[1]ArtT2!C37)</f>
        <v>33</v>
      </c>
      <c r="D37" s="1">
        <f>SUM([1]Art1!D37+[1]Art2!D37+[1]Art3!D37+[1]Art4!D37+[1]Art5!D37+[1]Art6!D37+[1]Art7!D37+[1]Art8!D37+[1]Art9!D37+[1]Art10!D37+[1]Art11!D37+[1]Art12!D37+[1]Art13!D37+[1]Art14!D37+[1]Art15!D37+[1]Art16!D37+[1]Art17!D37+[1]Art18!D37+[1]Art19!D37+[1]Art20!D37+[1]Art21!D37+[1]Art22!D37+[1]Art23!D37+[1]Art24!D37+[1]Art25!D37+[1]Art26!D37+[1]Art27!D37+[1]Art28!D37+[1]Art29!D37+[1]Art30!D37+[1]Art31!D37+[1]Art32!D37+[1]Art33!D37+[1]Art34!D37+[1]Art35!D37+[1]Art36!D37+[1]Art37!D37+[1]Art38!D37+[1]ArtT1!D37+[1]ArtT2!D37)</f>
        <v>0</v>
      </c>
      <c r="E37" s="1">
        <f>SUM([1]Art1!E37+[1]Art2!E37+[1]Art3!E37+[1]Art4!E37+[1]Art5!E37+[1]Art6!E37+[1]Art7!E37+[1]Art8!E37+[1]Art9!E37+[1]Art10!E37+[1]Art11!E37+[1]Art12!E37+[1]Art13!E37+[1]Art14!E37+[1]Art15!E37+[1]Art16!E37+[1]Art17!E37+[1]Art18!E37+[1]Art19!E37+[1]Art20!E37+[1]Art21!E37+[1]Art22!E37+[1]Art23!E37+[1]Art24!E37+[1]Art25!E37+[1]Art26!E37+[1]Art27!E37+[1]Art28!E37+[1]Art29!E37+[1]Art30!E37+[1]Art31!E37+[1]Art32!E37+[1]Art33!E37+[1]Art34!E37+[1]Art35!E37+[1]Art36!E37+[1]Art37!E37+[1]Art38!E37+[1]ArtT1!E37+[1]ArtT2!E37)</f>
        <v>7</v>
      </c>
      <c r="F37" s="1">
        <f>SUM([1]Art1!F37+[1]Art2!F37+[1]Art3!F37+[1]Art4!F37+[1]Art5!F37+[1]Art6!F37+[1]Art7!F37+[1]Art8!F37+[1]Art9!F37+[1]Art10!F37+[1]Art11!F37+[1]Art12!F37+[1]Art13!F37+[1]Art14!F37+[1]Art15!F37+[1]Art16!F37+[1]Art17!F37+[1]Art18!F37+[1]Art19!F37+[1]Art20!F37+[1]Art21!F37+[1]Art22!F37+[1]Art23!F37+[1]Art24!F37+[1]Art25!F37+[1]Art26!F37+[1]Art27!F37+[1]Art28!F37+[1]Art29!F37+[1]Art30!F37+[1]Art31!F37+[1]Art32!F37+[1]Art33!F37+[1]Art34!F37+[1]Art35!F37+[1]Art36!F37+[1]Art37!F37+[1]Art38!F37+[1]ArtT1!F37+[1]ArtT2!F37)</f>
        <v>0</v>
      </c>
      <c r="H37" s="4"/>
      <c r="I37" s="4"/>
      <c r="J37" s="4"/>
      <c r="K37" s="4"/>
    </row>
    <row r="38" spans="1:11" ht="12.75" customHeight="1" x14ac:dyDescent="0.3">
      <c r="A38" s="1" t="s">
        <v>65</v>
      </c>
      <c r="B38" s="1" t="s">
        <v>66</v>
      </c>
      <c r="C38" s="1">
        <f>SUM([1]Art1!C38+[1]Art2!C38+[1]Art3!C38+[1]Art4!C38+[1]Art5!C38+[1]Art6!C38+[1]Art7!C38+[1]Art8!C38+[1]Art9!C38+[1]Art10!C38+[1]Art11!C38+[1]Art12!C38+[1]Art13!C38+[1]Art14!C38+[1]Art15!C38+[1]Art16!C38+[1]Art17!C38+[1]Art18!C38+[1]Art19!C38+[1]Art20!C38+[1]Art21!C38+[1]Art22!C38+[1]Art23!C38+[1]Art24!C38+[1]Art25!C38+[1]Art26!C38+[1]Art27!C38+[1]Art28!C38+[1]Art29!C38+[1]Art30!C38+[1]Art31!C38+[1]Art32!C38+[1]Art33!C38+[1]Art34!C38+[1]Art35!C38+[1]Art36!C38+[1]Art37!C38+[1]Art38!C38+[1]ArtT1!C38+[1]ArtT2!C38)</f>
        <v>0</v>
      </c>
      <c r="D38" s="1">
        <f>SUM([1]Art1!D38+[1]Art2!D38+[1]Art3!D38+[1]Art4!D38+[1]Art5!D38+[1]Art6!D38+[1]Art7!D38+[1]Art8!D38+[1]Art9!D38+[1]Art10!D38+[1]Art11!D38+[1]Art12!D38+[1]Art13!D38+[1]Art14!D38+[1]Art15!D38+[1]Art16!D38+[1]Art17!D38+[1]Art18!D38+[1]Art19!D38+[1]Art20!D38+[1]Art21!D38+[1]Art22!D38+[1]Art23!D38+[1]Art24!D38+[1]Art25!D38+[1]Art26!D38+[1]Art27!D38+[1]Art28!D38+[1]Art29!D38+[1]Art30!D38+[1]Art31!D38+[1]Art32!D38+[1]Art33!D38+[1]Art34!D38+[1]Art35!D38+[1]Art36!D38+[1]Art37!D38+[1]Art38!D38+[1]ArtT1!D38+[1]ArtT2!D38)</f>
        <v>24</v>
      </c>
      <c r="E38" s="1">
        <f>SUM([1]Art1!E38+[1]Art2!E38+[1]Art3!E38+[1]Art4!E38+[1]Art5!E38+[1]Art6!E38+[1]Art7!E38+[1]Art8!E38+[1]Art9!E38+[1]Art10!E38+[1]Art11!E38+[1]Art12!E38+[1]Art13!E38+[1]Art14!E38+[1]Art15!E38+[1]Art16!E38+[1]Art17!E38+[1]Art18!E38+[1]Art19!E38+[1]Art20!E38+[1]Art21!E38+[1]Art22!E38+[1]Art23!E38+[1]Art24!E38+[1]Art25!E38+[1]Art26!E38+[1]Art27!E38+[1]Art28!E38+[1]Art29!E38+[1]Art30!E38+[1]Art31!E38+[1]Art32!E38+[1]Art33!E38+[1]Art34!E38+[1]Art35!E38+[1]Art36!E38+[1]Art37!E38+[1]Art38!E38+[1]ArtT1!E38+[1]ArtT2!E38)</f>
        <v>16</v>
      </c>
      <c r="F38" s="1">
        <f>SUM([1]Art1!F38+[1]Art2!F38+[1]Art3!F38+[1]Art4!F38+[1]Art5!F38+[1]Art6!F38+[1]Art7!F38+[1]Art8!F38+[1]Art9!F38+[1]Art10!F38+[1]Art11!F38+[1]Art12!F38+[1]Art13!F38+[1]Art14!F38+[1]Art15!F38+[1]Art16!F38+[1]Art17!F38+[1]Art18!F38+[1]Art19!F38+[1]Art20!F38+[1]Art21!F38+[1]Art22!F38+[1]Art23!F38+[1]Art24!F38+[1]Art25!F38+[1]Art26!F38+[1]Art27!F38+[1]Art28!F38+[1]Art29!F38+[1]Art30!F38+[1]Art31!F38+[1]Art32!F38+[1]Art33!F38+[1]Art34!F38+[1]Art35!F38+[1]Art36!F38+[1]Art37!F38+[1]Art38!F38+[1]ArtT1!F38+[1]ArtT2!F38)</f>
        <v>0</v>
      </c>
      <c r="H38" s="4"/>
      <c r="I38" s="4"/>
      <c r="J38" s="4"/>
      <c r="K38" s="4"/>
    </row>
    <row r="39" spans="1:11" ht="12.75" customHeight="1" x14ac:dyDescent="0.3">
      <c r="A39" s="1" t="s">
        <v>67</v>
      </c>
      <c r="B39" s="1" t="s">
        <v>16</v>
      </c>
      <c r="C39" s="1">
        <f>SUM([1]Art1!C39+[1]Art2!C39+[1]Art3!C39+[1]Art4!C39+[1]Art5!C39+[1]Art6!C39+[1]Art7!C39+[1]Art8!C39+[1]Art9!C39+[1]Art10!C39+[1]Art11!C39+[1]Art12!C39+[1]Art13!C39+[1]Art14!C39+[1]Art15!C39+[1]Art16!C39+[1]Art17!C39+[1]Art18!C39+[1]Art19!C39+[1]Art20!C39+[1]Art21!C39+[1]Art22!C39+[1]Art23!C39+[1]Art24!C39+[1]Art25!C39+[1]Art26!C39+[1]Art27!C39+[1]Art28!C39+[1]Art29!C39+[1]Art30!C39+[1]Art31!C39+[1]Art32!C39+[1]Art33!C39+[1]Art34!C39+[1]Art35!C39+[1]Art36!C39+[1]Art37!C39+[1]Art38!C39+[1]ArtT1!C39+[1]ArtT2!C39)</f>
        <v>16</v>
      </c>
      <c r="D39" s="1">
        <f>SUM([1]Art1!D39+[1]Art2!D39+[1]Art3!D39+[1]Art4!D39+[1]Art5!D39+[1]Art6!D39+[1]Art7!D39+[1]Art8!D39+[1]Art9!D39+[1]Art10!D39+[1]Art11!D39+[1]Art12!D39+[1]Art13!D39+[1]Art14!D39+[1]Art15!D39+[1]Art16!D39+[1]Art17!D39+[1]Art18!D39+[1]Art19!D39+[1]Art20!D39+[1]Art21!D39+[1]Art22!D39+[1]Art23!D39+[1]Art24!D39+[1]Art25!D39+[1]Art26!D39+[1]Art27!D39+[1]Art28!D39+[1]Art29!D39+[1]Art30!D39+[1]Art31!D39+[1]Art32!D39+[1]Art33!D39+[1]Art34!D39+[1]Art35!D39+[1]Art36!D39+[1]Art37!D39+[1]Art38!D39+[1]ArtT1!D39+[1]ArtT2!D39)</f>
        <v>14</v>
      </c>
      <c r="E39" s="1">
        <f>SUM([1]Art1!E39+[1]Art2!E39+[1]Art3!E39+[1]Art4!E39+[1]Art5!E39+[1]Art6!E39+[1]Art7!E39+[1]Art8!E39+[1]Art9!E39+[1]Art10!E39+[1]Art11!E39+[1]Art12!E39+[1]Art13!E39+[1]Art14!E39+[1]Art15!E39+[1]Art16!E39+[1]Art17!E39+[1]Art18!E39+[1]Art19!E39+[1]Art20!E39+[1]Art21!E39+[1]Art22!E39+[1]Art23!E39+[1]Art24!E39+[1]Art25!E39+[1]Art26!E39+[1]Art27!E39+[1]Art28!E39+[1]Art29!E39+[1]Art30!E39+[1]Art31!E39+[1]Art32!E39+[1]Art33!E39+[1]Art34!E39+[1]Art35!E39+[1]Art36!E39+[1]Art37!E39+[1]Art38!E39+[1]ArtT1!E39+[1]ArtT2!E39)</f>
        <v>10</v>
      </c>
      <c r="F39" s="1">
        <f>SUM([1]Art1!F39+[1]Art2!F39+[1]Art3!F39+[1]Art4!F39+[1]Art5!F39+[1]Art6!F39+[1]Art7!F39+[1]Art8!F39+[1]Art9!F39+[1]Art10!F39+[1]Art11!F39+[1]Art12!F39+[1]Art13!F39+[1]Art14!F39+[1]Art15!F39+[1]Art16!F39+[1]Art17!F39+[1]Art18!F39+[1]Art19!F39+[1]Art20!F39+[1]Art21!F39+[1]Art22!F39+[1]Art23!F39+[1]Art24!F39+[1]Art25!F39+[1]Art26!F39+[1]Art27!F39+[1]Art28!F39+[1]Art29!F39+[1]Art30!F39+[1]Art31!F39+[1]Art32!F39+[1]Art33!F39+[1]Art34!F39+[1]Art35!F39+[1]Art36!F39+[1]Art37!F39+[1]Art38!F39+[1]ArtT1!F39+[1]ArtT2!F39)</f>
        <v>0</v>
      </c>
      <c r="H39" s="4"/>
      <c r="I39" s="4"/>
      <c r="J39" s="4"/>
      <c r="K39" s="4"/>
    </row>
    <row r="40" spans="1:11" ht="12.75" customHeight="1" x14ac:dyDescent="0.3">
      <c r="A40" s="1" t="s">
        <v>68</v>
      </c>
      <c r="B40" s="1" t="s">
        <v>38</v>
      </c>
      <c r="C40" s="1">
        <f>SUM([1]Art1!C40+[1]Art2!C40+[1]Art3!C40+[1]Art4!C40+[1]Art5!C40+[1]Art6!C40+[1]Art7!C40+[1]Art8!C40+[1]Art9!C40+[1]Art10!C40+[1]Art11!C40+[1]Art12!C40+[1]Art13!C40+[1]Art14!C40+[1]Art15!C40+[1]Art16!C40+[1]Art17!C40+[1]Art18!C40+[1]Art19!C40+[1]Art20!C40+[1]Art21!C40+[1]Art22!C40+[1]Art23!C40+[1]Art24!C40+[1]Art25!C40+[1]Art26!C40+[1]Art27!C40+[1]Art28!C40+[1]Art29!C40+[1]Art30!C40+[1]Art31!C40+[1]Art32!C40+[1]Art33!C40+[1]Art34!C40+[1]Art35!C40+[1]Art36!C40+[1]Art37!C40+[1]Art38!C40+[1]ArtT1!C40+[1]ArtT2!C40)</f>
        <v>8</v>
      </c>
      <c r="D40" s="1">
        <f>SUM([1]Art1!D40+[1]Art2!D40+[1]Art3!D40+[1]Art4!D40+[1]Art5!D40+[1]Art6!D40+[1]Art7!D40+[1]Art8!D40+[1]Art9!D40+[1]Art10!D40+[1]Art11!D40+[1]Art12!D40+[1]Art13!D40+[1]Art14!D40+[1]Art15!D40+[1]Art16!D40+[1]Art17!D40+[1]Art18!D40+[1]Art19!D40+[1]Art20!D40+[1]Art21!D40+[1]Art22!D40+[1]Art23!D40+[1]Art24!D40+[1]Art25!D40+[1]Art26!D40+[1]Art27!D40+[1]Art28!D40+[1]Art29!D40+[1]Art30!D40+[1]Art31!D40+[1]Art32!D40+[1]Art33!D40+[1]Art34!D40+[1]Art35!D40+[1]Art36!D40+[1]Art37!D40+[1]Art38!D40+[1]ArtT1!D40+[1]ArtT2!D40)</f>
        <v>22</v>
      </c>
      <c r="E40" s="1">
        <f>SUM([1]Art1!E40+[1]Art2!E40+[1]Art3!E40+[1]Art4!E40+[1]Art5!E40+[1]Art6!E40+[1]Art7!E40+[1]Art8!E40+[1]Art9!E40+[1]Art10!E40+[1]Art11!E40+[1]Art12!E40+[1]Art13!E40+[1]Art14!E40+[1]Art15!E40+[1]Art16!E40+[1]Art17!E40+[1]Art18!E40+[1]Art19!E40+[1]Art20!E40+[1]Art21!E40+[1]Art22!E40+[1]Art23!E40+[1]Art24!E40+[1]Art25!E40+[1]Art26!E40+[1]Art27!E40+[1]Art28!E40+[1]Art29!E40+[1]Art30!E40+[1]Art31!E40+[1]Art32!E40+[1]Art33!E40+[1]Art34!E40+[1]Art35!E40+[1]Art36!E40+[1]Art37!E40+[1]Art38!E40+[1]ArtT1!E40+[1]ArtT2!E40)</f>
        <v>10</v>
      </c>
      <c r="F40" s="1">
        <f>SUM([1]Art1!F40+[1]Art2!F40+[1]Art3!F40+[1]Art4!F40+[1]Art5!F40+[1]Art6!F40+[1]Art7!F40+[1]Art8!F40+[1]Art9!F40+[1]Art10!F40+[1]Art11!F40+[1]Art12!F40+[1]Art13!F40+[1]Art14!F40+[1]Art15!F40+[1]Art16!F40+[1]Art17!F40+[1]Art18!F40+[1]Art19!F40+[1]Art20!F40+[1]Art21!F40+[1]Art22!F40+[1]Art23!F40+[1]Art24!F40+[1]Art25!F40+[1]Art26!F40+[1]Art27!F40+[1]Art28!F40+[1]Art29!F40+[1]Art30!F40+[1]Art31!F40+[1]Art32!F40+[1]Art33!F40+[1]Art34!F40+[1]Art35!F40+[1]Art36!F40+[1]Art37!F40+[1]Art38!F40+[1]ArtT1!F40+[1]ArtT2!F40)</f>
        <v>0</v>
      </c>
      <c r="H40" s="4"/>
      <c r="I40" s="4"/>
      <c r="J40" s="4"/>
      <c r="K40" s="4"/>
    </row>
    <row r="41" spans="1:11" ht="12.75" customHeight="1" x14ac:dyDescent="0.3">
      <c r="A41" s="1" t="s">
        <v>69</v>
      </c>
      <c r="B41" s="1" t="s">
        <v>37</v>
      </c>
      <c r="C41" s="1">
        <f>SUM([1]Art1!C41+[1]Art2!C41+[1]Art3!C41+[1]Art4!C41+[1]Art5!C41+[1]Art6!C41+[1]Art7!C41+[1]Art8!C41+[1]Art9!C41+[1]Art10!C41+[1]Art11!C41+[1]Art12!C41+[1]Art13!C41+[1]Art14!C41+[1]Art15!C41+[1]Art16!C41+[1]Art17!C41+[1]Art18!C41+[1]Art19!C41+[1]Art20!C41+[1]Art21!C41+[1]Art22!C41+[1]Art23!C41+[1]Art24!C41+[1]Art25!C41+[1]Art26!C41+[1]Art27!C41+[1]Art28!C41+[1]Art29!C41+[1]Art30!C41+[1]Art31!C41+[1]Art32!C41+[1]Art33!C41+[1]Art34!C41+[1]Art35!C41+[1]Art36!C41+[1]Art37!C41+[1]Art38!C41+[1]ArtT1!C41+[1]ArtT2!C41)</f>
        <v>39</v>
      </c>
      <c r="D41" s="1">
        <f>SUM([1]Art1!D41+[1]Art2!D41+[1]Art3!D41+[1]Art4!D41+[1]Art5!D41+[1]Art6!D41+[1]Art7!D41+[1]Art8!D41+[1]Art9!D41+[1]Art10!D41+[1]Art11!D41+[1]Art12!D41+[1]Art13!D41+[1]Art14!D41+[1]Art15!D41+[1]Art16!D41+[1]Art17!D41+[1]Art18!D41+[1]Art19!D41+[1]Art20!D41+[1]Art21!D41+[1]Art22!D41+[1]Art23!D41+[1]Art24!D41+[1]Art25!D41+[1]Art26!D41+[1]Art27!D41+[1]Art28!D41+[1]Art29!D41+[1]Art30!D41+[1]Art31!D41+[1]Art32!D41+[1]Art33!D41+[1]Art34!D41+[1]Art35!D41+[1]Art36!D41+[1]Art37!D41+[1]Art38!D41+[1]ArtT1!D41+[1]ArtT2!D41)</f>
        <v>1</v>
      </c>
      <c r="E41" s="1">
        <f>SUM([1]Art1!E41+[1]Art2!E41+[1]Art3!E41+[1]Art4!E41+[1]Art5!E41+[1]Art6!E41+[1]Art7!E41+[1]Art8!E41+[1]Art9!E41+[1]Art10!E41+[1]Art11!E41+[1]Art12!E41+[1]Art13!E41+[1]Art14!E41+[1]Art15!E41+[1]Art16!E41+[1]Art17!E41+[1]Art18!E41+[1]Art19!E41+[1]Art20!E41+[1]Art21!E41+[1]Art22!E41+[1]Art23!E41+[1]Art24!E41+[1]Art25!E41+[1]Art26!E41+[1]Art27!E41+[1]Art28!E41+[1]Art29!E41+[1]Art30!E41+[1]Art31!E41+[1]Art32!E41+[1]Art33!E41+[1]Art34!E41+[1]Art35!E41+[1]Art36!E41+[1]Art37!E41+[1]Art38!E41+[1]ArtT1!E41+[1]ArtT2!E41)</f>
        <v>0</v>
      </c>
      <c r="F41" s="1">
        <f>SUM([1]Art1!F41+[1]Art2!F41+[1]Art3!F41+[1]Art4!F41+[1]Art5!F41+[1]Art6!F41+[1]Art7!F41+[1]Art8!F41+[1]Art9!F41+[1]Art10!F41+[1]Art11!F41+[1]Art12!F41+[1]Art13!F41+[1]Art14!F41+[1]Art15!F41+[1]Art16!F41+[1]Art17!F41+[1]Art18!F41+[1]Art19!F41+[1]Art20!F41+[1]Art21!F41+[1]Art22!F41+[1]Art23!F41+[1]Art24!F41+[1]Art25!F41+[1]Art26!F41+[1]Art27!F41+[1]Art28!F41+[1]Art29!F41+[1]Art30!F41+[1]Art31!F41+[1]Art32!F41+[1]Art33!F41+[1]Art34!F41+[1]Art35!F41+[1]Art36!F41+[1]Art37!F41+[1]Art38!F41+[1]ArtT1!F41+[1]ArtT2!F41)</f>
        <v>0</v>
      </c>
      <c r="H41" s="4"/>
      <c r="I41" s="4"/>
      <c r="J41" s="4"/>
      <c r="K41" s="4"/>
    </row>
    <row r="42" spans="1:11" ht="12.75" customHeight="1" x14ac:dyDescent="0.3">
      <c r="A42" s="1" t="s">
        <v>70</v>
      </c>
      <c r="B42" s="1" t="s">
        <v>66</v>
      </c>
      <c r="C42" s="1">
        <f>SUM([1]Art1!C42+[1]Art2!C42+[1]Art3!C42+[1]Art4!C42+[1]Art5!C42+[1]Art6!C42+[1]Art7!C42+[1]Art8!C42+[1]Art9!C42+[1]Art10!C42+[1]Art11!C42+[1]Art12!C42+[1]Art13!C42+[1]Art14!C42+[1]Art15!C42+[1]Art16!C42+[1]Art17!C42+[1]Art18!C42+[1]Art19!C42+[1]Art20!C42+[1]Art21!C42+[1]Art22!C42+[1]Art23!C42+[1]Art24!C42+[1]Art25!C42+[1]Art26!C42+[1]Art27!C42+[1]Art28!C42+[1]Art29!C42+[1]Art30!C42+[1]Art31!C42+[1]Art32!C42+[1]Art33!C42+[1]Art34!C42+[1]Art35!C42+[1]Art36!C42+[1]Art37!C42+[1]Art38!C42+[1]ArtT1!C42+[1]ArtT2!C42)</f>
        <v>0</v>
      </c>
      <c r="D42" s="1">
        <f>SUM([1]Art1!D42+[1]Art2!D42+[1]Art3!D42+[1]Art4!D42+[1]Art5!D42+[1]Art6!D42+[1]Art7!D42+[1]Art8!D42+[1]Art9!D42+[1]Art10!D42+[1]Art11!D42+[1]Art12!D42+[1]Art13!D42+[1]Art14!D42+[1]Art15!D42+[1]Art16!D42+[1]Art17!D42+[1]Art18!D42+[1]Art19!D42+[1]Art20!D42+[1]Art21!D42+[1]Art22!D42+[1]Art23!D42+[1]Art24!D42+[1]Art25!D42+[1]Art26!D42+[1]Art27!D42+[1]Art28!D42+[1]Art29!D42+[1]Art30!D42+[1]Art31!D42+[1]Art32!D42+[1]Art33!D42+[1]Art34!D42+[1]Art35!D42+[1]Art36!D42+[1]Art37!D42+[1]Art38!D42+[1]ArtT1!D42+[1]ArtT2!D42)</f>
        <v>31</v>
      </c>
      <c r="E42" s="1">
        <f>SUM([1]Art1!E42+[1]Art2!E42+[1]Art3!E42+[1]Art4!E42+[1]Art5!E42+[1]Art6!E42+[1]Art7!E42+[1]Art8!E42+[1]Art9!E42+[1]Art10!E42+[1]Art11!E42+[1]Art12!E42+[1]Art13!E42+[1]Art14!E42+[1]Art15!E42+[1]Art16!E42+[1]Art17!E42+[1]Art18!E42+[1]Art19!E42+[1]Art20!E42+[1]Art21!E42+[1]Art22!E42+[1]Art23!E42+[1]Art24!E42+[1]Art25!E42+[1]Art26!E42+[1]Art27!E42+[1]Art28!E42+[1]Art29!E42+[1]Art30!E42+[1]Art31!E42+[1]Art32!E42+[1]Art33!E42+[1]Art34!E42+[1]Art35!E42+[1]Art36!E42+[1]Art37!E42+[1]Art38!E42+[1]ArtT1!E42+[1]ArtT2!E42)</f>
        <v>9</v>
      </c>
      <c r="F42" s="1">
        <f>SUM([1]Art1!F42+[1]Art2!F42+[1]Art3!F42+[1]Art4!F42+[1]Art5!F42+[1]Art6!F42+[1]Art7!F42+[1]Art8!F42+[1]Art9!F42+[1]Art10!F42+[1]Art11!F42+[1]Art12!F42+[1]Art13!F42+[1]Art14!F42+[1]Art15!F42+[1]Art16!F42+[1]Art17!F42+[1]Art18!F42+[1]Art19!F42+[1]Art20!F42+[1]Art21!F42+[1]Art22!F42+[1]Art23!F42+[1]Art24!F42+[1]Art25!F42+[1]Art26!F42+[1]Art27!F42+[1]Art28!F42+[1]Art29!F42+[1]Art30!F42+[1]Art31!F42+[1]Art32!F42+[1]Art33!F42+[1]Art34!F42+[1]Art35!F42+[1]Art36!F42+[1]Art37!F42+[1]Art38!F42+[1]ArtT1!F42+[1]ArtT2!F42)</f>
        <v>0</v>
      </c>
      <c r="H42" s="4"/>
      <c r="I42" s="4"/>
      <c r="J42" s="4"/>
      <c r="K42" s="4"/>
    </row>
    <row r="43" spans="1:11" ht="12.75" customHeight="1" x14ac:dyDescent="0.3">
      <c r="A43" s="1" t="s">
        <v>71</v>
      </c>
      <c r="B43" s="1" t="s">
        <v>30</v>
      </c>
      <c r="C43" s="1">
        <f>SUM([1]Art1!C43+[1]Art2!C43+[1]Art3!C43+[1]Art4!C43+[1]Art5!C43+[1]Art6!C43+[1]Art7!C43+[1]Art8!C43+[1]Art9!C43+[1]Art10!C43+[1]Art11!C43+[1]Art12!C43+[1]Art13!C43+[1]Art14!C43+[1]Art15!C43+[1]Art16!C43+[1]Art17!C43+[1]Art18!C43+[1]Art19!C43+[1]Art20!C43+[1]Art21!C43+[1]Art22!C43+[1]Art23!C43+[1]Art24!C43+[1]Art25!C43+[1]Art26!C43+[1]Art27!C43+[1]Art28!C43+[1]Art29!C43+[1]Art30!C43+[1]Art31!C43+[1]Art32!C43+[1]Art33!C43+[1]Art34!C43+[1]Art35!C43+[1]Art36!C43+[1]Art37!C43+[1]Art38!C43+[1]ArtT1!C43+[1]ArtT2!C43)</f>
        <v>0</v>
      </c>
      <c r="D43" s="1">
        <f>SUM([1]Art1!D43+[1]Art2!D43+[1]Art3!D43+[1]Art4!D43+[1]Art5!D43+[1]Art6!D43+[1]Art7!D43+[1]Art8!D43+[1]Art9!D43+[1]Art10!D43+[1]Art11!D43+[1]Art12!D43+[1]Art13!D43+[1]Art14!D43+[1]Art15!D43+[1]Art16!D43+[1]Art17!D43+[1]Art18!D43+[1]Art19!D43+[1]Art20!D43+[1]Art21!D43+[1]Art22!D43+[1]Art23!D43+[1]Art24!D43+[1]Art25!D43+[1]Art26!D43+[1]Art27!D43+[1]Art28!D43+[1]Art29!D43+[1]Art30!D43+[1]Art31!D43+[1]Art32!D43+[1]Art33!D43+[1]Art34!D43+[1]Art35!D43+[1]Art36!D43+[1]Art37!D43+[1]Art38!D43+[1]ArtT1!D43+[1]ArtT2!D43)</f>
        <v>30</v>
      </c>
      <c r="E43" s="1">
        <f>SUM([1]Art1!E43+[1]Art2!E43+[1]Art3!E43+[1]Art4!E43+[1]Art5!E43+[1]Art6!E43+[1]Art7!E43+[1]Art8!E43+[1]Art9!E43+[1]Art10!E43+[1]Art11!E43+[1]Art12!E43+[1]Art13!E43+[1]Art14!E43+[1]Art15!E43+[1]Art16!E43+[1]Art17!E43+[1]Art18!E43+[1]Art19!E43+[1]Art20!E43+[1]Art21!E43+[1]Art22!E43+[1]Art23!E43+[1]Art24!E43+[1]Art25!E43+[1]Art26!E43+[1]Art27!E43+[1]Art28!E43+[1]Art29!E43+[1]Art30!E43+[1]Art31!E43+[1]Art32!E43+[1]Art33!E43+[1]Art34!E43+[1]Art35!E43+[1]Art36!E43+[1]Art37!E43+[1]Art38!E43+[1]ArtT1!E43+[1]ArtT2!E43)</f>
        <v>10</v>
      </c>
      <c r="F43" s="1">
        <f>SUM([1]Art1!F43+[1]Art2!F43+[1]Art3!F43+[1]Art4!F43+[1]Art5!F43+[1]Art6!F43+[1]Art7!F43+[1]Art8!F43+[1]Art9!F43+[1]Art10!F43+[1]Art11!F43+[1]Art12!F43+[1]Art13!F43+[1]Art14!F43+[1]Art15!F43+[1]Art16!F43+[1]Art17!F43+[1]Art18!F43+[1]Art19!F43+[1]Art20!F43+[1]Art21!F43+[1]Art22!F43+[1]Art23!F43+[1]Art24!F43+[1]Art25!F43+[1]Art26!F43+[1]Art27!F43+[1]Art28!F43+[1]Art29!F43+[1]Art30!F43+[1]Art31!F43+[1]Art32!F43+[1]Art33!F43+[1]Art34!F43+[1]Art35!F43+[1]Art36!F43+[1]Art37!F43+[1]Art38!F43+[1]ArtT1!F43+[1]ArtT2!F43)</f>
        <v>0</v>
      </c>
      <c r="H43" s="4"/>
      <c r="I43" s="4"/>
      <c r="J43" s="4"/>
      <c r="K43" s="4"/>
    </row>
    <row r="44" spans="1:11" ht="12.75" customHeight="1" x14ac:dyDescent="0.3">
      <c r="A44" s="1" t="s">
        <v>72</v>
      </c>
      <c r="B44" s="1" t="s">
        <v>27</v>
      </c>
      <c r="C44" s="1">
        <f>SUM([1]Art1!C44+[1]Art2!C44+[1]Art3!C44+[1]Art4!C44+[1]Art5!C44+[1]Art6!C44+[1]Art7!C44+[1]Art8!C44+[1]Art9!C44+[1]Art10!C44+[1]Art11!C44+[1]Art12!C44+[1]Art13!C44+[1]Art14!C44+[1]Art15!C44+[1]Art16!C44+[1]Art17!C44+[1]Art18!C44+[1]Art19!C44+[1]Art20!C44+[1]Art21!C44+[1]Art22!C44+[1]Art23!C44+[1]Art24!C44+[1]Art25!C44+[1]Art26!C44+[1]Art27!C44+[1]Art28!C44+[1]Art29!C44+[1]Art30!C44+[1]Art31!C44+[1]Art32!C44+[1]Art33!C44+[1]Art34!C44+[1]Art35!C44+[1]Art36!C44+[1]Art37!C44+[1]Art38!C44+[1]ArtT1!C44+[1]ArtT2!C44)</f>
        <v>10</v>
      </c>
      <c r="D44" s="1">
        <f>SUM([1]Art1!D44+[1]Art2!D44+[1]Art3!D44+[1]Art4!D44+[1]Art5!D44+[1]Art6!D44+[1]Art7!D44+[1]Art8!D44+[1]Art9!D44+[1]Art10!D44+[1]Art11!D44+[1]Art12!D44+[1]Art13!D44+[1]Art14!D44+[1]Art15!D44+[1]Art16!D44+[1]Art17!D44+[1]Art18!D44+[1]Art19!D44+[1]Art20!D44+[1]Art21!D44+[1]Art22!D44+[1]Art23!D44+[1]Art24!D44+[1]Art25!D44+[1]Art26!D44+[1]Art27!D44+[1]Art28!D44+[1]Art29!D44+[1]Art30!D44+[1]Art31!D44+[1]Art32!D44+[1]Art33!D44+[1]Art34!D44+[1]Art35!D44+[1]Art36!D44+[1]Art37!D44+[1]Art38!D44+[1]ArtT1!D44+[1]ArtT2!D44)</f>
        <v>30</v>
      </c>
      <c r="E44" s="1">
        <f>SUM([1]Art1!E44+[1]Art2!E44+[1]Art3!E44+[1]Art4!E44+[1]Art5!E44+[1]Art6!E44+[1]Art7!E44+[1]Art8!E44+[1]Art9!E44+[1]Art10!E44+[1]Art11!E44+[1]Art12!E44+[1]Art13!E44+[1]Art14!E44+[1]Art15!E44+[1]Art16!E44+[1]Art17!E44+[1]Art18!E44+[1]Art19!E44+[1]Art20!E44+[1]Art21!E44+[1]Art22!E44+[1]Art23!E44+[1]Art24!E44+[1]Art25!E44+[1]Art26!E44+[1]Art27!E44+[1]Art28!E44+[1]Art29!E44+[1]Art30!E44+[1]Art31!E44+[1]Art32!E44+[1]Art33!E44+[1]Art34!E44+[1]Art35!E44+[1]Art36!E44+[1]Art37!E44+[1]Art38!E44+[1]ArtT1!E44+[1]ArtT2!E44)</f>
        <v>0</v>
      </c>
      <c r="F44" s="1">
        <f>SUM([1]Art1!F44+[1]Art2!F44+[1]Art3!F44+[1]Art4!F44+[1]Art5!F44+[1]Art6!F44+[1]Art7!F44+[1]Art8!F44+[1]Art9!F44+[1]Art10!F44+[1]Art11!F44+[1]Art12!F44+[1]Art13!F44+[1]Art14!F44+[1]Art15!F44+[1]Art16!F44+[1]Art17!F44+[1]Art18!F44+[1]Art19!F44+[1]Art20!F44+[1]Art21!F44+[1]Art22!F44+[1]Art23!F44+[1]Art24!F44+[1]Art25!F44+[1]Art26!F44+[1]Art27!F44+[1]Art28!F44+[1]Art29!F44+[1]Art30!F44+[1]Art31!F44+[1]Art32!F44+[1]Art33!F44+[1]Art34!F44+[1]Art35!F44+[1]Art36!F44+[1]Art37!F44+[1]Art38!F44+[1]ArtT1!F44+[1]ArtT2!F44)</f>
        <v>0</v>
      </c>
      <c r="H44" s="4"/>
      <c r="I44" s="4"/>
      <c r="J44" s="4"/>
      <c r="K44" s="4"/>
    </row>
    <row r="45" spans="1:11" ht="12.75" customHeight="1" x14ac:dyDescent="0.3">
      <c r="A45" s="1" t="s">
        <v>73</v>
      </c>
      <c r="B45" s="1" t="s">
        <v>30</v>
      </c>
      <c r="C45" s="1">
        <f>SUM([1]Art1!C45+[1]Art2!C45+[1]Art3!C45+[1]Art4!C45+[1]Art5!C45+[1]Art6!C45+[1]Art7!C45+[1]Art8!C45+[1]Art9!C45+[1]Art10!C45+[1]Art11!C45+[1]Art12!C45+[1]Art13!C45+[1]Art14!C45+[1]Art15!C45+[1]Art16!C45+[1]Art17!C45+[1]Art18!C45+[1]Art19!C45+[1]Art20!C45+[1]Art21!C45+[1]Art22!C45+[1]Art23!C45+[1]Art24!C45+[1]Art25!C45+[1]Art26!C45+[1]Art27!C45+[1]Art28!C45+[1]Art29!C45+[1]Art30!C45+[1]Art31!C45+[1]Art32!C45+[1]Art33!C45+[1]Art34!C45+[1]Art35!C45+[1]Art36!C45+[1]Art37!C45+[1]Art38!C45+[1]ArtT1!C45+[1]ArtT2!C45)</f>
        <v>1</v>
      </c>
      <c r="D45" s="1">
        <f>SUM([1]Art1!D45+[1]Art2!D45+[1]Art3!D45+[1]Art4!D45+[1]Art5!D45+[1]Art6!D45+[1]Art7!D45+[1]Art8!D45+[1]Art9!D45+[1]Art10!D45+[1]Art11!D45+[1]Art12!D45+[1]Art13!D45+[1]Art14!D45+[1]Art15!D45+[1]Art16!D45+[1]Art17!D45+[1]Art18!D45+[1]Art19!D45+[1]Art20!D45+[1]Art21!D45+[1]Art22!D45+[1]Art23!D45+[1]Art24!D45+[1]Art25!D45+[1]Art26!D45+[1]Art27!D45+[1]Art28!D45+[1]Art29!D45+[1]Art30!D45+[1]Art31!D45+[1]Art32!D45+[1]Art33!D45+[1]Art34!D45+[1]Art35!D45+[1]Art36!D45+[1]Art37!D45+[1]Art38!D45+[1]ArtT1!D45+[1]ArtT2!D45)</f>
        <v>29</v>
      </c>
      <c r="E45" s="1">
        <f>SUM([1]Art1!E45+[1]Art2!E45+[1]Art3!E45+[1]Art4!E45+[1]Art5!E45+[1]Art6!E45+[1]Art7!E45+[1]Art8!E45+[1]Art9!E45+[1]Art10!E45+[1]Art11!E45+[1]Art12!E45+[1]Art13!E45+[1]Art14!E45+[1]Art15!E45+[1]Art16!E45+[1]Art17!E45+[1]Art18!E45+[1]Art19!E45+[1]Art20!E45+[1]Art21!E45+[1]Art22!E45+[1]Art23!E45+[1]Art24!E45+[1]Art25!E45+[1]Art26!E45+[1]Art27!E45+[1]Art28!E45+[1]Art29!E45+[1]Art30!E45+[1]Art31!E45+[1]Art32!E45+[1]Art33!E45+[1]Art34!E45+[1]Art35!E45+[1]Art36!E45+[1]Art37!E45+[1]Art38!E45+[1]ArtT1!E45+[1]ArtT2!E45)</f>
        <v>10</v>
      </c>
      <c r="F45" s="1">
        <f>SUM([1]Art1!F45+[1]Art2!F45+[1]Art3!F45+[1]Art4!F45+[1]Art5!F45+[1]Art6!F45+[1]Art7!F45+[1]Art8!F45+[1]Art9!F45+[1]Art10!F45+[1]Art11!F45+[1]Art12!F45+[1]Art13!F45+[1]Art14!F45+[1]Art15!F45+[1]Art16!F45+[1]Art17!F45+[1]Art18!F45+[1]Art19!F45+[1]Art20!F45+[1]Art21!F45+[1]Art22!F45+[1]Art23!F45+[1]Art24!F45+[1]Art25!F45+[1]Art26!F45+[1]Art27!F45+[1]Art28!F45+[1]Art29!F45+[1]Art30!F45+[1]Art31!F45+[1]Art32!F45+[1]Art33!F45+[1]Art34!F45+[1]Art35!F45+[1]Art36!F45+[1]Art37!F45+[1]Art38!F45+[1]ArtT1!F45+[1]ArtT2!F45)</f>
        <v>0</v>
      </c>
      <c r="H45" s="4"/>
      <c r="I45" s="4"/>
      <c r="J45" s="4"/>
      <c r="K45" s="4"/>
    </row>
    <row r="46" spans="1:11" ht="12.75" customHeight="1" x14ac:dyDescent="0.3">
      <c r="A46" s="1" t="s">
        <v>74</v>
      </c>
      <c r="B46" s="1" t="s">
        <v>16</v>
      </c>
      <c r="C46" s="1">
        <f>SUM([1]Art1!C46+[1]Art2!C46+[1]Art3!C46+[1]Art4!C46+[1]Art5!C46+[1]Art6!C46+[1]Art7!C46+[1]Art8!C46+[1]Art9!C46+[1]Art10!C46+[1]Art11!C46+[1]Art12!C46+[1]Art13!C46+[1]Art14!C46+[1]Art15!C46+[1]Art16!C46+[1]Art17!C46+[1]Art18!C46+[1]Art19!C46+[1]Art20!C46+[1]Art21!C46+[1]Art22!C46+[1]Art23!C46+[1]Art24!C46+[1]Art25!C46+[1]Art26!C46+[1]Art27!C46+[1]Art28!C46+[1]Art29!C46+[1]Art30!C46+[1]Art31!C46+[1]Art32!C46+[1]Art33!C46+[1]Art34!C46+[1]Art35!C46+[1]Art36!C46+[1]Art37!C46+[1]Art38!C46+[1]ArtT1!C46+[1]ArtT2!C46)</f>
        <v>13</v>
      </c>
      <c r="D46" s="1">
        <f>SUM([1]Art1!D46+[1]Art2!D46+[1]Art3!D46+[1]Art4!D46+[1]Art5!D46+[1]Art6!D46+[1]Art7!D46+[1]Art8!D46+[1]Art9!D46+[1]Art10!D46+[1]Art11!D46+[1]Art12!D46+[1]Art13!D46+[1]Art14!D46+[1]Art15!D46+[1]Art16!D46+[1]Art17!D46+[1]Art18!D46+[1]Art19!D46+[1]Art20!D46+[1]Art21!D46+[1]Art22!D46+[1]Art23!D46+[1]Art24!D46+[1]Art25!D46+[1]Art26!D46+[1]Art27!D46+[1]Art28!D46+[1]Art29!D46+[1]Art30!D46+[1]Art31!D46+[1]Art32!D46+[1]Art33!D46+[1]Art34!D46+[1]Art35!D46+[1]Art36!D46+[1]Art37!D46+[1]Art38!D46+[1]ArtT1!D46+[1]ArtT2!D46)</f>
        <v>14</v>
      </c>
      <c r="E46" s="1">
        <f>SUM([1]Art1!E46+[1]Art2!E46+[1]Art3!E46+[1]Art4!E46+[1]Art5!E46+[1]Art6!E46+[1]Art7!E46+[1]Art8!E46+[1]Art9!E46+[1]Art10!E46+[1]Art11!E46+[1]Art12!E46+[1]Art13!E46+[1]Art14!E46+[1]Art15!E46+[1]Art16!E46+[1]Art17!E46+[1]Art18!E46+[1]Art19!E46+[1]Art20!E46+[1]Art21!E46+[1]Art22!E46+[1]Art23!E46+[1]Art24!E46+[1]Art25!E46+[1]Art26!E46+[1]Art27!E46+[1]Art28!E46+[1]Art29!E46+[1]Art30!E46+[1]Art31!E46+[1]Art32!E46+[1]Art33!E46+[1]Art34!E46+[1]Art35!E46+[1]Art36!E46+[1]Art37!E46+[1]Art38!E46+[1]ArtT1!E46+[1]ArtT2!E46)</f>
        <v>13</v>
      </c>
      <c r="F46" s="1">
        <f>SUM([1]Art1!F46+[1]Art2!F46+[1]Art3!F46+[1]Art4!F46+[1]Art5!F46+[1]Art6!F46+[1]Art7!F46+[1]Art8!F46+[1]Art9!F46+[1]Art10!F46+[1]Art11!F46+[1]Art12!F46+[1]Art13!F46+[1]Art14!F46+[1]Art15!F46+[1]Art16!F46+[1]Art17!F46+[1]Art18!F46+[1]Art19!F46+[1]Art20!F46+[1]Art21!F46+[1]Art22!F46+[1]Art23!F46+[1]Art24!F46+[1]Art25!F46+[1]Art26!F46+[1]Art27!F46+[1]Art28!F46+[1]Art29!F46+[1]Art30!F46+[1]Art31!F46+[1]Art32!F46+[1]Art33!F46+[1]Art34!F46+[1]Art35!F46+[1]Art36!F46+[1]Art37!F46+[1]Art38!F46+[1]ArtT1!F46+[1]ArtT2!F46)</f>
        <v>0</v>
      </c>
      <c r="H46" s="4"/>
      <c r="I46" s="4"/>
      <c r="J46" s="4"/>
      <c r="K46" s="4"/>
    </row>
    <row r="47" spans="1:11" ht="12.75" customHeight="1" x14ac:dyDescent="0.3">
      <c r="A47" s="1" t="s">
        <v>75</v>
      </c>
      <c r="B47" s="1" t="s">
        <v>66</v>
      </c>
      <c r="C47" s="1">
        <f>SUM([1]Art1!C47+[1]Art2!C47+[1]Art3!C47+[1]Art4!C47+[1]Art5!C47+[1]Art6!C47+[1]Art7!C47+[1]Art8!C47+[1]Art9!C47+[1]Art10!C47+[1]Art11!C47+[1]Art12!C47+[1]Art13!C47+[1]Art14!C47+[1]Art15!C47+[1]Art16!C47+[1]Art17!C47+[1]Art18!C47+[1]Art19!C47+[1]Art20!C47+[1]Art21!C47+[1]Art22!C47+[1]Art23!C47+[1]Art24!C47+[1]Art25!C47+[1]Art26!C47+[1]Art27!C47+[1]Art28!C47+[1]Art29!C47+[1]Art30!C47+[1]Art31!C47+[1]Art32!C47+[1]Art33!C47+[1]Art34!C47+[1]Art35!C47+[1]Art36!C47+[1]Art37!C47+[1]Art38!C47+[1]ArtT1!C47+[1]ArtT2!C47)</f>
        <v>8</v>
      </c>
      <c r="D47" s="1">
        <f>SUM([1]Art1!D47+[1]Art2!D47+[1]Art3!D47+[1]Art4!D47+[1]Art5!D47+[1]Art6!D47+[1]Art7!D47+[1]Art8!D47+[1]Art9!D47+[1]Art10!D47+[1]Art11!D47+[1]Art12!D47+[1]Art13!D47+[1]Art14!D47+[1]Art15!D47+[1]Art16!D47+[1]Art17!D47+[1]Art18!D47+[1]Art19!D47+[1]Art20!D47+[1]Art21!D47+[1]Art22!D47+[1]Art23!D47+[1]Art24!D47+[1]Art25!D47+[1]Art26!D47+[1]Art27!D47+[1]Art28!D47+[1]Art29!D47+[1]Art30!D47+[1]Art31!D47+[1]Art32!D47+[1]Art33!D47+[1]Art34!D47+[1]Art35!D47+[1]Art36!D47+[1]Art37!D47+[1]Art38!D47+[1]ArtT1!D47+[1]ArtT2!D47)</f>
        <v>23</v>
      </c>
      <c r="E47" s="1">
        <f>SUM([1]Art1!E47+[1]Art2!E47+[1]Art3!E47+[1]Art4!E47+[1]Art5!E47+[1]Art6!E47+[1]Art7!E47+[1]Art8!E47+[1]Art9!E47+[1]Art10!E47+[1]Art11!E47+[1]Art12!E47+[1]Art13!E47+[1]Art14!E47+[1]Art15!E47+[1]Art16!E47+[1]Art17!E47+[1]Art18!E47+[1]Art19!E47+[1]Art20!E47+[1]Art21!E47+[1]Art22!E47+[1]Art23!E47+[1]Art24!E47+[1]Art25!E47+[1]Art26!E47+[1]Art27!E47+[1]Art28!E47+[1]Art29!E47+[1]Art30!E47+[1]Art31!E47+[1]Art32!E47+[1]Art33!E47+[1]Art34!E47+[1]Art35!E47+[1]Art36!E47+[1]Art37!E47+[1]Art38!E47+[1]ArtT1!E47+[1]ArtT2!E47)</f>
        <v>7</v>
      </c>
      <c r="F47" s="1">
        <f>SUM([1]Art1!F47+[1]Art2!F47+[1]Art3!F47+[1]Art4!F47+[1]Art5!F47+[1]Art6!F47+[1]Art7!F47+[1]Art8!F47+[1]Art9!F47+[1]Art10!F47+[1]Art11!F47+[1]Art12!F47+[1]Art13!F47+[1]Art14!F47+[1]Art15!F47+[1]Art16!F47+[1]Art17!F47+[1]Art18!F47+[1]Art19!F47+[1]Art20!F47+[1]Art21!F47+[1]Art22!F47+[1]Art23!F47+[1]Art24!F47+[1]Art25!F47+[1]Art26!F47+[1]Art27!F47+[1]Art28!F47+[1]Art29!F47+[1]Art30!F47+[1]Art31!F47+[1]Art32!F47+[1]Art33!F47+[1]Art34!F47+[1]Art35!F47+[1]Art36!F47+[1]Art37!F47+[1]Art38!F47+[1]ArtT1!F47+[1]ArtT2!F47)</f>
        <v>2</v>
      </c>
      <c r="H47" s="4"/>
      <c r="I47" s="4"/>
      <c r="J47" s="4"/>
      <c r="K47" s="4"/>
    </row>
    <row r="48" spans="1:11" ht="12.75" customHeight="1" x14ac:dyDescent="0.3">
      <c r="A48" s="1" t="s">
        <v>76</v>
      </c>
      <c r="B48" s="1" t="s">
        <v>13</v>
      </c>
      <c r="C48" s="1">
        <f>SUM([1]Art1!C48+[1]Art2!C48+[1]Art3!C48+[1]Art4!C48+[1]Art5!C48+[1]Art6!C48+[1]Art7!C48+[1]Art8!C48+[1]Art9!C48+[1]Art10!C48+[1]Art11!C48+[1]Art12!C48+[1]Art13!C48+[1]Art14!C48+[1]Art15!C48+[1]Art16!C48+[1]Art17!C48+[1]Art18!C48+[1]Art19!C48+[1]Art20!C48+[1]Art21!C48+[1]Art22!C48+[1]Art23!C48+[1]Art24!C48+[1]Art25!C48+[1]Art26!C48+[1]Art27!C48+[1]Art28!C48+[1]Art29!C48+[1]Art30!C48+[1]Art31!C48+[1]Art32!C48+[1]Art33!C48+[1]Art34!C48+[1]Art35!C48+[1]Art36!C48+[1]Art37!C48+[1]Art38!C48+[1]ArtT1!C48+[1]ArtT2!C48)</f>
        <v>15</v>
      </c>
      <c r="D48" s="1">
        <f>SUM([1]Art1!D48+[1]Art2!D48+[1]Art3!D48+[1]Art4!D48+[1]Art5!D48+[1]Art6!D48+[1]Art7!D48+[1]Art8!D48+[1]Art9!D48+[1]Art10!D48+[1]Art11!D48+[1]Art12!D48+[1]Art13!D48+[1]Art14!D48+[1]Art15!D48+[1]Art16!D48+[1]Art17!D48+[1]Art18!D48+[1]Art19!D48+[1]Art20!D48+[1]Art21!D48+[1]Art22!D48+[1]Art23!D48+[1]Art24!D48+[1]Art25!D48+[1]Art26!D48+[1]Art27!D48+[1]Art28!D48+[1]Art29!D48+[1]Art30!D48+[1]Art31!D48+[1]Art32!D48+[1]Art33!D48+[1]Art34!D48+[1]Art35!D48+[1]Art36!D48+[1]Art37!D48+[1]Art38!D48+[1]ArtT1!D48+[1]ArtT2!D48)</f>
        <v>9</v>
      </c>
      <c r="E48" s="1">
        <f>SUM([1]Art1!E48+[1]Art2!E48+[1]Art3!E48+[1]Art4!E48+[1]Art5!E48+[1]Art6!E48+[1]Art7!E48+[1]Art8!E48+[1]Art9!E48+[1]Art10!E48+[1]Art11!E48+[1]Art12!E48+[1]Art13!E48+[1]Art14!E48+[1]Art15!E48+[1]Art16!E48+[1]Art17!E48+[1]Art18!E48+[1]Art19!E48+[1]Art20!E48+[1]Art21!E48+[1]Art22!E48+[1]Art23!E48+[1]Art24!E48+[1]Art25!E48+[1]Art26!E48+[1]Art27!E48+[1]Art28!E48+[1]Art29!E48+[1]Art30!E48+[1]Art31!E48+[1]Art32!E48+[1]Art33!E48+[1]Art34!E48+[1]Art35!E48+[1]Art36!E48+[1]Art37!E48+[1]Art38!E48+[1]ArtT1!E48+[1]ArtT2!E48)</f>
        <v>16</v>
      </c>
      <c r="F48" s="1">
        <f>SUM([1]Art1!F48+[1]Art2!F48+[1]Art3!F48+[1]Art4!F48+[1]Art5!F48+[1]Art6!F48+[1]Art7!F48+[1]Art8!F48+[1]Art9!F48+[1]Art10!F48+[1]Art11!F48+[1]Art12!F48+[1]Art13!F48+[1]Art14!F48+[1]Art15!F48+[1]Art16!F48+[1]Art17!F48+[1]Art18!F48+[1]Art19!F48+[1]Art20!F48+[1]Art21!F48+[1]Art22!F48+[1]Art23!F48+[1]Art24!F48+[1]Art25!F48+[1]Art26!F48+[1]Art27!F48+[1]Art28!F48+[1]Art29!F48+[1]Art30!F48+[1]Art31!F48+[1]Art32!F48+[1]Art33!F48+[1]Art34!F48+[1]Art35!F48+[1]Art36!F48+[1]Art37!F48+[1]Art38!F48+[1]ArtT1!F48+[1]ArtT2!F48)</f>
        <v>0</v>
      </c>
      <c r="H48" s="4"/>
      <c r="I48" s="4"/>
      <c r="J48" s="4"/>
      <c r="K48" s="4"/>
    </row>
    <row r="49" spans="1:11" ht="12.75" customHeight="1" x14ac:dyDescent="0.3">
      <c r="A49" s="1" t="s">
        <v>77</v>
      </c>
      <c r="B49" s="1" t="s">
        <v>16</v>
      </c>
      <c r="C49" s="1">
        <f>SUM([1]Art1!C49+[1]Art2!C49+[1]Art3!C49+[1]Art4!C49+[1]Art5!C49+[1]Art6!C49+[1]Art7!C49+[1]Art8!C49+[1]Art9!C49+[1]Art10!C49+[1]Art11!C49+[1]Art12!C49+[1]Art13!C49+[1]Art14!C49+[1]Art15!C49+[1]Art16!C49+[1]Art17!C49+[1]Art18!C49+[1]Art19!C49+[1]Art20!C49+[1]Art21!C49+[1]Art22!C49+[1]Art23!C49+[1]Art24!C49+[1]Art25!C49+[1]Art26!C49+[1]Art27!C49+[1]Art28!C49+[1]Art29!C49+[1]Art30!C49+[1]Art31!C49+[1]Art32!C49+[1]Art33!C49+[1]Art34!C49+[1]Art35!C49+[1]Art36!C49+[1]Art37!C49+[1]Art38!C49+[1]ArtT1!C49+[1]ArtT2!C49)</f>
        <v>19</v>
      </c>
      <c r="D49" s="1">
        <f>SUM([1]Art1!D49+[1]Art2!D49+[1]Art3!D49+[1]Art4!D49+[1]Art5!D49+[1]Art6!D49+[1]Art7!D49+[1]Art8!D49+[1]Art9!D49+[1]Art10!D49+[1]Art11!D49+[1]Art12!D49+[1]Art13!D49+[1]Art14!D49+[1]Art15!D49+[1]Art16!D49+[1]Art17!D49+[1]Art18!D49+[1]Art19!D49+[1]Art20!D49+[1]Art21!D49+[1]Art22!D49+[1]Art23!D49+[1]Art24!D49+[1]Art25!D49+[1]Art26!D49+[1]Art27!D49+[1]Art28!D49+[1]Art29!D49+[1]Art30!D49+[1]Art31!D49+[1]Art32!D49+[1]Art33!D49+[1]Art34!D49+[1]Art35!D49+[1]Art36!D49+[1]Art37!D49+[1]Art38!D49+[1]ArtT1!D49+[1]ArtT2!D49)</f>
        <v>17</v>
      </c>
      <c r="E49" s="1">
        <f>SUM([1]Art1!E49+[1]Art2!E49+[1]Art3!E49+[1]Art4!E49+[1]Art5!E49+[1]Art6!E49+[1]Art7!E49+[1]Art8!E49+[1]Art9!E49+[1]Art10!E49+[1]Art11!E49+[1]Art12!E49+[1]Art13!E49+[1]Art14!E49+[1]Art15!E49+[1]Art16!E49+[1]Art17!E49+[1]Art18!E49+[1]Art19!E49+[1]Art20!E49+[1]Art21!E49+[1]Art22!E49+[1]Art23!E49+[1]Art24!E49+[1]Art25!E49+[1]Art26!E49+[1]Art27!E49+[1]Art28!E49+[1]Art29!E49+[1]Art30!E49+[1]Art31!E49+[1]Art32!E49+[1]Art33!E49+[1]Art34!E49+[1]Art35!E49+[1]Art36!E49+[1]Art37!E49+[1]Art38!E49+[1]ArtT1!E49+[1]ArtT2!E49)</f>
        <v>4</v>
      </c>
      <c r="F49" s="1">
        <f>SUM([1]Art1!F49+[1]Art2!F49+[1]Art3!F49+[1]Art4!F49+[1]Art5!F49+[1]Art6!F49+[1]Art7!F49+[1]Art8!F49+[1]Art9!F49+[1]Art10!F49+[1]Art11!F49+[1]Art12!F49+[1]Art13!F49+[1]Art14!F49+[1]Art15!F49+[1]Art16!F49+[1]Art17!F49+[1]Art18!F49+[1]Art19!F49+[1]Art20!F49+[1]Art21!F49+[1]Art22!F49+[1]Art23!F49+[1]Art24!F49+[1]Art25!F49+[1]Art26!F49+[1]Art27!F49+[1]Art28!F49+[1]Art29!F49+[1]Art30!F49+[1]Art31!F49+[1]Art32!F49+[1]Art33!F49+[1]Art34!F49+[1]Art35!F49+[1]Art36!F49+[1]Art37!F49+[1]Art38!F49+[1]ArtT1!F49+[1]ArtT2!F49)</f>
        <v>0</v>
      </c>
      <c r="H49" s="4"/>
      <c r="I49" s="4"/>
      <c r="J49" s="4"/>
      <c r="K49" s="4"/>
    </row>
    <row r="50" spans="1:11" ht="12.75" customHeight="1" x14ac:dyDescent="0.3">
      <c r="A50" s="1" t="s">
        <v>78</v>
      </c>
      <c r="B50" s="1" t="s">
        <v>24</v>
      </c>
      <c r="C50" s="1">
        <f>SUM([1]Art1!C50+[1]Art2!C50+[1]Art3!C50+[1]Art4!C50+[1]Art5!C50+[1]Art6!C50+[1]Art7!C50+[1]Art8!C50+[1]Art9!C50+[1]Art10!C50+[1]Art11!C50+[1]Art12!C50+[1]Art13!C50+[1]Art14!C50+[1]Art15!C50+[1]Art16!C50+[1]Art17!C50+[1]Art18!C50+[1]Art19!C50+[1]Art20!C50+[1]Art21!C50+[1]Art22!C50+[1]Art23!C50+[1]Art24!C50+[1]Art25!C50+[1]Art26!C50+[1]Art27!C50+[1]Art28!C50+[1]Art29!C50+[1]Art30!C50+[1]Art31!C50+[1]Art32!C50+[1]Art33!C50+[1]Art34!C50+[1]Art35!C50+[1]Art36!C50+[1]Art37!C50+[1]Art38!C50+[1]ArtT1!C50+[1]ArtT2!C50)</f>
        <v>25</v>
      </c>
      <c r="D50" s="1">
        <f>SUM([1]Art1!D50+[1]Art2!D50+[1]Art3!D50+[1]Art4!D50+[1]Art5!D50+[1]Art6!D50+[1]Art7!D50+[1]Art8!D50+[1]Art9!D50+[1]Art10!D50+[1]Art11!D50+[1]Art12!D50+[1]Art13!D50+[1]Art14!D50+[1]Art15!D50+[1]Art16!D50+[1]Art17!D50+[1]Art18!D50+[1]Art19!D50+[1]Art20!D50+[1]Art21!D50+[1]Art22!D50+[1]Art23!D50+[1]Art24!D50+[1]Art25!D50+[1]Art26!D50+[1]Art27!D50+[1]Art28!D50+[1]Art29!D50+[1]Art30!D50+[1]Art31!D50+[1]Art32!D50+[1]Art33!D50+[1]Art34!D50+[1]Art35!D50+[1]Art36!D50+[1]Art37!D50+[1]Art38!D50+[1]ArtT1!D50+[1]ArtT2!D50)</f>
        <v>11</v>
      </c>
      <c r="E50" s="1">
        <f>SUM([1]Art1!E50+[1]Art2!E50+[1]Art3!E50+[1]Art4!E50+[1]Art5!E50+[1]Art6!E50+[1]Art7!E50+[1]Art8!E50+[1]Art9!E50+[1]Art10!E50+[1]Art11!E50+[1]Art12!E50+[1]Art13!E50+[1]Art14!E50+[1]Art15!E50+[1]Art16!E50+[1]Art17!E50+[1]Art18!E50+[1]Art19!E50+[1]Art20!E50+[1]Art21!E50+[1]Art22!E50+[1]Art23!E50+[1]Art24!E50+[1]Art25!E50+[1]Art26!E50+[1]Art27!E50+[1]Art28!E50+[1]Art29!E50+[1]Art30!E50+[1]Art31!E50+[1]Art32!E50+[1]Art33!E50+[1]Art34!E50+[1]Art35!E50+[1]Art36!E50+[1]Art37!E50+[1]Art38!E50+[1]ArtT1!E50+[1]ArtT2!E50)</f>
        <v>0</v>
      </c>
      <c r="F50" s="1">
        <f>SUM([1]Art1!F50+[1]Art2!F50+[1]Art3!F50+[1]Art4!F50+[1]Art5!F50+[1]Art6!F50+[1]Art7!F50+[1]Art8!F50+[1]Art9!F50+[1]Art10!F50+[1]Art11!F50+[1]Art12!F50+[1]Art13!F50+[1]Art14!F50+[1]Art15!F50+[1]Art16!F50+[1]Art17!F50+[1]Art18!F50+[1]Art19!F50+[1]Art20!F50+[1]Art21!F50+[1]Art22!F50+[1]Art23!F50+[1]Art24!F50+[1]Art25!F50+[1]Art26!F50+[1]Art27!F50+[1]Art28!F50+[1]Art29!F50+[1]Art30!F50+[1]Art31!F50+[1]Art32!F50+[1]Art33!F50+[1]Art34!F50+[1]Art35!F50+[1]Art36!F50+[1]Art37!F50+[1]Art38!F50+[1]ArtT1!F50+[1]ArtT2!F50)</f>
        <v>4</v>
      </c>
      <c r="H50" s="4"/>
      <c r="I50" s="4"/>
      <c r="J50" s="4"/>
      <c r="K50" s="4"/>
    </row>
    <row r="51" spans="1:11" ht="12.75" customHeight="1" x14ac:dyDescent="0.3">
      <c r="A51" s="1" t="s">
        <v>79</v>
      </c>
      <c r="B51" s="1" t="s">
        <v>27</v>
      </c>
      <c r="C51" s="1">
        <f>SUM([1]Art1!C51+[1]Art2!C51+[1]Art3!C51+[1]Art4!C51+[1]Art5!C51+[1]Art6!C51+[1]Art7!C51+[1]Art8!C51+[1]Art9!C51+[1]Art10!C51+[1]Art11!C51+[1]Art12!C51+[1]Art13!C51+[1]Art14!C51+[1]Art15!C51+[1]Art16!C51+[1]Art17!C51+[1]Art18!C51+[1]Art19!C51+[1]Art20!C51+[1]Art21!C51+[1]Art22!C51+[1]Art23!C51+[1]Art24!C51+[1]Art25!C51+[1]Art26!C51+[1]Art27!C51+[1]Art28!C51+[1]Art29!C51+[1]Art30!C51+[1]Art31!C51+[1]Art32!C51+[1]Art33!C51+[1]Art34!C51+[1]Art35!C51+[1]Art36!C51+[1]Art37!C51+[1]Art38!C51+[1]ArtT1!C51+[1]ArtT2!C51)</f>
        <v>6</v>
      </c>
      <c r="D51" s="1">
        <f>SUM([1]Art1!D51+[1]Art2!D51+[1]Art3!D51+[1]Art4!D51+[1]Art5!D51+[1]Art6!D51+[1]Art7!D51+[1]Art8!D51+[1]Art9!D51+[1]Art10!D51+[1]Art11!D51+[1]Art12!D51+[1]Art13!D51+[1]Art14!D51+[1]Art15!D51+[1]Art16!D51+[1]Art17!D51+[1]Art18!D51+[1]Art19!D51+[1]Art20!D51+[1]Art21!D51+[1]Art22!D51+[1]Art23!D51+[1]Art24!D51+[1]Art25!D51+[1]Art26!D51+[1]Art27!D51+[1]Art28!D51+[1]Art29!D51+[1]Art30!D51+[1]Art31!D51+[1]Art32!D51+[1]Art33!D51+[1]Art34!D51+[1]Art35!D51+[1]Art36!D51+[1]Art37!D51+[1]Art38!D51+[1]ArtT1!D51+[1]ArtT2!D51)</f>
        <v>29</v>
      </c>
      <c r="E51" s="1">
        <f>SUM([1]Art1!E51+[1]Art2!E51+[1]Art3!E51+[1]Art4!E51+[1]Art5!E51+[1]Art6!E51+[1]Art7!E51+[1]Art8!E51+[1]Art9!E51+[1]Art10!E51+[1]Art11!E51+[1]Art12!E51+[1]Art13!E51+[1]Art14!E51+[1]Art15!E51+[1]Art16!E51+[1]Art17!E51+[1]Art18!E51+[1]Art19!E51+[1]Art20!E51+[1]Art21!E51+[1]Art22!E51+[1]Art23!E51+[1]Art24!E51+[1]Art25!E51+[1]Art26!E51+[1]Art27!E51+[1]Art28!E51+[1]Art29!E51+[1]Art30!E51+[1]Art31!E51+[1]Art32!E51+[1]Art33!E51+[1]Art34!E51+[1]Art35!E51+[1]Art36!E51+[1]Art37!E51+[1]Art38!E51+[1]ArtT1!E51+[1]ArtT2!E51)</f>
        <v>5</v>
      </c>
      <c r="F51" s="1">
        <f>SUM([1]Art1!F51+[1]Art2!F51+[1]Art3!F51+[1]Art4!F51+[1]Art5!F51+[1]Art6!F51+[1]Art7!F51+[1]Art8!F51+[1]Art9!F51+[1]Art10!F51+[1]Art11!F51+[1]Art12!F51+[1]Art13!F51+[1]Art14!F51+[1]Art15!F51+[1]Art16!F51+[1]Art17!F51+[1]Art18!F51+[1]Art19!F51+[1]Art20!F51+[1]Art21!F51+[1]Art22!F51+[1]Art23!F51+[1]Art24!F51+[1]Art25!F51+[1]Art26!F51+[1]Art27!F51+[1]Art28!F51+[1]Art29!F51+[1]Art30!F51+[1]Art31!F51+[1]Art32!F51+[1]Art33!F51+[1]Art34!F51+[1]Art35!F51+[1]Art36!F51+[1]Art37!F51+[1]Art38!F51+[1]ArtT1!F51+[1]ArtT2!F51)</f>
        <v>0</v>
      </c>
      <c r="H51" s="4"/>
      <c r="I51" s="4"/>
      <c r="J51" s="4"/>
      <c r="K51" s="4"/>
    </row>
    <row r="52" spans="1:11" ht="12.75" customHeight="1" x14ac:dyDescent="0.3">
      <c r="A52" s="1" t="s">
        <v>80</v>
      </c>
      <c r="B52" s="1" t="s">
        <v>24</v>
      </c>
      <c r="C52" s="1">
        <f>SUM([1]Art1!C52+[1]Art2!C52+[1]Art3!C52+[1]Art4!C52+[1]Art5!C52+[1]Art6!C52+[1]Art7!C52+[1]Art8!C52+[1]Art9!C52+[1]Art10!C52+[1]Art11!C52+[1]Art12!C52+[1]Art13!C52+[1]Art14!C52+[1]Art15!C52+[1]Art16!C52+[1]Art17!C52+[1]Art18!C52+[1]Art19!C52+[1]Art20!C52+[1]Art21!C52+[1]Art22!C52+[1]Art23!C52+[1]Art24!C52+[1]Art25!C52+[1]Art26!C52+[1]Art27!C52+[1]Art28!C52+[1]Art29!C52+[1]Art30!C52+[1]Art31!C52+[1]Art32!C52+[1]Art33!C52+[1]Art34!C52+[1]Art35!C52+[1]Art36!C52+[1]Art37!C52+[1]Art38!C52+[1]ArtT1!C52+[1]ArtT2!C52)</f>
        <v>25</v>
      </c>
      <c r="D52" s="1">
        <f>SUM([1]Art1!D52+[1]Art2!D52+[1]Art3!D52+[1]Art4!D52+[1]Art5!D52+[1]Art6!D52+[1]Art7!D52+[1]Art8!D52+[1]Art9!D52+[1]Art10!D52+[1]Art11!D52+[1]Art12!D52+[1]Art13!D52+[1]Art14!D52+[1]Art15!D52+[1]Art16!D52+[1]Art17!D52+[1]Art18!D52+[1]Art19!D52+[1]Art20!D52+[1]Art21!D52+[1]Art22!D52+[1]Art23!D52+[1]Art24!D52+[1]Art25!D52+[1]Art26!D52+[1]Art27!D52+[1]Art28!D52+[1]Art29!D52+[1]Art30!D52+[1]Art31!D52+[1]Art32!D52+[1]Art33!D52+[1]Art34!D52+[1]Art35!D52+[1]Art36!D52+[1]Art37!D52+[1]Art38!D52+[1]ArtT1!D52+[1]ArtT2!D52)</f>
        <v>11</v>
      </c>
      <c r="E52" s="1">
        <f>SUM([1]Art1!E52+[1]Art2!E52+[1]Art3!E52+[1]Art4!E52+[1]Art5!E52+[1]Art6!E52+[1]Art7!E52+[1]Art8!E52+[1]Art9!E52+[1]Art10!E52+[1]Art11!E52+[1]Art12!E52+[1]Art13!E52+[1]Art14!E52+[1]Art15!E52+[1]Art16!E52+[1]Art17!E52+[1]Art18!E52+[1]Art19!E52+[1]Art20!E52+[1]Art21!E52+[1]Art22!E52+[1]Art23!E52+[1]Art24!E52+[1]Art25!E52+[1]Art26!E52+[1]Art27!E52+[1]Art28!E52+[1]Art29!E52+[1]Art30!E52+[1]Art31!E52+[1]Art32!E52+[1]Art33!E52+[1]Art34!E52+[1]Art35!E52+[1]Art36!E52+[1]Art37!E52+[1]Art38!E52+[1]ArtT1!E52+[1]ArtT2!E52)</f>
        <v>3</v>
      </c>
      <c r="F52" s="1">
        <f>SUM([1]Art1!F52+[1]Art2!F52+[1]Art3!F52+[1]Art4!F52+[1]Art5!F52+[1]Art6!F52+[1]Art7!F52+[1]Art8!F52+[1]Art9!F52+[1]Art10!F52+[1]Art11!F52+[1]Art12!F52+[1]Art13!F52+[1]Art14!F52+[1]Art15!F52+[1]Art16!F52+[1]Art17!F52+[1]Art18!F52+[1]Art19!F52+[1]Art20!F52+[1]Art21!F52+[1]Art22!F52+[1]Art23!F52+[1]Art24!F52+[1]Art25!F52+[1]Art26!F52+[1]Art27!F52+[1]Art28!F52+[1]Art29!F52+[1]Art30!F52+[1]Art31!F52+[1]Art32!F52+[1]Art33!F52+[1]Art34!F52+[1]Art35!F52+[1]Art36!F52+[1]Art37!F52+[1]Art38!F52+[1]ArtT1!F52+[1]ArtT2!F52)</f>
        <v>1</v>
      </c>
      <c r="H52" s="4"/>
      <c r="I52" s="4"/>
      <c r="J52" s="4"/>
      <c r="K52" s="4"/>
    </row>
    <row r="53" spans="1:11" ht="12.75" customHeight="1" x14ac:dyDescent="0.3">
      <c r="A53" s="1" t="s">
        <v>81</v>
      </c>
      <c r="B53" s="1" t="s">
        <v>66</v>
      </c>
      <c r="C53" s="1">
        <f>SUM([1]Art1!C53+[1]Art2!C53+[1]Art3!C53+[1]Art4!C53+[1]Art5!C53+[1]Art6!C53+[1]Art7!C53+[1]Art8!C53+[1]Art9!C53+[1]Art10!C53+[1]Art11!C53+[1]Art12!C53+[1]Art13!C53+[1]Art14!C53+[1]Art15!C53+[1]Art16!C53+[1]Art17!C53+[1]Art18!C53+[1]Art19!C53+[1]Art20!C53+[1]Art21!C53+[1]Art22!C53+[1]Art23!C53+[1]Art24!C53+[1]Art25!C53+[1]Art26!C53+[1]Art27!C53+[1]Art28!C53+[1]Art29!C53+[1]Art30!C53+[1]Art31!C53+[1]Art32!C53+[1]Art33!C53+[1]Art34!C53+[1]Art35!C53+[1]Art36!C53+[1]Art37!C53+[1]Art38!C53+[1]ArtT1!C53+[1]ArtT2!C53)</f>
        <v>1</v>
      </c>
      <c r="D53" s="1">
        <f>SUM([1]Art1!D53+[1]Art2!D53+[1]Art3!D53+[1]Art4!D53+[1]Art5!D53+[1]Art6!D53+[1]Art7!D53+[1]Art8!D53+[1]Art9!D53+[1]Art10!D53+[1]Art11!D53+[1]Art12!D53+[1]Art13!D53+[1]Art14!D53+[1]Art15!D53+[1]Art16!D53+[1]Art17!D53+[1]Art18!D53+[1]Art19!D53+[1]Art20!D53+[1]Art21!D53+[1]Art22!D53+[1]Art23!D53+[1]Art24!D53+[1]Art25!D53+[1]Art26!D53+[1]Art27!D53+[1]Art28!D53+[1]Art29!D53+[1]Art30!D53+[1]Art31!D53+[1]Art32!D53+[1]Art33!D53+[1]Art34!D53+[1]Art35!D53+[1]Art36!D53+[1]Art37!D53+[1]Art38!D53+[1]ArtT1!D53+[1]ArtT2!D53)</f>
        <v>31</v>
      </c>
      <c r="E53" s="1">
        <f>SUM([1]Art1!E53+[1]Art2!E53+[1]Art3!E53+[1]Art4!E53+[1]Art5!E53+[1]Art6!E53+[1]Art7!E53+[1]Art8!E53+[1]Art9!E53+[1]Art10!E53+[1]Art11!E53+[1]Art12!E53+[1]Art13!E53+[1]Art14!E53+[1]Art15!E53+[1]Art16!E53+[1]Art17!E53+[1]Art18!E53+[1]Art19!E53+[1]Art20!E53+[1]Art21!E53+[1]Art22!E53+[1]Art23!E53+[1]Art24!E53+[1]Art25!E53+[1]Art26!E53+[1]Art27!E53+[1]Art28!E53+[1]Art29!E53+[1]Art30!E53+[1]Art31!E53+[1]Art32!E53+[1]Art33!E53+[1]Art34!E53+[1]Art35!E53+[1]Art36!E53+[1]Art37!E53+[1]Art38!E53+[1]ArtT1!E53+[1]ArtT2!E53)</f>
        <v>7</v>
      </c>
      <c r="F53" s="1">
        <f>SUM([1]Art1!F53+[1]Art2!F53+[1]Art3!F53+[1]Art4!F53+[1]Art5!F53+[1]Art6!F53+[1]Art7!F53+[1]Art8!F53+[1]Art9!F53+[1]Art10!F53+[1]Art11!F53+[1]Art12!F53+[1]Art13!F53+[1]Art14!F53+[1]Art15!F53+[1]Art16!F53+[1]Art17!F53+[1]Art18!F53+[1]Art19!F53+[1]Art20!F53+[1]Art21!F53+[1]Art22!F53+[1]Art23!F53+[1]Art24!F53+[1]Art25!F53+[1]Art26!F53+[1]Art27!F53+[1]Art28!F53+[1]Art29!F53+[1]Art30!F53+[1]Art31!F53+[1]Art32!F53+[1]Art33!F53+[1]Art34!F53+[1]Art35!F53+[1]Art36!F53+[1]Art37!F53+[1]Art38!F53+[1]ArtT1!F53+[1]ArtT2!F53)</f>
        <v>1</v>
      </c>
      <c r="H53" s="4"/>
      <c r="I53" s="4"/>
      <c r="J53" s="4"/>
      <c r="K53" s="4"/>
    </row>
    <row r="54" spans="1:11" ht="12.75" customHeight="1" x14ac:dyDescent="0.3">
      <c r="A54" s="1" t="s">
        <v>82</v>
      </c>
      <c r="B54" s="1" t="s">
        <v>16</v>
      </c>
      <c r="C54" s="1">
        <f>SUM([1]Art1!C54+[1]Art2!C54+[1]Art3!C54+[1]Art4!C54+[1]Art5!C54+[1]Art6!C54+[1]Art7!C54+[1]Art8!C54+[1]Art9!C54+[1]Art10!C54+[1]Art11!C54+[1]Art12!C54+[1]Art13!C54+[1]Art14!C54+[1]Art15!C54+[1]Art16!C54+[1]Art17!C54+[1]Art18!C54+[1]Art19!C54+[1]Art20!C54+[1]Art21!C54+[1]Art22!C54+[1]Art23!C54+[1]Art24!C54+[1]Art25!C54+[1]Art26!C54+[1]Art27!C54+[1]Art28!C54+[1]Art29!C54+[1]Art30!C54+[1]Art31!C54+[1]Art32!C54+[1]Art33!C54+[1]Art34!C54+[1]Art35!C54+[1]Art36!C54+[1]Art37!C54+[1]Art38!C54+[1]ArtT1!C54+[1]ArtT2!C54)</f>
        <v>14</v>
      </c>
      <c r="D54" s="1">
        <f>SUM([1]Art1!D54+[1]Art2!D54+[1]Art3!D54+[1]Art4!D54+[1]Art5!D54+[1]Art6!D54+[1]Art7!D54+[1]Art8!D54+[1]Art9!D54+[1]Art10!D54+[1]Art11!D54+[1]Art12!D54+[1]Art13!D54+[1]Art14!D54+[1]Art15!D54+[1]Art16!D54+[1]Art17!D54+[1]Art18!D54+[1]Art19!D54+[1]Art20!D54+[1]Art21!D54+[1]Art22!D54+[1]Art23!D54+[1]Art24!D54+[1]Art25!D54+[1]Art26!D54+[1]Art27!D54+[1]Art28!D54+[1]Art29!D54+[1]Art30!D54+[1]Art31!D54+[1]Art32!D54+[1]Art33!D54+[1]Art34!D54+[1]Art35!D54+[1]Art36!D54+[1]Art37!D54+[1]Art38!D54+[1]ArtT1!D54+[1]ArtT2!D54)</f>
        <v>12</v>
      </c>
      <c r="E54" s="1">
        <f>SUM([1]Art1!E54+[1]Art2!E54+[1]Art3!E54+[1]Art4!E54+[1]Art5!E54+[1]Art6!E54+[1]Art7!E54+[1]Art8!E54+[1]Art9!E54+[1]Art10!E54+[1]Art11!E54+[1]Art12!E54+[1]Art13!E54+[1]Art14!E54+[1]Art15!E54+[1]Art16!E54+[1]Art17!E54+[1]Art18!E54+[1]Art19!E54+[1]Art20!E54+[1]Art21!E54+[1]Art22!E54+[1]Art23!E54+[1]Art24!E54+[1]Art25!E54+[1]Art26!E54+[1]Art27!E54+[1]Art28!E54+[1]Art29!E54+[1]Art30!E54+[1]Art31!E54+[1]Art32!E54+[1]Art33!E54+[1]Art34!E54+[1]Art35!E54+[1]Art36!E54+[1]Art37!E54+[1]Art38!E54+[1]ArtT1!E54+[1]ArtT2!E54)</f>
        <v>14</v>
      </c>
      <c r="F54" s="1">
        <f>SUM([1]Art1!F54+[1]Art2!F54+[1]Art3!F54+[1]Art4!F54+[1]Art5!F54+[1]Art6!F54+[1]Art7!F54+[1]Art8!F54+[1]Art9!F54+[1]Art10!F54+[1]Art11!F54+[1]Art12!F54+[1]Art13!F54+[1]Art14!F54+[1]Art15!F54+[1]Art16!F54+[1]Art17!F54+[1]Art18!F54+[1]Art19!F54+[1]Art20!F54+[1]Art21!F54+[1]Art22!F54+[1]Art23!F54+[1]Art24!F54+[1]Art25!F54+[1]Art26!F54+[1]Art27!F54+[1]Art28!F54+[1]Art29!F54+[1]Art30!F54+[1]Art31!F54+[1]Art32!F54+[1]Art33!F54+[1]Art34!F54+[1]Art35!F54+[1]Art36!F54+[1]Art37!F54+[1]Art38!F54+[1]ArtT1!F54+[1]ArtT2!F54)</f>
        <v>0</v>
      </c>
      <c r="H54" s="4"/>
      <c r="I54" s="4"/>
      <c r="J54" s="4"/>
      <c r="K54" s="4"/>
    </row>
    <row r="55" spans="1:11" ht="12.75" customHeight="1" x14ac:dyDescent="0.3">
      <c r="A55" s="1" t="s">
        <v>83</v>
      </c>
      <c r="B55" s="1" t="s">
        <v>14</v>
      </c>
      <c r="C55" s="1">
        <f>SUM([1]Art1!C55+[1]Art2!C55+[1]Art3!C55+[1]Art4!C55+[1]Art5!C55+[1]Art6!C55+[1]Art7!C55+[1]Art8!C55+[1]Art9!C55+[1]Art10!C55+[1]Art11!C55+[1]Art12!C55+[1]Art13!C55+[1]Art14!C55+[1]Art15!C55+[1]Art16!C55+[1]Art17!C55+[1]Art18!C55+[1]Art19!C55+[1]Art20!C55+[1]Art21!C55+[1]Art22!C55+[1]Art23!C55+[1]Art24!C55+[1]Art25!C55+[1]Art26!C55+[1]Art27!C55+[1]Art28!C55+[1]Art29!C55+[1]Art30!C55+[1]Art31!C55+[1]Art32!C55+[1]Art33!C55+[1]Art34!C55+[1]Art35!C55+[1]Art36!C55+[1]Art37!C55+[1]Art38!C55+[1]ArtT1!C55+[1]ArtT2!C55)</f>
        <v>40</v>
      </c>
      <c r="D55" s="1">
        <f>SUM([1]Art1!D55+[1]Art2!D55+[1]Art3!D55+[1]Art4!D55+[1]Art5!D55+[1]Art6!D55+[1]Art7!D55+[1]Art8!D55+[1]Art9!D55+[1]Art10!D55+[1]Art11!D55+[1]Art12!D55+[1]Art13!D55+[1]Art14!D55+[1]Art15!D55+[1]Art16!D55+[1]Art17!D55+[1]Art18!D55+[1]Art19!D55+[1]Art20!D55+[1]Art21!D55+[1]Art22!D55+[1]Art23!D55+[1]Art24!D55+[1]Art25!D55+[1]Art26!D55+[1]Art27!D55+[1]Art28!D55+[1]Art29!D55+[1]Art30!D55+[1]Art31!D55+[1]Art32!D55+[1]Art33!D55+[1]Art34!D55+[1]Art35!D55+[1]Art36!D55+[1]Art37!D55+[1]Art38!D55+[1]ArtT1!D55+[1]ArtT2!D55)</f>
        <v>0</v>
      </c>
      <c r="E55" s="1">
        <f>SUM([1]Art1!E55+[1]Art2!E55+[1]Art3!E55+[1]Art4!E55+[1]Art5!E55+[1]Art6!E55+[1]Art7!E55+[1]Art8!E55+[1]Art9!E55+[1]Art10!E55+[1]Art11!E55+[1]Art12!E55+[1]Art13!E55+[1]Art14!E55+[1]Art15!E55+[1]Art16!E55+[1]Art17!E55+[1]Art18!E55+[1]Art19!E55+[1]Art20!E55+[1]Art21!E55+[1]Art22!E55+[1]Art23!E55+[1]Art24!E55+[1]Art25!E55+[1]Art26!E55+[1]Art27!E55+[1]Art28!E55+[1]Art29!E55+[1]Art30!E55+[1]Art31!E55+[1]Art32!E55+[1]Art33!E55+[1]Art34!E55+[1]Art35!E55+[1]Art36!E55+[1]Art37!E55+[1]Art38!E55+[1]ArtT1!E55+[1]ArtT2!E55)</f>
        <v>0</v>
      </c>
      <c r="F55" s="1">
        <f>SUM([1]Art1!F55+[1]Art2!F55+[1]Art3!F55+[1]Art4!F55+[1]Art5!F55+[1]Art6!F55+[1]Art7!F55+[1]Art8!F55+[1]Art9!F55+[1]Art10!F55+[1]Art11!F55+[1]Art12!F55+[1]Art13!F55+[1]Art14!F55+[1]Art15!F55+[1]Art16!F55+[1]Art17!F55+[1]Art18!F55+[1]Art19!F55+[1]Art20!F55+[1]Art21!F55+[1]Art22!F55+[1]Art23!F55+[1]Art24!F55+[1]Art25!F55+[1]Art26!F55+[1]Art27!F55+[1]Art28!F55+[1]Art29!F55+[1]Art30!F55+[1]Art31!F55+[1]Art32!F55+[1]Art33!F55+[1]Art34!F55+[1]Art35!F55+[1]Art36!F55+[1]Art37!F55+[1]Art38!F55+[1]ArtT1!F55+[1]ArtT2!F55)</f>
        <v>0</v>
      </c>
      <c r="H55" s="4"/>
      <c r="I55" s="4"/>
      <c r="J55" s="4"/>
      <c r="K55" s="4"/>
    </row>
    <row r="56" spans="1:11" ht="12.75" customHeight="1" x14ac:dyDescent="0.3">
      <c r="A56" s="1" t="s">
        <v>84</v>
      </c>
      <c r="B56" s="1" t="s">
        <v>21</v>
      </c>
      <c r="C56" s="1">
        <f>SUM([1]Art1!C56+[1]Art2!C56+[1]Art3!C56+[1]Art4!C56+[1]Art5!C56+[1]Art6!C56+[1]Art7!C56+[1]Art8!C56+[1]Art9!C56+[1]Art10!C56+[1]Art11!C56+[1]Art12!C56+[1]Art13!C56+[1]Art14!C56+[1]Art15!C56+[1]Art16!C56+[1]Art17!C56+[1]Art18!C56+[1]Art19!C56+[1]Art20!C56+[1]Art21!C56+[1]Art22!C56+[1]Art23!C56+[1]Art24!C56+[1]Art25!C56+[1]Art26!C56+[1]Art27!C56+[1]Art28!C56+[1]Art29!C56+[1]Art30!C56+[1]Art31!C56+[1]Art32!C56+[1]Art33!C56+[1]Art34!C56+[1]Art35!C56+[1]Art36!C56+[1]Art37!C56+[1]Art38!C56+[1]ArtT1!C56+[1]ArtT2!C56)</f>
        <v>19</v>
      </c>
      <c r="D56" s="1">
        <f>SUM([1]Art1!D56+[1]Art2!D56+[1]Art3!D56+[1]Art4!D56+[1]Art5!D56+[1]Art6!D56+[1]Art7!D56+[1]Art8!D56+[1]Art9!D56+[1]Art10!D56+[1]Art11!D56+[1]Art12!D56+[1]Art13!D56+[1]Art14!D56+[1]Art15!D56+[1]Art16!D56+[1]Art17!D56+[1]Art18!D56+[1]Art19!D56+[1]Art20!D56+[1]Art21!D56+[1]Art22!D56+[1]Art23!D56+[1]Art24!D56+[1]Art25!D56+[1]Art26!D56+[1]Art27!D56+[1]Art28!D56+[1]Art29!D56+[1]Art30!D56+[1]Art31!D56+[1]Art32!D56+[1]Art33!D56+[1]Art34!D56+[1]Art35!D56+[1]Art36!D56+[1]Art37!D56+[1]Art38!D56+[1]ArtT1!D56+[1]ArtT2!D56)</f>
        <v>8</v>
      </c>
      <c r="E56" s="1">
        <f>SUM([1]Art1!E56+[1]Art2!E56+[1]Art3!E56+[1]Art4!E56+[1]Art5!E56+[1]Art6!E56+[1]Art7!E56+[1]Art8!E56+[1]Art9!E56+[1]Art10!E56+[1]Art11!E56+[1]Art12!E56+[1]Art13!E56+[1]Art14!E56+[1]Art15!E56+[1]Art16!E56+[1]Art17!E56+[1]Art18!E56+[1]Art19!E56+[1]Art20!E56+[1]Art21!E56+[1]Art22!E56+[1]Art23!E56+[1]Art24!E56+[1]Art25!E56+[1]Art26!E56+[1]Art27!E56+[1]Art28!E56+[1]Art29!E56+[1]Art30!E56+[1]Art31!E56+[1]Art32!E56+[1]Art33!E56+[1]Art34!E56+[1]Art35!E56+[1]Art36!E56+[1]Art37!E56+[1]Art38!E56+[1]ArtT1!E56+[1]ArtT2!E56)</f>
        <v>13</v>
      </c>
      <c r="F56" s="1">
        <f>SUM([1]Art1!F56+[1]Art2!F56+[1]Art3!F56+[1]Art4!F56+[1]Art5!F56+[1]Art6!F56+[1]Art7!F56+[1]Art8!F56+[1]Art9!F56+[1]Art10!F56+[1]Art11!F56+[1]Art12!F56+[1]Art13!F56+[1]Art14!F56+[1]Art15!F56+[1]Art16!F56+[1]Art17!F56+[1]Art18!F56+[1]Art19!F56+[1]Art20!F56+[1]Art21!F56+[1]Art22!F56+[1]Art23!F56+[1]Art24!F56+[1]Art25!F56+[1]Art26!F56+[1]Art27!F56+[1]Art28!F56+[1]Art29!F56+[1]Art30!F56+[1]Art31!F56+[1]Art32!F56+[1]Art33!F56+[1]Art34!F56+[1]Art35!F56+[1]Art36!F56+[1]Art37!F56+[1]Art38!F56+[1]ArtT1!F56+[1]ArtT2!F56)</f>
        <v>0</v>
      </c>
      <c r="H56" s="4"/>
      <c r="I56" s="4"/>
      <c r="J56" s="4"/>
      <c r="K56" s="4"/>
    </row>
    <row r="57" spans="1:11" ht="12.75" customHeight="1" x14ac:dyDescent="0.3">
      <c r="A57" s="1" t="s">
        <v>85</v>
      </c>
      <c r="B57" s="1" t="s">
        <v>33</v>
      </c>
      <c r="C57" s="1">
        <f>SUM([1]Art1!C57+[1]Art2!C57+[1]Art3!C57+[1]Art4!C57+[1]Art5!C57+[1]Art6!C57+[1]Art7!C57+[1]Art8!C57+[1]Art9!C57+[1]Art10!C57+[1]Art11!C57+[1]Art12!C57+[1]Art13!C57+[1]Art14!C57+[1]Art15!C57+[1]Art16!C57+[1]Art17!C57+[1]Art18!C57+[1]Art19!C57+[1]Art20!C57+[1]Art21!C57+[1]Art22!C57+[1]Art23!C57+[1]Art24!C57+[1]Art25!C57+[1]Art26!C57+[1]Art27!C57+[1]Art28!C57+[1]Art29!C57+[1]Art30!C57+[1]Art31!C57+[1]Art32!C57+[1]Art33!C57+[1]Art34!C57+[1]Art35!C57+[1]Art36!C57+[1]Art37!C57+[1]Art38!C57+[1]ArtT1!C57+[1]ArtT2!C57)</f>
        <v>25</v>
      </c>
      <c r="D57" s="1">
        <f>SUM([1]Art1!D57+[1]Art2!D57+[1]Art3!D57+[1]Art4!D57+[1]Art5!D57+[1]Art6!D57+[1]Art7!D57+[1]Art8!D57+[1]Art9!D57+[1]Art10!D57+[1]Art11!D57+[1]Art12!D57+[1]Art13!D57+[1]Art14!D57+[1]Art15!D57+[1]Art16!D57+[1]Art17!D57+[1]Art18!D57+[1]Art19!D57+[1]Art20!D57+[1]Art21!D57+[1]Art22!D57+[1]Art23!D57+[1]Art24!D57+[1]Art25!D57+[1]Art26!D57+[1]Art27!D57+[1]Art28!D57+[1]Art29!D57+[1]Art30!D57+[1]Art31!D57+[1]Art32!D57+[1]Art33!D57+[1]Art34!D57+[1]Art35!D57+[1]Art36!D57+[1]Art37!D57+[1]Art38!D57+[1]ArtT1!D57+[1]ArtT2!D57)</f>
        <v>15</v>
      </c>
      <c r="E57" s="1">
        <f>SUM([1]Art1!E57+[1]Art2!E57+[1]Art3!E57+[1]Art4!E57+[1]Art5!E57+[1]Art6!E57+[1]Art7!E57+[1]Art8!E57+[1]Art9!E57+[1]Art10!E57+[1]Art11!E57+[1]Art12!E57+[1]Art13!E57+[1]Art14!E57+[1]Art15!E57+[1]Art16!E57+[1]Art17!E57+[1]Art18!E57+[1]Art19!E57+[1]Art20!E57+[1]Art21!E57+[1]Art22!E57+[1]Art23!E57+[1]Art24!E57+[1]Art25!E57+[1]Art26!E57+[1]Art27!E57+[1]Art28!E57+[1]Art29!E57+[1]Art30!E57+[1]Art31!E57+[1]Art32!E57+[1]Art33!E57+[1]Art34!E57+[1]Art35!E57+[1]Art36!E57+[1]Art37!E57+[1]Art38!E57+[1]ArtT1!E57+[1]ArtT2!E57)</f>
        <v>0</v>
      </c>
      <c r="F57" s="1">
        <f>SUM([1]Art1!F57+[1]Art2!F57+[1]Art3!F57+[1]Art4!F57+[1]Art5!F57+[1]Art6!F57+[1]Art7!F57+[1]Art8!F57+[1]Art9!F57+[1]Art10!F57+[1]Art11!F57+[1]Art12!F57+[1]Art13!F57+[1]Art14!F57+[1]Art15!F57+[1]Art16!F57+[1]Art17!F57+[1]Art18!F57+[1]Art19!F57+[1]Art20!F57+[1]Art21!F57+[1]Art22!F57+[1]Art23!F57+[1]Art24!F57+[1]Art25!F57+[1]Art26!F57+[1]Art27!F57+[1]Art28!F57+[1]Art29!F57+[1]Art30!F57+[1]Art31!F57+[1]Art32!F57+[1]Art33!F57+[1]Art34!F57+[1]Art35!F57+[1]Art36!F57+[1]Art37!F57+[1]Art38!F57+[1]ArtT1!F57+[1]ArtT2!F57)</f>
        <v>0</v>
      </c>
      <c r="H57" s="4"/>
      <c r="I57" s="4"/>
      <c r="J57" s="4"/>
      <c r="K57" s="4"/>
    </row>
    <row r="58" spans="1:11" ht="12.75" customHeight="1" x14ac:dyDescent="0.3">
      <c r="A58" s="1" t="s">
        <v>86</v>
      </c>
      <c r="B58" s="1" t="s">
        <v>24</v>
      </c>
      <c r="C58" s="1">
        <f>SUM([1]Art1!C58+[1]Art2!C58+[1]Art3!C58+[1]Art4!C58+[1]Art5!C58+[1]Art6!C58+[1]Art7!C58+[1]Art8!C58+[1]Art9!C58+[1]Art10!C58+[1]Art11!C58+[1]Art12!C58+[1]Art13!C58+[1]Art14!C58+[1]Art15!C58+[1]Art16!C58+[1]Art17!C58+[1]Art18!C58+[1]Art19!C58+[1]Art20!C58+[1]Art21!C58+[1]Art22!C58+[1]Art23!C58+[1]Art24!C58+[1]Art25!C58+[1]Art26!C58+[1]Art27!C58+[1]Art28!C58+[1]Art29!C58+[1]Art30!C58+[1]Art31!C58+[1]Art32!C58+[1]Art33!C58+[1]Art34!C58+[1]Art35!C58+[1]Art36!C58+[1]Art37!C58+[1]Art38!C58+[1]ArtT1!C58+[1]ArtT2!C58)</f>
        <v>25</v>
      </c>
      <c r="D58" s="1">
        <f>SUM([1]Art1!D58+[1]Art2!D58+[1]Art3!D58+[1]Art4!D58+[1]Art5!D58+[1]Art6!D58+[1]Art7!D58+[1]Art8!D58+[1]Art9!D58+[1]Art10!D58+[1]Art11!D58+[1]Art12!D58+[1]Art13!D58+[1]Art14!D58+[1]Art15!D58+[1]Art16!D58+[1]Art17!D58+[1]Art18!D58+[1]Art19!D58+[1]Art20!D58+[1]Art21!D58+[1]Art22!D58+[1]Art23!D58+[1]Art24!D58+[1]Art25!D58+[1]Art26!D58+[1]Art27!D58+[1]Art28!D58+[1]Art29!D58+[1]Art30!D58+[1]Art31!D58+[1]Art32!D58+[1]Art33!D58+[1]Art34!D58+[1]Art35!D58+[1]Art36!D58+[1]Art37!D58+[1]Art38!D58+[1]ArtT1!D58+[1]ArtT2!D58)</f>
        <v>15</v>
      </c>
      <c r="E58" s="1">
        <f>SUM([1]Art1!E58+[1]Art2!E58+[1]Art3!E58+[1]Art4!E58+[1]Art5!E58+[1]Art6!E58+[1]Art7!E58+[1]Art8!E58+[1]Art9!E58+[1]Art10!E58+[1]Art11!E58+[1]Art12!E58+[1]Art13!E58+[1]Art14!E58+[1]Art15!E58+[1]Art16!E58+[1]Art17!E58+[1]Art18!E58+[1]Art19!E58+[1]Art20!E58+[1]Art21!E58+[1]Art22!E58+[1]Art23!E58+[1]Art24!E58+[1]Art25!E58+[1]Art26!E58+[1]Art27!E58+[1]Art28!E58+[1]Art29!E58+[1]Art30!E58+[1]Art31!E58+[1]Art32!E58+[1]Art33!E58+[1]Art34!E58+[1]Art35!E58+[1]Art36!E58+[1]Art37!E58+[1]Art38!E58+[1]ArtT1!E58+[1]ArtT2!E58)</f>
        <v>0</v>
      </c>
      <c r="F58" s="1">
        <f>SUM([1]Art1!F58+[1]Art2!F58+[1]Art3!F58+[1]Art4!F58+[1]Art5!F58+[1]Art6!F58+[1]Art7!F58+[1]Art8!F58+[1]Art9!F58+[1]Art10!F58+[1]Art11!F58+[1]Art12!F58+[1]Art13!F58+[1]Art14!F58+[1]Art15!F58+[1]Art16!F58+[1]Art17!F58+[1]Art18!F58+[1]Art19!F58+[1]Art20!F58+[1]Art21!F58+[1]Art22!F58+[1]Art23!F58+[1]Art24!F58+[1]Art25!F58+[1]Art26!F58+[1]Art27!F58+[1]Art28!F58+[1]Art29!F58+[1]Art30!F58+[1]Art31!F58+[1]Art32!F58+[1]Art33!F58+[1]Art34!F58+[1]Art35!F58+[1]Art36!F58+[1]Art37!F58+[1]Art38!F58+[1]ArtT1!F58+[1]ArtT2!F58)</f>
        <v>0</v>
      </c>
      <c r="H58" s="4"/>
      <c r="I58" s="4"/>
      <c r="J58" s="4"/>
      <c r="K58" s="4"/>
    </row>
    <row r="59" spans="1:11" ht="12.75" customHeight="1" x14ac:dyDescent="0.3">
      <c r="A59" s="1" t="s">
        <v>87</v>
      </c>
      <c r="B59" s="1" t="s">
        <v>37</v>
      </c>
      <c r="C59" s="1">
        <f>SUM([1]Art1!C59+[1]Art2!C59+[1]Art3!C59+[1]Art4!C59+[1]Art5!C59+[1]Art6!C59+[1]Art7!C59+[1]Art8!C59+[1]Art9!C59+[1]Art10!C59+[1]Art11!C59+[1]Art12!C59+[1]Art13!C59+[1]Art14!C59+[1]Art15!C59+[1]Art16!C59+[1]Art17!C59+[1]Art18!C59+[1]Art19!C59+[1]Art20!C59+[1]Art21!C59+[1]Art22!C59+[1]Art23!C59+[1]Art24!C59+[1]Art25!C59+[1]Art26!C59+[1]Art27!C59+[1]Art28!C59+[1]Art29!C59+[1]Art30!C59+[1]Art31!C59+[1]Art32!C59+[1]Art33!C59+[1]Art34!C59+[1]Art35!C59+[1]Art36!C59+[1]Art37!C59+[1]Art38!C59+[1]ArtT1!C59+[1]ArtT2!C59)</f>
        <v>37</v>
      </c>
      <c r="D59" s="1">
        <f>SUM([1]Art1!D59+[1]Art2!D59+[1]Art3!D59+[1]Art4!D59+[1]Art5!D59+[1]Art6!D59+[1]Art7!D59+[1]Art8!D59+[1]Art9!D59+[1]Art10!D59+[1]Art11!D59+[1]Art12!D59+[1]Art13!D59+[1]Art14!D59+[1]Art15!D59+[1]Art16!D59+[1]Art17!D59+[1]Art18!D59+[1]Art19!D59+[1]Art20!D59+[1]Art21!D59+[1]Art22!D59+[1]Art23!D59+[1]Art24!D59+[1]Art25!D59+[1]Art26!D59+[1]Art27!D59+[1]Art28!D59+[1]Art29!D59+[1]Art30!D59+[1]Art31!D59+[1]Art32!D59+[1]Art33!D59+[1]Art34!D59+[1]Art35!D59+[1]Art36!D59+[1]Art37!D59+[1]Art38!D59+[1]ArtT1!D59+[1]ArtT2!D59)</f>
        <v>1</v>
      </c>
      <c r="E59" s="1">
        <f>SUM([1]Art1!E59+[1]Art2!E59+[1]Art3!E59+[1]Art4!E59+[1]Art5!E59+[1]Art6!E59+[1]Art7!E59+[1]Art8!E59+[1]Art9!E59+[1]Art10!E59+[1]Art11!E59+[1]Art12!E59+[1]Art13!E59+[1]Art14!E59+[1]Art15!E59+[1]Art16!E59+[1]Art17!E59+[1]Art18!E59+[1]Art19!E59+[1]Art20!E59+[1]Art21!E59+[1]Art22!E59+[1]Art23!E59+[1]Art24!E59+[1]Art25!E59+[1]Art26!E59+[1]Art27!E59+[1]Art28!E59+[1]Art29!E59+[1]Art30!E59+[1]Art31!E59+[1]Art32!E59+[1]Art33!E59+[1]Art34!E59+[1]Art35!E59+[1]Art36!E59+[1]Art37!E59+[1]Art38!E59+[1]ArtT1!E59+[1]ArtT2!E59)</f>
        <v>1</v>
      </c>
      <c r="F59" s="1">
        <f>SUM([1]Art1!F59+[1]Art2!F59+[1]Art3!F59+[1]Art4!F59+[1]Art5!F59+[1]Art6!F59+[1]Art7!F59+[1]Art8!F59+[1]Art9!F59+[1]Art10!F59+[1]Art11!F59+[1]Art12!F59+[1]Art13!F59+[1]Art14!F59+[1]Art15!F59+[1]Art16!F59+[1]Art17!F59+[1]Art18!F59+[1]Art19!F59+[1]Art20!F59+[1]Art21!F59+[1]Art22!F59+[1]Art23!F59+[1]Art24!F59+[1]Art25!F59+[1]Art26!F59+[1]Art27!F59+[1]Art28!F59+[1]Art29!F59+[1]Art30!F59+[1]Art31!F59+[1]Art32!F59+[1]Art33!F59+[1]Art34!F59+[1]Art35!F59+[1]Art36!F59+[1]Art37!F59+[1]Art38!F59+[1]ArtT1!F59+[1]ArtT2!F59)</f>
        <v>1</v>
      </c>
      <c r="H59" s="4"/>
      <c r="I59" s="4"/>
      <c r="J59" s="4"/>
      <c r="K59" s="4"/>
    </row>
    <row r="60" spans="1:11" ht="12.75" customHeight="1" x14ac:dyDescent="0.3">
      <c r="A60" s="1" t="s">
        <v>88</v>
      </c>
      <c r="B60" s="1" t="s">
        <v>27</v>
      </c>
      <c r="C60" s="1">
        <f>SUM([1]Art1!C60+[1]Art2!C60+[1]Art3!C60+[1]Art4!C60+[1]Art5!C60+[1]Art6!C60+[1]Art7!C60+[1]Art8!C60+[1]Art9!C60+[1]Art10!C60+[1]Art11!C60+[1]Art12!C60+[1]Art13!C60+[1]Art14!C60+[1]Art15!C60+[1]Art16!C60+[1]Art17!C60+[1]Art18!C60+[1]Art19!C60+[1]Art20!C60+[1]Art21!C60+[1]Art22!C60+[1]Art23!C60+[1]Art24!C60+[1]Art25!C60+[1]Art26!C60+[1]Art27!C60+[1]Art28!C60+[1]Art29!C60+[1]Art30!C60+[1]Art31!C60+[1]Art32!C60+[1]Art33!C60+[1]Art34!C60+[1]Art35!C60+[1]Art36!C60+[1]Art37!C60+[1]Art38!C60+[1]ArtT1!C60+[1]ArtT2!C60)</f>
        <v>29</v>
      </c>
      <c r="D60" s="1">
        <f>SUM([1]Art1!D60+[1]Art2!D60+[1]Art3!D60+[1]Art4!D60+[1]Art5!D60+[1]Art6!D60+[1]Art7!D60+[1]Art8!D60+[1]Art9!D60+[1]Art10!D60+[1]Art11!D60+[1]Art12!D60+[1]Art13!D60+[1]Art14!D60+[1]Art15!D60+[1]Art16!D60+[1]Art17!D60+[1]Art18!D60+[1]Art19!D60+[1]Art20!D60+[1]Art21!D60+[1]Art22!D60+[1]Art23!D60+[1]Art24!D60+[1]Art25!D60+[1]Art26!D60+[1]Art27!D60+[1]Art28!D60+[1]Art29!D60+[1]Art30!D60+[1]Art31!D60+[1]Art32!D60+[1]Art33!D60+[1]Art34!D60+[1]Art35!D60+[1]Art36!D60+[1]Art37!D60+[1]Art38!D60+[1]ArtT1!D60+[1]ArtT2!D60)</f>
        <v>9</v>
      </c>
      <c r="E60" s="1">
        <f>SUM([1]Art1!E60+[1]Art2!E60+[1]Art3!E60+[1]Art4!E60+[1]Art5!E60+[1]Art6!E60+[1]Art7!E60+[1]Art8!E60+[1]Art9!E60+[1]Art10!E60+[1]Art11!E60+[1]Art12!E60+[1]Art13!E60+[1]Art14!E60+[1]Art15!E60+[1]Art16!E60+[1]Art17!E60+[1]Art18!E60+[1]Art19!E60+[1]Art20!E60+[1]Art21!E60+[1]Art22!E60+[1]Art23!E60+[1]Art24!E60+[1]Art25!E60+[1]Art26!E60+[1]Art27!E60+[1]Art28!E60+[1]Art29!E60+[1]Art30!E60+[1]Art31!E60+[1]Art32!E60+[1]Art33!E60+[1]Art34!E60+[1]Art35!E60+[1]Art36!E60+[1]Art37!E60+[1]Art38!E60+[1]ArtT1!E60+[1]ArtT2!E60)</f>
        <v>2</v>
      </c>
      <c r="F60" s="1">
        <f>SUM([1]Art1!F60+[1]Art2!F60+[1]Art3!F60+[1]Art4!F60+[1]Art5!F60+[1]Art6!F60+[1]Art7!F60+[1]Art8!F60+[1]Art9!F60+[1]Art10!F60+[1]Art11!F60+[1]Art12!F60+[1]Art13!F60+[1]Art14!F60+[1]Art15!F60+[1]Art16!F60+[1]Art17!F60+[1]Art18!F60+[1]Art19!F60+[1]Art20!F60+[1]Art21!F60+[1]Art22!F60+[1]Art23!F60+[1]Art24!F60+[1]Art25!F60+[1]Art26!F60+[1]Art27!F60+[1]Art28!F60+[1]Art29!F60+[1]Art30!F60+[1]Art31!F60+[1]Art32!F60+[1]Art33!F60+[1]Art34!F60+[1]Art35!F60+[1]Art36!F60+[1]Art37!F60+[1]Art38!F60+[1]ArtT1!F60+[1]ArtT2!F60)</f>
        <v>0</v>
      </c>
      <c r="H60" s="4"/>
      <c r="I60" s="4"/>
      <c r="J60" s="4"/>
      <c r="K60" s="4"/>
    </row>
    <row r="61" spans="1:11" ht="12.75" customHeight="1" x14ac:dyDescent="0.3">
      <c r="A61" s="1" t="s">
        <v>89</v>
      </c>
      <c r="B61" s="1" t="s">
        <v>13</v>
      </c>
      <c r="C61" s="1">
        <f>SUM([1]Art1!C61+[1]Art2!C61+[1]Art3!C61+[1]Art4!C61+[1]Art5!C61+[1]Art6!C61+[1]Art7!C61+[1]Art8!C61+[1]Art9!C61+[1]Art10!C61+[1]Art11!C61+[1]Art12!C61+[1]Art13!C61+[1]Art14!C61+[1]Art15!C61+[1]Art16!C61+[1]Art17!C61+[1]Art18!C61+[1]Art19!C61+[1]Art20!C61+[1]Art21!C61+[1]Art22!C61+[1]Art23!C61+[1]Art24!C61+[1]Art25!C61+[1]Art26!C61+[1]Art27!C61+[1]Art28!C61+[1]Art29!C61+[1]Art30!C61+[1]Art31!C61+[1]Art32!C61+[1]Art33!C61+[1]Art34!C61+[1]Art35!C61+[1]Art36!C61+[1]Art37!C61+[1]Art38!C61+[1]ArtT1!C61+[1]ArtT2!C61)</f>
        <v>22</v>
      </c>
      <c r="D61" s="1">
        <f>SUM([1]Art1!D61+[1]Art2!D61+[1]Art3!D61+[1]Art4!D61+[1]Art5!D61+[1]Art6!D61+[1]Art7!D61+[1]Art8!D61+[1]Art9!D61+[1]Art10!D61+[1]Art11!D61+[1]Art12!D61+[1]Art13!D61+[1]Art14!D61+[1]Art15!D61+[1]Art16!D61+[1]Art17!D61+[1]Art18!D61+[1]Art19!D61+[1]Art20!D61+[1]Art21!D61+[1]Art22!D61+[1]Art23!D61+[1]Art24!D61+[1]Art25!D61+[1]Art26!D61+[1]Art27!D61+[1]Art28!D61+[1]Art29!D61+[1]Art30!D61+[1]Art31!D61+[1]Art32!D61+[1]Art33!D61+[1]Art34!D61+[1]Art35!D61+[1]Art36!D61+[1]Art37!D61+[1]Art38!D61+[1]ArtT1!D61+[1]ArtT2!D61)</f>
        <v>0</v>
      </c>
      <c r="E61" s="1">
        <f>SUM([1]Art1!E61+[1]Art2!E61+[1]Art3!E61+[1]Art4!E61+[1]Art5!E61+[1]Art6!E61+[1]Art7!E61+[1]Art8!E61+[1]Art9!E61+[1]Art10!E61+[1]Art11!E61+[1]Art12!E61+[1]Art13!E61+[1]Art14!E61+[1]Art15!E61+[1]Art16!E61+[1]Art17!E61+[1]Art18!E61+[1]Art19!E61+[1]Art20!E61+[1]Art21!E61+[1]Art22!E61+[1]Art23!E61+[1]Art24!E61+[1]Art25!E61+[1]Art26!E61+[1]Art27!E61+[1]Art28!E61+[1]Art29!E61+[1]Art30!E61+[1]Art31!E61+[1]Art32!E61+[1]Art33!E61+[1]Art34!E61+[1]Art35!E61+[1]Art36!E61+[1]Art37!E61+[1]Art38!E61+[1]ArtT1!E61+[1]ArtT2!E61)</f>
        <v>18</v>
      </c>
      <c r="F61" s="1">
        <f>SUM([1]Art1!F61+[1]Art2!F61+[1]Art3!F61+[1]Art4!F61+[1]Art5!F61+[1]Art6!F61+[1]Art7!F61+[1]Art8!F61+[1]Art9!F61+[1]Art10!F61+[1]Art11!F61+[1]Art12!F61+[1]Art13!F61+[1]Art14!F61+[1]Art15!F61+[1]Art16!F61+[1]Art17!F61+[1]Art18!F61+[1]Art19!F61+[1]Art20!F61+[1]Art21!F61+[1]Art22!F61+[1]Art23!F61+[1]Art24!F61+[1]Art25!F61+[1]Art26!F61+[1]Art27!F61+[1]Art28!F61+[1]Art29!F61+[1]Art30!F61+[1]Art31!F61+[1]Art32!F61+[1]Art33!F61+[1]Art34!F61+[1]Art35!F61+[1]Art36!F61+[1]Art37!F61+[1]Art38!F61+[1]ArtT1!F61+[1]ArtT2!F61)</f>
        <v>0</v>
      </c>
      <c r="H61" s="4"/>
      <c r="I61" s="4"/>
      <c r="J61" s="4"/>
      <c r="K61" s="4"/>
    </row>
    <row r="62" spans="1:11" ht="12.75" customHeight="1" x14ac:dyDescent="0.3">
      <c r="A62" s="1" t="s">
        <v>90</v>
      </c>
      <c r="B62" s="1" t="s">
        <v>19</v>
      </c>
      <c r="C62" s="1">
        <f>SUM([1]Art1!C62+[1]Art2!C62+[1]Art3!C62+[1]Art4!C62+[1]Art5!C62+[1]Art6!C62+[1]Art7!C62+[1]Art8!C62+[1]Art9!C62+[1]Art10!C62+[1]Art11!C62+[1]Art12!C62+[1]Art13!C62+[1]Art14!C62+[1]Art15!C62+[1]Art16!C62+[1]Art17!C62+[1]Art18!C62+[1]Art19!C62+[1]Art20!C62+[1]Art21!C62+[1]Art22!C62+[1]Art23!C62+[1]Art24!C62+[1]Art25!C62+[1]Art26!C62+[1]Art27!C62+[1]Art28!C62+[1]Art29!C62+[1]Art30!C62+[1]Art31!C62+[1]Art32!C62+[1]Art33!C62+[1]Art34!C62+[1]Art35!C62+[1]Art36!C62+[1]Art37!C62+[1]Art38!C62+[1]ArtT1!C62+[1]ArtT2!C62)</f>
        <v>38</v>
      </c>
      <c r="D62" s="1">
        <f>SUM([1]Art1!D62+[1]Art2!D62+[1]Art3!D62+[1]Art4!D62+[1]Art5!D62+[1]Art6!D62+[1]Art7!D62+[1]Art8!D62+[1]Art9!D62+[1]Art10!D62+[1]Art11!D62+[1]Art12!D62+[1]Art13!D62+[1]Art14!D62+[1]Art15!D62+[1]Art16!D62+[1]Art17!D62+[1]Art18!D62+[1]Art19!D62+[1]Art20!D62+[1]Art21!D62+[1]Art22!D62+[1]Art23!D62+[1]Art24!D62+[1]Art25!D62+[1]Art26!D62+[1]Art27!D62+[1]Art28!D62+[1]Art29!D62+[1]Art30!D62+[1]Art31!D62+[1]Art32!D62+[1]Art33!D62+[1]Art34!D62+[1]Art35!D62+[1]Art36!D62+[1]Art37!D62+[1]Art38!D62+[1]ArtT1!D62+[1]ArtT2!D62)</f>
        <v>1</v>
      </c>
      <c r="E62" s="1">
        <f>SUM([1]Art1!E62+[1]Art2!E62+[1]Art3!E62+[1]Art4!E62+[1]Art5!E62+[1]Art6!E62+[1]Art7!E62+[1]Art8!E62+[1]Art9!E62+[1]Art10!E62+[1]Art11!E62+[1]Art12!E62+[1]Art13!E62+[1]Art14!E62+[1]Art15!E62+[1]Art16!E62+[1]Art17!E62+[1]Art18!E62+[1]Art19!E62+[1]Art20!E62+[1]Art21!E62+[1]Art22!E62+[1]Art23!E62+[1]Art24!E62+[1]Art25!E62+[1]Art26!E62+[1]Art27!E62+[1]Art28!E62+[1]Art29!E62+[1]Art30!E62+[1]Art31!E62+[1]Art32!E62+[1]Art33!E62+[1]Art34!E62+[1]Art35!E62+[1]Art36!E62+[1]Art37!E62+[1]Art38!E62+[1]ArtT1!E62+[1]ArtT2!E62)</f>
        <v>1</v>
      </c>
      <c r="F62" s="1">
        <f>SUM([1]Art1!F62+[1]Art2!F62+[1]Art3!F62+[1]Art4!F62+[1]Art5!F62+[1]Art6!F62+[1]Art7!F62+[1]Art8!F62+[1]Art9!F62+[1]Art10!F62+[1]Art11!F62+[1]Art12!F62+[1]Art13!F62+[1]Art14!F62+[1]Art15!F62+[1]Art16!F62+[1]Art17!F62+[1]Art18!F62+[1]Art19!F62+[1]Art20!F62+[1]Art21!F62+[1]Art22!F62+[1]Art23!F62+[1]Art24!F62+[1]Art25!F62+[1]Art26!F62+[1]Art27!F62+[1]Art28!F62+[1]Art29!F62+[1]Art30!F62+[1]Art31!F62+[1]Art32!F62+[1]Art33!F62+[1]Art34!F62+[1]Art35!F62+[1]Art36!F62+[1]Art37!F62+[1]Art38!F62+[1]ArtT1!F62+[1]ArtT2!F62)</f>
        <v>0</v>
      </c>
      <c r="H62" s="4"/>
      <c r="I62" s="4"/>
      <c r="J62" s="4"/>
      <c r="K62" s="4"/>
    </row>
    <row r="63" spans="1:11" ht="12.75" customHeight="1" x14ac:dyDescent="0.3">
      <c r="A63" s="1" t="s">
        <v>91</v>
      </c>
      <c r="B63" s="1" t="s">
        <v>21</v>
      </c>
      <c r="C63" s="1">
        <f>SUM([1]Art1!C63+[1]Art2!C63+[1]Art3!C63+[1]Art4!C63+[1]Art5!C63+[1]Art6!C63+[1]Art7!C63+[1]Art8!C63+[1]Art9!C63+[1]Art10!C63+[1]Art11!C63+[1]Art12!C63+[1]Art13!C63+[1]Art14!C63+[1]Art15!C63+[1]Art16!C63+[1]Art17!C63+[1]Art18!C63+[1]Art19!C63+[1]Art20!C63+[1]Art21!C63+[1]Art22!C63+[1]Art23!C63+[1]Art24!C63+[1]Art25!C63+[1]Art26!C63+[1]Art27!C63+[1]Art28!C63+[1]Art29!C63+[1]Art30!C63+[1]Art31!C63+[1]Art32!C63+[1]Art33!C63+[1]Art34!C63+[1]Art35!C63+[1]Art36!C63+[1]Art37!C63+[1]Art38!C63+[1]ArtT1!C63+[1]ArtT2!C63)</f>
        <v>0</v>
      </c>
      <c r="D63" s="1">
        <f>SUM([1]Art1!D63+[1]Art2!D63+[1]Art3!D63+[1]Art4!D63+[1]Art5!D63+[1]Art6!D63+[1]Art7!D63+[1]Art8!D63+[1]Art9!D63+[1]Art10!D63+[1]Art11!D63+[1]Art12!D63+[1]Art13!D63+[1]Art14!D63+[1]Art15!D63+[1]Art16!D63+[1]Art17!D63+[1]Art18!D63+[1]Art19!D63+[1]Art20!D63+[1]Art21!D63+[1]Art22!D63+[1]Art23!D63+[1]Art24!D63+[1]Art25!D63+[1]Art26!D63+[1]Art27!D63+[1]Art28!D63+[1]Art29!D63+[1]Art30!D63+[1]Art31!D63+[1]Art32!D63+[1]Art33!D63+[1]Art34!D63+[1]Art35!D63+[1]Art36!D63+[1]Art37!D63+[1]Art38!D63+[1]ArtT1!D63+[1]ArtT2!D63)</f>
        <v>0</v>
      </c>
      <c r="E63" s="1">
        <f>SUM([1]Art1!E63+[1]Art2!E63+[1]Art3!E63+[1]Art4!E63+[1]Art5!E63+[1]Art6!E63+[1]Art7!E63+[1]Art8!E63+[1]Art9!E63+[1]Art10!E63+[1]Art11!E63+[1]Art12!E63+[1]Art13!E63+[1]Art14!E63+[1]Art15!E63+[1]Art16!E63+[1]Art17!E63+[1]Art18!E63+[1]Art19!E63+[1]Art20!E63+[1]Art21!E63+[1]Art22!E63+[1]Art23!E63+[1]Art24!E63+[1]Art25!E63+[1]Art26!E63+[1]Art27!E63+[1]Art28!E63+[1]Art29!E63+[1]Art30!E63+[1]Art31!E63+[1]Art32!E63+[1]Art33!E63+[1]Art34!E63+[1]Art35!E63+[1]Art36!E63+[1]Art37!E63+[1]Art38!E63+[1]ArtT1!E63+[1]ArtT2!E63)</f>
        <v>1</v>
      </c>
      <c r="F63" s="1">
        <f>SUM([1]Art1!F63+[1]Art2!F63+[1]Art3!F63+[1]Art4!F63+[1]Art5!F63+[1]Art6!F63+[1]Art7!F63+[1]Art8!F63+[1]Art9!F63+[1]Art10!F63+[1]Art11!F63+[1]Art12!F63+[1]Art13!F63+[1]Art14!F63+[1]Art15!F63+[1]Art16!F63+[1]Art17!F63+[1]Art18!F63+[1]Art19!F63+[1]Art20!F63+[1]Art21!F63+[1]Art22!F63+[1]Art23!F63+[1]Art24!F63+[1]Art25!F63+[1]Art26!F63+[1]Art27!F63+[1]Art28!F63+[1]Art29!F63+[1]Art30!F63+[1]Art31!F63+[1]Art32!F63+[1]Art33!F63+[1]Art34!F63+[1]Art35!F63+[1]Art36!F63+[1]Art37!F63+[1]Art38!F63+[1]ArtT1!F63+[1]ArtT2!F63)</f>
        <v>39</v>
      </c>
      <c r="H63" s="4"/>
      <c r="I63" s="4"/>
      <c r="J63" s="4"/>
      <c r="K63" s="4"/>
    </row>
    <row r="64" spans="1:11" ht="12.75" customHeight="1" x14ac:dyDescent="0.3">
      <c r="A64" s="1" t="s">
        <v>92</v>
      </c>
      <c r="B64" s="1" t="s">
        <v>42</v>
      </c>
      <c r="C64" s="1">
        <f>SUM([1]Art1!C64+[1]Art2!C64+[1]Art3!C64+[1]Art4!C64+[1]Art5!C64+[1]Art6!C64+[1]Art7!C64+[1]Art8!C64+[1]Art9!C64+[1]Art10!C64+[1]Art11!C64+[1]Art12!C64+[1]Art13!C64+[1]Art14!C64+[1]Art15!C64+[1]Art16!C64+[1]Art17!C64+[1]Art18!C64+[1]Art19!C64+[1]Art20!C64+[1]Art21!C64+[1]Art22!C64+[1]Art23!C64+[1]Art24!C64+[1]Art25!C64+[1]Art26!C64+[1]Art27!C64+[1]Art28!C64+[1]Art29!C64+[1]Art30!C64+[1]Art31!C64+[1]Art32!C64+[1]Art33!C64+[1]Art34!C64+[1]Art35!C64+[1]Art36!C64+[1]Art37!C64+[1]Art38!C64+[1]ArtT1!C64+[1]ArtT2!C64)</f>
        <v>38</v>
      </c>
      <c r="D64" s="1">
        <f>SUM([1]Art1!D64+[1]Art2!D64+[1]Art3!D64+[1]Art4!D64+[1]Art5!D64+[1]Art6!D64+[1]Art7!D64+[1]Art8!D64+[1]Art9!D64+[1]Art10!D64+[1]Art11!D64+[1]Art12!D64+[1]Art13!D64+[1]Art14!D64+[1]Art15!D64+[1]Art16!D64+[1]Art17!D64+[1]Art18!D64+[1]Art19!D64+[1]Art20!D64+[1]Art21!D64+[1]Art22!D64+[1]Art23!D64+[1]Art24!D64+[1]Art25!D64+[1]Art26!D64+[1]Art27!D64+[1]Art28!D64+[1]Art29!D64+[1]Art30!D64+[1]Art31!D64+[1]Art32!D64+[1]Art33!D64+[1]Art34!D64+[1]Art35!D64+[1]Art36!D64+[1]Art37!D64+[1]Art38!D64+[1]ArtT1!D64+[1]ArtT2!D64)</f>
        <v>1</v>
      </c>
      <c r="E64" s="1">
        <f>SUM([1]Art1!E64+[1]Art2!E64+[1]Art3!E64+[1]Art4!E64+[1]Art5!E64+[1]Art6!E64+[1]Art7!E64+[1]Art8!E64+[1]Art9!E64+[1]Art10!E64+[1]Art11!E64+[1]Art12!E64+[1]Art13!E64+[1]Art14!E64+[1]Art15!E64+[1]Art16!E64+[1]Art17!E64+[1]Art18!E64+[1]Art19!E64+[1]Art20!E64+[1]Art21!E64+[1]Art22!E64+[1]Art23!E64+[1]Art24!E64+[1]Art25!E64+[1]Art26!E64+[1]Art27!E64+[1]Art28!E64+[1]Art29!E64+[1]Art30!E64+[1]Art31!E64+[1]Art32!E64+[1]Art33!E64+[1]Art34!E64+[1]Art35!E64+[1]Art36!E64+[1]Art37!E64+[1]Art38!E64+[1]ArtT1!E64+[1]ArtT2!E64)</f>
        <v>1</v>
      </c>
      <c r="F64" s="1">
        <f>SUM([1]Art1!F64+[1]Art2!F64+[1]Art3!F64+[1]Art4!F64+[1]Art5!F64+[1]Art6!F64+[1]Art7!F64+[1]Art8!F64+[1]Art9!F64+[1]Art10!F64+[1]Art11!F64+[1]Art12!F64+[1]Art13!F64+[1]Art14!F64+[1]Art15!F64+[1]Art16!F64+[1]Art17!F64+[1]Art18!F64+[1]Art19!F64+[1]Art20!F64+[1]Art21!F64+[1]Art22!F64+[1]Art23!F64+[1]Art24!F64+[1]Art25!F64+[1]Art26!F64+[1]Art27!F64+[1]Art28!F64+[1]Art29!F64+[1]Art30!F64+[1]Art31!F64+[1]Art32!F64+[1]Art33!F64+[1]Art34!F64+[1]Art35!F64+[1]Art36!F64+[1]Art37!F64+[1]Art38!F64+[1]ArtT1!F64+[1]ArtT2!F64)</f>
        <v>0</v>
      </c>
      <c r="H64" s="4"/>
      <c r="I64" s="4"/>
      <c r="J64" s="4"/>
      <c r="K64" s="4"/>
    </row>
    <row r="65" spans="1:11" ht="12.75" customHeight="1" x14ac:dyDescent="0.3">
      <c r="A65" s="1" t="s">
        <v>93</v>
      </c>
      <c r="B65" s="1" t="s">
        <v>14</v>
      </c>
      <c r="C65" s="1">
        <f>SUM([1]Art1!C65+[1]Art2!C65+[1]Art3!C65+[1]Art4!C65+[1]Art5!C65+[1]Art6!C65+[1]Art7!C65+[1]Art8!C65+[1]Art9!C65+[1]Art10!C65+[1]Art11!C65+[1]Art12!C65+[1]Art13!C65+[1]Art14!C65+[1]Art15!C65+[1]Art16!C65+[1]Art17!C65+[1]Art18!C65+[1]Art19!C65+[1]Art20!C65+[1]Art21!C65+[1]Art22!C65+[1]Art23!C65+[1]Art24!C65+[1]Art25!C65+[1]Art26!C65+[1]Art27!C65+[1]Art28!C65+[1]Art29!C65+[1]Art30!C65+[1]Art31!C65+[1]Art32!C65+[1]Art33!C65+[1]Art34!C65+[1]Art35!C65+[1]Art36!C65+[1]Art37!C65+[1]Art38!C65+[1]ArtT1!C65+[1]ArtT2!C65)</f>
        <v>38</v>
      </c>
      <c r="D65" s="1">
        <f>SUM([1]Art1!D65+[1]Art2!D65+[1]Art3!D65+[1]Art4!D65+[1]Art5!D65+[1]Art6!D65+[1]Art7!D65+[1]Art8!D65+[1]Art9!D65+[1]Art10!D65+[1]Art11!D65+[1]Art12!D65+[1]Art13!D65+[1]Art14!D65+[1]Art15!D65+[1]Art16!D65+[1]Art17!D65+[1]Art18!D65+[1]Art19!D65+[1]Art20!D65+[1]Art21!D65+[1]Art22!D65+[1]Art23!D65+[1]Art24!D65+[1]Art25!D65+[1]Art26!D65+[1]Art27!D65+[1]Art28!D65+[1]Art29!D65+[1]Art30!D65+[1]Art31!D65+[1]Art32!D65+[1]Art33!D65+[1]Art34!D65+[1]Art35!D65+[1]Art36!D65+[1]Art37!D65+[1]Art38!D65+[1]ArtT1!D65+[1]ArtT2!D65)</f>
        <v>0</v>
      </c>
      <c r="E65" s="1">
        <f>SUM([1]Art1!E65+[1]Art2!E65+[1]Art3!E65+[1]Art4!E65+[1]Art5!E65+[1]Art6!E65+[1]Art7!E65+[1]Art8!E65+[1]Art9!E65+[1]Art10!E65+[1]Art11!E65+[1]Art12!E65+[1]Art13!E65+[1]Art14!E65+[1]Art15!E65+[1]Art16!E65+[1]Art17!E65+[1]Art18!E65+[1]Art19!E65+[1]Art20!E65+[1]Art21!E65+[1]Art22!E65+[1]Art23!E65+[1]Art24!E65+[1]Art25!E65+[1]Art26!E65+[1]Art27!E65+[1]Art28!E65+[1]Art29!E65+[1]Art30!E65+[1]Art31!E65+[1]Art32!E65+[1]Art33!E65+[1]Art34!E65+[1]Art35!E65+[1]Art36!E65+[1]Art37!E65+[1]Art38!E65+[1]ArtT1!E65+[1]ArtT2!E65)</f>
        <v>2</v>
      </c>
      <c r="F65" s="1">
        <f>SUM([1]Art1!F65+[1]Art2!F65+[1]Art3!F65+[1]Art4!F65+[1]Art5!F65+[1]Art6!F65+[1]Art7!F65+[1]Art8!F65+[1]Art9!F65+[1]Art10!F65+[1]Art11!F65+[1]Art12!F65+[1]Art13!F65+[1]Art14!F65+[1]Art15!F65+[1]Art16!F65+[1]Art17!F65+[1]Art18!F65+[1]Art19!F65+[1]Art20!F65+[1]Art21!F65+[1]Art22!F65+[1]Art23!F65+[1]Art24!F65+[1]Art25!F65+[1]Art26!F65+[1]Art27!F65+[1]Art28!F65+[1]Art29!F65+[1]Art30!F65+[1]Art31!F65+[1]Art32!F65+[1]Art33!F65+[1]Art34!F65+[1]Art35!F65+[1]Art36!F65+[1]Art37!F65+[1]Art38!F65+[1]ArtT1!F65+[1]ArtT2!F65)</f>
        <v>0</v>
      </c>
      <c r="H65" s="4"/>
      <c r="I65" s="4"/>
      <c r="J65" s="4"/>
      <c r="K65" s="4"/>
    </row>
    <row r="66" spans="1:11" ht="12.75" customHeight="1" x14ac:dyDescent="0.3">
      <c r="A66" s="1" t="s">
        <v>94</v>
      </c>
      <c r="B66" s="1" t="s">
        <v>14</v>
      </c>
      <c r="C66" s="1">
        <f>SUM([1]Art1!C66+[1]Art2!C66+[1]Art3!C66+[1]Art4!C66+[1]Art5!C66+[1]Art6!C66+[1]Art7!C66+[1]Art8!C66+[1]Art9!C66+[1]Art10!C66+[1]Art11!C66+[1]Art12!C66+[1]Art13!C66+[1]Art14!C66+[1]Art15!C66+[1]Art16!C66+[1]Art17!C66+[1]Art18!C66+[1]Art19!C66+[1]Art20!C66+[1]Art21!C66+[1]Art22!C66+[1]Art23!C66+[1]Art24!C66+[1]Art25!C66+[1]Art26!C66+[1]Art27!C66+[1]Art28!C66+[1]Art29!C66+[1]Art30!C66+[1]Art31!C66+[1]Art32!C66+[1]Art33!C66+[1]Art34!C66+[1]Art35!C66+[1]Art36!C66+[1]Art37!C66+[1]Art38!C66+[1]ArtT1!C66+[1]ArtT2!C66)</f>
        <v>37</v>
      </c>
      <c r="D66" s="1">
        <f>SUM([1]Art1!D66+[1]Art2!D66+[1]Art3!D66+[1]Art4!D66+[1]Art5!D66+[1]Art6!D66+[1]Art7!D66+[1]Art8!D66+[1]Art9!D66+[1]Art10!D66+[1]Art11!D66+[1]Art12!D66+[1]Art13!D66+[1]Art14!D66+[1]Art15!D66+[1]Art16!D66+[1]Art17!D66+[1]Art18!D66+[1]Art19!D66+[1]Art20!D66+[1]Art21!D66+[1]Art22!D66+[1]Art23!D66+[1]Art24!D66+[1]Art25!D66+[1]Art26!D66+[1]Art27!D66+[1]Art28!D66+[1]Art29!D66+[1]Art30!D66+[1]Art31!D66+[1]Art32!D66+[1]Art33!D66+[1]Art34!D66+[1]Art35!D66+[1]Art36!D66+[1]Art37!D66+[1]Art38!D66+[1]ArtT1!D66+[1]ArtT2!D66)</f>
        <v>0</v>
      </c>
      <c r="E66" s="1">
        <f>SUM([1]Art1!E66+[1]Art2!E66+[1]Art3!E66+[1]Art4!E66+[1]Art5!E66+[1]Art6!E66+[1]Art7!E66+[1]Art8!E66+[1]Art9!E66+[1]Art10!E66+[1]Art11!E66+[1]Art12!E66+[1]Art13!E66+[1]Art14!E66+[1]Art15!E66+[1]Art16!E66+[1]Art17!E66+[1]Art18!E66+[1]Art19!E66+[1]Art20!E66+[1]Art21!E66+[1]Art22!E66+[1]Art23!E66+[1]Art24!E66+[1]Art25!E66+[1]Art26!E66+[1]Art27!E66+[1]Art28!E66+[1]Art29!E66+[1]Art30!E66+[1]Art31!E66+[1]Art32!E66+[1]Art33!E66+[1]Art34!E66+[1]Art35!E66+[1]Art36!E66+[1]Art37!E66+[1]Art38!E66+[1]ArtT1!E66+[1]ArtT2!E66)</f>
        <v>3</v>
      </c>
      <c r="F66" s="1">
        <f>SUM([1]Art1!F66+[1]Art2!F66+[1]Art3!F66+[1]Art4!F66+[1]Art5!F66+[1]Art6!F66+[1]Art7!F66+[1]Art8!F66+[1]Art9!F66+[1]Art10!F66+[1]Art11!F66+[1]Art12!F66+[1]Art13!F66+[1]Art14!F66+[1]Art15!F66+[1]Art16!F66+[1]Art17!F66+[1]Art18!F66+[1]Art19!F66+[1]Art20!F66+[1]Art21!F66+[1]Art22!F66+[1]Art23!F66+[1]Art24!F66+[1]Art25!F66+[1]Art26!F66+[1]Art27!F66+[1]Art28!F66+[1]Art29!F66+[1]Art30!F66+[1]Art31!F66+[1]Art32!F66+[1]Art33!F66+[1]Art34!F66+[1]Art35!F66+[1]Art36!F66+[1]Art37!F66+[1]Art38!F66+[1]ArtT1!F66+[1]ArtT2!F66)</f>
        <v>0</v>
      </c>
      <c r="H66" s="4"/>
      <c r="I66" s="4"/>
      <c r="J66" s="4"/>
      <c r="K66" s="4"/>
    </row>
    <row r="67" spans="1:11" ht="12.75" customHeight="1" x14ac:dyDescent="0.3">
      <c r="A67" s="1" t="s">
        <v>95</v>
      </c>
      <c r="B67" s="1" t="s">
        <v>38</v>
      </c>
      <c r="C67" s="1">
        <f>SUM([1]Art1!C67+[1]Art2!C67+[1]Art3!C67+[1]Art4!C67+[1]Art5!C67+[1]Art6!C67+[1]Art7!C67+[1]Art8!C67+[1]Art9!C67+[1]Art10!C67+[1]Art11!C67+[1]Art12!C67+[1]Art13!C67+[1]Art14!C67+[1]Art15!C67+[1]Art16!C67+[1]Art17!C67+[1]Art18!C67+[1]Art19!C67+[1]Art20!C67+[1]Art21!C67+[1]Art22!C67+[1]Art23!C67+[1]Art24!C67+[1]Art25!C67+[1]Art26!C67+[1]Art27!C67+[1]Art28!C67+[1]Art29!C67+[1]Art30!C67+[1]Art31!C67+[1]Art32!C67+[1]Art33!C67+[1]Art34!C67+[1]Art35!C67+[1]Art36!C67+[1]Art37!C67+[1]Art38!C67+[1]ArtT1!C67+[1]ArtT2!C67)</f>
        <v>3</v>
      </c>
      <c r="D67" s="1">
        <f>SUM([1]Art1!D67+[1]Art2!D67+[1]Art3!D67+[1]Art4!D67+[1]Art5!D67+[1]Art6!D67+[1]Art7!D67+[1]Art8!D67+[1]Art9!D67+[1]Art10!D67+[1]Art11!D67+[1]Art12!D67+[1]Art13!D67+[1]Art14!D67+[1]Art15!D67+[1]Art16!D67+[1]Art17!D67+[1]Art18!D67+[1]Art19!D67+[1]Art20!D67+[1]Art21!D67+[1]Art22!D67+[1]Art23!D67+[1]Art24!D67+[1]Art25!D67+[1]Art26!D67+[1]Art27!D67+[1]Art28!D67+[1]Art29!D67+[1]Art30!D67+[1]Art31!D67+[1]Art32!D67+[1]Art33!D67+[1]Art34!D67+[1]Art35!D67+[1]Art36!D67+[1]Art37!D67+[1]Art38!D67+[1]ArtT1!D67+[1]ArtT2!D67)</f>
        <v>33</v>
      </c>
      <c r="E67" s="1">
        <f>SUM([1]Art1!E67+[1]Art2!E67+[1]Art3!E67+[1]Art4!E67+[1]Art5!E67+[1]Art6!E67+[1]Art7!E67+[1]Art8!E67+[1]Art9!E67+[1]Art10!E67+[1]Art11!E67+[1]Art12!E67+[1]Art13!E67+[1]Art14!E67+[1]Art15!E67+[1]Art16!E67+[1]Art17!E67+[1]Art18!E67+[1]Art19!E67+[1]Art20!E67+[1]Art21!E67+[1]Art22!E67+[1]Art23!E67+[1]Art24!E67+[1]Art25!E67+[1]Art26!E67+[1]Art27!E67+[1]Art28!E67+[1]Art29!E67+[1]Art30!E67+[1]Art31!E67+[1]Art32!E67+[1]Art33!E67+[1]Art34!E67+[1]Art35!E67+[1]Art36!E67+[1]Art37!E67+[1]Art38!E67+[1]ArtT1!E67+[1]ArtT2!E67)</f>
        <v>3</v>
      </c>
      <c r="F67" s="1">
        <f>SUM([1]Art1!F67+[1]Art2!F67+[1]Art3!F67+[1]Art4!F67+[1]Art5!F67+[1]Art6!F67+[1]Art7!F67+[1]Art8!F67+[1]Art9!F67+[1]Art10!F67+[1]Art11!F67+[1]Art12!F67+[1]Art13!F67+[1]Art14!F67+[1]Art15!F67+[1]Art16!F67+[1]Art17!F67+[1]Art18!F67+[1]Art19!F67+[1]Art20!F67+[1]Art21!F67+[1]Art22!F67+[1]Art23!F67+[1]Art24!F67+[1]Art25!F67+[1]Art26!F67+[1]Art27!F67+[1]Art28!F67+[1]Art29!F67+[1]Art30!F67+[1]Art31!F67+[1]Art32!F67+[1]Art33!F67+[1]Art34!F67+[1]Art35!F67+[1]Art36!F67+[1]Art37!F67+[1]Art38!F67+[1]ArtT1!F67+[1]ArtT2!F67)</f>
        <v>1</v>
      </c>
      <c r="H67" s="4"/>
      <c r="I67" s="4"/>
      <c r="J67" s="4"/>
      <c r="K67" s="4"/>
    </row>
    <row r="68" spans="1:11" ht="12.75" customHeight="1" x14ac:dyDescent="0.3">
      <c r="A68" s="1" t="s">
        <v>96</v>
      </c>
      <c r="B68" s="1" t="s">
        <v>19</v>
      </c>
      <c r="C68" s="1">
        <f>SUM([1]Art1!C68+[1]Art2!C68+[1]Art3!C68+[1]Art4!C68+[1]Art5!C68+[1]Art6!C68+[1]Art7!C68+[1]Art8!C68+[1]Art9!C68+[1]Art10!C68+[1]Art11!C68+[1]Art12!C68+[1]Art13!C68+[1]Art14!C68+[1]Art15!C68+[1]Art16!C68+[1]Art17!C68+[1]Art18!C68+[1]Art19!C68+[1]Art20!C68+[1]Art21!C68+[1]Art22!C68+[1]Art23!C68+[1]Art24!C68+[1]Art25!C68+[1]Art26!C68+[1]Art27!C68+[1]Art28!C68+[1]Art29!C68+[1]Art30!C68+[1]Art31!C68+[1]Art32!C68+[1]Art33!C68+[1]Art34!C68+[1]Art35!C68+[1]Art36!C68+[1]Art37!C68+[1]Art38!C68+[1]ArtT1!C68+[1]ArtT2!C68)</f>
        <v>40</v>
      </c>
      <c r="D68" s="1">
        <f>SUM([1]Art1!D68+[1]Art2!D68+[1]Art3!D68+[1]Art4!D68+[1]Art5!D68+[1]Art6!D68+[1]Art7!D68+[1]Art8!D68+[1]Art9!D68+[1]Art10!D68+[1]Art11!D68+[1]Art12!D68+[1]Art13!D68+[1]Art14!D68+[1]Art15!D68+[1]Art16!D68+[1]Art17!D68+[1]Art18!D68+[1]Art19!D68+[1]Art20!D68+[1]Art21!D68+[1]Art22!D68+[1]Art23!D68+[1]Art24!D68+[1]Art25!D68+[1]Art26!D68+[1]Art27!D68+[1]Art28!D68+[1]Art29!D68+[1]Art30!D68+[1]Art31!D68+[1]Art32!D68+[1]Art33!D68+[1]Art34!D68+[1]Art35!D68+[1]Art36!D68+[1]Art37!D68+[1]Art38!D68+[1]ArtT1!D68+[1]ArtT2!D68)</f>
        <v>0</v>
      </c>
      <c r="E68" s="1">
        <f>SUM([1]Art1!E68+[1]Art2!E68+[1]Art3!E68+[1]Art4!E68+[1]Art5!E68+[1]Art6!E68+[1]Art7!E68+[1]Art8!E68+[1]Art9!E68+[1]Art10!E68+[1]Art11!E68+[1]Art12!E68+[1]Art13!E68+[1]Art14!E68+[1]Art15!E68+[1]Art16!E68+[1]Art17!E68+[1]Art18!E68+[1]Art19!E68+[1]Art20!E68+[1]Art21!E68+[1]Art22!E68+[1]Art23!E68+[1]Art24!E68+[1]Art25!E68+[1]Art26!E68+[1]Art27!E68+[1]Art28!E68+[1]Art29!E68+[1]Art30!E68+[1]Art31!E68+[1]Art32!E68+[1]Art33!E68+[1]Art34!E68+[1]Art35!E68+[1]Art36!E68+[1]Art37!E68+[1]Art38!E68+[1]ArtT1!E68+[1]ArtT2!E68)</f>
        <v>0</v>
      </c>
      <c r="F68" s="1">
        <f>SUM([1]Art1!F68+[1]Art2!F68+[1]Art3!F68+[1]Art4!F68+[1]Art5!F68+[1]Art6!F68+[1]Art7!F68+[1]Art8!F68+[1]Art9!F68+[1]Art10!F68+[1]Art11!F68+[1]Art12!F68+[1]Art13!F68+[1]Art14!F68+[1]Art15!F68+[1]Art16!F68+[1]Art17!F68+[1]Art18!F68+[1]Art19!F68+[1]Art20!F68+[1]Art21!F68+[1]Art22!F68+[1]Art23!F68+[1]Art24!F68+[1]Art25!F68+[1]Art26!F68+[1]Art27!F68+[1]Art28!F68+[1]Art29!F68+[1]Art30!F68+[1]Art31!F68+[1]Art32!F68+[1]Art33!F68+[1]Art34!F68+[1]Art35!F68+[1]Art36!F68+[1]Art37!F68+[1]Art38!F68+[1]ArtT1!F68+[1]ArtT2!F68)</f>
        <v>0</v>
      </c>
      <c r="H68" s="4"/>
      <c r="I68" s="4"/>
      <c r="J68" s="4"/>
      <c r="K68" s="4"/>
    </row>
    <row r="69" spans="1:11" ht="12.75" customHeight="1" x14ac:dyDescent="0.3">
      <c r="A69" s="1" t="s">
        <v>97</v>
      </c>
      <c r="B69" s="1" t="s">
        <v>24</v>
      </c>
      <c r="C69" s="1">
        <f>SUM([1]Art1!C69+[1]Art2!C69+[1]Art3!C69+[1]Art4!C69+[1]Art5!C69+[1]Art6!C69+[1]Art7!C69+[1]Art8!C69+[1]Art9!C69+[1]Art10!C69+[1]Art11!C69+[1]Art12!C69+[1]Art13!C69+[1]Art14!C69+[1]Art15!C69+[1]Art16!C69+[1]Art17!C69+[1]Art18!C69+[1]Art19!C69+[1]Art20!C69+[1]Art21!C69+[1]Art22!C69+[1]Art23!C69+[1]Art24!C69+[1]Art25!C69+[1]Art26!C69+[1]Art27!C69+[1]Art28!C69+[1]Art29!C69+[1]Art30!C69+[1]Art31!C69+[1]Art32!C69+[1]Art33!C69+[1]Art34!C69+[1]Art35!C69+[1]Art36!C69+[1]Art37!C69+[1]Art38!C69+[1]ArtT1!C69+[1]ArtT2!C69)</f>
        <v>32</v>
      </c>
      <c r="D69" s="1">
        <f>SUM([1]Art1!D69+[1]Art2!D69+[1]Art3!D69+[1]Art4!D69+[1]Art5!D69+[1]Art6!D69+[1]Art7!D69+[1]Art8!D69+[1]Art9!D69+[1]Art10!D69+[1]Art11!D69+[1]Art12!D69+[1]Art13!D69+[1]Art14!D69+[1]Art15!D69+[1]Art16!D69+[1]Art17!D69+[1]Art18!D69+[1]Art19!D69+[1]Art20!D69+[1]Art21!D69+[1]Art22!D69+[1]Art23!D69+[1]Art24!D69+[1]Art25!D69+[1]Art26!D69+[1]Art27!D69+[1]Art28!D69+[1]Art29!D69+[1]Art30!D69+[1]Art31!D69+[1]Art32!D69+[1]Art33!D69+[1]Art34!D69+[1]Art35!D69+[1]Art36!D69+[1]Art37!D69+[1]Art38!D69+[1]ArtT1!D69+[1]ArtT2!D69)</f>
        <v>7</v>
      </c>
      <c r="E69" s="1">
        <f>SUM([1]Art1!E69+[1]Art2!E69+[1]Art3!E69+[1]Art4!E69+[1]Art5!E69+[1]Art6!E69+[1]Art7!E69+[1]Art8!E69+[1]Art9!E69+[1]Art10!E69+[1]Art11!E69+[1]Art12!E69+[1]Art13!E69+[1]Art14!E69+[1]Art15!E69+[1]Art16!E69+[1]Art17!E69+[1]Art18!E69+[1]Art19!E69+[1]Art20!E69+[1]Art21!E69+[1]Art22!E69+[1]Art23!E69+[1]Art24!E69+[1]Art25!E69+[1]Art26!E69+[1]Art27!E69+[1]Art28!E69+[1]Art29!E69+[1]Art30!E69+[1]Art31!E69+[1]Art32!E69+[1]Art33!E69+[1]Art34!E69+[1]Art35!E69+[1]Art36!E69+[1]Art37!E69+[1]Art38!E69+[1]ArtT1!E69+[1]ArtT2!E69)</f>
        <v>1</v>
      </c>
      <c r="F69" s="1">
        <f>SUM([1]Art1!F69+[1]Art2!F69+[1]Art3!F69+[1]Art4!F69+[1]Art5!F69+[1]Art6!F69+[1]Art7!F69+[1]Art8!F69+[1]Art9!F69+[1]Art10!F69+[1]Art11!F69+[1]Art12!F69+[1]Art13!F69+[1]Art14!F69+[1]Art15!F69+[1]Art16!F69+[1]Art17!F69+[1]Art18!F69+[1]Art19!F69+[1]Art20!F69+[1]Art21!F69+[1]Art22!F69+[1]Art23!F69+[1]Art24!F69+[1]Art25!F69+[1]Art26!F69+[1]Art27!F69+[1]Art28!F69+[1]Art29!F69+[1]Art30!F69+[1]Art31!F69+[1]Art32!F69+[1]Art33!F69+[1]Art34!F69+[1]Art35!F69+[1]Art36!F69+[1]Art37!F69+[1]Art38!F69+[1]ArtT1!F69+[1]ArtT2!F69)</f>
        <v>0</v>
      </c>
      <c r="H69" s="4"/>
      <c r="I69" s="4"/>
      <c r="J69" s="4"/>
      <c r="K69" s="4"/>
    </row>
    <row r="70" spans="1:11" ht="12.75" customHeight="1" x14ac:dyDescent="0.3">
      <c r="A70" s="1" t="s">
        <v>98</v>
      </c>
      <c r="B70" s="1" t="s">
        <v>30</v>
      </c>
      <c r="C70" s="1">
        <f>SUM([1]Art1!C70+[1]Art2!C70+[1]Art3!C70+[1]Art4!C70+[1]Art5!C70+[1]Art6!C70+[1]Art7!C70+[1]Art8!C70+[1]Art9!C70+[1]Art10!C70+[1]Art11!C70+[1]Art12!C70+[1]Art13!C70+[1]Art14!C70+[1]Art15!C70+[1]Art16!C70+[1]Art17!C70+[1]Art18!C70+[1]Art19!C70+[1]Art20!C70+[1]Art21!C70+[1]Art22!C70+[1]Art23!C70+[1]Art24!C70+[1]Art25!C70+[1]Art26!C70+[1]Art27!C70+[1]Art28!C70+[1]Art29!C70+[1]Art30!C70+[1]Art31!C70+[1]Art32!C70+[1]Art33!C70+[1]Art34!C70+[1]Art35!C70+[1]Art36!C70+[1]Art37!C70+[1]Art38!C70+[1]ArtT1!C70+[1]ArtT2!C70)</f>
        <v>0</v>
      </c>
      <c r="D70" s="1">
        <f>SUM([1]Art1!D70+[1]Art2!D70+[1]Art3!D70+[1]Art4!D70+[1]Art5!D70+[1]Art6!D70+[1]Art7!D70+[1]Art8!D70+[1]Art9!D70+[1]Art10!D70+[1]Art11!D70+[1]Art12!D70+[1]Art13!D70+[1]Art14!D70+[1]Art15!D70+[1]Art16!D70+[1]Art17!D70+[1]Art18!D70+[1]Art19!D70+[1]Art20!D70+[1]Art21!D70+[1]Art22!D70+[1]Art23!D70+[1]Art24!D70+[1]Art25!D70+[1]Art26!D70+[1]Art27!D70+[1]Art28!D70+[1]Art29!D70+[1]Art30!D70+[1]Art31!D70+[1]Art32!D70+[1]Art33!D70+[1]Art34!D70+[1]Art35!D70+[1]Art36!D70+[1]Art37!D70+[1]Art38!D70+[1]ArtT1!D70+[1]ArtT2!D70)</f>
        <v>33</v>
      </c>
      <c r="E70" s="1">
        <f>SUM([1]Art1!E70+[1]Art2!E70+[1]Art3!E70+[1]Art4!E70+[1]Art5!E70+[1]Art6!E70+[1]Art7!E70+[1]Art8!E70+[1]Art9!E70+[1]Art10!E70+[1]Art11!E70+[1]Art12!E70+[1]Art13!E70+[1]Art14!E70+[1]Art15!E70+[1]Art16!E70+[1]Art17!E70+[1]Art18!E70+[1]Art19!E70+[1]Art20!E70+[1]Art21!E70+[1]Art22!E70+[1]Art23!E70+[1]Art24!E70+[1]Art25!E70+[1]Art26!E70+[1]Art27!E70+[1]Art28!E70+[1]Art29!E70+[1]Art30!E70+[1]Art31!E70+[1]Art32!E70+[1]Art33!E70+[1]Art34!E70+[1]Art35!E70+[1]Art36!E70+[1]Art37!E70+[1]Art38!E70+[1]ArtT1!E70+[1]ArtT2!E70)</f>
        <v>7</v>
      </c>
      <c r="F70" s="1">
        <f>SUM([1]Art1!F70+[1]Art2!F70+[1]Art3!F70+[1]Art4!F70+[1]Art5!F70+[1]Art6!F70+[1]Art7!F70+[1]Art8!F70+[1]Art9!F70+[1]Art10!F70+[1]Art11!F70+[1]Art12!F70+[1]Art13!F70+[1]Art14!F70+[1]Art15!F70+[1]Art16!F70+[1]Art17!F70+[1]Art18!F70+[1]Art19!F70+[1]Art20!F70+[1]Art21!F70+[1]Art22!F70+[1]Art23!F70+[1]Art24!F70+[1]Art25!F70+[1]Art26!F70+[1]Art27!F70+[1]Art28!F70+[1]Art29!F70+[1]Art30!F70+[1]Art31!F70+[1]Art32!F70+[1]Art33!F70+[1]Art34!F70+[1]Art35!F70+[1]Art36!F70+[1]Art37!F70+[1]Art38!F70+[1]ArtT1!F70+[1]ArtT2!F70)</f>
        <v>0</v>
      </c>
      <c r="H70" s="4"/>
      <c r="I70" s="4"/>
      <c r="J70" s="4"/>
      <c r="K70" s="4"/>
    </row>
    <row r="71" spans="1:11" ht="12.75" customHeight="1" x14ac:dyDescent="0.3">
      <c r="A71" s="1" t="s">
        <v>99</v>
      </c>
      <c r="B71" s="1" t="s">
        <v>30</v>
      </c>
      <c r="C71" s="1">
        <f>SUM([1]Art1!C71+[1]Art2!C71+[1]Art3!C71+[1]Art4!C71+[1]Art5!C71+[1]Art6!C71+[1]Art7!C71+[1]Art8!C71+[1]Art9!C71+[1]Art10!C71+[1]Art11!C71+[1]Art12!C71+[1]Art13!C71+[1]Art14!C71+[1]Art15!C71+[1]Art16!C71+[1]Art17!C71+[1]Art18!C71+[1]Art19!C71+[1]Art20!C71+[1]Art21!C71+[1]Art22!C71+[1]Art23!C71+[1]Art24!C71+[1]Art25!C71+[1]Art26!C71+[1]Art27!C71+[1]Art28!C71+[1]Art29!C71+[1]Art30!C71+[1]Art31!C71+[1]Art32!C71+[1]Art33!C71+[1]Art34!C71+[1]Art35!C71+[1]Art36!C71+[1]Art37!C71+[1]Art38!C71+[1]ArtT1!C71+[1]ArtT2!C71)</f>
        <v>0</v>
      </c>
      <c r="D71" s="1">
        <f>SUM([1]Art1!D71+[1]Art2!D71+[1]Art3!D71+[1]Art4!D71+[1]Art5!D71+[1]Art6!D71+[1]Art7!D71+[1]Art8!D71+[1]Art9!D71+[1]Art10!D71+[1]Art11!D71+[1]Art12!D71+[1]Art13!D71+[1]Art14!D71+[1]Art15!D71+[1]Art16!D71+[1]Art17!D71+[1]Art18!D71+[1]Art19!D71+[1]Art20!D71+[1]Art21!D71+[1]Art22!D71+[1]Art23!D71+[1]Art24!D71+[1]Art25!D71+[1]Art26!D71+[1]Art27!D71+[1]Art28!D71+[1]Art29!D71+[1]Art30!D71+[1]Art31!D71+[1]Art32!D71+[1]Art33!D71+[1]Art34!D71+[1]Art35!D71+[1]Art36!D71+[1]Art37!D71+[1]Art38!D71+[1]ArtT1!D71+[1]ArtT2!D71)</f>
        <v>38</v>
      </c>
      <c r="E71" s="1">
        <f>SUM([1]Art1!E71+[1]Art2!E71+[1]Art3!E71+[1]Art4!E71+[1]Art5!E71+[1]Art6!E71+[1]Art7!E71+[1]Art8!E71+[1]Art9!E71+[1]Art10!E71+[1]Art11!E71+[1]Art12!E71+[1]Art13!E71+[1]Art14!E71+[1]Art15!E71+[1]Art16!E71+[1]Art17!E71+[1]Art18!E71+[1]Art19!E71+[1]Art20!E71+[1]Art21!E71+[1]Art22!E71+[1]Art23!E71+[1]Art24!E71+[1]Art25!E71+[1]Art26!E71+[1]Art27!E71+[1]Art28!E71+[1]Art29!E71+[1]Art30!E71+[1]Art31!E71+[1]Art32!E71+[1]Art33!E71+[1]Art34!E71+[1]Art35!E71+[1]Art36!E71+[1]Art37!E71+[1]Art38!E71+[1]ArtT1!E71+[1]ArtT2!E71)</f>
        <v>2</v>
      </c>
      <c r="F71" s="1">
        <f>SUM([1]Art1!F71+[1]Art2!F71+[1]Art3!F71+[1]Art4!F71+[1]Art5!F71+[1]Art6!F71+[1]Art7!F71+[1]Art8!F71+[1]Art9!F71+[1]Art10!F71+[1]Art11!F71+[1]Art12!F71+[1]Art13!F71+[1]Art14!F71+[1]Art15!F71+[1]Art16!F71+[1]Art17!F71+[1]Art18!F71+[1]Art19!F71+[1]Art20!F71+[1]Art21!F71+[1]Art22!F71+[1]Art23!F71+[1]Art24!F71+[1]Art25!F71+[1]Art26!F71+[1]Art27!F71+[1]Art28!F71+[1]Art29!F71+[1]Art30!F71+[1]Art31!F71+[1]Art32!F71+[1]Art33!F71+[1]Art34!F71+[1]Art35!F71+[1]Art36!F71+[1]Art37!F71+[1]Art38!F71+[1]ArtT1!F71+[1]ArtT2!F71)</f>
        <v>0</v>
      </c>
      <c r="H71" s="4"/>
      <c r="I71" s="4"/>
      <c r="J71" s="4"/>
      <c r="K71" s="4"/>
    </row>
    <row r="72" spans="1:11" ht="12.75" customHeight="1" x14ac:dyDescent="0.3">
      <c r="A72" s="1" t="s">
        <v>100</v>
      </c>
      <c r="B72" s="1" t="s">
        <v>27</v>
      </c>
      <c r="C72" s="1">
        <f>SUM([1]Art1!C72+[1]Art2!C72+[1]Art3!C72+[1]Art4!C72+[1]Art5!C72+[1]Art6!C72+[1]Art7!C72+[1]Art8!C72+[1]Art9!C72+[1]Art10!C72+[1]Art11!C72+[1]Art12!C72+[1]Art13!C72+[1]Art14!C72+[1]Art15!C72+[1]Art16!C72+[1]Art17!C72+[1]Art18!C72+[1]Art19!C72+[1]Art20!C72+[1]Art21!C72+[1]Art22!C72+[1]Art23!C72+[1]Art24!C72+[1]Art25!C72+[1]Art26!C72+[1]Art27!C72+[1]Art28!C72+[1]Art29!C72+[1]Art30!C72+[1]Art31!C72+[1]Art32!C72+[1]Art33!C72+[1]Art34!C72+[1]Art35!C72+[1]Art36!C72+[1]Art37!C72+[1]Art38!C72+[1]ArtT1!C72+[1]ArtT2!C72)</f>
        <v>5</v>
      </c>
      <c r="D72" s="1">
        <f>SUM([1]Art1!D72+[1]Art2!D72+[1]Art3!D72+[1]Art4!D72+[1]Art5!D72+[1]Art6!D72+[1]Art7!D72+[1]Art8!D72+[1]Art9!D72+[1]Art10!D72+[1]Art11!D72+[1]Art12!D72+[1]Art13!D72+[1]Art14!D72+[1]Art15!D72+[1]Art16!D72+[1]Art17!D72+[1]Art18!D72+[1]Art19!D72+[1]Art20!D72+[1]Art21!D72+[1]Art22!D72+[1]Art23!D72+[1]Art24!D72+[1]Art25!D72+[1]Art26!D72+[1]Art27!D72+[1]Art28!D72+[1]Art29!D72+[1]Art30!D72+[1]Art31!D72+[1]Art32!D72+[1]Art33!D72+[1]Art34!D72+[1]Art35!D72+[1]Art36!D72+[1]Art37!D72+[1]Art38!D72+[1]ArtT1!D72+[1]ArtT2!D72)</f>
        <v>32</v>
      </c>
      <c r="E72" s="1">
        <f>SUM([1]Art1!E72+[1]Art2!E72+[1]Art3!E72+[1]Art4!E72+[1]Art5!E72+[1]Art6!E72+[1]Art7!E72+[1]Art8!E72+[1]Art9!E72+[1]Art10!E72+[1]Art11!E72+[1]Art12!E72+[1]Art13!E72+[1]Art14!E72+[1]Art15!E72+[1]Art16!E72+[1]Art17!E72+[1]Art18!E72+[1]Art19!E72+[1]Art20!E72+[1]Art21!E72+[1]Art22!E72+[1]Art23!E72+[1]Art24!E72+[1]Art25!E72+[1]Art26!E72+[1]Art27!E72+[1]Art28!E72+[1]Art29!E72+[1]Art30!E72+[1]Art31!E72+[1]Art32!E72+[1]Art33!E72+[1]Art34!E72+[1]Art35!E72+[1]Art36!E72+[1]Art37!E72+[1]Art38!E72+[1]ArtT1!E72+[1]ArtT2!E72)</f>
        <v>2</v>
      </c>
      <c r="F72" s="1">
        <f>SUM([1]Art1!F72+[1]Art2!F72+[1]Art3!F72+[1]Art4!F72+[1]Art5!F72+[1]Art6!F72+[1]Art7!F72+[1]Art8!F72+[1]Art9!F72+[1]Art10!F72+[1]Art11!F72+[1]Art12!F72+[1]Art13!F72+[1]Art14!F72+[1]Art15!F72+[1]Art16!F72+[1]Art17!F72+[1]Art18!F72+[1]Art19!F72+[1]Art20!F72+[1]Art21!F72+[1]Art22!F72+[1]Art23!F72+[1]Art24!F72+[1]Art25!F72+[1]Art26!F72+[1]Art27!F72+[1]Art28!F72+[1]Art29!F72+[1]Art30!F72+[1]Art31!F72+[1]Art32!F72+[1]Art33!F72+[1]Art34!F72+[1]Art35!F72+[1]Art36!F72+[1]Art37!F72+[1]Art38!F72+[1]ArtT1!F72+[1]ArtT2!F72)</f>
        <v>1</v>
      </c>
      <c r="H72" s="4"/>
      <c r="I72" s="4"/>
      <c r="J72" s="4"/>
      <c r="K72" s="4"/>
    </row>
    <row r="73" spans="1:11" ht="12.75" customHeight="1" x14ac:dyDescent="0.3">
      <c r="A73" s="1" t="s">
        <v>101</v>
      </c>
      <c r="B73" s="1" t="s">
        <v>21</v>
      </c>
      <c r="C73" s="1">
        <f>SUM([1]Art1!C73+[1]Art2!C73+[1]Art3!C73+[1]Art4!C73+[1]Art5!C73+[1]Art6!C73+[1]Art7!C73+[1]Art8!C73+[1]Art9!C73+[1]Art10!C73+[1]Art11!C73+[1]Art12!C73+[1]Art13!C73+[1]Art14!C73+[1]Art15!C73+[1]Art16!C73+[1]Art17!C73+[1]Art18!C73+[1]Art19!C73+[1]Art20!C73+[1]Art21!C73+[1]Art22!C73+[1]Art23!C73+[1]Art24!C73+[1]Art25!C73+[1]Art26!C73+[1]Art27!C73+[1]Art28!C73+[1]Art29!C73+[1]Art30!C73+[1]Art31!C73+[1]Art32!C73+[1]Art33!C73+[1]Art34!C73+[1]Art35!C73+[1]Art36!C73+[1]Art37!C73+[1]Art38!C73+[1]ArtT1!C73+[1]ArtT2!C73)</f>
        <v>15</v>
      </c>
      <c r="D73" s="1">
        <f>SUM([1]Art1!D73+[1]Art2!D73+[1]Art3!D73+[1]Art4!D73+[1]Art5!D73+[1]Art6!D73+[1]Art7!D73+[1]Art8!D73+[1]Art9!D73+[1]Art10!D73+[1]Art11!D73+[1]Art12!D73+[1]Art13!D73+[1]Art14!D73+[1]Art15!D73+[1]Art16!D73+[1]Art17!D73+[1]Art18!D73+[1]Art19!D73+[1]Art20!D73+[1]Art21!D73+[1]Art22!D73+[1]Art23!D73+[1]Art24!D73+[1]Art25!D73+[1]Art26!D73+[1]Art27!D73+[1]Art28!D73+[1]Art29!D73+[1]Art30!D73+[1]Art31!D73+[1]Art32!D73+[1]Art33!D73+[1]Art34!D73+[1]Art35!D73+[1]Art36!D73+[1]Art37!D73+[1]Art38!D73+[1]ArtT1!D73+[1]ArtT2!D73)</f>
        <v>7</v>
      </c>
      <c r="E73" s="1">
        <f>SUM([1]Art1!E73+[1]Art2!E73+[1]Art3!E73+[1]Art4!E73+[1]Art5!E73+[1]Art6!E73+[1]Art7!E73+[1]Art8!E73+[1]Art9!E73+[1]Art10!E73+[1]Art11!E73+[1]Art12!E73+[1]Art13!E73+[1]Art14!E73+[1]Art15!E73+[1]Art16!E73+[1]Art17!E73+[1]Art18!E73+[1]Art19!E73+[1]Art20!E73+[1]Art21!E73+[1]Art22!E73+[1]Art23!E73+[1]Art24!E73+[1]Art25!E73+[1]Art26!E73+[1]Art27!E73+[1]Art28!E73+[1]Art29!E73+[1]Art30!E73+[1]Art31!E73+[1]Art32!E73+[1]Art33!E73+[1]Art34!E73+[1]Art35!E73+[1]Art36!E73+[1]Art37!E73+[1]Art38!E73+[1]ArtT1!E73+[1]ArtT2!E73)</f>
        <v>12</v>
      </c>
      <c r="F73" s="1">
        <f>SUM([1]Art1!F73+[1]Art2!F73+[1]Art3!F73+[1]Art4!F73+[1]Art5!F73+[1]Art6!F73+[1]Art7!F73+[1]Art8!F73+[1]Art9!F73+[1]Art10!F73+[1]Art11!F73+[1]Art12!F73+[1]Art13!F73+[1]Art14!F73+[1]Art15!F73+[1]Art16!F73+[1]Art17!F73+[1]Art18!F73+[1]Art19!F73+[1]Art20!F73+[1]Art21!F73+[1]Art22!F73+[1]Art23!F73+[1]Art24!F73+[1]Art25!F73+[1]Art26!F73+[1]Art27!F73+[1]Art28!F73+[1]Art29!F73+[1]Art30!F73+[1]Art31!F73+[1]Art32!F73+[1]Art33!F73+[1]Art34!F73+[1]Art35!F73+[1]Art36!F73+[1]Art37!F73+[1]Art38!F73+[1]ArtT1!F73+[1]ArtT2!F73)</f>
        <v>6</v>
      </c>
      <c r="H73" s="4"/>
      <c r="I73" s="4"/>
      <c r="J73" s="4"/>
      <c r="K73" s="4"/>
    </row>
    <row r="74" spans="1:11" ht="12.75" customHeight="1" x14ac:dyDescent="0.3">
      <c r="A74" s="1" t="s">
        <v>102</v>
      </c>
      <c r="B74" s="1" t="s">
        <v>66</v>
      </c>
      <c r="C74" s="1">
        <f>SUM([1]Art1!C74+[1]Art2!C74+[1]Art3!C74+[1]Art4!C74+[1]Art5!C74+[1]Art6!C74+[1]Art7!C74+[1]Art8!C74+[1]Art9!C74+[1]Art10!C74+[1]Art11!C74+[1]Art12!C74+[1]Art13!C74+[1]Art14!C74+[1]Art15!C74+[1]Art16!C74+[1]Art17!C74+[1]Art18!C74+[1]Art19!C74+[1]Art20!C74+[1]Art21!C74+[1]Art22!C74+[1]Art23!C74+[1]Art24!C74+[1]Art25!C74+[1]Art26!C74+[1]Art27!C74+[1]Art28!C74+[1]Art29!C74+[1]Art30!C74+[1]Art31!C74+[1]Art32!C74+[1]Art33!C74+[1]Art34!C74+[1]Art35!C74+[1]Art36!C74+[1]Art37!C74+[1]Art38!C74+[1]ArtT1!C74+[1]ArtT2!C74)</f>
        <v>0</v>
      </c>
      <c r="D74" s="1">
        <f>SUM([1]Art1!D74+[1]Art2!D74+[1]Art3!D74+[1]Art4!D74+[1]Art5!D74+[1]Art6!D74+[1]Art7!D74+[1]Art8!D74+[1]Art9!D74+[1]Art10!D74+[1]Art11!D74+[1]Art12!D74+[1]Art13!D74+[1]Art14!D74+[1]Art15!D74+[1]Art16!D74+[1]Art17!D74+[1]Art18!D74+[1]Art19!D74+[1]Art20!D74+[1]Art21!D74+[1]Art22!D74+[1]Art23!D74+[1]Art24!D74+[1]Art25!D74+[1]Art26!D74+[1]Art27!D74+[1]Art28!D74+[1]Art29!D74+[1]Art30!D74+[1]Art31!D74+[1]Art32!D74+[1]Art33!D74+[1]Art34!D74+[1]Art35!D74+[1]Art36!D74+[1]Art37!D74+[1]Art38!D74+[1]ArtT1!D74+[1]ArtT2!D74)</f>
        <v>30</v>
      </c>
      <c r="E74" s="1">
        <f>SUM([1]Art1!E74+[1]Art2!E74+[1]Art3!E74+[1]Art4!E74+[1]Art5!E74+[1]Art6!E74+[1]Art7!E74+[1]Art8!E74+[1]Art9!E74+[1]Art10!E74+[1]Art11!E74+[1]Art12!E74+[1]Art13!E74+[1]Art14!E74+[1]Art15!E74+[1]Art16!E74+[1]Art17!E74+[1]Art18!E74+[1]Art19!E74+[1]Art20!E74+[1]Art21!E74+[1]Art22!E74+[1]Art23!E74+[1]Art24!E74+[1]Art25!E74+[1]Art26!E74+[1]Art27!E74+[1]Art28!E74+[1]Art29!E74+[1]Art30!E74+[1]Art31!E74+[1]Art32!E74+[1]Art33!E74+[1]Art34!E74+[1]Art35!E74+[1]Art36!E74+[1]Art37!E74+[1]Art38!E74+[1]ArtT1!E74+[1]ArtT2!E74)</f>
        <v>10</v>
      </c>
      <c r="F74" s="1">
        <f>SUM([1]Art1!F74+[1]Art2!F74+[1]Art3!F74+[1]Art4!F74+[1]Art5!F74+[1]Art6!F74+[1]Art7!F74+[1]Art8!F74+[1]Art9!F74+[1]Art10!F74+[1]Art11!F74+[1]Art12!F74+[1]Art13!F74+[1]Art14!F74+[1]Art15!F74+[1]Art16!F74+[1]Art17!F74+[1]Art18!F74+[1]Art19!F74+[1]Art20!F74+[1]Art21!F74+[1]Art22!F74+[1]Art23!F74+[1]Art24!F74+[1]Art25!F74+[1]Art26!F74+[1]Art27!F74+[1]Art28!F74+[1]Art29!F74+[1]Art30!F74+[1]Art31!F74+[1]Art32!F74+[1]Art33!F74+[1]Art34!F74+[1]Art35!F74+[1]Art36!F74+[1]Art37!F74+[1]Art38!F74+[1]ArtT1!F74+[1]ArtT2!F74)</f>
        <v>0</v>
      </c>
      <c r="H74" s="4"/>
      <c r="I74" s="4"/>
      <c r="J74" s="4"/>
      <c r="K74" s="4"/>
    </row>
    <row r="75" spans="1:11" ht="12.75" customHeight="1" x14ac:dyDescent="0.3">
      <c r="A75" s="1" t="s">
        <v>103</v>
      </c>
      <c r="B75" s="1" t="s">
        <v>30</v>
      </c>
      <c r="C75" s="1">
        <f>SUM([1]Art1!C75+[1]Art2!C75+[1]Art3!C75+[1]Art4!C75+[1]Art5!C75+[1]Art6!C75+[1]Art7!C75+[1]Art8!C75+[1]Art9!C75+[1]Art10!C75+[1]Art11!C75+[1]Art12!C75+[1]Art13!C75+[1]Art14!C75+[1]Art15!C75+[1]Art16!C75+[1]Art17!C75+[1]Art18!C75+[1]Art19!C75+[1]Art20!C75+[1]Art21!C75+[1]Art22!C75+[1]Art23!C75+[1]Art24!C75+[1]Art25!C75+[1]Art26!C75+[1]Art27!C75+[1]Art28!C75+[1]Art29!C75+[1]Art30!C75+[1]Art31!C75+[1]Art32!C75+[1]Art33!C75+[1]Art34!C75+[1]Art35!C75+[1]Art36!C75+[1]Art37!C75+[1]Art38!C75+[1]ArtT1!C75+[1]ArtT2!C75)</f>
        <v>0</v>
      </c>
      <c r="D75" s="1">
        <f>SUM([1]Art1!D75+[1]Art2!D75+[1]Art3!D75+[1]Art4!D75+[1]Art5!D75+[1]Art6!D75+[1]Art7!D75+[1]Art8!D75+[1]Art9!D75+[1]Art10!D75+[1]Art11!D75+[1]Art12!D75+[1]Art13!D75+[1]Art14!D75+[1]Art15!D75+[1]Art16!D75+[1]Art17!D75+[1]Art18!D75+[1]Art19!D75+[1]Art20!D75+[1]Art21!D75+[1]Art22!D75+[1]Art23!D75+[1]Art24!D75+[1]Art25!D75+[1]Art26!D75+[1]Art27!D75+[1]Art28!D75+[1]Art29!D75+[1]Art30!D75+[1]Art31!D75+[1]Art32!D75+[1]Art33!D75+[1]Art34!D75+[1]Art35!D75+[1]Art36!D75+[1]Art37!D75+[1]Art38!D75+[1]ArtT1!D75+[1]ArtT2!D75)</f>
        <v>28</v>
      </c>
      <c r="E75" s="1">
        <f>SUM([1]Art1!E75+[1]Art2!E75+[1]Art3!E75+[1]Art4!E75+[1]Art5!E75+[1]Art6!E75+[1]Art7!E75+[1]Art8!E75+[1]Art9!E75+[1]Art10!E75+[1]Art11!E75+[1]Art12!E75+[1]Art13!E75+[1]Art14!E75+[1]Art15!E75+[1]Art16!E75+[1]Art17!E75+[1]Art18!E75+[1]Art19!E75+[1]Art20!E75+[1]Art21!E75+[1]Art22!E75+[1]Art23!E75+[1]Art24!E75+[1]Art25!E75+[1]Art26!E75+[1]Art27!E75+[1]Art28!E75+[1]Art29!E75+[1]Art30!E75+[1]Art31!E75+[1]Art32!E75+[1]Art33!E75+[1]Art34!E75+[1]Art35!E75+[1]Art36!E75+[1]Art37!E75+[1]Art38!E75+[1]ArtT1!E75+[1]ArtT2!E75)</f>
        <v>12</v>
      </c>
      <c r="F75" s="1">
        <f>SUM([1]Art1!F75+[1]Art2!F75+[1]Art3!F75+[1]Art4!F75+[1]Art5!F75+[1]Art6!F75+[1]Art7!F75+[1]Art8!F75+[1]Art9!F75+[1]Art10!F75+[1]Art11!F75+[1]Art12!F75+[1]Art13!F75+[1]Art14!F75+[1]Art15!F75+[1]Art16!F75+[1]Art17!F75+[1]Art18!F75+[1]Art19!F75+[1]Art20!F75+[1]Art21!F75+[1]Art22!F75+[1]Art23!F75+[1]Art24!F75+[1]Art25!F75+[1]Art26!F75+[1]Art27!F75+[1]Art28!F75+[1]Art29!F75+[1]Art30!F75+[1]Art31!F75+[1]Art32!F75+[1]Art33!F75+[1]Art34!F75+[1]Art35!F75+[1]Art36!F75+[1]Art37!F75+[1]Art38!F75+[1]ArtT1!F75+[1]ArtT2!F75)</f>
        <v>0</v>
      </c>
      <c r="H75" s="4"/>
      <c r="I75" s="4"/>
      <c r="J75" s="4"/>
      <c r="K75" s="4"/>
    </row>
    <row r="76" spans="1:11" ht="12.75" customHeight="1" x14ac:dyDescent="0.3">
      <c r="A76" s="1" t="s">
        <v>104</v>
      </c>
      <c r="B76" s="1" t="s">
        <v>24</v>
      </c>
      <c r="C76" s="1">
        <f>SUM([1]Art1!C76+[1]Art2!C76+[1]Art3!C76+[1]Art4!C76+[1]Art5!C76+[1]Art6!C76+[1]Art7!C76+[1]Art8!C76+[1]Art9!C76+[1]Art10!C76+[1]Art11!C76+[1]Art12!C76+[1]Art13!C76+[1]Art14!C76+[1]Art15!C76+[1]Art16!C76+[1]Art17!C76+[1]Art18!C76+[1]Art19!C76+[1]Art20!C76+[1]Art21!C76+[1]Art22!C76+[1]Art23!C76+[1]Art24!C76+[1]Art25!C76+[1]Art26!C76+[1]Art27!C76+[1]Art28!C76+[1]Art29!C76+[1]Art30!C76+[1]Art31!C76+[1]Art32!C76+[1]Art33!C76+[1]Art34!C76+[1]Art35!C76+[1]Art36!C76+[1]Art37!C76+[1]Art38!C76+[1]ArtT1!C76+[1]ArtT2!C76)</f>
        <v>35</v>
      </c>
      <c r="D76" s="1">
        <f>SUM([1]Art1!D76+[1]Art2!D76+[1]Art3!D76+[1]Art4!D76+[1]Art5!D76+[1]Art6!D76+[1]Art7!D76+[1]Art8!D76+[1]Art9!D76+[1]Art10!D76+[1]Art11!D76+[1]Art12!D76+[1]Art13!D76+[1]Art14!D76+[1]Art15!D76+[1]Art16!D76+[1]Art17!D76+[1]Art18!D76+[1]Art19!D76+[1]Art20!D76+[1]Art21!D76+[1]Art22!D76+[1]Art23!D76+[1]Art24!D76+[1]Art25!D76+[1]Art26!D76+[1]Art27!D76+[1]Art28!D76+[1]Art29!D76+[1]Art30!D76+[1]Art31!D76+[1]Art32!D76+[1]Art33!D76+[1]Art34!D76+[1]Art35!D76+[1]Art36!D76+[1]Art37!D76+[1]Art38!D76+[1]ArtT1!D76+[1]ArtT2!D76)</f>
        <v>5</v>
      </c>
      <c r="E76" s="1">
        <f>SUM([1]Art1!E76+[1]Art2!E76+[1]Art3!E76+[1]Art4!E76+[1]Art5!E76+[1]Art6!E76+[1]Art7!E76+[1]Art8!E76+[1]Art9!E76+[1]Art10!E76+[1]Art11!E76+[1]Art12!E76+[1]Art13!E76+[1]Art14!E76+[1]Art15!E76+[1]Art16!E76+[1]Art17!E76+[1]Art18!E76+[1]Art19!E76+[1]Art20!E76+[1]Art21!E76+[1]Art22!E76+[1]Art23!E76+[1]Art24!E76+[1]Art25!E76+[1]Art26!E76+[1]Art27!E76+[1]Art28!E76+[1]Art29!E76+[1]Art30!E76+[1]Art31!E76+[1]Art32!E76+[1]Art33!E76+[1]Art34!E76+[1]Art35!E76+[1]Art36!E76+[1]Art37!E76+[1]Art38!E76+[1]ArtT1!E76+[1]ArtT2!E76)</f>
        <v>0</v>
      </c>
      <c r="F76" s="1">
        <f>SUM([1]Art1!F76+[1]Art2!F76+[1]Art3!F76+[1]Art4!F76+[1]Art5!F76+[1]Art6!F76+[1]Art7!F76+[1]Art8!F76+[1]Art9!F76+[1]Art10!F76+[1]Art11!F76+[1]Art12!F76+[1]Art13!F76+[1]Art14!F76+[1]Art15!F76+[1]Art16!F76+[1]Art17!F76+[1]Art18!F76+[1]Art19!F76+[1]Art20!F76+[1]Art21!F76+[1]Art22!F76+[1]Art23!F76+[1]Art24!F76+[1]Art25!F76+[1]Art26!F76+[1]Art27!F76+[1]Art28!F76+[1]Art29!F76+[1]Art30!F76+[1]Art31!F76+[1]Art32!F76+[1]Art33!F76+[1]Art34!F76+[1]Art35!F76+[1]Art36!F76+[1]Art37!F76+[1]Art38!F76+[1]ArtT1!F76+[1]ArtT2!F76)</f>
        <v>0</v>
      </c>
      <c r="H76" s="4"/>
      <c r="I76" s="4"/>
      <c r="J76" s="4"/>
      <c r="K76" s="4"/>
    </row>
    <row r="77" spans="1:11" ht="12.75" customHeight="1" x14ac:dyDescent="0.3">
      <c r="A77" s="1" t="s">
        <v>105</v>
      </c>
      <c r="B77" s="1" t="s">
        <v>66</v>
      </c>
      <c r="C77" s="1">
        <f>SUM([1]Art1!C77+[1]Art2!C77+[1]Art3!C77+[1]Art4!C77+[1]Art5!C77+[1]Art6!C77+[1]Art7!C77+[1]Art8!C77+[1]Art9!C77+[1]Art10!C77+[1]Art11!C77+[1]Art12!C77+[1]Art13!C77+[1]Art14!C77+[1]Art15!C77+[1]Art16!C77+[1]Art17!C77+[1]Art18!C77+[1]Art19!C77+[1]Art20!C77+[1]Art21!C77+[1]Art22!C77+[1]Art23!C77+[1]Art24!C77+[1]Art25!C77+[1]Art26!C77+[1]Art27!C77+[1]Art28!C77+[1]Art29!C77+[1]Art30!C77+[1]Art31!C77+[1]Art32!C77+[1]Art33!C77+[1]Art34!C77+[1]Art35!C77+[1]Art36!C77+[1]Art37!C77+[1]Art38!C77+[1]ArtT1!C77+[1]ArtT2!C77)</f>
        <v>6</v>
      </c>
      <c r="D77" s="1">
        <f>SUM([1]Art1!D77+[1]Art2!D77+[1]Art3!D77+[1]Art4!D77+[1]Art5!D77+[1]Art6!D77+[1]Art7!D77+[1]Art8!D77+[1]Art9!D77+[1]Art10!D77+[1]Art11!D77+[1]Art12!D77+[1]Art13!D77+[1]Art14!D77+[1]Art15!D77+[1]Art16!D77+[1]Art17!D77+[1]Art18!D77+[1]Art19!D77+[1]Art20!D77+[1]Art21!D77+[1]Art22!D77+[1]Art23!D77+[1]Art24!D77+[1]Art25!D77+[1]Art26!D77+[1]Art27!D77+[1]Art28!D77+[1]Art29!D77+[1]Art30!D77+[1]Art31!D77+[1]Art32!D77+[1]Art33!D77+[1]Art34!D77+[1]Art35!D77+[1]Art36!D77+[1]Art37!D77+[1]Art38!D77+[1]ArtT1!D77+[1]ArtT2!D77)</f>
        <v>20</v>
      </c>
      <c r="E77" s="1">
        <f>SUM([1]Art1!E77+[1]Art2!E77+[1]Art3!E77+[1]Art4!E77+[1]Art5!E77+[1]Art6!E77+[1]Art7!E77+[1]Art8!E77+[1]Art9!E77+[1]Art10!E77+[1]Art11!E77+[1]Art12!E77+[1]Art13!E77+[1]Art14!E77+[1]Art15!E77+[1]Art16!E77+[1]Art17!E77+[1]Art18!E77+[1]Art19!E77+[1]Art20!E77+[1]Art21!E77+[1]Art22!E77+[1]Art23!E77+[1]Art24!E77+[1]Art25!E77+[1]Art26!E77+[1]Art27!E77+[1]Art28!E77+[1]Art29!E77+[1]Art30!E77+[1]Art31!E77+[1]Art32!E77+[1]Art33!E77+[1]Art34!E77+[1]Art35!E77+[1]Art36!E77+[1]Art37!E77+[1]Art38!E77+[1]ArtT1!E77+[1]ArtT2!E77)</f>
        <v>14</v>
      </c>
      <c r="F77" s="1">
        <f>SUM([1]Art1!F77+[1]Art2!F77+[1]Art3!F77+[1]Art4!F77+[1]Art5!F77+[1]Art6!F77+[1]Art7!F77+[1]Art8!F77+[1]Art9!F77+[1]Art10!F77+[1]Art11!F77+[1]Art12!F77+[1]Art13!F77+[1]Art14!F77+[1]Art15!F77+[1]Art16!F77+[1]Art17!F77+[1]Art18!F77+[1]Art19!F77+[1]Art20!F77+[1]Art21!F77+[1]Art22!F77+[1]Art23!F77+[1]Art24!F77+[1]Art25!F77+[1]Art26!F77+[1]Art27!F77+[1]Art28!F77+[1]Art29!F77+[1]Art30!F77+[1]Art31!F77+[1]Art32!F77+[1]Art33!F77+[1]Art34!F77+[1]Art35!F77+[1]Art36!F77+[1]Art37!F77+[1]Art38!F77+[1]ArtT1!F77+[1]ArtT2!F77)</f>
        <v>0</v>
      </c>
      <c r="H77" s="4"/>
      <c r="I77" s="4"/>
      <c r="J77" s="4"/>
      <c r="K77" s="4"/>
    </row>
    <row r="78" spans="1:11" ht="12.75" customHeight="1" x14ac:dyDescent="0.3">
      <c r="A78" s="1" t="s">
        <v>106</v>
      </c>
      <c r="B78" s="1" t="s">
        <v>42</v>
      </c>
      <c r="C78" s="1">
        <f>SUM([1]Art1!C78+[1]Art2!C78+[1]Art3!C78+[1]Art4!C78+[1]Art5!C78+[1]Art6!C78+[1]Art7!C78+[1]Art8!C78+[1]Art9!C78+[1]Art10!C78+[1]Art11!C78+[1]Art12!C78+[1]Art13!C78+[1]Art14!C78+[1]Art15!C78+[1]Art16!C78+[1]Art17!C78+[1]Art18!C78+[1]Art19!C78+[1]Art20!C78+[1]Art21!C78+[1]Art22!C78+[1]Art23!C78+[1]Art24!C78+[1]Art25!C78+[1]Art26!C78+[1]Art27!C78+[1]Art28!C78+[1]Art29!C78+[1]Art30!C78+[1]Art31!C78+[1]Art32!C78+[1]Art33!C78+[1]Art34!C78+[1]Art35!C78+[1]Art36!C78+[1]Art37!C78+[1]Art38!C78+[1]ArtT1!C78+[1]ArtT2!C78)</f>
        <v>40</v>
      </c>
      <c r="D78" s="1">
        <f>SUM([1]Art1!D78+[1]Art2!D78+[1]Art3!D78+[1]Art4!D78+[1]Art5!D78+[1]Art6!D78+[1]Art7!D78+[1]Art8!D78+[1]Art9!D78+[1]Art10!D78+[1]Art11!D78+[1]Art12!D78+[1]Art13!D78+[1]Art14!D78+[1]Art15!D78+[1]Art16!D78+[1]Art17!D78+[1]Art18!D78+[1]Art19!D78+[1]Art20!D78+[1]Art21!D78+[1]Art22!D78+[1]Art23!D78+[1]Art24!D78+[1]Art25!D78+[1]Art26!D78+[1]Art27!D78+[1]Art28!D78+[1]Art29!D78+[1]Art30!D78+[1]Art31!D78+[1]Art32!D78+[1]Art33!D78+[1]Art34!D78+[1]Art35!D78+[1]Art36!D78+[1]Art37!D78+[1]Art38!D78+[1]ArtT1!D78+[1]ArtT2!D78)</f>
        <v>0</v>
      </c>
      <c r="E78" s="1">
        <f>SUM([1]Art1!E78+[1]Art2!E78+[1]Art3!E78+[1]Art4!E78+[1]Art5!E78+[1]Art6!E78+[1]Art7!E78+[1]Art8!E78+[1]Art9!E78+[1]Art10!E78+[1]Art11!E78+[1]Art12!E78+[1]Art13!E78+[1]Art14!E78+[1]Art15!E78+[1]Art16!E78+[1]Art17!E78+[1]Art18!E78+[1]Art19!E78+[1]Art20!E78+[1]Art21!E78+[1]Art22!E78+[1]Art23!E78+[1]Art24!E78+[1]Art25!E78+[1]Art26!E78+[1]Art27!E78+[1]Art28!E78+[1]Art29!E78+[1]Art30!E78+[1]Art31!E78+[1]Art32!E78+[1]Art33!E78+[1]Art34!E78+[1]Art35!E78+[1]Art36!E78+[1]Art37!E78+[1]Art38!E78+[1]ArtT1!E78+[1]ArtT2!E78)</f>
        <v>0</v>
      </c>
      <c r="F78" s="1">
        <f>SUM([1]Art1!F78+[1]Art2!F78+[1]Art3!F78+[1]Art4!F78+[1]Art5!F78+[1]Art6!F78+[1]Art7!F78+[1]Art8!F78+[1]Art9!F78+[1]Art10!F78+[1]Art11!F78+[1]Art12!F78+[1]Art13!F78+[1]Art14!F78+[1]Art15!F78+[1]Art16!F78+[1]Art17!F78+[1]Art18!F78+[1]Art19!F78+[1]Art20!F78+[1]Art21!F78+[1]Art22!F78+[1]Art23!F78+[1]Art24!F78+[1]Art25!F78+[1]Art26!F78+[1]Art27!F78+[1]Art28!F78+[1]Art29!F78+[1]Art30!F78+[1]Art31!F78+[1]Art32!F78+[1]Art33!F78+[1]Art34!F78+[1]Art35!F78+[1]Art36!F78+[1]Art37!F78+[1]Art38!F78+[1]ArtT1!F78+[1]ArtT2!F78)</f>
        <v>0</v>
      </c>
      <c r="H78" s="4"/>
      <c r="I78" s="4"/>
      <c r="J78" s="4"/>
      <c r="K78" s="4"/>
    </row>
    <row r="79" spans="1:11" ht="12.75" customHeight="1" x14ac:dyDescent="0.3">
      <c r="A79" s="1" t="s">
        <v>107</v>
      </c>
      <c r="B79" s="1" t="s">
        <v>27</v>
      </c>
      <c r="C79" s="1">
        <f>SUM([1]Art1!C79+[1]Art2!C79+[1]Art3!C79+[1]Art4!C79+[1]Art5!C79+[1]Art6!C79+[1]Art7!C79+[1]Art8!C79+[1]Art9!C79+[1]Art10!C79+[1]Art11!C79+[1]Art12!C79+[1]Art13!C79+[1]Art14!C79+[1]Art15!C79+[1]Art16!C79+[1]Art17!C79+[1]Art18!C79+[1]Art19!C79+[1]Art20!C79+[1]Art21!C79+[1]Art22!C79+[1]Art23!C79+[1]Art24!C79+[1]Art25!C79+[1]Art26!C79+[1]Art27!C79+[1]Art28!C79+[1]Art29!C79+[1]Art30!C79+[1]Art31!C79+[1]Art32!C79+[1]Art33!C79+[1]Art34!C79+[1]Art35!C79+[1]Art36!C79+[1]Art37!C79+[1]Art38!C79+[1]ArtT1!C79+[1]ArtT2!C79)</f>
        <v>12</v>
      </c>
      <c r="D79" s="1">
        <f>SUM([1]Art1!D79+[1]Art2!D79+[1]Art3!D79+[1]Art4!D79+[1]Art5!D79+[1]Art6!D79+[1]Art7!D79+[1]Art8!D79+[1]Art9!D79+[1]Art10!D79+[1]Art11!D79+[1]Art12!D79+[1]Art13!D79+[1]Art14!D79+[1]Art15!D79+[1]Art16!D79+[1]Art17!D79+[1]Art18!D79+[1]Art19!D79+[1]Art20!D79+[1]Art21!D79+[1]Art22!D79+[1]Art23!D79+[1]Art24!D79+[1]Art25!D79+[1]Art26!D79+[1]Art27!D79+[1]Art28!D79+[1]Art29!D79+[1]Art30!D79+[1]Art31!D79+[1]Art32!D79+[1]Art33!D79+[1]Art34!D79+[1]Art35!D79+[1]Art36!D79+[1]Art37!D79+[1]Art38!D79+[1]ArtT1!D79+[1]ArtT2!D79)</f>
        <v>27</v>
      </c>
      <c r="E79" s="1">
        <f>SUM([1]Art1!E79+[1]Art2!E79+[1]Art3!E79+[1]Art4!E79+[1]Art5!E79+[1]Art6!E79+[1]Art7!E79+[1]Art8!E79+[1]Art9!E79+[1]Art10!E79+[1]Art11!E79+[1]Art12!E79+[1]Art13!E79+[1]Art14!E79+[1]Art15!E79+[1]Art16!E79+[1]Art17!E79+[1]Art18!E79+[1]Art19!E79+[1]Art20!E79+[1]Art21!E79+[1]Art22!E79+[1]Art23!E79+[1]Art24!E79+[1]Art25!E79+[1]Art26!E79+[1]Art27!E79+[1]Art28!E79+[1]Art29!E79+[1]Art30!E79+[1]Art31!E79+[1]Art32!E79+[1]Art33!E79+[1]Art34!E79+[1]Art35!E79+[1]Art36!E79+[1]Art37!E79+[1]Art38!E79+[1]ArtT1!E79+[1]ArtT2!E79)</f>
        <v>0</v>
      </c>
      <c r="F79" s="1">
        <f>SUM([1]Art1!F79+[1]Art2!F79+[1]Art3!F79+[1]Art4!F79+[1]Art5!F79+[1]Art6!F79+[1]Art7!F79+[1]Art8!F79+[1]Art9!F79+[1]Art10!F79+[1]Art11!F79+[1]Art12!F79+[1]Art13!F79+[1]Art14!F79+[1]Art15!F79+[1]Art16!F79+[1]Art17!F79+[1]Art18!F79+[1]Art19!F79+[1]Art20!F79+[1]Art21!F79+[1]Art22!F79+[1]Art23!F79+[1]Art24!F79+[1]Art25!F79+[1]Art26!F79+[1]Art27!F79+[1]Art28!F79+[1]Art29!F79+[1]Art30!F79+[1]Art31!F79+[1]Art32!F79+[1]Art33!F79+[1]Art34!F79+[1]Art35!F79+[1]Art36!F79+[1]Art37!F79+[1]Art38!F79+[1]ArtT1!F79+[1]ArtT2!F79)</f>
        <v>1</v>
      </c>
      <c r="H79" s="4"/>
      <c r="I79" s="4"/>
      <c r="J79" s="4"/>
      <c r="K79" s="4"/>
    </row>
    <row r="80" spans="1:11" ht="12.75" customHeight="1" x14ac:dyDescent="0.3">
      <c r="A80" s="1" t="s">
        <v>108</v>
      </c>
      <c r="B80" s="1" t="s">
        <v>66</v>
      </c>
      <c r="C80" s="1">
        <f>SUM([1]Art1!C80+[1]Art2!C80+[1]Art3!C80+[1]Art4!C80+[1]Art5!C80+[1]Art6!C80+[1]Art7!C80+[1]Art8!C80+[1]Art9!C80+[1]Art10!C80+[1]Art11!C80+[1]Art12!C80+[1]Art13!C80+[1]Art14!C80+[1]Art15!C80+[1]Art16!C80+[1]Art17!C80+[1]Art18!C80+[1]Art19!C80+[1]Art20!C80+[1]Art21!C80+[1]Art22!C80+[1]Art23!C80+[1]Art24!C80+[1]Art25!C80+[1]Art26!C80+[1]Art27!C80+[1]Art28!C80+[1]Art29!C80+[1]Art30!C80+[1]Art31!C80+[1]Art32!C80+[1]Art33!C80+[1]Art34!C80+[1]Art35!C80+[1]Art36!C80+[1]Art37!C80+[1]Art38!C80+[1]ArtT1!C80+[1]ArtT2!C80)</f>
        <v>1</v>
      </c>
      <c r="D80" s="1">
        <f>SUM([1]Art1!D80+[1]Art2!D80+[1]Art3!D80+[1]Art4!D80+[1]Art5!D80+[1]Art6!D80+[1]Art7!D80+[1]Art8!D80+[1]Art9!D80+[1]Art10!D80+[1]Art11!D80+[1]Art12!D80+[1]Art13!D80+[1]Art14!D80+[1]Art15!D80+[1]Art16!D80+[1]Art17!D80+[1]Art18!D80+[1]Art19!D80+[1]Art20!D80+[1]Art21!D80+[1]Art22!D80+[1]Art23!D80+[1]Art24!D80+[1]Art25!D80+[1]Art26!D80+[1]Art27!D80+[1]Art28!D80+[1]Art29!D80+[1]Art30!D80+[1]Art31!D80+[1]Art32!D80+[1]Art33!D80+[1]Art34!D80+[1]Art35!D80+[1]Art36!D80+[1]Art37!D80+[1]Art38!D80+[1]ArtT1!D80+[1]ArtT2!D80)</f>
        <v>28</v>
      </c>
      <c r="E80" s="1">
        <f>SUM([1]Art1!E80+[1]Art2!E80+[1]Art3!E80+[1]Art4!E80+[1]Art5!E80+[1]Art6!E80+[1]Art7!E80+[1]Art8!E80+[1]Art9!E80+[1]Art10!E80+[1]Art11!E80+[1]Art12!E80+[1]Art13!E80+[1]Art14!E80+[1]Art15!E80+[1]Art16!E80+[1]Art17!E80+[1]Art18!E80+[1]Art19!E80+[1]Art20!E80+[1]Art21!E80+[1]Art22!E80+[1]Art23!E80+[1]Art24!E80+[1]Art25!E80+[1]Art26!E80+[1]Art27!E80+[1]Art28!E80+[1]Art29!E80+[1]Art30!E80+[1]Art31!E80+[1]Art32!E80+[1]Art33!E80+[1]Art34!E80+[1]Art35!E80+[1]Art36!E80+[1]Art37!E80+[1]Art38!E80+[1]ArtT1!E80+[1]ArtT2!E80)</f>
        <v>11</v>
      </c>
      <c r="F80" s="1">
        <f>SUM([1]Art1!F80+[1]Art2!F80+[1]Art3!F80+[1]Art4!F80+[1]Art5!F80+[1]Art6!F80+[1]Art7!F80+[1]Art8!F80+[1]Art9!F80+[1]Art10!F80+[1]Art11!F80+[1]Art12!F80+[1]Art13!F80+[1]Art14!F80+[1]Art15!F80+[1]Art16!F80+[1]Art17!F80+[1]Art18!F80+[1]Art19!F80+[1]Art20!F80+[1]Art21!F80+[1]Art22!F80+[1]Art23!F80+[1]Art24!F80+[1]Art25!F80+[1]Art26!F80+[1]Art27!F80+[1]Art28!F80+[1]Art29!F80+[1]Art30!F80+[1]Art31!F80+[1]Art32!F80+[1]Art33!F80+[1]Art34!F80+[1]Art35!F80+[1]Art36!F80+[1]Art37!F80+[1]Art38!F80+[1]ArtT1!F80+[1]ArtT2!F80)</f>
        <v>0</v>
      </c>
      <c r="H80" s="4"/>
      <c r="I80" s="4"/>
      <c r="J80" s="4"/>
      <c r="K80" s="4"/>
    </row>
    <row r="81" spans="1:11" ht="12.75" customHeight="1" x14ac:dyDescent="0.3">
      <c r="A81" s="1" t="s">
        <v>109</v>
      </c>
      <c r="B81" s="1" t="s">
        <v>30</v>
      </c>
      <c r="C81" s="1">
        <f>SUM([1]Art1!C81+[1]Art2!C81+[1]Art3!C81+[1]Art4!C81+[1]Art5!C81+[1]Art6!C81+[1]Art7!C81+[1]Art8!C81+[1]Art9!C81+[1]Art10!C81+[1]Art11!C81+[1]Art12!C81+[1]Art13!C81+[1]Art14!C81+[1]Art15!C81+[1]Art16!C81+[1]Art17!C81+[1]Art18!C81+[1]Art19!C81+[1]Art20!C81+[1]Art21!C81+[1]Art22!C81+[1]Art23!C81+[1]Art24!C81+[1]Art25!C81+[1]Art26!C81+[1]Art27!C81+[1]Art28!C81+[1]Art29!C81+[1]Art30!C81+[1]Art31!C81+[1]Art32!C81+[1]Art33!C81+[1]Art34!C81+[1]Art35!C81+[1]Art36!C81+[1]Art37!C81+[1]Art38!C81+[1]ArtT1!C81+[1]ArtT2!C81)</f>
        <v>0</v>
      </c>
      <c r="D81" s="1">
        <f>SUM([1]Art1!D81+[1]Art2!D81+[1]Art3!D81+[1]Art4!D81+[1]Art5!D81+[1]Art6!D81+[1]Art7!D81+[1]Art8!D81+[1]Art9!D81+[1]Art10!D81+[1]Art11!D81+[1]Art12!D81+[1]Art13!D81+[1]Art14!D81+[1]Art15!D81+[1]Art16!D81+[1]Art17!D81+[1]Art18!D81+[1]Art19!D81+[1]Art20!D81+[1]Art21!D81+[1]Art22!D81+[1]Art23!D81+[1]Art24!D81+[1]Art25!D81+[1]Art26!D81+[1]Art27!D81+[1]Art28!D81+[1]Art29!D81+[1]Art30!D81+[1]Art31!D81+[1]Art32!D81+[1]Art33!D81+[1]Art34!D81+[1]Art35!D81+[1]Art36!D81+[1]Art37!D81+[1]Art38!D81+[1]ArtT1!D81+[1]ArtT2!D81)</f>
        <v>31</v>
      </c>
      <c r="E81" s="1">
        <f>SUM([1]Art1!E81+[1]Art2!E81+[1]Art3!E81+[1]Art4!E81+[1]Art5!E81+[1]Art6!E81+[1]Art7!E81+[1]Art8!E81+[1]Art9!E81+[1]Art10!E81+[1]Art11!E81+[1]Art12!E81+[1]Art13!E81+[1]Art14!E81+[1]Art15!E81+[1]Art16!E81+[1]Art17!E81+[1]Art18!E81+[1]Art19!E81+[1]Art20!E81+[1]Art21!E81+[1]Art22!E81+[1]Art23!E81+[1]Art24!E81+[1]Art25!E81+[1]Art26!E81+[1]Art27!E81+[1]Art28!E81+[1]Art29!E81+[1]Art30!E81+[1]Art31!E81+[1]Art32!E81+[1]Art33!E81+[1]Art34!E81+[1]Art35!E81+[1]Art36!E81+[1]Art37!E81+[1]Art38!E81+[1]ArtT1!E81+[1]ArtT2!E81)</f>
        <v>9</v>
      </c>
      <c r="F81" s="1">
        <f>SUM([1]Art1!F81+[1]Art2!F81+[1]Art3!F81+[1]Art4!F81+[1]Art5!F81+[1]Art6!F81+[1]Art7!F81+[1]Art8!F81+[1]Art9!F81+[1]Art10!F81+[1]Art11!F81+[1]Art12!F81+[1]Art13!F81+[1]Art14!F81+[1]Art15!F81+[1]Art16!F81+[1]Art17!F81+[1]Art18!F81+[1]Art19!F81+[1]Art20!F81+[1]Art21!F81+[1]Art22!F81+[1]Art23!F81+[1]Art24!F81+[1]Art25!F81+[1]Art26!F81+[1]Art27!F81+[1]Art28!F81+[1]Art29!F81+[1]Art30!F81+[1]Art31!F81+[1]Art32!F81+[1]Art33!F81+[1]Art34!F81+[1]Art35!F81+[1]Art36!F81+[1]Art37!F81+[1]Art38!F81+[1]ArtT1!F81+[1]ArtT2!F81)</f>
        <v>0</v>
      </c>
      <c r="H81" s="4"/>
      <c r="I81" s="4"/>
      <c r="J81" s="4"/>
      <c r="K81" s="4"/>
    </row>
    <row r="82" spans="1:11" ht="12.75" customHeight="1" x14ac:dyDescent="0.3">
      <c r="A82" s="1" t="s">
        <v>110</v>
      </c>
      <c r="B82" s="1" t="s">
        <v>37</v>
      </c>
      <c r="C82" s="1">
        <f>SUM([1]Art1!C82+[1]Art2!C82+[1]Art3!C82+[1]Art4!C82+[1]Art5!C82+[1]Art6!C82+[1]Art7!C82+[1]Art8!C82+[1]Art9!C82+[1]Art10!C82+[1]Art11!C82+[1]Art12!C82+[1]Art13!C82+[1]Art14!C82+[1]Art15!C82+[1]Art16!C82+[1]Art17!C82+[1]Art18!C82+[1]Art19!C82+[1]Art20!C82+[1]Art21!C82+[1]Art22!C82+[1]Art23!C82+[1]Art24!C82+[1]Art25!C82+[1]Art26!C82+[1]Art27!C82+[1]Art28!C82+[1]Art29!C82+[1]Art30!C82+[1]Art31!C82+[1]Art32!C82+[1]Art33!C82+[1]Art34!C82+[1]Art35!C82+[1]Art36!C82+[1]Art37!C82+[1]Art38!C82+[1]ArtT1!C82+[1]ArtT2!C82)</f>
        <v>39</v>
      </c>
      <c r="D82" s="1">
        <f>SUM([1]Art1!D82+[1]Art2!D82+[1]Art3!D82+[1]Art4!D82+[1]Art5!D82+[1]Art6!D82+[1]Art7!D82+[1]Art8!D82+[1]Art9!D82+[1]Art10!D82+[1]Art11!D82+[1]Art12!D82+[1]Art13!D82+[1]Art14!D82+[1]Art15!D82+[1]Art16!D82+[1]Art17!D82+[1]Art18!D82+[1]Art19!D82+[1]Art20!D82+[1]Art21!D82+[1]Art22!D82+[1]Art23!D82+[1]Art24!D82+[1]Art25!D82+[1]Art26!D82+[1]Art27!D82+[1]Art28!D82+[1]Art29!D82+[1]Art30!D82+[1]Art31!D82+[1]Art32!D82+[1]Art33!D82+[1]Art34!D82+[1]Art35!D82+[1]Art36!D82+[1]Art37!D82+[1]Art38!D82+[1]ArtT1!D82+[1]ArtT2!D82)</f>
        <v>1</v>
      </c>
      <c r="E82" s="1">
        <f>SUM([1]Art1!E82+[1]Art2!E82+[1]Art3!E82+[1]Art4!E82+[1]Art5!E82+[1]Art6!E82+[1]Art7!E82+[1]Art8!E82+[1]Art9!E82+[1]Art10!E82+[1]Art11!E82+[1]Art12!E82+[1]Art13!E82+[1]Art14!E82+[1]Art15!E82+[1]Art16!E82+[1]Art17!E82+[1]Art18!E82+[1]Art19!E82+[1]Art20!E82+[1]Art21!E82+[1]Art22!E82+[1]Art23!E82+[1]Art24!E82+[1]Art25!E82+[1]Art26!E82+[1]Art27!E82+[1]Art28!E82+[1]Art29!E82+[1]Art30!E82+[1]Art31!E82+[1]Art32!E82+[1]Art33!E82+[1]Art34!E82+[1]Art35!E82+[1]Art36!E82+[1]Art37!E82+[1]Art38!E82+[1]ArtT1!E82+[1]ArtT2!E82)</f>
        <v>0</v>
      </c>
      <c r="F82" s="1">
        <f>SUM([1]Art1!F82+[1]Art2!F82+[1]Art3!F82+[1]Art4!F82+[1]Art5!F82+[1]Art6!F82+[1]Art7!F82+[1]Art8!F82+[1]Art9!F82+[1]Art10!F82+[1]Art11!F82+[1]Art12!F82+[1]Art13!F82+[1]Art14!F82+[1]Art15!F82+[1]Art16!F82+[1]Art17!F82+[1]Art18!F82+[1]Art19!F82+[1]Art20!F82+[1]Art21!F82+[1]Art22!F82+[1]Art23!F82+[1]Art24!F82+[1]Art25!F82+[1]Art26!F82+[1]Art27!F82+[1]Art28!F82+[1]Art29!F82+[1]Art30!F82+[1]Art31!F82+[1]Art32!F82+[1]Art33!F82+[1]Art34!F82+[1]Art35!F82+[1]Art36!F82+[1]Art37!F82+[1]Art38!F82+[1]ArtT1!F82+[1]ArtT2!F82)</f>
        <v>0</v>
      </c>
      <c r="H82" s="4"/>
      <c r="I82" s="4"/>
      <c r="J82" s="4"/>
      <c r="K82" s="4"/>
    </row>
    <row r="83" spans="1:11" ht="12.75" customHeight="1" x14ac:dyDescent="0.3">
      <c r="A83" s="1" t="s">
        <v>111</v>
      </c>
      <c r="B83" s="1" t="s">
        <v>37</v>
      </c>
      <c r="C83" s="1">
        <f>SUM([1]Art1!C83+[1]Art2!C83+[1]Art3!C83+[1]Art4!C83+[1]Art5!C83+[1]Art6!C83+[1]Art7!C83+[1]Art8!C83+[1]Art9!C83+[1]Art10!C83+[1]Art11!C83+[1]Art12!C83+[1]Art13!C83+[1]Art14!C83+[1]Art15!C83+[1]Art16!C83+[1]Art17!C83+[1]Art18!C83+[1]Art19!C83+[1]Art20!C83+[1]Art21!C83+[1]Art22!C83+[1]Art23!C83+[1]Art24!C83+[1]Art25!C83+[1]Art26!C83+[1]Art27!C83+[1]Art28!C83+[1]Art29!C83+[1]Art30!C83+[1]Art31!C83+[1]Art32!C83+[1]Art33!C83+[1]Art34!C83+[1]Art35!C83+[1]Art36!C83+[1]Art37!C83+[1]Art38!C83+[1]ArtT1!C83+[1]ArtT2!C83)</f>
        <v>37</v>
      </c>
      <c r="D83" s="1">
        <f>SUM([1]Art1!D83+[1]Art2!D83+[1]Art3!D83+[1]Art4!D83+[1]Art5!D83+[1]Art6!D83+[1]Art7!D83+[1]Art8!D83+[1]Art9!D83+[1]Art10!D83+[1]Art11!D83+[1]Art12!D83+[1]Art13!D83+[1]Art14!D83+[1]Art15!D83+[1]Art16!D83+[1]Art17!D83+[1]Art18!D83+[1]Art19!D83+[1]Art20!D83+[1]Art21!D83+[1]Art22!D83+[1]Art23!D83+[1]Art24!D83+[1]Art25!D83+[1]Art26!D83+[1]Art27!D83+[1]Art28!D83+[1]Art29!D83+[1]Art30!D83+[1]Art31!D83+[1]Art32!D83+[1]Art33!D83+[1]Art34!D83+[1]Art35!D83+[1]Art36!D83+[1]Art37!D83+[1]Art38!D83+[1]ArtT1!D83+[1]ArtT2!D83)</f>
        <v>1</v>
      </c>
      <c r="E83" s="1">
        <f>SUM([1]Art1!E83+[1]Art2!E83+[1]Art3!E83+[1]Art4!E83+[1]Art5!E83+[1]Art6!E83+[1]Art7!E83+[1]Art8!E83+[1]Art9!E83+[1]Art10!E83+[1]Art11!E83+[1]Art12!E83+[1]Art13!E83+[1]Art14!E83+[1]Art15!E83+[1]Art16!E83+[1]Art17!E83+[1]Art18!E83+[1]Art19!E83+[1]Art20!E83+[1]Art21!E83+[1]Art22!E83+[1]Art23!E83+[1]Art24!E83+[1]Art25!E83+[1]Art26!E83+[1]Art27!E83+[1]Art28!E83+[1]Art29!E83+[1]Art30!E83+[1]Art31!E83+[1]Art32!E83+[1]Art33!E83+[1]Art34!E83+[1]Art35!E83+[1]Art36!E83+[1]Art37!E83+[1]Art38!E83+[1]ArtT1!E83+[1]ArtT2!E83)</f>
        <v>0</v>
      </c>
      <c r="F83" s="1">
        <f>SUM([1]Art1!F83+[1]Art2!F83+[1]Art3!F83+[1]Art4!F83+[1]Art5!F83+[1]Art6!F83+[1]Art7!F83+[1]Art8!F83+[1]Art9!F83+[1]Art10!F83+[1]Art11!F83+[1]Art12!F83+[1]Art13!F83+[1]Art14!F83+[1]Art15!F83+[1]Art16!F83+[1]Art17!F83+[1]Art18!F83+[1]Art19!F83+[1]Art20!F83+[1]Art21!F83+[1]Art22!F83+[1]Art23!F83+[1]Art24!F83+[1]Art25!F83+[1]Art26!F83+[1]Art27!F83+[1]Art28!F83+[1]Art29!F83+[1]Art30!F83+[1]Art31!F83+[1]Art32!F83+[1]Art33!F83+[1]Art34!F83+[1]Art35!F83+[1]Art36!F83+[1]Art37!F83+[1]Art38!F83+[1]ArtT1!F83+[1]ArtT2!F83)</f>
        <v>2</v>
      </c>
      <c r="H83" s="4"/>
      <c r="I83" s="4"/>
      <c r="J83" s="4"/>
      <c r="K83" s="4"/>
    </row>
    <row r="84" spans="1:11" ht="12.75" customHeight="1" x14ac:dyDescent="0.3">
      <c r="A84" s="1" t="s">
        <v>112</v>
      </c>
      <c r="B84" s="1" t="s">
        <v>38</v>
      </c>
      <c r="C84" s="1">
        <f>SUM([1]Art1!C84+[1]Art2!C84+[1]Art3!C84+[1]Art4!C84+[1]Art5!C84+[1]Art6!C84+[1]Art7!C84+[1]Art8!C84+[1]Art9!C84+[1]Art10!C84+[1]Art11!C84+[1]Art12!C84+[1]Art13!C84+[1]Art14!C84+[1]Art15!C84+[1]Art16!C84+[1]Art17!C84+[1]Art18!C84+[1]Art19!C84+[1]Art20!C84+[1]Art21!C84+[1]Art22!C84+[1]Art23!C84+[1]Art24!C84+[1]Art25!C84+[1]Art26!C84+[1]Art27!C84+[1]Art28!C84+[1]Art29!C84+[1]Art30!C84+[1]Art31!C84+[1]Art32!C84+[1]Art33!C84+[1]Art34!C84+[1]Art35!C84+[1]Art36!C84+[1]Art37!C84+[1]Art38!C84+[1]ArtT1!C84+[1]ArtT2!C84)</f>
        <v>11</v>
      </c>
      <c r="D84" s="1">
        <f>SUM([1]Art1!D84+[1]Art2!D84+[1]Art3!D84+[1]Art4!D84+[1]Art5!D84+[1]Art6!D84+[1]Art7!D84+[1]Art8!D84+[1]Art9!D84+[1]Art10!D84+[1]Art11!D84+[1]Art12!D84+[1]Art13!D84+[1]Art14!D84+[1]Art15!D84+[1]Art16!D84+[1]Art17!D84+[1]Art18!D84+[1]Art19!D84+[1]Art20!D84+[1]Art21!D84+[1]Art22!D84+[1]Art23!D84+[1]Art24!D84+[1]Art25!D84+[1]Art26!D84+[1]Art27!D84+[1]Art28!D84+[1]Art29!D84+[1]Art30!D84+[1]Art31!D84+[1]Art32!D84+[1]Art33!D84+[1]Art34!D84+[1]Art35!D84+[1]Art36!D84+[1]Art37!D84+[1]Art38!D84+[1]ArtT1!D84+[1]ArtT2!D84)</f>
        <v>20</v>
      </c>
      <c r="E84" s="1">
        <f>SUM([1]Art1!E84+[1]Art2!E84+[1]Art3!E84+[1]Art4!E84+[1]Art5!E84+[1]Art6!E84+[1]Art7!E84+[1]Art8!E84+[1]Art9!E84+[1]Art10!E84+[1]Art11!E84+[1]Art12!E84+[1]Art13!E84+[1]Art14!E84+[1]Art15!E84+[1]Art16!E84+[1]Art17!E84+[1]Art18!E84+[1]Art19!E84+[1]Art20!E84+[1]Art21!E84+[1]Art22!E84+[1]Art23!E84+[1]Art24!E84+[1]Art25!E84+[1]Art26!E84+[1]Art27!E84+[1]Art28!E84+[1]Art29!E84+[1]Art30!E84+[1]Art31!E84+[1]Art32!E84+[1]Art33!E84+[1]Art34!E84+[1]Art35!E84+[1]Art36!E84+[1]Art37!E84+[1]Art38!E84+[1]ArtT1!E84+[1]ArtT2!E84)</f>
        <v>9</v>
      </c>
      <c r="F84" s="1">
        <f>SUM([1]Art1!F84+[1]Art2!F84+[1]Art3!F84+[1]Art4!F84+[1]Art5!F84+[1]Art6!F84+[1]Art7!F84+[1]Art8!F84+[1]Art9!F84+[1]Art10!F84+[1]Art11!F84+[1]Art12!F84+[1]Art13!F84+[1]Art14!F84+[1]Art15!F84+[1]Art16!F84+[1]Art17!F84+[1]Art18!F84+[1]Art19!F84+[1]Art20!F84+[1]Art21!F84+[1]Art22!F84+[1]Art23!F84+[1]Art24!F84+[1]Art25!F84+[1]Art26!F84+[1]Art27!F84+[1]Art28!F84+[1]Art29!F84+[1]Art30!F84+[1]Art31!F84+[1]Art32!F84+[1]Art33!F84+[1]Art34!F84+[1]Art35!F84+[1]Art36!F84+[1]Art37!F84+[1]Art38!F84+[1]ArtT1!F84+[1]ArtT2!F84)</f>
        <v>0</v>
      </c>
      <c r="H84" s="4"/>
      <c r="I84" s="4"/>
      <c r="J84" s="4"/>
      <c r="K84" s="4"/>
    </row>
    <row r="85" spans="1:11" ht="12.75" customHeight="1" x14ac:dyDescent="0.3">
      <c r="A85" s="1" t="s">
        <v>113</v>
      </c>
      <c r="B85" s="1" t="s">
        <v>21</v>
      </c>
      <c r="C85" s="1">
        <f>SUM([1]Art1!C85+[1]Art2!C85+[1]Art3!C85+[1]Art4!C85+[1]Art5!C85+[1]Art6!C85+[1]Art7!C85+[1]Art8!C85+[1]Art9!C85+[1]Art10!C85+[1]Art11!C85+[1]Art12!C85+[1]Art13!C85+[1]Art14!C85+[1]Art15!C85+[1]Art16!C85+[1]Art17!C85+[1]Art18!C85+[1]Art19!C85+[1]Art20!C85+[1]Art21!C85+[1]Art22!C85+[1]Art23!C85+[1]Art24!C85+[1]Art25!C85+[1]Art26!C85+[1]Art27!C85+[1]Art28!C85+[1]Art29!C85+[1]Art30!C85+[1]Art31!C85+[1]Art32!C85+[1]Art33!C85+[1]Art34!C85+[1]Art35!C85+[1]Art36!C85+[1]Art37!C85+[1]Art38!C85+[1]ArtT1!C85+[1]ArtT2!C85)</f>
        <v>18</v>
      </c>
      <c r="D85" s="1">
        <f>SUM([1]Art1!D85+[1]Art2!D85+[1]Art3!D85+[1]Art4!D85+[1]Art5!D85+[1]Art6!D85+[1]Art7!D85+[1]Art8!D85+[1]Art9!D85+[1]Art10!D85+[1]Art11!D85+[1]Art12!D85+[1]Art13!D85+[1]Art14!D85+[1]Art15!D85+[1]Art16!D85+[1]Art17!D85+[1]Art18!D85+[1]Art19!D85+[1]Art20!D85+[1]Art21!D85+[1]Art22!D85+[1]Art23!D85+[1]Art24!D85+[1]Art25!D85+[1]Art26!D85+[1]Art27!D85+[1]Art28!D85+[1]Art29!D85+[1]Art30!D85+[1]Art31!D85+[1]Art32!D85+[1]Art33!D85+[1]Art34!D85+[1]Art35!D85+[1]Art36!D85+[1]Art37!D85+[1]Art38!D85+[1]ArtT1!D85+[1]ArtT2!D85)</f>
        <v>8</v>
      </c>
      <c r="E85" s="1">
        <f>SUM([1]Art1!E85+[1]Art2!E85+[1]Art3!E85+[1]Art4!E85+[1]Art5!E85+[1]Art6!E85+[1]Art7!E85+[1]Art8!E85+[1]Art9!E85+[1]Art10!E85+[1]Art11!E85+[1]Art12!E85+[1]Art13!E85+[1]Art14!E85+[1]Art15!E85+[1]Art16!E85+[1]Art17!E85+[1]Art18!E85+[1]Art19!E85+[1]Art20!E85+[1]Art21!E85+[1]Art22!E85+[1]Art23!E85+[1]Art24!E85+[1]Art25!E85+[1]Art26!E85+[1]Art27!E85+[1]Art28!E85+[1]Art29!E85+[1]Art30!E85+[1]Art31!E85+[1]Art32!E85+[1]Art33!E85+[1]Art34!E85+[1]Art35!E85+[1]Art36!E85+[1]Art37!E85+[1]Art38!E85+[1]ArtT1!E85+[1]ArtT2!E85)</f>
        <v>14</v>
      </c>
      <c r="F85" s="1">
        <f>SUM([1]Art1!F85+[1]Art2!F85+[1]Art3!F85+[1]Art4!F85+[1]Art5!F85+[1]Art6!F85+[1]Art7!F85+[1]Art8!F85+[1]Art9!F85+[1]Art10!F85+[1]Art11!F85+[1]Art12!F85+[1]Art13!F85+[1]Art14!F85+[1]Art15!F85+[1]Art16!F85+[1]Art17!F85+[1]Art18!F85+[1]Art19!F85+[1]Art20!F85+[1]Art21!F85+[1]Art22!F85+[1]Art23!F85+[1]Art24!F85+[1]Art25!F85+[1]Art26!F85+[1]Art27!F85+[1]Art28!F85+[1]Art29!F85+[1]Art30!F85+[1]Art31!F85+[1]Art32!F85+[1]Art33!F85+[1]Art34!F85+[1]Art35!F85+[1]Art36!F85+[1]Art37!F85+[1]Art38!F85+[1]ArtT1!F85+[1]ArtT2!F85)</f>
        <v>0</v>
      </c>
      <c r="H85" s="4"/>
      <c r="I85" s="4"/>
      <c r="J85" s="4"/>
      <c r="K85" s="4"/>
    </row>
    <row r="86" spans="1:11" ht="12.75" customHeight="1" x14ac:dyDescent="0.3">
      <c r="A86" s="1" t="s">
        <v>114</v>
      </c>
      <c r="B86" s="1" t="s">
        <v>42</v>
      </c>
      <c r="C86" s="1">
        <f>SUM([1]Art1!C86+[1]Art2!C86+[1]Art3!C86+[1]Art4!C86+[1]Art5!C86+[1]Art6!C86+[1]Art7!C86+[1]Art8!C86+[1]Art9!C86+[1]Art10!C86+[1]Art11!C86+[1]Art12!C86+[1]Art13!C86+[1]Art14!C86+[1]Art15!C86+[1]Art16!C86+[1]Art17!C86+[1]Art18!C86+[1]Art19!C86+[1]Art20!C86+[1]Art21!C86+[1]Art22!C86+[1]Art23!C86+[1]Art24!C86+[1]Art25!C86+[1]Art26!C86+[1]Art27!C86+[1]Art28!C86+[1]Art29!C86+[1]Art30!C86+[1]Art31!C86+[1]Art32!C86+[1]Art33!C86+[1]Art34!C86+[1]Art35!C86+[1]Art36!C86+[1]Art37!C86+[1]Art38!C86+[1]ArtT1!C86+[1]ArtT2!C86)</f>
        <v>37</v>
      </c>
      <c r="D86" s="1">
        <f>SUM([1]Art1!D86+[1]Art2!D86+[1]Art3!D86+[1]Art4!D86+[1]Art5!D86+[1]Art6!D86+[1]Art7!D86+[1]Art8!D86+[1]Art9!D86+[1]Art10!D86+[1]Art11!D86+[1]Art12!D86+[1]Art13!D86+[1]Art14!D86+[1]Art15!D86+[1]Art16!D86+[1]Art17!D86+[1]Art18!D86+[1]Art19!D86+[1]Art20!D86+[1]Art21!D86+[1]Art22!D86+[1]Art23!D86+[1]Art24!D86+[1]Art25!D86+[1]Art26!D86+[1]Art27!D86+[1]Art28!D86+[1]Art29!D86+[1]Art30!D86+[1]Art31!D86+[1]Art32!D86+[1]Art33!D86+[1]Art34!D86+[1]Art35!D86+[1]Art36!D86+[1]Art37!D86+[1]Art38!D86+[1]ArtT1!D86+[1]ArtT2!D86)</f>
        <v>3</v>
      </c>
      <c r="E86" s="1">
        <f>SUM([1]Art1!E86+[1]Art2!E86+[1]Art3!E86+[1]Art4!E86+[1]Art5!E86+[1]Art6!E86+[1]Art7!E86+[1]Art8!E86+[1]Art9!E86+[1]Art10!E86+[1]Art11!E86+[1]Art12!E86+[1]Art13!E86+[1]Art14!E86+[1]Art15!E86+[1]Art16!E86+[1]Art17!E86+[1]Art18!E86+[1]Art19!E86+[1]Art20!E86+[1]Art21!E86+[1]Art22!E86+[1]Art23!E86+[1]Art24!E86+[1]Art25!E86+[1]Art26!E86+[1]Art27!E86+[1]Art28!E86+[1]Art29!E86+[1]Art30!E86+[1]Art31!E86+[1]Art32!E86+[1]Art33!E86+[1]Art34!E86+[1]Art35!E86+[1]Art36!E86+[1]Art37!E86+[1]Art38!E86+[1]ArtT1!E86+[1]ArtT2!E86)</f>
        <v>0</v>
      </c>
      <c r="F86" s="1">
        <f>SUM([1]Art1!F86+[1]Art2!F86+[1]Art3!F86+[1]Art4!F86+[1]Art5!F86+[1]Art6!F86+[1]Art7!F86+[1]Art8!F86+[1]Art9!F86+[1]Art10!F86+[1]Art11!F86+[1]Art12!F86+[1]Art13!F86+[1]Art14!F86+[1]Art15!F86+[1]Art16!F86+[1]Art17!F86+[1]Art18!F86+[1]Art19!F86+[1]Art20!F86+[1]Art21!F86+[1]Art22!F86+[1]Art23!F86+[1]Art24!F86+[1]Art25!F86+[1]Art26!F86+[1]Art27!F86+[1]Art28!F86+[1]Art29!F86+[1]Art30!F86+[1]Art31!F86+[1]Art32!F86+[1]Art33!F86+[1]Art34!F86+[1]Art35!F86+[1]Art36!F86+[1]Art37!F86+[1]Art38!F86+[1]ArtT1!F86+[1]ArtT2!F86)</f>
        <v>0</v>
      </c>
      <c r="H86" s="4"/>
      <c r="I86" s="4"/>
      <c r="J86" s="4"/>
      <c r="K86" s="4"/>
    </row>
    <row r="87" spans="1:11" ht="12.75" customHeight="1" x14ac:dyDescent="0.3">
      <c r="A87" s="1" t="s">
        <v>115</v>
      </c>
      <c r="B87" s="1" t="s">
        <v>21</v>
      </c>
      <c r="C87" s="1">
        <f>SUM([1]Art1!C87+[1]Art2!C87+[1]Art3!C87+[1]Art4!C87+[1]Art5!C87+[1]Art6!C87+[1]Art7!C87+[1]Art8!C87+[1]Art9!C87+[1]Art10!C87+[1]Art11!C87+[1]Art12!C87+[1]Art13!C87+[1]Art14!C87+[1]Art15!C87+[1]Art16!C87+[1]Art17!C87+[1]Art18!C87+[1]Art19!C87+[1]Art20!C87+[1]Art21!C87+[1]Art22!C87+[1]Art23!C87+[1]Art24!C87+[1]Art25!C87+[1]Art26!C87+[1]Art27!C87+[1]Art28!C87+[1]Art29!C87+[1]Art30!C87+[1]Art31!C87+[1]Art32!C87+[1]Art33!C87+[1]Art34!C87+[1]Art35!C87+[1]Art36!C87+[1]Art37!C87+[1]Art38!C87+[1]ArtT1!C87+[1]ArtT2!C87)</f>
        <v>17</v>
      </c>
      <c r="D87" s="1">
        <f>SUM([1]Art1!D87+[1]Art2!D87+[1]Art3!D87+[1]Art4!D87+[1]Art5!D87+[1]Art6!D87+[1]Art7!D87+[1]Art8!D87+[1]Art9!D87+[1]Art10!D87+[1]Art11!D87+[1]Art12!D87+[1]Art13!D87+[1]Art14!D87+[1]Art15!D87+[1]Art16!D87+[1]Art17!D87+[1]Art18!D87+[1]Art19!D87+[1]Art20!D87+[1]Art21!D87+[1]Art22!D87+[1]Art23!D87+[1]Art24!D87+[1]Art25!D87+[1]Art26!D87+[1]Art27!D87+[1]Art28!D87+[1]Art29!D87+[1]Art30!D87+[1]Art31!D87+[1]Art32!D87+[1]Art33!D87+[1]Art34!D87+[1]Art35!D87+[1]Art36!D87+[1]Art37!D87+[1]Art38!D87+[1]ArtT1!D87+[1]ArtT2!D87)</f>
        <v>9</v>
      </c>
      <c r="E87" s="1">
        <f>SUM([1]Art1!E87+[1]Art2!E87+[1]Art3!E87+[1]Art4!E87+[1]Art5!E87+[1]Art6!E87+[1]Art7!E87+[1]Art8!E87+[1]Art9!E87+[1]Art10!E87+[1]Art11!E87+[1]Art12!E87+[1]Art13!E87+[1]Art14!E87+[1]Art15!E87+[1]Art16!E87+[1]Art17!E87+[1]Art18!E87+[1]Art19!E87+[1]Art20!E87+[1]Art21!E87+[1]Art22!E87+[1]Art23!E87+[1]Art24!E87+[1]Art25!E87+[1]Art26!E87+[1]Art27!E87+[1]Art28!E87+[1]Art29!E87+[1]Art30!E87+[1]Art31!E87+[1]Art32!E87+[1]Art33!E87+[1]Art34!E87+[1]Art35!E87+[1]Art36!E87+[1]Art37!E87+[1]Art38!E87+[1]ArtT1!E87+[1]ArtT2!E87)</f>
        <v>14</v>
      </c>
      <c r="F87" s="1">
        <f>SUM([1]Art1!F87+[1]Art2!F87+[1]Art3!F87+[1]Art4!F87+[1]Art5!F87+[1]Art6!F87+[1]Art7!F87+[1]Art8!F87+[1]Art9!F87+[1]Art10!F87+[1]Art11!F87+[1]Art12!F87+[1]Art13!F87+[1]Art14!F87+[1]Art15!F87+[1]Art16!F87+[1]Art17!F87+[1]Art18!F87+[1]Art19!F87+[1]Art20!F87+[1]Art21!F87+[1]Art22!F87+[1]Art23!F87+[1]Art24!F87+[1]Art25!F87+[1]Art26!F87+[1]Art27!F87+[1]Art28!F87+[1]Art29!F87+[1]Art30!F87+[1]Art31!F87+[1]Art32!F87+[1]Art33!F87+[1]Art34!F87+[1]Art35!F87+[1]Art36!F87+[1]Art37!F87+[1]Art38!F87+[1]ArtT1!F87+[1]ArtT2!F87)</f>
        <v>0</v>
      </c>
      <c r="H87" s="4"/>
      <c r="I87" s="4"/>
      <c r="J87" s="4"/>
      <c r="K87" s="4"/>
    </row>
    <row r="88" spans="1:11" ht="12.75" customHeight="1" x14ac:dyDescent="0.3">
      <c r="A88" s="1" t="s">
        <v>116</v>
      </c>
      <c r="B88" s="1" t="s">
        <v>30</v>
      </c>
      <c r="C88" s="1">
        <f>SUM([1]Art1!C88+[1]Art2!C88+[1]Art3!C88+[1]Art4!C88+[1]Art5!C88+[1]Art6!C88+[1]Art7!C88+[1]Art8!C88+[1]Art9!C88+[1]Art10!C88+[1]Art11!C88+[1]Art12!C88+[1]Art13!C88+[1]Art14!C88+[1]Art15!C88+[1]Art16!C88+[1]Art17!C88+[1]Art18!C88+[1]Art19!C88+[1]Art20!C88+[1]Art21!C88+[1]Art22!C88+[1]Art23!C88+[1]Art24!C88+[1]Art25!C88+[1]Art26!C88+[1]Art27!C88+[1]Art28!C88+[1]Art29!C88+[1]Art30!C88+[1]Art31!C88+[1]Art32!C88+[1]Art33!C88+[1]Art34!C88+[1]Art35!C88+[1]Art36!C88+[1]Art37!C88+[1]Art38!C88+[1]ArtT1!C88+[1]ArtT2!C88)</f>
        <v>0</v>
      </c>
      <c r="D88" s="1">
        <f>SUM([1]Art1!D88+[1]Art2!D88+[1]Art3!D88+[1]Art4!D88+[1]Art5!D88+[1]Art6!D88+[1]Art7!D88+[1]Art8!D88+[1]Art9!D88+[1]Art10!D88+[1]Art11!D88+[1]Art12!D88+[1]Art13!D88+[1]Art14!D88+[1]Art15!D88+[1]Art16!D88+[1]Art17!D88+[1]Art18!D88+[1]Art19!D88+[1]Art20!D88+[1]Art21!D88+[1]Art22!D88+[1]Art23!D88+[1]Art24!D88+[1]Art25!D88+[1]Art26!D88+[1]Art27!D88+[1]Art28!D88+[1]Art29!D88+[1]Art30!D88+[1]Art31!D88+[1]Art32!D88+[1]Art33!D88+[1]Art34!D88+[1]Art35!D88+[1]Art36!D88+[1]Art37!D88+[1]Art38!D88+[1]ArtT1!D88+[1]ArtT2!D88)</f>
        <v>39</v>
      </c>
      <c r="E88" s="1">
        <f>SUM([1]Art1!E88+[1]Art2!E88+[1]Art3!E88+[1]Art4!E88+[1]Art5!E88+[1]Art6!E88+[1]Art7!E88+[1]Art8!E88+[1]Art9!E88+[1]Art10!E88+[1]Art11!E88+[1]Art12!E88+[1]Art13!E88+[1]Art14!E88+[1]Art15!E88+[1]Art16!E88+[1]Art17!E88+[1]Art18!E88+[1]Art19!E88+[1]Art20!E88+[1]Art21!E88+[1]Art22!E88+[1]Art23!E88+[1]Art24!E88+[1]Art25!E88+[1]Art26!E88+[1]Art27!E88+[1]Art28!E88+[1]Art29!E88+[1]Art30!E88+[1]Art31!E88+[1]Art32!E88+[1]Art33!E88+[1]Art34!E88+[1]Art35!E88+[1]Art36!E88+[1]Art37!E88+[1]Art38!E88+[1]ArtT1!E88+[1]ArtT2!E88)</f>
        <v>0</v>
      </c>
      <c r="F88" s="1">
        <f>SUM([1]Art1!F88+[1]Art2!F88+[1]Art3!F88+[1]Art4!F88+[1]Art5!F88+[1]Art6!F88+[1]Art7!F88+[1]Art8!F88+[1]Art9!F88+[1]Art10!F88+[1]Art11!F88+[1]Art12!F88+[1]Art13!F88+[1]Art14!F88+[1]Art15!F88+[1]Art16!F88+[1]Art17!F88+[1]Art18!F88+[1]Art19!F88+[1]Art20!F88+[1]Art21!F88+[1]Art22!F88+[1]Art23!F88+[1]Art24!F88+[1]Art25!F88+[1]Art26!F88+[1]Art27!F88+[1]Art28!F88+[1]Art29!F88+[1]Art30!F88+[1]Art31!F88+[1]Art32!F88+[1]Art33!F88+[1]Art34!F88+[1]Art35!F88+[1]Art36!F88+[1]Art37!F88+[1]Art38!F88+[1]ArtT1!F88+[1]ArtT2!F88)</f>
        <v>1</v>
      </c>
      <c r="H88" s="4"/>
      <c r="I88" s="4"/>
      <c r="J88" s="4"/>
      <c r="K88" s="4"/>
    </row>
    <row r="89" spans="1:11" ht="12.75" customHeight="1" x14ac:dyDescent="0.3">
      <c r="A89" s="1" t="s">
        <v>117</v>
      </c>
      <c r="B89" s="1" t="s">
        <v>16</v>
      </c>
      <c r="C89" s="1">
        <f>SUM([1]Art1!C89+[1]Art2!C89+[1]Art3!C89+[1]Art4!C89+[1]Art5!C89+[1]Art6!C89+[1]Art7!C89+[1]Art8!C89+[1]Art9!C89+[1]Art10!C89+[1]Art11!C89+[1]Art12!C89+[1]Art13!C89+[1]Art14!C89+[1]Art15!C89+[1]Art16!C89+[1]Art17!C89+[1]Art18!C89+[1]Art19!C89+[1]Art20!C89+[1]Art21!C89+[1]Art22!C89+[1]Art23!C89+[1]Art24!C89+[1]Art25!C89+[1]Art26!C89+[1]Art27!C89+[1]Art28!C89+[1]Art29!C89+[1]Art30!C89+[1]Art31!C89+[1]Art32!C89+[1]Art33!C89+[1]Art34!C89+[1]Art35!C89+[1]Art36!C89+[1]Art37!C89+[1]Art38!C89+[1]ArtT1!C89+[1]ArtT2!C89)</f>
        <v>40</v>
      </c>
      <c r="D89" s="1">
        <f>SUM([1]Art1!D89+[1]Art2!D89+[1]Art3!D89+[1]Art4!D89+[1]Art5!D89+[1]Art6!D89+[1]Art7!D89+[1]Art8!D89+[1]Art9!D89+[1]Art10!D89+[1]Art11!D89+[1]Art12!D89+[1]Art13!D89+[1]Art14!D89+[1]Art15!D89+[1]Art16!D89+[1]Art17!D89+[1]Art18!D89+[1]Art19!D89+[1]Art20!D89+[1]Art21!D89+[1]Art22!D89+[1]Art23!D89+[1]Art24!D89+[1]Art25!D89+[1]Art26!D89+[1]Art27!D89+[1]Art28!D89+[1]Art29!D89+[1]Art30!D89+[1]Art31!D89+[1]Art32!D89+[1]Art33!D89+[1]Art34!D89+[1]Art35!D89+[1]Art36!D89+[1]Art37!D89+[1]Art38!D89+[1]ArtT1!D89+[1]ArtT2!D89)</f>
        <v>0</v>
      </c>
      <c r="E89" s="1">
        <f>SUM([1]Art1!E89+[1]Art2!E89+[1]Art3!E89+[1]Art4!E89+[1]Art5!E89+[1]Art6!E89+[1]Art7!E89+[1]Art8!E89+[1]Art9!E89+[1]Art10!E89+[1]Art11!E89+[1]Art12!E89+[1]Art13!E89+[1]Art14!E89+[1]Art15!E89+[1]Art16!E89+[1]Art17!E89+[1]Art18!E89+[1]Art19!E89+[1]Art20!E89+[1]Art21!E89+[1]Art22!E89+[1]Art23!E89+[1]Art24!E89+[1]Art25!E89+[1]Art26!E89+[1]Art27!E89+[1]Art28!E89+[1]Art29!E89+[1]Art30!E89+[1]Art31!E89+[1]Art32!E89+[1]Art33!E89+[1]Art34!E89+[1]Art35!E89+[1]Art36!E89+[1]Art37!E89+[1]Art38!E89+[1]ArtT1!E89+[1]ArtT2!E89)</f>
        <v>0</v>
      </c>
      <c r="F89" s="1">
        <f>SUM([1]Art1!F89+[1]Art2!F89+[1]Art3!F89+[1]Art4!F89+[1]Art5!F89+[1]Art6!F89+[1]Art7!F89+[1]Art8!F89+[1]Art9!F89+[1]Art10!F89+[1]Art11!F89+[1]Art12!F89+[1]Art13!F89+[1]Art14!F89+[1]Art15!F89+[1]Art16!F89+[1]Art17!F89+[1]Art18!F89+[1]Art19!F89+[1]Art20!F89+[1]Art21!F89+[1]Art22!F89+[1]Art23!F89+[1]Art24!F89+[1]Art25!F89+[1]Art26!F89+[1]Art27!F89+[1]Art28!F89+[1]Art29!F89+[1]Art30!F89+[1]Art31!F89+[1]Art32!F89+[1]Art33!F89+[1]Art34!F89+[1]Art35!F89+[1]Art36!F89+[1]Art37!F89+[1]Art38!F89+[1]ArtT1!F89+[1]ArtT2!F89)</f>
        <v>0</v>
      </c>
      <c r="H89" s="4"/>
      <c r="I89" s="4"/>
      <c r="J89" s="4"/>
      <c r="K89" s="4"/>
    </row>
    <row r="90" spans="1:11" ht="12.75" customHeight="1" x14ac:dyDescent="0.3">
      <c r="A90" s="1" t="s">
        <v>118</v>
      </c>
      <c r="B90" s="1" t="s">
        <v>16</v>
      </c>
      <c r="C90" s="1">
        <f>SUM([1]Art1!C90+[1]Art2!C90+[1]Art3!C90+[1]Art4!C90+[1]Art5!C90+[1]Art6!C90+[1]Art7!C90+[1]Art8!C90+[1]Art9!C90+[1]Art10!C90+[1]Art11!C90+[1]Art12!C90+[1]Art13!C90+[1]Art14!C90+[1]Art15!C90+[1]Art16!C90+[1]Art17!C90+[1]Art18!C90+[1]Art19!C90+[1]Art20!C90+[1]Art21!C90+[1]Art22!C90+[1]Art23!C90+[1]Art24!C90+[1]Art25!C90+[1]Art26!C90+[1]Art27!C90+[1]Art28!C90+[1]Art29!C90+[1]Art30!C90+[1]Art31!C90+[1]Art32!C90+[1]Art33!C90+[1]Art34!C90+[1]Art35!C90+[1]Art36!C90+[1]Art37!C90+[1]Art38!C90+[1]ArtT1!C90+[1]ArtT2!C90)</f>
        <v>14</v>
      </c>
      <c r="D90" s="1">
        <f>SUM([1]Art1!D90+[1]Art2!D90+[1]Art3!D90+[1]Art4!D90+[1]Art5!D90+[1]Art6!D90+[1]Art7!D90+[1]Art8!D90+[1]Art9!D90+[1]Art10!D90+[1]Art11!D90+[1]Art12!D90+[1]Art13!D90+[1]Art14!D90+[1]Art15!D90+[1]Art16!D90+[1]Art17!D90+[1]Art18!D90+[1]Art19!D90+[1]Art20!D90+[1]Art21!D90+[1]Art22!D90+[1]Art23!D90+[1]Art24!D90+[1]Art25!D90+[1]Art26!D90+[1]Art27!D90+[1]Art28!D90+[1]Art29!D90+[1]Art30!D90+[1]Art31!D90+[1]Art32!D90+[1]Art33!D90+[1]Art34!D90+[1]Art35!D90+[1]Art36!D90+[1]Art37!D90+[1]Art38!D90+[1]ArtT1!D90+[1]ArtT2!D90)</f>
        <v>11</v>
      </c>
      <c r="E90" s="1">
        <f>SUM([1]Art1!E90+[1]Art2!E90+[1]Art3!E90+[1]Art4!E90+[1]Art5!E90+[1]Art6!E90+[1]Art7!E90+[1]Art8!E90+[1]Art9!E90+[1]Art10!E90+[1]Art11!E90+[1]Art12!E90+[1]Art13!E90+[1]Art14!E90+[1]Art15!E90+[1]Art16!E90+[1]Art17!E90+[1]Art18!E90+[1]Art19!E90+[1]Art20!E90+[1]Art21!E90+[1]Art22!E90+[1]Art23!E90+[1]Art24!E90+[1]Art25!E90+[1]Art26!E90+[1]Art27!E90+[1]Art28!E90+[1]Art29!E90+[1]Art30!E90+[1]Art31!E90+[1]Art32!E90+[1]Art33!E90+[1]Art34!E90+[1]Art35!E90+[1]Art36!E90+[1]Art37!E90+[1]Art38!E90+[1]ArtT1!E90+[1]ArtT2!E90)</f>
        <v>15</v>
      </c>
      <c r="F90" s="1">
        <f>SUM([1]Art1!F90+[1]Art2!F90+[1]Art3!F90+[1]Art4!F90+[1]Art5!F90+[1]Art6!F90+[1]Art7!F90+[1]Art8!F90+[1]Art9!F90+[1]Art10!F90+[1]Art11!F90+[1]Art12!F90+[1]Art13!F90+[1]Art14!F90+[1]Art15!F90+[1]Art16!F90+[1]Art17!F90+[1]Art18!F90+[1]Art19!F90+[1]Art20!F90+[1]Art21!F90+[1]Art22!F90+[1]Art23!F90+[1]Art24!F90+[1]Art25!F90+[1]Art26!F90+[1]Art27!F90+[1]Art28!F90+[1]Art29!F90+[1]Art30!F90+[1]Art31!F90+[1]Art32!F90+[1]Art33!F90+[1]Art34!F90+[1]Art35!F90+[1]Art36!F90+[1]Art37!F90+[1]Art38!F90+[1]ArtT1!F90+[1]ArtT2!F90)</f>
        <v>0</v>
      </c>
      <c r="H90" s="4"/>
      <c r="I90" s="4"/>
      <c r="J90" s="4"/>
      <c r="K90" s="4"/>
    </row>
    <row r="91" spans="1:11" ht="12.75" customHeight="1" x14ac:dyDescent="0.3">
      <c r="A91" s="1" t="s">
        <v>119</v>
      </c>
      <c r="B91" s="1" t="s">
        <v>66</v>
      </c>
      <c r="C91" s="1">
        <f>SUM([1]Art1!C91+[1]Art2!C91+[1]Art3!C91+[1]Art4!C91+[1]Art5!C91+[1]Art6!C91+[1]Art7!C91+[1]Art8!C91+[1]Art9!C91+[1]Art10!C91+[1]Art11!C91+[1]Art12!C91+[1]Art13!C91+[1]Art14!C91+[1]Art15!C91+[1]Art16!C91+[1]Art17!C91+[1]Art18!C91+[1]Art19!C91+[1]Art20!C91+[1]Art21!C91+[1]Art22!C91+[1]Art23!C91+[1]Art24!C91+[1]Art25!C91+[1]Art26!C91+[1]Art27!C91+[1]Art28!C91+[1]Art29!C91+[1]Art30!C91+[1]Art31!C91+[1]Art32!C91+[1]Art33!C91+[1]Art34!C91+[1]Art35!C91+[1]Art36!C91+[1]Art37!C91+[1]Art38!C91+[1]ArtT1!C91+[1]ArtT2!C91)</f>
        <v>0</v>
      </c>
      <c r="D91" s="1">
        <f>SUM([1]Art1!D91+[1]Art2!D91+[1]Art3!D91+[1]Art4!D91+[1]Art5!D91+[1]Art6!D91+[1]Art7!D91+[1]Art8!D91+[1]Art9!D91+[1]Art10!D91+[1]Art11!D91+[1]Art12!D91+[1]Art13!D91+[1]Art14!D91+[1]Art15!D91+[1]Art16!D91+[1]Art17!D91+[1]Art18!D91+[1]Art19!D91+[1]Art20!D91+[1]Art21!D91+[1]Art22!D91+[1]Art23!D91+[1]Art24!D91+[1]Art25!D91+[1]Art26!D91+[1]Art27!D91+[1]Art28!D91+[1]Art29!D91+[1]Art30!D91+[1]Art31!D91+[1]Art32!D91+[1]Art33!D91+[1]Art34!D91+[1]Art35!D91+[1]Art36!D91+[1]Art37!D91+[1]Art38!D91+[1]ArtT1!D91+[1]ArtT2!D91)</f>
        <v>36</v>
      </c>
      <c r="E91" s="1">
        <f>SUM([1]Art1!E91+[1]Art2!E91+[1]Art3!E91+[1]Art4!E91+[1]Art5!E91+[1]Art6!E91+[1]Art7!E91+[1]Art8!E91+[1]Art9!E91+[1]Art10!E91+[1]Art11!E91+[1]Art12!E91+[1]Art13!E91+[1]Art14!E91+[1]Art15!E91+[1]Art16!E91+[1]Art17!E91+[1]Art18!E91+[1]Art19!E91+[1]Art20!E91+[1]Art21!E91+[1]Art22!E91+[1]Art23!E91+[1]Art24!E91+[1]Art25!E91+[1]Art26!E91+[1]Art27!E91+[1]Art28!E91+[1]Art29!E91+[1]Art30!E91+[1]Art31!E91+[1]Art32!E91+[1]Art33!E91+[1]Art34!E91+[1]Art35!E91+[1]Art36!E91+[1]Art37!E91+[1]Art38!E91+[1]ArtT1!E91+[1]ArtT2!E91)</f>
        <v>4</v>
      </c>
      <c r="F91" s="1">
        <f>SUM([1]Art1!F91+[1]Art2!F91+[1]Art3!F91+[1]Art4!F91+[1]Art5!F91+[1]Art6!F91+[1]Art7!F91+[1]Art8!F91+[1]Art9!F91+[1]Art10!F91+[1]Art11!F91+[1]Art12!F91+[1]Art13!F91+[1]Art14!F91+[1]Art15!F91+[1]Art16!F91+[1]Art17!F91+[1]Art18!F91+[1]Art19!F91+[1]Art20!F91+[1]Art21!F91+[1]Art22!F91+[1]Art23!F91+[1]Art24!F91+[1]Art25!F91+[1]Art26!F91+[1]Art27!F91+[1]Art28!F91+[1]Art29!F91+[1]Art30!F91+[1]Art31!F91+[1]Art32!F91+[1]Art33!F91+[1]Art34!F91+[1]Art35!F91+[1]Art36!F91+[1]Art37!F91+[1]Art38!F91+[1]ArtT1!F91+[1]ArtT2!F91)</f>
        <v>0</v>
      </c>
      <c r="H91" s="4"/>
      <c r="I91" s="4"/>
      <c r="J91" s="4"/>
      <c r="K91" s="4"/>
    </row>
    <row r="92" spans="1:11" ht="12.75" customHeight="1" x14ac:dyDescent="0.3">
      <c r="A92" s="1" t="s">
        <v>120</v>
      </c>
      <c r="B92" s="1" t="s">
        <v>13</v>
      </c>
      <c r="C92" s="1">
        <f>SUM([1]Art1!C92+[1]Art2!C92+[1]Art3!C92+[1]Art4!C92+[1]Art5!C92+[1]Art6!C92+[1]Art7!C92+[1]Art8!C92+[1]Art9!C92+[1]Art10!C92+[1]Art11!C92+[1]Art12!C92+[1]Art13!C92+[1]Art14!C92+[1]Art15!C92+[1]Art16!C92+[1]Art17!C92+[1]Art18!C92+[1]Art19!C92+[1]Art20!C92+[1]Art21!C92+[1]Art22!C92+[1]Art23!C92+[1]Art24!C92+[1]Art25!C92+[1]Art26!C92+[1]Art27!C92+[1]Art28!C92+[1]Art29!C92+[1]Art30!C92+[1]Art31!C92+[1]Art32!C92+[1]Art33!C92+[1]Art34!C92+[1]Art35!C92+[1]Art36!C92+[1]Art37!C92+[1]Art38!C92+[1]ArtT1!C92+[1]ArtT2!C92)</f>
        <v>18</v>
      </c>
      <c r="D92" s="1">
        <f>SUM([1]Art1!D92+[1]Art2!D92+[1]Art3!D92+[1]Art4!D92+[1]Art5!D92+[1]Art6!D92+[1]Art7!D92+[1]Art8!D92+[1]Art9!D92+[1]Art10!D92+[1]Art11!D92+[1]Art12!D92+[1]Art13!D92+[1]Art14!D92+[1]Art15!D92+[1]Art16!D92+[1]Art17!D92+[1]Art18!D92+[1]Art19!D92+[1]Art20!D92+[1]Art21!D92+[1]Art22!D92+[1]Art23!D92+[1]Art24!D92+[1]Art25!D92+[1]Art26!D92+[1]Art27!D92+[1]Art28!D92+[1]Art29!D92+[1]Art30!D92+[1]Art31!D92+[1]Art32!D92+[1]Art33!D92+[1]Art34!D92+[1]Art35!D92+[1]Art36!D92+[1]Art37!D92+[1]Art38!D92+[1]ArtT1!D92+[1]ArtT2!D92)</f>
        <v>0</v>
      </c>
      <c r="E92" s="1">
        <f>SUM([1]Art1!E92+[1]Art2!E92+[1]Art3!E92+[1]Art4!E92+[1]Art5!E92+[1]Art6!E92+[1]Art7!E92+[1]Art8!E92+[1]Art9!E92+[1]Art10!E92+[1]Art11!E92+[1]Art12!E92+[1]Art13!E92+[1]Art14!E92+[1]Art15!E92+[1]Art16!E92+[1]Art17!E92+[1]Art18!E92+[1]Art19!E92+[1]Art20!E92+[1]Art21!E92+[1]Art22!E92+[1]Art23!E92+[1]Art24!E92+[1]Art25!E92+[1]Art26!E92+[1]Art27!E92+[1]Art28!E92+[1]Art29!E92+[1]Art30!E92+[1]Art31!E92+[1]Art32!E92+[1]Art33!E92+[1]Art34!E92+[1]Art35!E92+[1]Art36!E92+[1]Art37!E92+[1]Art38!E92+[1]ArtT1!E92+[1]ArtT2!E92)</f>
        <v>22</v>
      </c>
      <c r="F92" s="1">
        <f>SUM([1]Art1!F92+[1]Art2!F92+[1]Art3!F92+[1]Art4!F92+[1]Art5!F92+[1]Art6!F92+[1]Art7!F92+[1]Art8!F92+[1]Art9!F92+[1]Art10!F92+[1]Art11!F92+[1]Art12!F92+[1]Art13!F92+[1]Art14!F92+[1]Art15!F92+[1]Art16!F92+[1]Art17!F92+[1]Art18!F92+[1]Art19!F92+[1]Art20!F92+[1]Art21!F92+[1]Art22!F92+[1]Art23!F92+[1]Art24!F92+[1]Art25!F92+[1]Art26!F92+[1]Art27!F92+[1]Art28!F92+[1]Art29!F92+[1]Art30!F92+[1]Art31!F92+[1]Art32!F92+[1]Art33!F92+[1]Art34!F92+[1]Art35!F92+[1]Art36!F92+[1]Art37!F92+[1]Art38!F92+[1]ArtT1!F92+[1]ArtT2!F92)</f>
        <v>0</v>
      </c>
      <c r="H92" s="4"/>
      <c r="I92" s="4"/>
      <c r="J92" s="4"/>
      <c r="K92" s="4"/>
    </row>
    <row r="93" spans="1:11" ht="12.75" customHeight="1" x14ac:dyDescent="0.3">
      <c r="A93" s="1" t="s">
        <v>121</v>
      </c>
      <c r="B93" s="1" t="s">
        <v>30</v>
      </c>
      <c r="C93" s="1">
        <f>SUM([1]Art1!C93+[1]Art2!C93+[1]Art3!C93+[1]Art4!C93+[1]Art5!C93+[1]Art6!C93+[1]Art7!C93+[1]Art8!C93+[1]Art9!C93+[1]Art10!C93+[1]Art11!C93+[1]Art12!C93+[1]Art13!C93+[1]Art14!C93+[1]Art15!C93+[1]Art16!C93+[1]Art17!C93+[1]Art18!C93+[1]Art19!C93+[1]Art20!C93+[1]Art21!C93+[1]Art22!C93+[1]Art23!C93+[1]Art24!C93+[1]Art25!C93+[1]Art26!C93+[1]Art27!C93+[1]Art28!C93+[1]Art29!C93+[1]Art30!C93+[1]Art31!C93+[1]Art32!C93+[1]Art33!C93+[1]Art34!C93+[1]Art35!C93+[1]Art36!C93+[1]Art37!C93+[1]Art38!C93+[1]ArtT1!C93+[1]ArtT2!C93)</f>
        <v>0</v>
      </c>
      <c r="D93" s="1">
        <f>SUM([1]Art1!D93+[1]Art2!D93+[1]Art3!D93+[1]Art4!D93+[1]Art5!D93+[1]Art6!D93+[1]Art7!D93+[1]Art8!D93+[1]Art9!D93+[1]Art10!D93+[1]Art11!D93+[1]Art12!D93+[1]Art13!D93+[1]Art14!D93+[1]Art15!D93+[1]Art16!D93+[1]Art17!D93+[1]Art18!D93+[1]Art19!D93+[1]Art20!D93+[1]Art21!D93+[1]Art22!D93+[1]Art23!D93+[1]Art24!D93+[1]Art25!D93+[1]Art26!D93+[1]Art27!D93+[1]Art28!D93+[1]Art29!D93+[1]Art30!D93+[1]Art31!D93+[1]Art32!D93+[1]Art33!D93+[1]Art34!D93+[1]Art35!D93+[1]Art36!D93+[1]Art37!D93+[1]Art38!D93+[1]ArtT1!D93+[1]ArtT2!D93)</f>
        <v>30</v>
      </c>
      <c r="E93" s="1">
        <f>SUM([1]Art1!E93+[1]Art2!E93+[1]Art3!E93+[1]Art4!E93+[1]Art5!E93+[1]Art6!E93+[1]Art7!E93+[1]Art8!E93+[1]Art9!E93+[1]Art10!E93+[1]Art11!E93+[1]Art12!E93+[1]Art13!E93+[1]Art14!E93+[1]Art15!E93+[1]Art16!E93+[1]Art17!E93+[1]Art18!E93+[1]Art19!E93+[1]Art20!E93+[1]Art21!E93+[1]Art22!E93+[1]Art23!E93+[1]Art24!E93+[1]Art25!E93+[1]Art26!E93+[1]Art27!E93+[1]Art28!E93+[1]Art29!E93+[1]Art30!E93+[1]Art31!E93+[1]Art32!E93+[1]Art33!E93+[1]Art34!E93+[1]Art35!E93+[1]Art36!E93+[1]Art37!E93+[1]Art38!E93+[1]ArtT1!E93+[1]ArtT2!E93)</f>
        <v>10</v>
      </c>
      <c r="F93" s="1">
        <f>SUM([1]Art1!F93+[1]Art2!F93+[1]Art3!F93+[1]Art4!F93+[1]Art5!F93+[1]Art6!F93+[1]Art7!F93+[1]Art8!F93+[1]Art9!F93+[1]Art10!F93+[1]Art11!F93+[1]Art12!F93+[1]Art13!F93+[1]Art14!F93+[1]Art15!F93+[1]Art16!F93+[1]Art17!F93+[1]Art18!F93+[1]Art19!F93+[1]Art20!F93+[1]Art21!F93+[1]Art22!F93+[1]Art23!F93+[1]Art24!F93+[1]Art25!F93+[1]Art26!F93+[1]Art27!F93+[1]Art28!F93+[1]Art29!F93+[1]Art30!F93+[1]Art31!F93+[1]Art32!F93+[1]Art33!F93+[1]Art34!F93+[1]Art35!F93+[1]Art36!F93+[1]Art37!F93+[1]Art38!F93+[1]ArtT1!F93+[1]ArtT2!F93)</f>
        <v>0</v>
      </c>
      <c r="H93" s="4"/>
      <c r="I93" s="4"/>
      <c r="J93" s="4"/>
      <c r="K93" s="4"/>
    </row>
    <row r="94" spans="1:11" ht="12.75" customHeight="1" x14ac:dyDescent="0.3">
      <c r="A94" s="1" t="s">
        <v>122</v>
      </c>
      <c r="B94" s="1" t="s">
        <v>24</v>
      </c>
      <c r="C94" s="1">
        <f>SUM([1]Art1!C94+[1]Art2!C94+[1]Art3!C94+[1]Art4!C94+[1]Art5!C94+[1]Art6!C94+[1]Art7!C94+[1]Art8!C94+[1]Art9!C94+[1]Art10!C94+[1]Art11!C94+[1]Art12!C94+[1]Art13!C94+[1]Art14!C94+[1]Art15!C94+[1]Art16!C94+[1]Art17!C94+[1]Art18!C94+[1]Art19!C94+[1]Art20!C94+[1]Art21!C94+[1]Art22!C94+[1]Art23!C94+[1]Art24!C94+[1]Art25!C94+[1]Art26!C94+[1]Art27!C94+[1]Art28!C94+[1]Art29!C94+[1]Art30!C94+[1]Art31!C94+[1]Art32!C94+[1]Art33!C94+[1]Art34!C94+[1]Art35!C94+[1]Art36!C94+[1]Art37!C94+[1]Art38!C94+[1]ArtT1!C94+[1]ArtT2!C94)</f>
        <v>25</v>
      </c>
      <c r="D94" s="1">
        <f>SUM([1]Art1!D94+[1]Art2!D94+[1]Art3!D94+[1]Art4!D94+[1]Art5!D94+[1]Art6!D94+[1]Art7!D94+[1]Art8!D94+[1]Art9!D94+[1]Art10!D94+[1]Art11!D94+[1]Art12!D94+[1]Art13!D94+[1]Art14!D94+[1]Art15!D94+[1]Art16!D94+[1]Art17!D94+[1]Art18!D94+[1]Art19!D94+[1]Art20!D94+[1]Art21!D94+[1]Art22!D94+[1]Art23!D94+[1]Art24!D94+[1]Art25!D94+[1]Art26!D94+[1]Art27!D94+[1]Art28!D94+[1]Art29!D94+[1]Art30!D94+[1]Art31!D94+[1]Art32!D94+[1]Art33!D94+[1]Art34!D94+[1]Art35!D94+[1]Art36!D94+[1]Art37!D94+[1]Art38!D94+[1]ArtT1!D94+[1]ArtT2!D94)</f>
        <v>15</v>
      </c>
      <c r="E94" s="1">
        <f>SUM([1]Art1!E94+[1]Art2!E94+[1]Art3!E94+[1]Art4!E94+[1]Art5!E94+[1]Art6!E94+[1]Art7!E94+[1]Art8!E94+[1]Art9!E94+[1]Art10!E94+[1]Art11!E94+[1]Art12!E94+[1]Art13!E94+[1]Art14!E94+[1]Art15!E94+[1]Art16!E94+[1]Art17!E94+[1]Art18!E94+[1]Art19!E94+[1]Art20!E94+[1]Art21!E94+[1]Art22!E94+[1]Art23!E94+[1]Art24!E94+[1]Art25!E94+[1]Art26!E94+[1]Art27!E94+[1]Art28!E94+[1]Art29!E94+[1]Art30!E94+[1]Art31!E94+[1]Art32!E94+[1]Art33!E94+[1]Art34!E94+[1]Art35!E94+[1]Art36!E94+[1]Art37!E94+[1]Art38!E94+[1]ArtT1!E94+[1]ArtT2!E94)</f>
        <v>0</v>
      </c>
      <c r="F94" s="1">
        <f>SUM([1]Art1!F94+[1]Art2!F94+[1]Art3!F94+[1]Art4!F94+[1]Art5!F94+[1]Art6!F94+[1]Art7!F94+[1]Art8!F94+[1]Art9!F94+[1]Art10!F94+[1]Art11!F94+[1]Art12!F94+[1]Art13!F94+[1]Art14!F94+[1]Art15!F94+[1]Art16!F94+[1]Art17!F94+[1]Art18!F94+[1]Art19!F94+[1]Art20!F94+[1]Art21!F94+[1]Art22!F94+[1]Art23!F94+[1]Art24!F94+[1]Art25!F94+[1]Art26!F94+[1]Art27!F94+[1]Art28!F94+[1]Art29!F94+[1]Art30!F94+[1]Art31!F94+[1]Art32!F94+[1]Art33!F94+[1]Art34!F94+[1]Art35!F94+[1]Art36!F94+[1]Art37!F94+[1]Art38!F94+[1]ArtT1!F94+[1]ArtT2!F94)</f>
        <v>0</v>
      </c>
      <c r="H94" s="4"/>
      <c r="I94" s="4"/>
      <c r="J94" s="4"/>
      <c r="K94" s="4"/>
    </row>
    <row r="95" spans="1:11" ht="12.75" customHeight="1" x14ac:dyDescent="0.3">
      <c r="A95" s="1" t="s">
        <v>123</v>
      </c>
      <c r="B95" s="1" t="s">
        <v>21</v>
      </c>
      <c r="C95" s="1">
        <f>SUM([1]Art1!C95+[1]Art2!C95+[1]Art3!C95+[1]Art4!C95+[1]Art5!C95+[1]Art6!C95+[1]Art7!C95+[1]Art8!C95+[1]Art9!C95+[1]Art10!C95+[1]Art11!C95+[1]Art12!C95+[1]Art13!C95+[1]Art14!C95+[1]Art15!C95+[1]Art16!C95+[1]Art17!C95+[1]Art18!C95+[1]Art19!C95+[1]Art20!C95+[1]Art21!C95+[1]Art22!C95+[1]Art23!C95+[1]Art24!C95+[1]Art25!C95+[1]Art26!C95+[1]Art27!C95+[1]Art28!C95+[1]Art29!C95+[1]Art30!C95+[1]Art31!C95+[1]Art32!C95+[1]Art33!C95+[1]Art34!C95+[1]Art35!C95+[1]Art36!C95+[1]Art37!C95+[1]Art38!C95+[1]ArtT1!C95+[1]ArtT2!C95)</f>
        <v>17</v>
      </c>
      <c r="D95" s="1">
        <f>SUM([1]Art1!D95+[1]Art2!D95+[1]Art3!D95+[1]Art4!D95+[1]Art5!D95+[1]Art6!D95+[1]Art7!D95+[1]Art8!D95+[1]Art9!D95+[1]Art10!D95+[1]Art11!D95+[1]Art12!D95+[1]Art13!D95+[1]Art14!D95+[1]Art15!D95+[1]Art16!D95+[1]Art17!D95+[1]Art18!D95+[1]Art19!D95+[1]Art20!D95+[1]Art21!D95+[1]Art22!D95+[1]Art23!D95+[1]Art24!D95+[1]Art25!D95+[1]Art26!D95+[1]Art27!D95+[1]Art28!D95+[1]Art29!D95+[1]Art30!D95+[1]Art31!D95+[1]Art32!D95+[1]Art33!D95+[1]Art34!D95+[1]Art35!D95+[1]Art36!D95+[1]Art37!D95+[1]Art38!D95+[1]ArtT1!D95+[1]ArtT2!D95)</f>
        <v>8</v>
      </c>
      <c r="E95" s="1">
        <f>SUM([1]Art1!E95+[1]Art2!E95+[1]Art3!E95+[1]Art4!E95+[1]Art5!E95+[1]Art6!E95+[1]Art7!E95+[1]Art8!E95+[1]Art9!E95+[1]Art10!E95+[1]Art11!E95+[1]Art12!E95+[1]Art13!E95+[1]Art14!E95+[1]Art15!E95+[1]Art16!E95+[1]Art17!E95+[1]Art18!E95+[1]Art19!E95+[1]Art20!E95+[1]Art21!E95+[1]Art22!E95+[1]Art23!E95+[1]Art24!E95+[1]Art25!E95+[1]Art26!E95+[1]Art27!E95+[1]Art28!E95+[1]Art29!E95+[1]Art30!E95+[1]Art31!E95+[1]Art32!E95+[1]Art33!E95+[1]Art34!E95+[1]Art35!E95+[1]Art36!E95+[1]Art37!E95+[1]Art38!E95+[1]ArtT1!E95+[1]ArtT2!E95)</f>
        <v>15</v>
      </c>
      <c r="F95" s="1">
        <f>SUM([1]Art1!F95+[1]Art2!F95+[1]Art3!F95+[1]Art4!F95+[1]Art5!F95+[1]Art6!F95+[1]Art7!F95+[1]Art8!F95+[1]Art9!F95+[1]Art10!F95+[1]Art11!F95+[1]Art12!F95+[1]Art13!F95+[1]Art14!F95+[1]Art15!F95+[1]Art16!F95+[1]Art17!F95+[1]Art18!F95+[1]Art19!F95+[1]Art20!F95+[1]Art21!F95+[1]Art22!F95+[1]Art23!F95+[1]Art24!F95+[1]Art25!F95+[1]Art26!F95+[1]Art27!F95+[1]Art28!F95+[1]Art29!F95+[1]Art30!F95+[1]Art31!F95+[1]Art32!F95+[1]Art33!F95+[1]Art34!F95+[1]Art35!F95+[1]Art36!F95+[1]Art37!F95+[1]Art38!F95+[1]ArtT1!F95+[1]ArtT2!F95)</f>
        <v>0</v>
      </c>
      <c r="H95" s="4"/>
      <c r="I95" s="4"/>
      <c r="J95" s="4"/>
      <c r="K95" s="4"/>
    </row>
    <row r="96" spans="1:11" ht="12.75" customHeight="1" x14ac:dyDescent="0.3">
      <c r="A96" s="1" t="s">
        <v>124</v>
      </c>
      <c r="B96" s="1" t="s">
        <v>14</v>
      </c>
      <c r="C96" s="1">
        <f>SUM([1]Art1!C96+[1]Art2!C96+[1]Art3!C96+[1]Art4!C96+[1]Art5!C96+[1]Art6!C96+[1]Art7!C96+[1]Art8!C96+[1]Art9!C96+[1]Art10!C96+[1]Art11!C96+[1]Art12!C96+[1]Art13!C96+[1]Art14!C96+[1]Art15!C96+[1]Art16!C96+[1]Art17!C96+[1]Art18!C96+[1]Art19!C96+[1]Art20!C96+[1]Art21!C96+[1]Art22!C96+[1]Art23!C96+[1]Art24!C96+[1]Art25!C96+[1]Art26!C96+[1]Art27!C96+[1]Art28!C96+[1]Art29!C96+[1]Art30!C96+[1]Art31!C96+[1]Art32!C96+[1]Art33!C96+[1]Art34!C96+[1]Art35!C96+[1]Art36!C96+[1]Art37!C96+[1]Art38!C96+[1]ArtT1!C96+[1]ArtT2!C96)</f>
        <v>40</v>
      </c>
      <c r="D96" s="1">
        <f>SUM([1]Art1!D96+[1]Art2!D96+[1]Art3!D96+[1]Art4!D96+[1]Art5!D96+[1]Art6!D96+[1]Art7!D96+[1]Art8!D96+[1]Art9!D96+[1]Art10!D96+[1]Art11!D96+[1]Art12!D96+[1]Art13!D96+[1]Art14!D96+[1]Art15!D96+[1]Art16!D96+[1]Art17!D96+[1]Art18!D96+[1]Art19!D96+[1]Art20!D96+[1]Art21!D96+[1]Art22!D96+[1]Art23!D96+[1]Art24!D96+[1]Art25!D96+[1]Art26!D96+[1]Art27!D96+[1]Art28!D96+[1]Art29!D96+[1]Art30!D96+[1]Art31!D96+[1]Art32!D96+[1]Art33!D96+[1]Art34!D96+[1]Art35!D96+[1]Art36!D96+[1]Art37!D96+[1]Art38!D96+[1]ArtT1!D96+[1]ArtT2!D96)</f>
        <v>0</v>
      </c>
      <c r="E96" s="1">
        <f>SUM([1]Art1!E96+[1]Art2!E96+[1]Art3!E96+[1]Art4!E96+[1]Art5!E96+[1]Art6!E96+[1]Art7!E96+[1]Art8!E96+[1]Art9!E96+[1]Art10!E96+[1]Art11!E96+[1]Art12!E96+[1]Art13!E96+[1]Art14!E96+[1]Art15!E96+[1]Art16!E96+[1]Art17!E96+[1]Art18!E96+[1]Art19!E96+[1]Art20!E96+[1]Art21!E96+[1]Art22!E96+[1]Art23!E96+[1]Art24!E96+[1]Art25!E96+[1]Art26!E96+[1]Art27!E96+[1]Art28!E96+[1]Art29!E96+[1]Art30!E96+[1]Art31!E96+[1]Art32!E96+[1]Art33!E96+[1]Art34!E96+[1]Art35!E96+[1]Art36!E96+[1]Art37!E96+[1]Art38!E96+[1]ArtT1!E96+[1]ArtT2!E96)</f>
        <v>0</v>
      </c>
      <c r="F96" s="1">
        <f>SUM([1]Art1!F96+[1]Art2!F96+[1]Art3!F96+[1]Art4!F96+[1]Art5!F96+[1]Art6!F96+[1]Art7!F96+[1]Art8!F96+[1]Art9!F96+[1]Art10!F96+[1]Art11!F96+[1]Art12!F96+[1]Art13!F96+[1]Art14!F96+[1]Art15!F96+[1]Art16!F96+[1]Art17!F96+[1]Art18!F96+[1]Art19!F96+[1]Art20!F96+[1]Art21!F96+[1]Art22!F96+[1]Art23!F96+[1]Art24!F96+[1]Art25!F96+[1]Art26!F96+[1]Art27!F96+[1]Art28!F96+[1]Art29!F96+[1]Art30!F96+[1]Art31!F96+[1]Art32!F96+[1]Art33!F96+[1]Art34!F96+[1]Art35!F96+[1]Art36!F96+[1]Art37!F96+[1]Art38!F96+[1]ArtT1!F96+[1]ArtT2!F96)</f>
        <v>0</v>
      </c>
      <c r="H96" s="4"/>
      <c r="I96" s="4"/>
      <c r="J96" s="4"/>
      <c r="K96" s="4"/>
    </row>
    <row r="97" spans="1:11" ht="12.75" customHeight="1" x14ac:dyDescent="0.3">
      <c r="A97" s="1" t="s">
        <v>125</v>
      </c>
      <c r="B97" s="1" t="s">
        <v>66</v>
      </c>
      <c r="C97" s="1">
        <f>SUM([1]Art1!C97+[1]Art2!C97+[1]Art3!C97+[1]Art4!C97+[1]Art5!C97+[1]Art6!C97+[1]Art7!C97+[1]Art8!C97+[1]Art9!C97+[1]Art10!C97+[1]Art11!C97+[1]Art12!C97+[1]Art13!C97+[1]Art14!C97+[1]Art15!C97+[1]Art16!C97+[1]Art17!C97+[1]Art18!C97+[1]Art19!C97+[1]Art20!C97+[1]Art21!C97+[1]Art22!C97+[1]Art23!C97+[1]Art24!C97+[1]Art25!C97+[1]Art26!C97+[1]Art27!C97+[1]Art28!C97+[1]Art29!C97+[1]Art30!C97+[1]Art31!C97+[1]Art32!C97+[1]Art33!C97+[1]Art34!C97+[1]Art35!C97+[1]Art36!C97+[1]Art37!C97+[1]Art38!C97+[1]ArtT1!C97+[1]ArtT2!C97)</f>
        <v>3</v>
      </c>
      <c r="D97" s="1">
        <f>SUM([1]Art1!D97+[1]Art2!D97+[1]Art3!D97+[1]Art4!D97+[1]Art5!D97+[1]Art6!D97+[1]Art7!D97+[1]Art8!D97+[1]Art9!D97+[1]Art10!D97+[1]Art11!D97+[1]Art12!D97+[1]Art13!D97+[1]Art14!D97+[1]Art15!D97+[1]Art16!D97+[1]Art17!D97+[1]Art18!D97+[1]Art19!D97+[1]Art20!D97+[1]Art21!D97+[1]Art22!D97+[1]Art23!D97+[1]Art24!D97+[1]Art25!D97+[1]Art26!D97+[1]Art27!D97+[1]Art28!D97+[1]Art29!D97+[1]Art30!D97+[1]Art31!D97+[1]Art32!D97+[1]Art33!D97+[1]Art34!D97+[1]Art35!D97+[1]Art36!D97+[1]Art37!D97+[1]Art38!D97+[1]ArtT1!D97+[1]ArtT2!D97)</f>
        <v>21</v>
      </c>
      <c r="E97" s="1">
        <f>SUM([1]Art1!E97+[1]Art2!E97+[1]Art3!E97+[1]Art4!E97+[1]Art5!E97+[1]Art6!E97+[1]Art7!E97+[1]Art8!E97+[1]Art9!E97+[1]Art10!E97+[1]Art11!E97+[1]Art12!E97+[1]Art13!E97+[1]Art14!E97+[1]Art15!E97+[1]Art16!E97+[1]Art17!E97+[1]Art18!E97+[1]Art19!E97+[1]Art20!E97+[1]Art21!E97+[1]Art22!E97+[1]Art23!E97+[1]Art24!E97+[1]Art25!E97+[1]Art26!E97+[1]Art27!E97+[1]Art28!E97+[1]Art29!E97+[1]Art30!E97+[1]Art31!E97+[1]Art32!E97+[1]Art33!E97+[1]Art34!E97+[1]Art35!E97+[1]Art36!E97+[1]Art37!E97+[1]Art38!E97+[1]ArtT1!E97+[1]ArtT2!E97)</f>
        <v>16</v>
      </c>
      <c r="F97" s="1">
        <f>SUM([1]Art1!F97+[1]Art2!F97+[1]Art3!F97+[1]Art4!F97+[1]Art5!F97+[1]Art6!F97+[1]Art7!F97+[1]Art8!F97+[1]Art9!F97+[1]Art10!F97+[1]Art11!F97+[1]Art12!F97+[1]Art13!F97+[1]Art14!F97+[1]Art15!F97+[1]Art16!F97+[1]Art17!F97+[1]Art18!F97+[1]Art19!F97+[1]Art20!F97+[1]Art21!F97+[1]Art22!F97+[1]Art23!F97+[1]Art24!F97+[1]Art25!F97+[1]Art26!F97+[1]Art27!F97+[1]Art28!F97+[1]Art29!F97+[1]Art30!F97+[1]Art31!F97+[1]Art32!F97+[1]Art33!F97+[1]Art34!F97+[1]Art35!F97+[1]Art36!F97+[1]Art37!F97+[1]Art38!F97+[1]ArtT1!F97+[1]ArtT2!F97)</f>
        <v>0</v>
      </c>
      <c r="H97" s="4"/>
      <c r="I97" s="4"/>
      <c r="J97" s="4"/>
      <c r="K97" s="4"/>
    </row>
    <row r="98" spans="1:11" ht="12.75" customHeight="1" x14ac:dyDescent="0.3">
      <c r="A98" s="1" t="s">
        <v>126</v>
      </c>
      <c r="B98" s="1" t="s">
        <v>30</v>
      </c>
      <c r="C98" s="1">
        <f>SUM([1]Art1!C98+[1]Art2!C98+[1]Art3!C98+[1]Art4!C98+[1]Art5!C98+[1]Art6!C98+[1]Art7!C98+[1]Art8!C98+[1]Art9!C98+[1]Art10!C98+[1]Art11!C98+[1]Art12!C98+[1]Art13!C98+[1]Art14!C98+[1]Art15!C98+[1]Art16!C98+[1]Art17!C98+[1]Art18!C98+[1]Art19!C98+[1]Art20!C98+[1]Art21!C98+[1]Art22!C98+[1]Art23!C98+[1]Art24!C98+[1]Art25!C98+[1]Art26!C98+[1]Art27!C98+[1]Art28!C98+[1]Art29!C98+[1]Art30!C98+[1]Art31!C98+[1]Art32!C98+[1]Art33!C98+[1]Art34!C98+[1]Art35!C98+[1]Art36!C98+[1]Art37!C98+[1]Art38!C98+[1]ArtT1!C98+[1]ArtT2!C98)</f>
        <v>0</v>
      </c>
      <c r="D98" s="1">
        <f>SUM([1]Art1!D98+[1]Art2!D98+[1]Art3!D98+[1]Art4!D98+[1]Art5!D98+[1]Art6!D98+[1]Art7!D98+[1]Art8!D98+[1]Art9!D98+[1]Art10!D98+[1]Art11!D98+[1]Art12!D98+[1]Art13!D98+[1]Art14!D98+[1]Art15!D98+[1]Art16!D98+[1]Art17!D98+[1]Art18!D98+[1]Art19!D98+[1]Art20!D98+[1]Art21!D98+[1]Art22!D98+[1]Art23!D98+[1]Art24!D98+[1]Art25!D98+[1]Art26!D98+[1]Art27!D98+[1]Art28!D98+[1]Art29!D98+[1]Art30!D98+[1]Art31!D98+[1]Art32!D98+[1]Art33!D98+[1]Art34!D98+[1]Art35!D98+[1]Art36!D98+[1]Art37!D98+[1]Art38!D98+[1]ArtT1!D98+[1]ArtT2!D98)</f>
        <v>32</v>
      </c>
      <c r="E98" s="1">
        <f>SUM([1]Art1!E98+[1]Art2!E98+[1]Art3!E98+[1]Art4!E98+[1]Art5!E98+[1]Art6!E98+[1]Art7!E98+[1]Art8!E98+[1]Art9!E98+[1]Art10!E98+[1]Art11!E98+[1]Art12!E98+[1]Art13!E98+[1]Art14!E98+[1]Art15!E98+[1]Art16!E98+[1]Art17!E98+[1]Art18!E98+[1]Art19!E98+[1]Art20!E98+[1]Art21!E98+[1]Art22!E98+[1]Art23!E98+[1]Art24!E98+[1]Art25!E98+[1]Art26!E98+[1]Art27!E98+[1]Art28!E98+[1]Art29!E98+[1]Art30!E98+[1]Art31!E98+[1]Art32!E98+[1]Art33!E98+[1]Art34!E98+[1]Art35!E98+[1]Art36!E98+[1]Art37!E98+[1]Art38!E98+[1]ArtT1!E98+[1]ArtT2!E98)</f>
        <v>8</v>
      </c>
      <c r="F98" s="1">
        <f>SUM([1]Art1!F98+[1]Art2!F98+[1]Art3!F98+[1]Art4!F98+[1]Art5!F98+[1]Art6!F98+[1]Art7!F98+[1]Art8!F98+[1]Art9!F98+[1]Art10!F98+[1]Art11!F98+[1]Art12!F98+[1]Art13!F98+[1]Art14!F98+[1]Art15!F98+[1]Art16!F98+[1]Art17!F98+[1]Art18!F98+[1]Art19!F98+[1]Art20!F98+[1]Art21!F98+[1]Art22!F98+[1]Art23!F98+[1]Art24!F98+[1]Art25!F98+[1]Art26!F98+[1]Art27!F98+[1]Art28!F98+[1]Art29!F98+[1]Art30!F98+[1]Art31!F98+[1]Art32!F98+[1]Art33!F98+[1]Art34!F98+[1]Art35!F98+[1]Art36!F98+[1]Art37!F98+[1]Art38!F98+[1]ArtT1!F98+[1]ArtT2!F98)</f>
        <v>0</v>
      </c>
      <c r="H98" s="4"/>
      <c r="I98" s="4"/>
      <c r="J98" s="4"/>
      <c r="K98" s="4"/>
    </row>
    <row r="99" spans="1:11" ht="12.75" customHeight="1" x14ac:dyDescent="0.3">
      <c r="A99" s="1" t="s">
        <v>127</v>
      </c>
      <c r="B99" s="1" t="s">
        <v>27</v>
      </c>
      <c r="C99" s="1">
        <f>SUM([1]Art1!C99+[1]Art2!C99+[1]Art3!C99+[1]Art4!C99+[1]Art5!C99+[1]Art6!C99+[1]Art7!C99+[1]Art8!C99+[1]Art9!C99+[1]Art10!C99+[1]Art11!C99+[1]Art12!C99+[1]Art13!C99+[1]Art14!C99+[1]Art15!C99+[1]Art16!C99+[1]Art17!C99+[1]Art18!C99+[1]Art19!C99+[1]Art20!C99+[1]Art21!C99+[1]Art22!C99+[1]Art23!C99+[1]Art24!C99+[1]Art25!C99+[1]Art26!C99+[1]Art27!C99+[1]Art28!C99+[1]Art29!C99+[1]Art30!C99+[1]Art31!C99+[1]Art32!C99+[1]Art33!C99+[1]Art34!C99+[1]Art35!C99+[1]Art36!C99+[1]Art37!C99+[1]Art38!C99+[1]ArtT1!C99+[1]ArtT2!C99)</f>
        <v>7</v>
      </c>
      <c r="D99" s="1">
        <f>SUM([1]Art1!D99+[1]Art2!D99+[1]Art3!D99+[1]Art4!D99+[1]Art5!D99+[1]Art6!D99+[1]Art7!D99+[1]Art8!D99+[1]Art9!D99+[1]Art10!D99+[1]Art11!D99+[1]Art12!D99+[1]Art13!D99+[1]Art14!D99+[1]Art15!D99+[1]Art16!D99+[1]Art17!D99+[1]Art18!D99+[1]Art19!D99+[1]Art20!D99+[1]Art21!D99+[1]Art22!D99+[1]Art23!D99+[1]Art24!D99+[1]Art25!D99+[1]Art26!D99+[1]Art27!D99+[1]Art28!D99+[1]Art29!D99+[1]Art30!D99+[1]Art31!D99+[1]Art32!D99+[1]Art33!D99+[1]Art34!D99+[1]Art35!D99+[1]Art36!D99+[1]Art37!D99+[1]Art38!D99+[1]ArtT1!D99+[1]ArtT2!D99)</f>
        <v>27</v>
      </c>
      <c r="E99" s="1">
        <f>SUM([1]Art1!E99+[1]Art2!E99+[1]Art3!E99+[1]Art4!E99+[1]Art5!E99+[1]Art6!E99+[1]Art7!E99+[1]Art8!E99+[1]Art9!E99+[1]Art10!E99+[1]Art11!E99+[1]Art12!E99+[1]Art13!E99+[1]Art14!E99+[1]Art15!E99+[1]Art16!E99+[1]Art17!E99+[1]Art18!E99+[1]Art19!E99+[1]Art20!E99+[1]Art21!E99+[1]Art22!E99+[1]Art23!E99+[1]Art24!E99+[1]Art25!E99+[1]Art26!E99+[1]Art27!E99+[1]Art28!E99+[1]Art29!E99+[1]Art30!E99+[1]Art31!E99+[1]Art32!E99+[1]Art33!E99+[1]Art34!E99+[1]Art35!E99+[1]Art36!E99+[1]Art37!E99+[1]Art38!E99+[1]ArtT1!E99+[1]ArtT2!E99)</f>
        <v>6</v>
      </c>
      <c r="F99" s="1">
        <f>SUM([1]Art1!F99+[1]Art2!F99+[1]Art3!F99+[1]Art4!F99+[1]Art5!F99+[1]Art6!F99+[1]Art7!F99+[1]Art8!F99+[1]Art9!F99+[1]Art10!F99+[1]Art11!F99+[1]Art12!F99+[1]Art13!F99+[1]Art14!F99+[1]Art15!F99+[1]Art16!F99+[1]Art17!F99+[1]Art18!F99+[1]Art19!F99+[1]Art20!F99+[1]Art21!F99+[1]Art22!F99+[1]Art23!F99+[1]Art24!F99+[1]Art25!F99+[1]Art26!F99+[1]Art27!F99+[1]Art28!F99+[1]Art29!F99+[1]Art30!F99+[1]Art31!F99+[1]Art32!F99+[1]Art33!F99+[1]Art34!F99+[1]Art35!F99+[1]Art36!F99+[1]Art37!F99+[1]Art38!F99+[1]ArtT1!F99+[1]ArtT2!F99)</f>
        <v>0</v>
      </c>
      <c r="H99" s="4"/>
      <c r="I99" s="4"/>
      <c r="J99" s="4"/>
      <c r="K99" s="4"/>
    </row>
    <row r="100" spans="1:11" ht="12.75" customHeight="1" x14ac:dyDescent="0.3">
      <c r="A100" s="1" t="s">
        <v>128</v>
      </c>
      <c r="B100" s="1" t="s">
        <v>30</v>
      </c>
      <c r="C100" s="1">
        <f>SUM([1]Art1!C100+[1]Art2!C100+[1]Art3!C100+[1]Art4!C100+[1]Art5!C100+[1]Art6!C100+[1]Art7!C100+[1]Art8!C100+[1]Art9!C100+[1]Art10!C100+[1]Art11!C100+[1]Art12!C100+[1]Art13!C100+[1]Art14!C100+[1]Art15!C100+[1]Art16!C100+[1]Art17!C100+[1]Art18!C100+[1]Art19!C100+[1]Art20!C100+[1]Art21!C100+[1]Art22!C100+[1]Art23!C100+[1]Art24!C100+[1]Art25!C100+[1]Art26!C100+[1]Art27!C100+[1]Art28!C100+[1]Art29!C100+[1]Art30!C100+[1]Art31!C100+[1]Art32!C100+[1]Art33!C100+[1]Art34!C100+[1]Art35!C100+[1]Art36!C100+[1]Art37!C100+[1]Art38!C100+[1]ArtT1!C100+[1]ArtT2!C100)</f>
        <v>0</v>
      </c>
      <c r="D100" s="1">
        <f>SUM([1]Art1!D100+[1]Art2!D100+[1]Art3!D100+[1]Art4!D100+[1]Art5!D100+[1]Art6!D100+[1]Art7!D100+[1]Art8!D100+[1]Art9!D100+[1]Art10!D100+[1]Art11!D100+[1]Art12!D100+[1]Art13!D100+[1]Art14!D100+[1]Art15!D100+[1]Art16!D100+[1]Art17!D100+[1]Art18!D100+[1]Art19!D100+[1]Art20!D100+[1]Art21!D100+[1]Art22!D100+[1]Art23!D100+[1]Art24!D100+[1]Art25!D100+[1]Art26!D100+[1]Art27!D100+[1]Art28!D100+[1]Art29!D100+[1]Art30!D100+[1]Art31!D100+[1]Art32!D100+[1]Art33!D100+[1]Art34!D100+[1]Art35!D100+[1]Art36!D100+[1]Art37!D100+[1]Art38!D100+[1]ArtT1!D100+[1]ArtT2!D100)</f>
        <v>31</v>
      </c>
      <c r="E100" s="1">
        <f>SUM([1]Art1!E100+[1]Art2!E100+[1]Art3!E100+[1]Art4!E100+[1]Art5!E100+[1]Art6!E100+[1]Art7!E100+[1]Art8!E100+[1]Art9!E100+[1]Art10!E100+[1]Art11!E100+[1]Art12!E100+[1]Art13!E100+[1]Art14!E100+[1]Art15!E100+[1]Art16!E100+[1]Art17!E100+[1]Art18!E100+[1]Art19!E100+[1]Art20!E100+[1]Art21!E100+[1]Art22!E100+[1]Art23!E100+[1]Art24!E100+[1]Art25!E100+[1]Art26!E100+[1]Art27!E100+[1]Art28!E100+[1]Art29!E100+[1]Art30!E100+[1]Art31!E100+[1]Art32!E100+[1]Art33!E100+[1]Art34!E100+[1]Art35!E100+[1]Art36!E100+[1]Art37!E100+[1]Art38!E100+[1]ArtT1!E100+[1]ArtT2!E100)</f>
        <v>9</v>
      </c>
      <c r="F100" s="1">
        <f>SUM([1]Art1!F100+[1]Art2!F100+[1]Art3!F100+[1]Art4!F100+[1]Art5!F100+[1]Art6!F100+[1]Art7!F100+[1]Art8!F100+[1]Art9!F100+[1]Art10!F100+[1]Art11!F100+[1]Art12!F100+[1]Art13!F100+[1]Art14!F100+[1]Art15!F100+[1]Art16!F100+[1]Art17!F100+[1]Art18!F100+[1]Art19!F100+[1]Art20!F100+[1]Art21!F100+[1]Art22!F100+[1]Art23!F100+[1]Art24!F100+[1]Art25!F100+[1]Art26!F100+[1]Art27!F100+[1]Art28!F100+[1]Art29!F100+[1]Art30!F100+[1]Art31!F100+[1]Art32!F100+[1]Art33!F100+[1]Art34!F100+[1]Art35!F100+[1]Art36!F100+[1]Art37!F100+[1]Art38!F100+[1]ArtT1!F100+[1]ArtT2!F100)</f>
        <v>0</v>
      </c>
      <c r="H100" s="4"/>
      <c r="I100" s="4"/>
      <c r="J100" s="4"/>
      <c r="K100" s="4"/>
    </row>
    <row r="101" spans="1:11" ht="12.75" customHeight="1" x14ac:dyDescent="0.3">
      <c r="A101" s="1" t="s">
        <v>129</v>
      </c>
      <c r="B101" s="1" t="s">
        <v>27</v>
      </c>
      <c r="C101" s="1">
        <f>SUM([1]Art1!C101+[1]Art2!C101+[1]Art3!C101+[1]Art4!C101+[1]Art5!C101+[1]Art6!C101+[1]Art7!C101+[1]Art8!C101+[1]Art9!C101+[1]Art10!C101+[1]Art11!C101+[1]Art12!C101+[1]Art13!C101+[1]Art14!C101+[1]Art15!C101+[1]Art16!C101+[1]Art17!C101+[1]Art18!C101+[1]Art19!C101+[1]Art20!C101+[1]Art21!C101+[1]Art22!C101+[1]Art23!C101+[1]Art24!C101+[1]Art25!C101+[1]Art26!C101+[1]Art27!C101+[1]Art28!C101+[1]Art29!C101+[1]Art30!C101+[1]Art31!C101+[1]Art32!C101+[1]Art33!C101+[1]Art34!C101+[1]Art35!C101+[1]Art36!C101+[1]Art37!C101+[1]Art38!C101+[1]ArtT1!C101+[1]ArtT2!C101)</f>
        <v>11</v>
      </c>
      <c r="D101" s="1">
        <f>SUM([1]Art1!D101+[1]Art2!D101+[1]Art3!D101+[1]Art4!D101+[1]Art5!D101+[1]Art6!D101+[1]Art7!D101+[1]Art8!D101+[1]Art9!D101+[1]Art10!D101+[1]Art11!D101+[1]Art12!D101+[1]Art13!D101+[1]Art14!D101+[1]Art15!D101+[1]Art16!D101+[1]Art17!D101+[1]Art18!D101+[1]Art19!D101+[1]Art20!D101+[1]Art21!D101+[1]Art22!D101+[1]Art23!D101+[1]Art24!D101+[1]Art25!D101+[1]Art26!D101+[1]Art27!D101+[1]Art28!D101+[1]Art29!D101+[1]Art30!D101+[1]Art31!D101+[1]Art32!D101+[1]Art33!D101+[1]Art34!D101+[1]Art35!D101+[1]Art36!D101+[1]Art37!D101+[1]Art38!D101+[1]ArtT1!D101+[1]ArtT2!D101)</f>
        <v>26</v>
      </c>
      <c r="E101" s="1">
        <f>SUM([1]Art1!E101+[1]Art2!E101+[1]Art3!E101+[1]Art4!E101+[1]Art5!E101+[1]Art6!E101+[1]Art7!E101+[1]Art8!E101+[1]Art9!E101+[1]Art10!E101+[1]Art11!E101+[1]Art12!E101+[1]Art13!E101+[1]Art14!E101+[1]Art15!E101+[1]Art16!E101+[1]Art17!E101+[1]Art18!E101+[1]Art19!E101+[1]Art20!E101+[1]Art21!E101+[1]Art22!E101+[1]Art23!E101+[1]Art24!E101+[1]Art25!E101+[1]Art26!E101+[1]Art27!E101+[1]Art28!E101+[1]Art29!E101+[1]Art30!E101+[1]Art31!E101+[1]Art32!E101+[1]Art33!E101+[1]Art34!E101+[1]Art35!E101+[1]Art36!E101+[1]Art37!E101+[1]Art38!E101+[1]ArtT1!E101+[1]ArtT2!E101)</f>
        <v>2</v>
      </c>
      <c r="F101" s="1">
        <f>SUM([1]Art1!F101+[1]Art2!F101+[1]Art3!F101+[1]Art4!F101+[1]Art5!F101+[1]Art6!F101+[1]Art7!F101+[1]Art8!F101+[1]Art9!F101+[1]Art10!F101+[1]Art11!F101+[1]Art12!F101+[1]Art13!F101+[1]Art14!F101+[1]Art15!F101+[1]Art16!F101+[1]Art17!F101+[1]Art18!F101+[1]Art19!F101+[1]Art20!F101+[1]Art21!F101+[1]Art22!F101+[1]Art23!F101+[1]Art24!F101+[1]Art25!F101+[1]Art26!F101+[1]Art27!F101+[1]Art28!F101+[1]Art29!F101+[1]Art30!F101+[1]Art31!F101+[1]Art32!F101+[1]Art33!F101+[1]Art34!F101+[1]Art35!F101+[1]Art36!F101+[1]Art37!F101+[1]Art38!F101+[1]ArtT1!F101+[1]ArtT2!F101)</f>
        <v>1</v>
      </c>
      <c r="H101" s="4"/>
      <c r="I101" s="4"/>
      <c r="J101" s="4"/>
      <c r="K101" s="4"/>
    </row>
    <row r="102" spans="1:11" ht="12.75" customHeight="1" x14ac:dyDescent="0.3">
      <c r="A102" s="1" t="s">
        <v>130</v>
      </c>
      <c r="B102" s="1" t="s">
        <v>16</v>
      </c>
      <c r="C102" s="1">
        <f>SUM([1]Art1!C102+[1]Art2!C102+[1]Art3!C102+[1]Art4!C102+[1]Art5!C102+[1]Art6!C102+[1]Art7!C102+[1]Art8!C102+[1]Art9!C102+[1]Art10!C102+[1]Art11!C102+[1]Art12!C102+[1]Art13!C102+[1]Art14!C102+[1]Art15!C102+[1]Art16!C102+[1]Art17!C102+[1]Art18!C102+[1]Art19!C102+[1]Art20!C102+[1]Art21!C102+[1]Art22!C102+[1]Art23!C102+[1]Art24!C102+[1]Art25!C102+[1]Art26!C102+[1]Art27!C102+[1]Art28!C102+[1]Art29!C102+[1]Art30!C102+[1]Art31!C102+[1]Art32!C102+[1]Art33!C102+[1]Art34!C102+[1]Art35!C102+[1]Art36!C102+[1]Art37!C102+[1]Art38!C102+[1]ArtT1!C102+[1]ArtT2!C102)</f>
        <v>28</v>
      </c>
      <c r="D102" s="1">
        <f>SUM([1]Art1!D102+[1]Art2!D102+[1]Art3!D102+[1]Art4!D102+[1]Art5!D102+[1]Art6!D102+[1]Art7!D102+[1]Art8!D102+[1]Art9!D102+[1]Art10!D102+[1]Art11!D102+[1]Art12!D102+[1]Art13!D102+[1]Art14!D102+[1]Art15!D102+[1]Art16!D102+[1]Art17!D102+[1]Art18!D102+[1]Art19!D102+[1]Art20!D102+[1]Art21!D102+[1]Art22!D102+[1]Art23!D102+[1]Art24!D102+[1]Art25!D102+[1]Art26!D102+[1]Art27!D102+[1]Art28!D102+[1]Art29!D102+[1]Art30!D102+[1]Art31!D102+[1]Art32!D102+[1]Art33!D102+[1]Art34!D102+[1]Art35!D102+[1]Art36!D102+[1]Art37!D102+[1]Art38!D102+[1]ArtT1!D102+[1]ArtT2!D102)</f>
        <v>4</v>
      </c>
      <c r="E102" s="1">
        <f>SUM([1]Art1!E102+[1]Art2!E102+[1]Art3!E102+[1]Art4!E102+[1]Art5!E102+[1]Art6!E102+[1]Art7!E102+[1]Art8!E102+[1]Art9!E102+[1]Art10!E102+[1]Art11!E102+[1]Art12!E102+[1]Art13!E102+[1]Art14!E102+[1]Art15!E102+[1]Art16!E102+[1]Art17!E102+[1]Art18!E102+[1]Art19!E102+[1]Art20!E102+[1]Art21!E102+[1]Art22!E102+[1]Art23!E102+[1]Art24!E102+[1]Art25!E102+[1]Art26!E102+[1]Art27!E102+[1]Art28!E102+[1]Art29!E102+[1]Art30!E102+[1]Art31!E102+[1]Art32!E102+[1]Art33!E102+[1]Art34!E102+[1]Art35!E102+[1]Art36!E102+[1]Art37!E102+[1]Art38!E102+[1]ArtT1!E102+[1]ArtT2!E102)</f>
        <v>8</v>
      </c>
      <c r="F102" s="1">
        <f>SUM([1]Art1!F102+[1]Art2!F102+[1]Art3!F102+[1]Art4!F102+[1]Art5!F102+[1]Art6!F102+[1]Art7!F102+[1]Art8!F102+[1]Art9!F102+[1]Art10!F102+[1]Art11!F102+[1]Art12!F102+[1]Art13!F102+[1]Art14!F102+[1]Art15!F102+[1]Art16!F102+[1]Art17!F102+[1]Art18!F102+[1]Art19!F102+[1]Art20!F102+[1]Art21!F102+[1]Art22!F102+[1]Art23!F102+[1]Art24!F102+[1]Art25!F102+[1]Art26!F102+[1]Art27!F102+[1]Art28!F102+[1]Art29!F102+[1]Art30!F102+[1]Art31!F102+[1]Art32!F102+[1]Art33!F102+[1]Art34!F102+[1]Art35!F102+[1]Art36!F102+[1]Art37!F102+[1]Art38!F102+[1]ArtT1!F102+[1]ArtT2!F102)</f>
        <v>0</v>
      </c>
      <c r="H102" s="4"/>
      <c r="I102" s="4"/>
      <c r="J102" s="4"/>
      <c r="K102" s="4"/>
    </row>
    <row r="103" spans="1:11" ht="12.75" customHeight="1" x14ac:dyDescent="0.3">
      <c r="A103" s="1" t="s">
        <v>131</v>
      </c>
      <c r="B103" s="1" t="s">
        <v>66</v>
      </c>
      <c r="C103" s="1">
        <f>SUM([1]Art1!C103+[1]Art2!C103+[1]Art3!C103+[1]Art4!C103+[1]Art5!C103+[1]Art6!C103+[1]Art7!C103+[1]Art8!C103+[1]Art9!C103+[1]Art10!C103+[1]Art11!C103+[1]Art12!C103+[1]Art13!C103+[1]Art14!C103+[1]Art15!C103+[1]Art16!C103+[1]Art17!C103+[1]Art18!C103+[1]Art19!C103+[1]Art20!C103+[1]Art21!C103+[1]Art22!C103+[1]Art23!C103+[1]Art24!C103+[1]Art25!C103+[1]Art26!C103+[1]Art27!C103+[1]Art28!C103+[1]Art29!C103+[1]Art30!C103+[1]Art31!C103+[1]Art32!C103+[1]Art33!C103+[1]Art34!C103+[1]Art35!C103+[1]Art36!C103+[1]Art37!C103+[1]Art38!C103+[1]ArtT1!C103+[1]ArtT2!C103)</f>
        <v>2</v>
      </c>
      <c r="D103" s="1">
        <f>SUM([1]Art1!D103+[1]Art2!D103+[1]Art3!D103+[1]Art4!D103+[1]Art5!D103+[1]Art6!D103+[1]Art7!D103+[1]Art8!D103+[1]Art9!D103+[1]Art10!D103+[1]Art11!D103+[1]Art12!D103+[1]Art13!D103+[1]Art14!D103+[1]Art15!D103+[1]Art16!D103+[1]Art17!D103+[1]Art18!D103+[1]Art19!D103+[1]Art20!D103+[1]Art21!D103+[1]Art22!D103+[1]Art23!D103+[1]Art24!D103+[1]Art25!D103+[1]Art26!D103+[1]Art27!D103+[1]Art28!D103+[1]Art29!D103+[1]Art30!D103+[1]Art31!D103+[1]Art32!D103+[1]Art33!D103+[1]Art34!D103+[1]Art35!D103+[1]Art36!D103+[1]Art37!D103+[1]Art38!D103+[1]ArtT1!D103+[1]ArtT2!D103)</f>
        <v>21</v>
      </c>
      <c r="E103" s="1">
        <f>SUM([1]Art1!E103+[1]Art2!E103+[1]Art3!E103+[1]Art4!E103+[1]Art5!E103+[1]Art6!E103+[1]Art7!E103+[1]Art8!E103+[1]Art9!E103+[1]Art10!E103+[1]Art11!E103+[1]Art12!E103+[1]Art13!E103+[1]Art14!E103+[1]Art15!E103+[1]Art16!E103+[1]Art17!E103+[1]Art18!E103+[1]Art19!E103+[1]Art20!E103+[1]Art21!E103+[1]Art22!E103+[1]Art23!E103+[1]Art24!E103+[1]Art25!E103+[1]Art26!E103+[1]Art27!E103+[1]Art28!E103+[1]Art29!E103+[1]Art30!E103+[1]Art31!E103+[1]Art32!E103+[1]Art33!E103+[1]Art34!E103+[1]Art35!E103+[1]Art36!E103+[1]Art37!E103+[1]Art38!E103+[1]ArtT1!E103+[1]ArtT2!E103)</f>
        <v>17</v>
      </c>
      <c r="F103" s="1">
        <f>SUM([1]Art1!F103+[1]Art2!F103+[1]Art3!F103+[1]Art4!F103+[1]Art5!F103+[1]Art6!F103+[1]Art7!F103+[1]Art8!F103+[1]Art9!F103+[1]Art10!F103+[1]Art11!F103+[1]Art12!F103+[1]Art13!F103+[1]Art14!F103+[1]Art15!F103+[1]Art16!F103+[1]Art17!F103+[1]Art18!F103+[1]Art19!F103+[1]Art20!F103+[1]Art21!F103+[1]Art22!F103+[1]Art23!F103+[1]Art24!F103+[1]Art25!F103+[1]Art26!F103+[1]Art27!F103+[1]Art28!F103+[1]Art29!F103+[1]Art30!F103+[1]Art31!F103+[1]Art32!F103+[1]Art33!F103+[1]Art34!F103+[1]Art35!F103+[1]Art36!F103+[1]Art37!F103+[1]Art38!F103+[1]ArtT1!F103+[1]ArtT2!F103)</f>
        <v>0</v>
      </c>
      <c r="H103" s="4"/>
      <c r="I103" s="4"/>
      <c r="J103" s="4"/>
      <c r="K103" s="4"/>
    </row>
    <row r="104" spans="1:11" ht="12.75" customHeight="1" x14ac:dyDescent="0.3">
      <c r="A104" s="1" t="s">
        <v>132</v>
      </c>
      <c r="B104" s="1" t="s">
        <v>30</v>
      </c>
      <c r="C104" s="1">
        <f>SUM([1]Art1!C104+[1]Art2!C104+[1]Art3!C104+[1]Art4!C104+[1]Art5!C104+[1]Art6!C104+[1]Art7!C104+[1]Art8!C104+[1]Art9!C104+[1]Art10!C104+[1]Art11!C104+[1]Art12!C104+[1]Art13!C104+[1]Art14!C104+[1]Art15!C104+[1]Art16!C104+[1]Art17!C104+[1]Art18!C104+[1]Art19!C104+[1]Art20!C104+[1]Art21!C104+[1]Art22!C104+[1]Art23!C104+[1]Art24!C104+[1]Art25!C104+[1]Art26!C104+[1]Art27!C104+[1]Art28!C104+[1]Art29!C104+[1]Art30!C104+[1]Art31!C104+[1]Art32!C104+[1]Art33!C104+[1]Art34!C104+[1]Art35!C104+[1]Art36!C104+[1]Art37!C104+[1]Art38!C104+[1]ArtT1!C104+[1]ArtT2!C104)</f>
        <v>0</v>
      </c>
      <c r="D104" s="1">
        <f>SUM([1]Art1!D104+[1]Art2!D104+[1]Art3!D104+[1]Art4!D104+[1]Art5!D104+[1]Art6!D104+[1]Art7!D104+[1]Art8!D104+[1]Art9!D104+[1]Art10!D104+[1]Art11!D104+[1]Art12!D104+[1]Art13!D104+[1]Art14!D104+[1]Art15!D104+[1]Art16!D104+[1]Art17!D104+[1]Art18!D104+[1]Art19!D104+[1]Art20!D104+[1]Art21!D104+[1]Art22!D104+[1]Art23!D104+[1]Art24!D104+[1]Art25!D104+[1]Art26!D104+[1]Art27!D104+[1]Art28!D104+[1]Art29!D104+[1]Art30!D104+[1]Art31!D104+[1]Art32!D104+[1]Art33!D104+[1]Art34!D104+[1]Art35!D104+[1]Art36!D104+[1]Art37!D104+[1]Art38!D104+[1]ArtT1!D104+[1]ArtT2!D104)</f>
        <v>30</v>
      </c>
      <c r="E104" s="1">
        <f>SUM([1]Art1!E104+[1]Art2!E104+[1]Art3!E104+[1]Art4!E104+[1]Art5!E104+[1]Art6!E104+[1]Art7!E104+[1]Art8!E104+[1]Art9!E104+[1]Art10!E104+[1]Art11!E104+[1]Art12!E104+[1]Art13!E104+[1]Art14!E104+[1]Art15!E104+[1]Art16!E104+[1]Art17!E104+[1]Art18!E104+[1]Art19!E104+[1]Art20!E104+[1]Art21!E104+[1]Art22!E104+[1]Art23!E104+[1]Art24!E104+[1]Art25!E104+[1]Art26!E104+[1]Art27!E104+[1]Art28!E104+[1]Art29!E104+[1]Art30!E104+[1]Art31!E104+[1]Art32!E104+[1]Art33!E104+[1]Art34!E104+[1]Art35!E104+[1]Art36!E104+[1]Art37!E104+[1]Art38!E104+[1]ArtT1!E104+[1]ArtT2!E104)</f>
        <v>10</v>
      </c>
      <c r="F104" s="1">
        <f>SUM([1]Art1!F104+[1]Art2!F104+[1]Art3!F104+[1]Art4!F104+[1]Art5!F104+[1]Art6!F104+[1]Art7!F104+[1]Art8!F104+[1]Art9!F104+[1]Art10!F104+[1]Art11!F104+[1]Art12!F104+[1]Art13!F104+[1]Art14!F104+[1]Art15!F104+[1]Art16!F104+[1]Art17!F104+[1]Art18!F104+[1]Art19!F104+[1]Art20!F104+[1]Art21!F104+[1]Art22!F104+[1]Art23!F104+[1]Art24!F104+[1]Art25!F104+[1]Art26!F104+[1]Art27!F104+[1]Art28!F104+[1]Art29!F104+[1]Art30!F104+[1]Art31!F104+[1]Art32!F104+[1]Art33!F104+[1]Art34!F104+[1]Art35!F104+[1]Art36!F104+[1]Art37!F104+[1]Art38!F104+[1]ArtT1!F104+[1]ArtT2!F104)</f>
        <v>0</v>
      </c>
      <c r="H104" s="4"/>
      <c r="I104" s="4"/>
      <c r="J104" s="4"/>
      <c r="K104" s="4"/>
    </row>
    <row r="105" spans="1:11" ht="12.75" customHeight="1" x14ac:dyDescent="0.3">
      <c r="A105" s="1" t="s">
        <v>133</v>
      </c>
      <c r="B105" s="1" t="s">
        <v>14</v>
      </c>
      <c r="C105" s="1">
        <f>SUM([1]Art1!C105+[1]Art2!C105+[1]Art3!C105+[1]Art4!C105+[1]Art5!C105+[1]Art6!C105+[1]Art7!C105+[1]Art8!C105+[1]Art9!C105+[1]Art10!C105+[1]Art11!C105+[1]Art12!C105+[1]Art13!C105+[1]Art14!C105+[1]Art15!C105+[1]Art16!C105+[1]Art17!C105+[1]Art18!C105+[1]Art19!C105+[1]Art20!C105+[1]Art21!C105+[1]Art22!C105+[1]Art23!C105+[1]Art24!C105+[1]Art25!C105+[1]Art26!C105+[1]Art27!C105+[1]Art28!C105+[1]Art29!C105+[1]Art30!C105+[1]Art31!C105+[1]Art32!C105+[1]Art33!C105+[1]Art34!C105+[1]Art35!C105+[1]Art36!C105+[1]Art37!C105+[1]Art38!C105+[1]ArtT1!C105+[1]ArtT2!C105)</f>
        <v>38</v>
      </c>
      <c r="D105" s="1">
        <f>SUM([1]Art1!D105+[1]Art2!D105+[1]Art3!D105+[1]Art4!D105+[1]Art5!D105+[1]Art6!D105+[1]Art7!D105+[1]Art8!D105+[1]Art9!D105+[1]Art10!D105+[1]Art11!D105+[1]Art12!D105+[1]Art13!D105+[1]Art14!D105+[1]Art15!D105+[1]Art16!D105+[1]Art17!D105+[1]Art18!D105+[1]Art19!D105+[1]Art20!D105+[1]Art21!D105+[1]Art22!D105+[1]Art23!D105+[1]Art24!D105+[1]Art25!D105+[1]Art26!D105+[1]Art27!D105+[1]Art28!D105+[1]Art29!D105+[1]Art30!D105+[1]Art31!D105+[1]Art32!D105+[1]Art33!D105+[1]Art34!D105+[1]Art35!D105+[1]Art36!D105+[1]Art37!D105+[1]Art38!D105+[1]ArtT1!D105+[1]ArtT2!D105)</f>
        <v>0</v>
      </c>
      <c r="E105" s="1">
        <f>SUM([1]Art1!E105+[1]Art2!E105+[1]Art3!E105+[1]Art4!E105+[1]Art5!E105+[1]Art6!E105+[1]Art7!E105+[1]Art8!E105+[1]Art9!E105+[1]Art10!E105+[1]Art11!E105+[1]Art12!E105+[1]Art13!E105+[1]Art14!E105+[1]Art15!E105+[1]Art16!E105+[1]Art17!E105+[1]Art18!E105+[1]Art19!E105+[1]Art20!E105+[1]Art21!E105+[1]Art22!E105+[1]Art23!E105+[1]Art24!E105+[1]Art25!E105+[1]Art26!E105+[1]Art27!E105+[1]Art28!E105+[1]Art29!E105+[1]Art30!E105+[1]Art31!E105+[1]Art32!E105+[1]Art33!E105+[1]Art34!E105+[1]Art35!E105+[1]Art36!E105+[1]Art37!E105+[1]Art38!E105+[1]ArtT1!E105+[1]ArtT2!E105)</f>
        <v>1</v>
      </c>
      <c r="F105" s="1">
        <f>SUM([1]Art1!F105+[1]Art2!F105+[1]Art3!F105+[1]Art4!F105+[1]Art5!F105+[1]Art6!F105+[1]Art7!F105+[1]Art8!F105+[1]Art9!F105+[1]Art10!F105+[1]Art11!F105+[1]Art12!F105+[1]Art13!F105+[1]Art14!F105+[1]Art15!F105+[1]Art16!F105+[1]Art17!F105+[1]Art18!F105+[1]Art19!F105+[1]Art20!F105+[1]Art21!F105+[1]Art22!F105+[1]Art23!F105+[1]Art24!F105+[1]Art25!F105+[1]Art26!F105+[1]Art27!F105+[1]Art28!F105+[1]Art29!F105+[1]Art30!F105+[1]Art31!F105+[1]Art32!F105+[1]Art33!F105+[1]Art34!F105+[1]Art35!F105+[1]Art36!F105+[1]Art37!F105+[1]Art38!F105+[1]ArtT1!F105+[1]ArtT2!F105)</f>
        <v>1</v>
      </c>
      <c r="H105" s="4"/>
      <c r="I105" s="4"/>
      <c r="J105" s="4"/>
      <c r="K105" s="4"/>
    </row>
    <row r="106" spans="1:11" ht="12.75" customHeight="1" x14ac:dyDescent="0.3">
      <c r="A106" s="1" t="s">
        <v>134</v>
      </c>
      <c r="B106" s="1" t="s">
        <v>42</v>
      </c>
      <c r="C106" s="1">
        <f>SUM([1]Art1!C106+[1]Art2!C106+[1]Art3!C106+[1]Art4!C106+[1]Art5!C106+[1]Art6!C106+[1]Art7!C106+[1]Art8!C106+[1]Art9!C106+[1]Art10!C106+[1]Art11!C106+[1]Art12!C106+[1]Art13!C106+[1]Art14!C106+[1]Art15!C106+[1]Art16!C106+[1]Art17!C106+[1]Art18!C106+[1]Art19!C106+[1]Art20!C106+[1]Art21!C106+[1]Art22!C106+[1]Art23!C106+[1]Art24!C106+[1]Art25!C106+[1]Art26!C106+[1]Art27!C106+[1]Art28!C106+[1]Art29!C106+[1]Art30!C106+[1]Art31!C106+[1]Art32!C106+[1]Art33!C106+[1]Art34!C106+[1]Art35!C106+[1]Art36!C106+[1]Art37!C106+[1]Art38!C106+[1]ArtT1!C106+[1]ArtT2!C106)</f>
        <v>39</v>
      </c>
      <c r="D106" s="1">
        <f>SUM([1]Art1!D106+[1]Art2!D106+[1]Art3!D106+[1]Art4!D106+[1]Art5!D106+[1]Art6!D106+[1]Art7!D106+[1]Art8!D106+[1]Art9!D106+[1]Art10!D106+[1]Art11!D106+[1]Art12!D106+[1]Art13!D106+[1]Art14!D106+[1]Art15!D106+[1]Art16!D106+[1]Art17!D106+[1]Art18!D106+[1]Art19!D106+[1]Art20!D106+[1]Art21!D106+[1]Art22!D106+[1]Art23!D106+[1]Art24!D106+[1]Art25!D106+[1]Art26!D106+[1]Art27!D106+[1]Art28!D106+[1]Art29!D106+[1]Art30!D106+[1]Art31!D106+[1]Art32!D106+[1]Art33!D106+[1]Art34!D106+[1]Art35!D106+[1]Art36!D106+[1]Art37!D106+[1]Art38!D106+[1]ArtT1!D106+[1]ArtT2!D106)</f>
        <v>1</v>
      </c>
      <c r="E106" s="1">
        <f>SUM([1]Art1!E106+[1]Art2!E106+[1]Art3!E106+[1]Art4!E106+[1]Art5!E106+[1]Art6!E106+[1]Art7!E106+[1]Art8!E106+[1]Art9!E106+[1]Art10!E106+[1]Art11!E106+[1]Art12!E106+[1]Art13!E106+[1]Art14!E106+[1]Art15!E106+[1]Art16!E106+[1]Art17!E106+[1]Art18!E106+[1]Art19!E106+[1]Art20!E106+[1]Art21!E106+[1]Art22!E106+[1]Art23!E106+[1]Art24!E106+[1]Art25!E106+[1]Art26!E106+[1]Art27!E106+[1]Art28!E106+[1]Art29!E106+[1]Art30!E106+[1]Art31!E106+[1]Art32!E106+[1]Art33!E106+[1]Art34!E106+[1]Art35!E106+[1]Art36!E106+[1]Art37!E106+[1]Art38!E106+[1]ArtT1!E106+[1]ArtT2!E106)</f>
        <v>0</v>
      </c>
      <c r="F106" s="1">
        <f>SUM([1]Art1!F106+[1]Art2!F106+[1]Art3!F106+[1]Art4!F106+[1]Art5!F106+[1]Art6!F106+[1]Art7!F106+[1]Art8!F106+[1]Art9!F106+[1]Art10!F106+[1]Art11!F106+[1]Art12!F106+[1]Art13!F106+[1]Art14!F106+[1]Art15!F106+[1]Art16!F106+[1]Art17!F106+[1]Art18!F106+[1]Art19!F106+[1]Art20!F106+[1]Art21!F106+[1]Art22!F106+[1]Art23!F106+[1]Art24!F106+[1]Art25!F106+[1]Art26!F106+[1]Art27!F106+[1]Art28!F106+[1]Art29!F106+[1]Art30!F106+[1]Art31!F106+[1]Art32!F106+[1]Art33!F106+[1]Art34!F106+[1]Art35!F106+[1]Art36!F106+[1]Art37!F106+[1]Art38!F106+[1]ArtT1!F106+[1]ArtT2!F106)</f>
        <v>0</v>
      </c>
      <c r="H106" s="4"/>
      <c r="I106" s="4"/>
      <c r="J106" s="4"/>
      <c r="K106" s="4"/>
    </row>
    <row r="107" spans="1:11" ht="12.75" customHeight="1" x14ac:dyDescent="0.3">
      <c r="A107" s="1" t="s">
        <v>135</v>
      </c>
      <c r="B107" s="1" t="s">
        <v>27</v>
      </c>
      <c r="C107" s="1">
        <f>SUM([1]Art1!C107+[1]Art2!C107+[1]Art3!C107+[1]Art4!C107+[1]Art5!C107+[1]Art6!C107+[1]Art7!C107+[1]Art8!C107+[1]Art9!C107+[1]Art10!C107+[1]Art11!C107+[1]Art12!C107+[1]Art13!C107+[1]Art14!C107+[1]Art15!C107+[1]Art16!C107+[1]Art17!C107+[1]Art18!C107+[1]Art19!C107+[1]Art20!C107+[1]Art21!C107+[1]Art22!C107+[1]Art23!C107+[1]Art24!C107+[1]Art25!C107+[1]Art26!C107+[1]Art27!C107+[1]Art28!C107+[1]Art29!C107+[1]Art30!C107+[1]Art31!C107+[1]Art32!C107+[1]Art33!C107+[1]Art34!C107+[1]Art35!C107+[1]Art36!C107+[1]Art37!C107+[1]Art38!C107+[1]ArtT1!C107+[1]ArtT2!C107)</f>
        <v>10</v>
      </c>
      <c r="D107" s="1">
        <f>SUM([1]Art1!D107+[1]Art2!D107+[1]Art3!D107+[1]Art4!D107+[1]Art5!D107+[1]Art6!D107+[1]Art7!D107+[1]Art8!D107+[1]Art9!D107+[1]Art10!D107+[1]Art11!D107+[1]Art12!D107+[1]Art13!D107+[1]Art14!D107+[1]Art15!D107+[1]Art16!D107+[1]Art17!D107+[1]Art18!D107+[1]Art19!D107+[1]Art20!D107+[1]Art21!D107+[1]Art22!D107+[1]Art23!D107+[1]Art24!D107+[1]Art25!D107+[1]Art26!D107+[1]Art27!D107+[1]Art28!D107+[1]Art29!D107+[1]Art30!D107+[1]Art31!D107+[1]Art32!D107+[1]Art33!D107+[1]Art34!D107+[1]Art35!D107+[1]Art36!D107+[1]Art37!D107+[1]Art38!D107+[1]ArtT1!D107+[1]ArtT2!D107)</f>
        <v>29</v>
      </c>
      <c r="E107" s="1">
        <f>SUM([1]Art1!E107+[1]Art2!E107+[1]Art3!E107+[1]Art4!E107+[1]Art5!E107+[1]Art6!E107+[1]Art7!E107+[1]Art8!E107+[1]Art9!E107+[1]Art10!E107+[1]Art11!E107+[1]Art12!E107+[1]Art13!E107+[1]Art14!E107+[1]Art15!E107+[1]Art16!E107+[1]Art17!E107+[1]Art18!E107+[1]Art19!E107+[1]Art20!E107+[1]Art21!E107+[1]Art22!E107+[1]Art23!E107+[1]Art24!E107+[1]Art25!E107+[1]Art26!E107+[1]Art27!E107+[1]Art28!E107+[1]Art29!E107+[1]Art30!E107+[1]Art31!E107+[1]Art32!E107+[1]Art33!E107+[1]Art34!E107+[1]Art35!E107+[1]Art36!E107+[1]Art37!E107+[1]Art38!E107+[1]ArtT1!E107+[1]ArtT2!E107)</f>
        <v>1</v>
      </c>
      <c r="F107" s="1">
        <f>SUM([1]Art1!F107+[1]Art2!F107+[1]Art3!F107+[1]Art4!F107+[1]Art5!F107+[1]Art6!F107+[1]Art7!F107+[1]Art8!F107+[1]Art9!F107+[1]Art10!F107+[1]Art11!F107+[1]Art12!F107+[1]Art13!F107+[1]Art14!F107+[1]Art15!F107+[1]Art16!F107+[1]Art17!F107+[1]Art18!F107+[1]Art19!F107+[1]Art20!F107+[1]Art21!F107+[1]Art22!F107+[1]Art23!F107+[1]Art24!F107+[1]Art25!F107+[1]Art26!F107+[1]Art27!F107+[1]Art28!F107+[1]Art29!F107+[1]Art30!F107+[1]Art31!F107+[1]Art32!F107+[1]Art33!F107+[1]Art34!F107+[1]Art35!F107+[1]Art36!F107+[1]Art37!F107+[1]Art38!F107+[1]ArtT1!F107+[1]ArtT2!F107)</f>
        <v>0</v>
      </c>
      <c r="H107" s="4"/>
      <c r="I107" s="4"/>
      <c r="J107" s="4"/>
      <c r="K107" s="4"/>
    </row>
    <row r="108" spans="1:11" ht="12.75" customHeight="1" x14ac:dyDescent="0.3">
      <c r="A108" s="1" t="s">
        <v>136</v>
      </c>
      <c r="B108" s="1" t="s">
        <v>66</v>
      </c>
      <c r="C108" s="1">
        <f>SUM([1]Art1!C108+[1]Art2!C108+[1]Art3!C108+[1]Art4!C108+[1]Art5!C108+[1]Art6!C108+[1]Art7!C108+[1]Art8!C108+[1]Art9!C108+[1]Art10!C108+[1]Art11!C108+[1]Art12!C108+[1]Art13!C108+[1]Art14!C108+[1]Art15!C108+[1]Art16!C108+[1]Art17!C108+[1]Art18!C108+[1]Art19!C108+[1]Art20!C108+[1]Art21!C108+[1]Art22!C108+[1]Art23!C108+[1]Art24!C108+[1]Art25!C108+[1]Art26!C108+[1]Art27!C108+[1]Art28!C108+[1]Art29!C108+[1]Art30!C108+[1]Art31!C108+[1]Art32!C108+[1]Art33!C108+[1]Art34!C108+[1]Art35!C108+[1]Art36!C108+[1]Art37!C108+[1]Art38!C108+[1]ArtT1!C108+[1]ArtT2!C108)</f>
        <v>1</v>
      </c>
      <c r="D108" s="1">
        <f>SUM([1]Art1!D108+[1]Art2!D108+[1]Art3!D108+[1]Art4!D108+[1]Art5!D108+[1]Art6!D108+[1]Art7!D108+[1]Art8!D108+[1]Art9!D108+[1]Art10!D108+[1]Art11!D108+[1]Art12!D108+[1]Art13!D108+[1]Art14!D108+[1]Art15!D108+[1]Art16!D108+[1]Art17!D108+[1]Art18!D108+[1]Art19!D108+[1]Art20!D108+[1]Art21!D108+[1]Art22!D108+[1]Art23!D108+[1]Art24!D108+[1]Art25!D108+[1]Art26!D108+[1]Art27!D108+[1]Art28!D108+[1]Art29!D108+[1]Art30!D108+[1]Art31!D108+[1]Art32!D108+[1]Art33!D108+[1]Art34!D108+[1]Art35!D108+[1]Art36!D108+[1]Art37!D108+[1]Art38!D108+[1]ArtT1!D108+[1]ArtT2!D108)</f>
        <v>21</v>
      </c>
      <c r="E108" s="1">
        <f>SUM([1]Art1!E108+[1]Art2!E108+[1]Art3!E108+[1]Art4!E108+[1]Art5!E108+[1]Art6!E108+[1]Art7!E108+[1]Art8!E108+[1]Art9!E108+[1]Art10!E108+[1]Art11!E108+[1]Art12!E108+[1]Art13!E108+[1]Art14!E108+[1]Art15!E108+[1]Art16!E108+[1]Art17!E108+[1]Art18!E108+[1]Art19!E108+[1]Art20!E108+[1]Art21!E108+[1]Art22!E108+[1]Art23!E108+[1]Art24!E108+[1]Art25!E108+[1]Art26!E108+[1]Art27!E108+[1]Art28!E108+[1]Art29!E108+[1]Art30!E108+[1]Art31!E108+[1]Art32!E108+[1]Art33!E108+[1]Art34!E108+[1]Art35!E108+[1]Art36!E108+[1]Art37!E108+[1]Art38!E108+[1]ArtT1!E108+[1]ArtT2!E108)</f>
        <v>16</v>
      </c>
      <c r="F108" s="1">
        <f>SUM([1]Art1!F108+[1]Art2!F108+[1]Art3!F108+[1]Art4!F108+[1]Art5!F108+[1]Art6!F108+[1]Art7!F108+[1]Art8!F108+[1]Art9!F108+[1]Art10!F108+[1]Art11!F108+[1]Art12!F108+[1]Art13!F108+[1]Art14!F108+[1]Art15!F108+[1]Art16!F108+[1]Art17!F108+[1]Art18!F108+[1]Art19!F108+[1]Art20!F108+[1]Art21!F108+[1]Art22!F108+[1]Art23!F108+[1]Art24!F108+[1]Art25!F108+[1]Art26!F108+[1]Art27!F108+[1]Art28!F108+[1]Art29!F108+[1]Art30!F108+[1]Art31!F108+[1]Art32!F108+[1]Art33!F108+[1]Art34!F108+[1]Art35!F108+[1]Art36!F108+[1]Art37!F108+[1]Art38!F108+[1]ArtT1!F108+[1]ArtT2!F108)</f>
        <v>2</v>
      </c>
      <c r="H108" s="4"/>
      <c r="I108" s="4"/>
      <c r="J108" s="4"/>
      <c r="K108" s="4"/>
    </row>
    <row r="109" spans="1:11" ht="12.75" customHeight="1" x14ac:dyDescent="0.3">
      <c r="A109" s="1" t="s">
        <v>137</v>
      </c>
      <c r="B109" s="1" t="s">
        <v>13</v>
      </c>
      <c r="C109" s="1">
        <f>SUM([1]Art1!C109+[1]Art2!C109+[1]Art3!C109+[1]Art4!C109+[1]Art5!C109+[1]Art6!C109+[1]Art7!C109+[1]Art8!C109+[1]Art9!C109+[1]Art10!C109+[1]Art11!C109+[1]Art12!C109+[1]Art13!C109+[1]Art14!C109+[1]Art15!C109+[1]Art16!C109+[1]Art17!C109+[1]Art18!C109+[1]Art19!C109+[1]Art20!C109+[1]Art21!C109+[1]Art22!C109+[1]Art23!C109+[1]Art24!C109+[1]Art25!C109+[1]Art26!C109+[1]Art27!C109+[1]Art28!C109+[1]Art29!C109+[1]Art30!C109+[1]Art31!C109+[1]Art32!C109+[1]Art33!C109+[1]Art34!C109+[1]Art35!C109+[1]Art36!C109+[1]Art37!C109+[1]Art38!C109+[1]ArtT1!C109+[1]ArtT2!C109)</f>
        <v>8</v>
      </c>
      <c r="D109" s="1">
        <f>SUM([1]Art1!D109+[1]Art2!D109+[1]Art3!D109+[1]Art4!D109+[1]Art5!D109+[1]Art6!D109+[1]Art7!D109+[1]Art8!D109+[1]Art9!D109+[1]Art10!D109+[1]Art11!D109+[1]Art12!D109+[1]Art13!D109+[1]Art14!D109+[1]Art15!D109+[1]Art16!D109+[1]Art17!D109+[1]Art18!D109+[1]Art19!D109+[1]Art20!D109+[1]Art21!D109+[1]Art22!D109+[1]Art23!D109+[1]Art24!D109+[1]Art25!D109+[1]Art26!D109+[1]Art27!D109+[1]Art28!D109+[1]Art29!D109+[1]Art30!D109+[1]Art31!D109+[1]Art32!D109+[1]Art33!D109+[1]Art34!D109+[1]Art35!D109+[1]Art36!D109+[1]Art37!D109+[1]Art38!D109+[1]ArtT1!D109+[1]ArtT2!D109)</f>
        <v>31</v>
      </c>
      <c r="E109" s="1">
        <f>SUM([1]Art1!E109+[1]Art2!E109+[1]Art3!E109+[1]Art4!E109+[1]Art5!E109+[1]Art6!E109+[1]Art7!E109+[1]Art8!E109+[1]Art9!E109+[1]Art10!E109+[1]Art11!E109+[1]Art12!E109+[1]Art13!E109+[1]Art14!E109+[1]Art15!E109+[1]Art16!E109+[1]Art17!E109+[1]Art18!E109+[1]Art19!E109+[1]Art20!E109+[1]Art21!E109+[1]Art22!E109+[1]Art23!E109+[1]Art24!E109+[1]Art25!E109+[1]Art26!E109+[1]Art27!E109+[1]Art28!E109+[1]Art29!E109+[1]Art30!E109+[1]Art31!E109+[1]Art32!E109+[1]Art33!E109+[1]Art34!E109+[1]Art35!E109+[1]Art36!E109+[1]Art37!E109+[1]Art38!E109+[1]ArtT1!E109+[1]ArtT2!E109)</f>
        <v>0</v>
      </c>
      <c r="F109" s="1">
        <f>SUM([1]Art1!F109+[1]Art2!F109+[1]Art3!F109+[1]Art4!F109+[1]Art5!F109+[1]Art6!F109+[1]Art7!F109+[1]Art8!F109+[1]Art9!F109+[1]Art10!F109+[1]Art11!F109+[1]Art12!F109+[1]Art13!F109+[1]Art14!F109+[1]Art15!F109+[1]Art16!F109+[1]Art17!F109+[1]Art18!F109+[1]Art19!F109+[1]Art20!F109+[1]Art21!F109+[1]Art22!F109+[1]Art23!F109+[1]Art24!F109+[1]Art25!F109+[1]Art26!F109+[1]Art27!F109+[1]Art28!F109+[1]Art29!F109+[1]Art30!F109+[1]Art31!F109+[1]Art32!F109+[1]Art33!F109+[1]Art34!F109+[1]Art35!F109+[1]Art36!F109+[1]Art37!F109+[1]Art38!F109+[1]ArtT1!F109+[1]ArtT2!F109)</f>
        <v>1</v>
      </c>
      <c r="H109" s="4"/>
      <c r="I109" s="4"/>
      <c r="J109" s="4"/>
      <c r="K109" s="4"/>
    </row>
    <row r="110" spans="1:11" ht="12.75" customHeight="1" x14ac:dyDescent="0.3">
      <c r="A110" s="1" t="s">
        <v>138</v>
      </c>
      <c r="B110" s="1" t="s">
        <v>42</v>
      </c>
      <c r="C110" s="1">
        <f>SUM([1]Art1!C110+[1]Art2!C110+[1]Art3!C110+[1]Art4!C110+[1]Art5!C110+[1]Art6!C110+[1]Art7!C110+[1]Art8!C110+[1]Art9!C110+[1]Art10!C110+[1]Art11!C110+[1]Art12!C110+[1]Art13!C110+[1]Art14!C110+[1]Art15!C110+[1]Art16!C110+[1]Art17!C110+[1]Art18!C110+[1]Art19!C110+[1]Art20!C110+[1]Art21!C110+[1]Art22!C110+[1]Art23!C110+[1]Art24!C110+[1]Art25!C110+[1]Art26!C110+[1]Art27!C110+[1]Art28!C110+[1]Art29!C110+[1]Art30!C110+[1]Art31!C110+[1]Art32!C110+[1]Art33!C110+[1]Art34!C110+[1]Art35!C110+[1]Art36!C110+[1]Art37!C110+[1]Art38!C110+[1]ArtT1!C110+[1]ArtT2!C110)</f>
        <v>37</v>
      </c>
      <c r="D110" s="1">
        <f>SUM([1]Art1!D110+[1]Art2!D110+[1]Art3!D110+[1]Art4!D110+[1]Art5!D110+[1]Art6!D110+[1]Art7!D110+[1]Art8!D110+[1]Art9!D110+[1]Art10!D110+[1]Art11!D110+[1]Art12!D110+[1]Art13!D110+[1]Art14!D110+[1]Art15!D110+[1]Art16!D110+[1]Art17!D110+[1]Art18!D110+[1]Art19!D110+[1]Art20!D110+[1]Art21!D110+[1]Art22!D110+[1]Art23!D110+[1]Art24!D110+[1]Art25!D110+[1]Art26!D110+[1]Art27!D110+[1]Art28!D110+[1]Art29!D110+[1]Art30!D110+[1]Art31!D110+[1]Art32!D110+[1]Art33!D110+[1]Art34!D110+[1]Art35!D110+[1]Art36!D110+[1]Art37!D110+[1]Art38!D110+[1]ArtT1!D110+[1]ArtT2!D110)</f>
        <v>3</v>
      </c>
      <c r="E110" s="1">
        <f>SUM([1]Art1!E110+[1]Art2!E110+[1]Art3!E110+[1]Art4!E110+[1]Art5!E110+[1]Art6!E110+[1]Art7!E110+[1]Art8!E110+[1]Art9!E110+[1]Art10!E110+[1]Art11!E110+[1]Art12!E110+[1]Art13!E110+[1]Art14!E110+[1]Art15!E110+[1]Art16!E110+[1]Art17!E110+[1]Art18!E110+[1]Art19!E110+[1]Art20!E110+[1]Art21!E110+[1]Art22!E110+[1]Art23!E110+[1]Art24!E110+[1]Art25!E110+[1]Art26!E110+[1]Art27!E110+[1]Art28!E110+[1]Art29!E110+[1]Art30!E110+[1]Art31!E110+[1]Art32!E110+[1]Art33!E110+[1]Art34!E110+[1]Art35!E110+[1]Art36!E110+[1]Art37!E110+[1]Art38!E110+[1]ArtT1!E110+[1]ArtT2!E110)</f>
        <v>0</v>
      </c>
      <c r="F110" s="1">
        <f>SUM([1]Art1!F110+[1]Art2!F110+[1]Art3!F110+[1]Art4!F110+[1]Art5!F110+[1]Art6!F110+[1]Art7!F110+[1]Art8!F110+[1]Art9!F110+[1]Art10!F110+[1]Art11!F110+[1]Art12!F110+[1]Art13!F110+[1]Art14!F110+[1]Art15!F110+[1]Art16!F110+[1]Art17!F110+[1]Art18!F110+[1]Art19!F110+[1]Art20!F110+[1]Art21!F110+[1]Art22!F110+[1]Art23!F110+[1]Art24!F110+[1]Art25!F110+[1]Art26!F110+[1]Art27!F110+[1]Art28!F110+[1]Art29!F110+[1]Art30!F110+[1]Art31!F110+[1]Art32!F110+[1]Art33!F110+[1]Art34!F110+[1]Art35!F110+[1]Art36!F110+[1]Art37!F110+[1]Art38!F110+[1]ArtT1!F110+[1]ArtT2!F110)</f>
        <v>0</v>
      </c>
      <c r="H110" s="4"/>
      <c r="I110" s="4"/>
      <c r="J110" s="4"/>
      <c r="K110" s="4"/>
    </row>
    <row r="111" spans="1:11" ht="12.75" customHeight="1" x14ac:dyDescent="0.3">
      <c r="A111" s="1" t="s">
        <v>139</v>
      </c>
      <c r="B111" s="1" t="s">
        <v>27</v>
      </c>
      <c r="C111" s="1">
        <f>SUM([1]Art1!C111+[1]Art2!C111+[1]Art3!C111+[1]Art4!C111+[1]Art5!C111+[1]Art6!C111+[1]Art7!C111+[1]Art8!C111+[1]Art9!C111+[1]Art10!C111+[1]Art11!C111+[1]Art12!C111+[1]Art13!C111+[1]Art14!C111+[1]Art15!C111+[1]Art16!C111+[1]Art17!C111+[1]Art18!C111+[1]Art19!C111+[1]Art20!C111+[1]Art21!C111+[1]Art22!C111+[1]Art23!C111+[1]Art24!C111+[1]Art25!C111+[1]Art26!C111+[1]Art27!C111+[1]Art28!C111+[1]Art29!C111+[1]Art30!C111+[1]Art31!C111+[1]Art32!C111+[1]Art33!C111+[1]Art34!C111+[1]Art35!C111+[1]Art36!C111+[1]Art37!C111+[1]Art38!C111+[1]ArtT1!C111+[1]ArtT2!C111)</f>
        <v>19</v>
      </c>
      <c r="D111" s="1">
        <f>SUM([1]Art1!D111+[1]Art2!D111+[1]Art3!D111+[1]Art4!D111+[1]Art5!D111+[1]Art6!D111+[1]Art7!D111+[1]Art8!D111+[1]Art9!D111+[1]Art10!D111+[1]Art11!D111+[1]Art12!D111+[1]Art13!D111+[1]Art14!D111+[1]Art15!D111+[1]Art16!D111+[1]Art17!D111+[1]Art18!D111+[1]Art19!D111+[1]Art20!D111+[1]Art21!D111+[1]Art22!D111+[1]Art23!D111+[1]Art24!D111+[1]Art25!D111+[1]Art26!D111+[1]Art27!D111+[1]Art28!D111+[1]Art29!D111+[1]Art30!D111+[1]Art31!D111+[1]Art32!D111+[1]Art33!D111+[1]Art34!D111+[1]Art35!D111+[1]Art36!D111+[1]Art37!D111+[1]Art38!D111+[1]ArtT1!D111+[1]ArtT2!D111)</f>
        <v>0</v>
      </c>
      <c r="E111" s="1">
        <f>SUM([1]Art1!E111+[1]Art2!E111+[1]Art3!E111+[1]Art4!E111+[1]Art5!E111+[1]Art6!E111+[1]Art7!E111+[1]Art8!E111+[1]Art9!E111+[1]Art10!E111+[1]Art11!E111+[1]Art12!E111+[1]Art13!E111+[1]Art14!E111+[1]Art15!E111+[1]Art16!E111+[1]Art17!E111+[1]Art18!E111+[1]Art19!E111+[1]Art20!E111+[1]Art21!E111+[1]Art22!E111+[1]Art23!E111+[1]Art24!E111+[1]Art25!E111+[1]Art26!E111+[1]Art27!E111+[1]Art28!E111+[1]Art29!E111+[1]Art30!E111+[1]Art31!E111+[1]Art32!E111+[1]Art33!E111+[1]Art34!E111+[1]Art35!E111+[1]Art36!E111+[1]Art37!E111+[1]Art38!E111+[1]ArtT1!E111+[1]ArtT2!E111)</f>
        <v>21</v>
      </c>
      <c r="F111" s="1">
        <f>SUM([1]Art1!F111+[1]Art2!F111+[1]Art3!F111+[1]Art4!F111+[1]Art5!F111+[1]Art6!F111+[1]Art7!F111+[1]Art8!F111+[1]Art9!F111+[1]Art10!F111+[1]Art11!F111+[1]Art12!F111+[1]Art13!F111+[1]Art14!F111+[1]Art15!F111+[1]Art16!F111+[1]Art17!F111+[1]Art18!F111+[1]Art19!F111+[1]Art20!F111+[1]Art21!F111+[1]Art22!F111+[1]Art23!F111+[1]Art24!F111+[1]Art25!F111+[1]Art26!F111+[1]Art27!F111+[1]Art28!F111+[1]Art29!F111+[1]Art30!F111+[1]Art31!F111+[1]Art32!F111+[1]Art33!F111+[1]Art34!F111+[1]Art35!F111+[1]Art36!F111+[1]Art37!F111+[1]Art38!F111+[1]ArtT1!F111+[1]ArtT2!F111)</f>
        <v>0</v>
      </c>
      <c r="H111" s="4"/>
      <c r="I111" s="4"/>
      <c r="J111" s="4"/>
      <c r="K111" s="4"/>
    </row>
    <row r="112" spans="1:11" ht="12.75" customHeight="1" x14ac:dyDescent="0.3">
      <c r="A112" s="1" t="s">
        <v>140</v>
      </c>
      <c r="B112" s="1" t="s">
        <v>16</v>
      </c>
      <c r="C112" s="1">
        <f>SUM([1]Art1!C112+[1]Art2!C112+[1]Art3!C112+[1]Art4!C112+[1]Art5!C112+[1]Art6!C112+[1]Art7!C112+[1]Art8!C112+[1]Art9!C112+[1]Art10!C112+[1]Art11!C112+[1]Art12!C112+[1]Art13!C112+[1]Art14!C112+[1]Art15!C112+[1]Art16!C112+[1]Art17!C112+[1]Art18!C112+[1]Art19!C112+[1]Art20!C112+[1]Art21!C112+[1]Art22!C112+[1]Art23!C112+[1]Art24!C112+[1]Art25!C112+[1]Art26!C112+[1]Art27!C112+[1]Art28!C112+[1]Art29!C112+[1]Art30!C112+[1]Art31!C112+[1]Art32!C112+[1]Art33!C112+[1]Art34!C112+[1]Art35!C112+[1]Art36!C112+[1]Art37!C112+[1]Art38!C112+[1]ArtT1!C112+[1]ArtT2!C112)</f>
        <v>13</v>
      </c>
      <c r="D112" s="1">
        <f>SUM([1]Art1!D112+[1]Art2!D112+[1]Art3!D112+[1]Art4!D112+[1]Art5!D112+[1]Art6!D112+[1]Art7!D112+[1]Art8!D112+[1]Art9!D112+[1]Art10!D112+[1]Art11!D112+[1]Art12!D112+[1]Art13!D112+[1]Art14!D112+[1]Art15!D112+[1]Art16!D112+[1]Art17!D112+[1]Art18!D112+[1]Art19!D112+[1]Art20!D112+[1]Art21!D112+[1]Art22!D112+[1]Art23!D112+[1]Art24!D112+[1]Art25!D112+[1]Art26!D112+[1]Art27!D112+[1]Art28!D112+[1]Art29!D112+[1]Art30!D112+[1]Art31!D112+[1]Art32!D112+[1]Art33!D112+[1]Art34!D112+[1]Art35!D112+[1]Art36!D112+[1]Art37!D112+[1]Art38!D112+[1]ArtT1!D112+[1]ArtT2!D112)</f>
        <v>18</v>
      </c>
      <c r="E112" s="1">
        <f>SUM([1]Art1!E112+[1]Art2!E112+[1]Art3!E112+[1]Art4!E112+[1]Art5!E112+[1]Art6!E112+[1]Art7!E112+[1]Art8!E112+[1]Art9!E112+[1]Art10!E112+[1]Art11!E112+[1]Art12!E112+[1]Art13!E112+[1]Art14!E112+[1]Art15!E112+[1]Art16!E112+[1]Art17!E112+[1]Art18!E112+[1]Art19!E112+[1]Art20!E112+[1]Art21!E112+[1]Art22!E112+[1]Art23!E112+[1]Art24!E112+[1]Art25!E112+[1]Art26!E112+[1]Art27!E112+[1]Art28!E112+[1]Art29!E112+[1]Art30!E112+[1]Art31!E112+[1]Art32!E112+[1]Art33!E112+[1]Art34!E112+[1]Art35!E112+[1]Art36!E112+[1]Art37!E112+[1]Art38!E112+[1]ArtT1!E112+[1]ArtT2!E112)</f>
        <v>9</v>
      </c>
      <c r="F112" s="1">
        <f>SUM([1]Art1!F112+[1]Art2!F112+[1]Art3!F112+[1]Art4!F112+[1]Art5!F112+[1]Art6!F112+[1]Art7!F112+[1]Art8!F112+[1]Art9!F112+[1]Art10!F112+[1]Art11!F112+[1]Art12!F112+[1]Art13!F112+[1]Art14!F112+[1]Art15!F112+[1]Art16!F112+[1]Art17!F112+[1]Art18!F112+[1]Art19!F112+[1]Art20!F112+[1]Art21!F112+[1]Art22!F112+[1]Art23!F112+[1]Art24!F112+[1]Art25!F112+[1]Art26!F112+[1]Art27!F112+[1]Art28!F112+[1]Art29!F112+[1]Art30!F112+[1]Art31!F112+[1]Art32!F112+[1]Art33!F112+[1]Art34!F112+[1]Art35!F112+[1]Art36!F112+[1]Art37!F112+[1]Art38!F112+[1]ArtT1!F112+[1]ArtT2!F112)</f>
        <v>0</v>
      </c>
      <c r="H112" s="4"/>
      <c r="I112" s="4"/>
      <c r="J112" s="4"/>
      <c r="K112" s="4"/>
    </row>
    <row r="113" spans="1:11" ht="12.75" customHeight="1" x14ac:dyDescent="0.3">
      <c r="A113" s="1" t="s">
        <v>141</v>
      </c>
      <c r="B113" s="1" t="s">
        <v>14</v>
      </c>
      <c r="C113" s="1">
        <f>SUM([1]Art1!C113+[1]Art2!C113+[1]Art3!C113+[1]Art4!C113+[1]Art5!C113+[1]Art6!C113+[1]Art7!C113+[1]Art8!C113+[1]Art9!C113+[1]Art10!C113+[1]Art11!C113+[1]Art12!C113+[1]Art13!C113+[1]Art14!C113+[1]Art15!C113+[1]Art16!C113+[1]Art17!C113+[1]Art18!C113+[1]Art19!C113+[1]Art20!C113+[1]Art21!C113+[1]Art22!C113+[1]Art23!C113+[1]Art24!C113+[1]Art25!C113+[1]Art26!C113+[1]Art27!C113+[1]Art28!C113+[1]Art29!C113+[1]Art30!C113+[1]Art31!C113+[1]Art32!C113+[1]Art33!C113+[1]Art34!C113+[1]Art35!C113+[1]Art36!C113+[1]Art37!C113+[1]Art38!C113+[1]ArtT1!C113+[1]ArtT2!C113)</f>
        <v>38</v>
      </c>
      <c r="D113" s="1">
        <f>SUM([1]Art1!D113+[1]Art2!D113+[1]Art3!D113+[1]Art4!D113+[1]Art5!D113+[1]Art6!D113+[1]Art7!D113+[1]Art8!D113+[1]Art9!D113+[1]Art10!D113+[1]Art11!D113+[1]Art12!D113+[1]Art13!D113+[1]Art14!D113+[1]Art15!D113+[1]Art16!D113+[1]Art17!D113+[1]Art18!D113+[1]Art19!D113+[1]Art20!D113+[1]Art21!D113+[1]Art22!D113+[1]Art23!D113+[1]Art24!D113+[1]Art25!D113+[1]Art26!D113+[1]Art27!D113+[1]Art28!D113+[1]Art29!D113+[1]Art30!D113+[1]Art31!D113+[1]Art32!D113+[1]Art33!D113+[1]Art34!D113+[1]Art35!D113+[1]Art36!D113+[1]Art37!D113+[1]Art38!D113+[1]ArtT1!D113+[1]ArtT2!D113)</f>
        <v>0</v>
      </c>
      <c r="E113" s="1">
        <f>SUM([1]Art1!E113+[1]Art2!E113+[1]Art3!E113+[1]Art4!E113+[1]Art5!E113+[1]Art6!E113+[1]Art7!E113+[1]Art8!E113+[1]Art9!E113+[1]Art10!E113+[1]Art11!E113+[1]Art12!E113+[1]Art13!E113+[1]Art14!E113+[1]Art15!E113+[1]Art16!E113+[1]Art17!E113+[1]Art18!E113+[1]Art19!E113+[1]Art20!E113+[1]Art21!E113+[1]Art22!E113+[1]Art23!E113+[1]Art24!E113+[1]Art25!E113+[1]Art26!E113+[1]Art27!E113+[1]Art28!E113+[1]Art29!E113+[1]Art30!E113+[1]Art31!E113+[1]Art32!E113+[1]Art33!E113+[1]Art34!E113+[1]Art35!E113+[1]Art36!E113+[1]Art37!E113+[1]Art38!E113+[1]ArtT1!E113+[1]ArtT2!E113)</f>
        <v>2</v>
      </c>
      <c r="F113" s="1">
        <f>SUM([1]Art1!F113+[1]Art2!F113+[1]Art3!F113+[1]Art4!F113+[1]Art5!F113+[1]Art6!F113+[1]Art7!F113+[1]Art8!F113+[1]Art9!F113+[1]Art10!F113+[1]Art11!F113+[1]Art12!F113+[1]Art13!F113+[1]Art14!F113+[1]Art15!F113+[1]Art16!F113+[1]Art17!F113+[1]Art18!F113+[1]Art19!F113+[1]Art20!F113+[1]Art21!F113+[1]Art22!F113+[1]Art23!F113+[1]Art24!F113+[1]Art25!F113+[1]Art26!F113+[1]Art27!F113+[1]Art28!F113+[1]Art29!F113+[1]Art30!F113+[1]Art31!F113+[1]Art32!F113+[1]Art33!F113+[1]Art34!F113+[1]Art35!F113+[1]Art36!F113+[1]Art37!F113+[1]Art38!F113+[1]ArtT1!F113+[1]ArtT2!F113)</f>
        <v>0</v>
      </c>
      <c r="H113" s="4"/>
      <c r="I113" s="4"/>
      <c r="J113" s="4"/>
      <c r="K113" s="4"/>
    </row>
    <row r="114" spans="1:11" ht="12.75" customHeight="1" x14ac:dyDescent="0.3">
      <c r="A114" s="1" t="s">
        <v>142</v>
      </c>
      <c r="B114" s="1" t="s">
        <v>16</v>
      </c>
      <c r="C114" s="1">
        <f>SUM([1]Art1!C114+[1]Art2!C114+[1]Art3!C114+[1]Art4!C114+[1]Art5!C114+[1]Art6!C114+[1]Art7!C114+[1]Art8!C114+[1]Art9!C114+[1]Art10!C114+[1]Art11!C114+[1]Art12!C114+[1]Art13!C114+[1]Art14!C114+[1]Art15!C114+[1]Art16!C114+[1]Art17!C114+[1]Art18!C114+[1]Art19!C114+[1]Art20!C114+[1]Art21!C114+[1]Art22!C114+[1]Art23!C114+[1]Art24!C114+[1]Art25!C114+[1]Art26!C114+[1]Art27!C114+[1]Art28!C114+[1]Art29!C114+[1]Art30!C114+[1]Art31!C114+[1]Art32!C114+[1]Art33!C114+[1]Art34!C114+[1]Art35!C114+[1]Art36!C114+[1]Art37!C114+[1]Art38!C114+[1]ArtT1!C114+[1]ArtT2!C114)</f>
        <v>7</v>
      </c>
      <c r="D114" s="1">
        <f>SUM([1]Art1!D114+[1]Art2!D114+[1]Art3!D114+[1]Art4!D114+[1]Art5!D114+[1]Art6!D114+[1]Art7!D114+[1]Art8!D114+[1]Art9!D114+[1]Art10!D114+[1]Art11!D114+[1]Art12!D114+[1]Art13!D114+[1]Art14!D114+[1]Art15!D114+[1]Art16!D114+[1]Art17!D114+[1]Art18!D114+[1]Art19!D114+[1]Art20!D114+[1]Art21!D114+[1]Art22!D114+[1]Art23!D114+[1]Art24!D114+[1]Art25!D114+[1]Art26!D114+[1]Art27!D114+[1]Art28!D114+[1]Art29!D114+[1]Art30!D114+[1]Art31!D114+[1]Art32!D114+[1]Art33!D114+[1]Art34!D114+[1]Art35!D114+[1]Art36!D114+[1]Art37!D114+[1]Art38!D114+[1]ArtT1!D114+[1]ArtT2!D114)</f>
        <v>26</v>
      </c>
      <c r="E114" s="1">
        <f>SUM([1]Art1!E114+[1]Art2!E114+[1]Art3!E114+[1]Art4!E114+[1]Art5!E114+[1]Art6!E114+[1]Art7!E114+[1]Art8!E114+[1]Art9!E114+[1]Art10!E114+[1]Art11!E114+[1]Art12!E114+[1]Art13!E114+[1]Art14!E114+[1]Art15!E114+[1]Art16!E114+[1]Art17!E114+[1]Art18!E114+[1]Art19!E114+[1]Art20!E114+[1]Art21!E114+[1]Art22!E114+[1]Art23!E114+[1]Art24!E114+[1]Art25!E114+[1]Art26!E114+[1]Art27!E114+[1]Art28!E114+[1]Art29!E114+[1]Art30!E114+[1]Art31!E114+[1]Art32!E114+[1]Art33!E114+[1]Art34!E114+[1]Art35!E114+[1]Art36!E114+[1]Art37!E114+[1]Art38!E114+[1]ArtT1!E114+[1]ArtT2!E114)</f>
        <v>7</v>
      </c>
      <c r="F114" s="1">
        <f>SUM([1]Art1!F114+[1]Art2!F114+[1]Art3!F114+[1]Art4!F114+[1]Art5!F114+[1]Art6!F114+[1]Art7!F114+[1]Art8!F114+[1]Art9!F114+[1]Art10!F114+[1]Art11!F114+[1]Art12!F114+[1]Art13!F114+[1]Art14!F114+[1]Art15!F114+[1]Art16!F114+[1]Art17!F114+[1]Art18!F114+[1]Art19!F114+[1]Art20!F114+[1]Art21!F114+[1]Art22!F114+[1]Art23!F114+[1]Art24!F114+[1]Art25!F114+[1]Art26!F114+[1]Art27!F114+[1]Art28!F114+[1]Art29!F114+[1]Art30!F114+[1]Art31!F114+[1]Art32!F114+[1]Art33!F114+[1]Art34!F114+[1]Art35!F114+[1]Art36!F114+[1]Art37!F114+[1]Art38!F114+[1]ArtT1!F114+[1]ArtT2!F114)</f>
        <v>0</v>
      </c>
      <c r="H114" s="4"/>
      <c r="I114" s="4"/>
      <c r="J114" s="4"/>
      <c r="K114" s="4"/>
    </row>
    <row r="115" spans="1:11" ht="12.75" customHeight="1" x14ac:dyDescent="0.3">
      <c r="A115" s="1" t="s">
        <v>143</v>
      </c>
      <c r="B115" s="1" t="s">
        <v>24</v>
      </c>
      <c r="C115" s="1">
        <f>SUM([1]Art1!C115+[1]Art2!C115+[1]Art3!C115+[1]Art4!C115+[1]Art5!C115+[1]Art6!C115+[1]Art7!C115+[1]Art8!C115+[1]Art9!C115+[1]Art10!C115+[1]Art11!C115+[1]Art12!C115+[1]Art13!C115+[1]Art14!C115+[1]Art15!C115+[1]Art16!C115+[1]Art17!C115+[1]Art18!C115+[1]Art19!C115+[1]Art20!C115+[1]Art21!C115+[1]Art22!C115+[1]Art23!C115+[1]Art24!C115+[1]Art25!C115+[1]Art26!C115+[1]Art27!C115+[1]Art28!C115+[1]Art29!C115+[1]Art30!C115+[1]Art31!C115+[1]Art32!C115+[1]Art33!C115+[1]Art34!C115+[1]Art35!C115+[1]Art36!C115+[1]Art37!C115+[1]Art38!C115+[1]ArtT1!C115+[1]ArtT2!C115)</f>
        <v>24</v>
      </c>
      <c r="D115" s="1">
        <f>SUM([1]Art1!D115+[1]Art2!D115+[1]Art3!D115+[1]Art4!D115+[1]Art5!D115+[1]Art6!D115+[1]Art7!D115+[1]Art8!D115+[1]Art9!D115+[1]Art10!D115+[1]Art11!D115+[1]Art12!D115+[1]Art13!D115+[1]Art14!D115+[1]Art15!D115+[1]Art16!D115+[1]Art17!D115+[1]Art18!D115+[1]Art19!D115+[1]Art20!D115+[1]Art21!D115+[1]Art22!D115+[1]Art23!D115+[1]Art24!D115+[1]Art25!D115+[1]Art26!D115+[1]Art27!D115+[1]Art28!D115+[1]Art29!D115+[1]Art30!D115+[1]Art31!D115+[1]Art32!D115+[1]Art33!D115+[1]Art34!D115+[1]Art35!D115+[1]Art36!D115+[1]Art37!D115+[1]Art38!D115+[1]ArtT1!D115+[1]ArtT2!D115)</f>
        <v>16</v>
      </c>
      <c r="E115" s="1">
        <f>SUM([1]Art1!E115+[1]Art2!E115+[1]Art3!E115+[1]Art4!E115+[1]Art5!E115+[1]Art6!E115+[1]Art7!E115+[1]Art8!E115+[1]Art9!E115+[1]Art10!E115+[1]Art11!E115+[1]Art12!E115+[1]Art13!E115+[1]Art14!E115+[1]Art15!E115+[1]Art16!E115+[1]Art17!E115+[1]Art18!E115+[1]Art19!E115+[1]Art20!E115+[1]Art21!E115+[1]Art22!E115+[1]Art23!E115+[1]Art24!E115+[1]Art25!E115+[1]Art26!E115+[1]Art27!E115+[1]Art28!E115+[1]Art29!E115+[1]Art30!E115+[1]Art31!E115+[1]Art32!E115+[1]Art33!E115+[1]Art34!E115+[1]Art35!E115+[1]Art36!E115+[1]Art37!E115+[1]Art38!E115+[1]ArtT1!E115+[1]ArtT2!E115)</f>
        <v>0</v>
      </c>
      <c r="F115" s="1">
        <f>SUM([1]Art1!F115+[1]Art2!F115+[1]Art3!F115+[1]Art4!F115+[1]Art5!F115+[1]Art6!F115+[1]Art7!F115+[1]Art8!F115+[1]Art9!F115+[1]Art10!F115+[1]Art11!F115+[1]Art12!F115+[1]Art13!F115+[1]Art14!F115+[1]Art15!F115+[1]Art16!F115+[1]Art17!F115+[1]Art18!F115+[1]Art19!F115+[1]Art20!F115+[1]Art21!F115+[1]Art22!F115+[1]Art23!F115+[1]Art24!F115+[1]Art25!F115+[1]Art26!F115+[1]Art27!F115+[1]Art28!F115+[1]Art29!F115+[1]Art30!F115+[1]Art31!F115+[1]Art32!F115+[1]Art33!F115+[1]Art34!F115+[1]Art35!F115+[1]Art36!F115+[1]Art37!F115+[1]Art38!F115+[1]ArtT1!F115+[1]ArtT2!F115)</f>
        <v>0</v>
      </c>
      <c r="H115" s="4"/>
      <c r="I115" s="4"/>
      <c r="J115" s="4"/>
      <c r="K115" s="4"/>
    </row>
    <row r="116" spans="1:11" ht="12.75" customHeight="1" x14ac:dyDescent="0.3">
      <c r="A116" s="1" t="s">
        <v>144</v>
      </c>
      <c r="B116" s="1" t="s">
        <v>66</v>
      </c>
      <c r="C116" s="1">
        <f>SUM([1]Art1!C116+[1]Art2!C116+[1]Art3!C116+[1]Art4!C116+[1]Art5!C116+[1]Art6!C116+[1]Art7!C116+[1]Art8!C116+[1]Art9!C116+[1]Art10!C116+[1]Art11!C116+[1]Art12!C116+[1]Art13!C116+[1]Art14!C116+[1]Art15!C116+[1]Art16!C116+[1]Art17!C116+[1]Art18!C116+[1]Art19!C116+[1]Art20!C116+[1]Art21!C116+[1]Art22!C116+[1]Art23!C116+[1]Art24!C116+[1]Art25!C116+[1]Art26!C116+[1]Art27!C116+[1]Art28!C116+[1]Art29!C116+[1]Art30!C116+[1]Art31!C116+[1]Art32!C116+[1]Art33!C116+[1]Art34!C116+[1]Art35!C116+[1]Art36!C116+[1]Art37!C116+[1]Art38!C116+[1]ArtT1!C116+[1]ArtT2!C116)</f>
        <v>1</v>
      </c>
      <c r="D116" s="1">
        <f>SUM([1]Art1!D116+[1]Art2!D116+[1]Art3!D116+[1]Art4!D116+[1]Art5!D116+[1]Art6!D116+[1]Art7!D116+[1]Art8!D116+[1]Art9!D116+[1]Art10!D116+[1]Art11!D116+[1]Art12!D116+[1]Art13!D116+[1]Art14!D116+[1]Art15!D116+[1]Art16!D116+[1]Art17!D116+[1]Art18!D116+[1]Art19!D116+[1]Art20!D116+[1]Art21!D116+[1]Art22!D116+[1]Art23!D116+[1]Art24!D116+[1]Art25!D116+[1]Art26!D116+[1]Art27!D116+[1]Art28!D116+[1]Art29!D116+[1]Art30!D116+[1]Art31!D116+[1]Art32!D116+[1]Art33!D116+[1]Art34!D116+[1]Art35!D116+[1]Art36!D116+[1]Art37!D116+[1]Art38!D116+[1]ArtT1!D116+[1]ArtT2!D116)</f>
        <v>32</v>
      </c>
      <c r="E116" s="1">
        <f>SUM([1]Art1!E116+[1]Art2!E116+[1]Art3!E116+[1]Art4!E116+[1]Art5!E116+[1]Art6!E116+[1]Art7!E116+[1]Art8!E116+[1]Art9!E116+[1]Art10!E116+[1]Art11!E116+[1]Art12!E116+[1]Art13!E116+[1]Art14!E116+[1]Art15!E116+[1]Art16!E116+[1]Art17!E116+[1]Art18!E116+[1]Art19!E116+[1]Art20!E116+[1]Art21!E116+[1]Art22!E116+[1]Art23!E116+[1]Art24!E116+[1]Art25!E116+[1]Art26!E116+[1]Art27!E116+[1]Art28!E116+[1]Art29!E116+[1]Art30!E116+[1]Art31!E116+[1]Art32!E116+[1]Art33!E116+[1]Art34!E116+[1]Art35!E116+[1]Art36!E116+[1]Art37!E116+[1]Art38!E116+[1]ArtT1!E116+[1]ArtT2!E116)</f>
        <v>7</v>
      </c>
      <c r="F116" s="1">
        <f>SUM([1]Art1!F116+[1]Art2!F116+[1]Art3!F116+[1]Art4!F116+[1]Art5!F116+[1]Art6!F116+[1]Art7!F116+[1]Art8!F116+[1]Art9!F116+[1]Art10!F116+[1]Art11!F116+[1]Art12!F116+[1]Art13!F116+[1]Art14!F116+[1]Art15!F116+[1]Art16!F116+[1]Art17!F116+[1]Art18!F116+[1]Art19!F116+[1]Art20!F116+[1]Art21!F116+[1]Art22!F116+[1]Art23!F116+[1]Art24!F116+[1]Art25!F116+[1]Art26!F116+[1]Art27!F116+[1]Art28!F116+[1]Art29!F116+[1]Art30!F116+[1]Art31!F116+[1]Art32!F116+[1]Art33!F116+[1]Art34!F116+[1]Art35!F116+[1]Art36!F116+[1]Art37!F116+[1]Art38!F116+[1]ArtT1!F116+[1]ArtT2!F116)</f>
        <v>0</v>
      </c>
      <c r="H116" s="4"/>
      <c r="I116" s="4"/>
      <c r="J116" s="4"/>
      <c r="K116" s="4"/>
    </row>
    <row r="117" spans="1:11" ht="12.75" customHeight="1" x14ac:dyDescent="0.3">
      <c r="A117" s="1" t="s">
        <v>145</v>
      </c>
      <c r="B117" s="1" t="s">
        <v>27</v>
      </c>
      <c r="C117" s="1">
        <f>SUM([1]Art1!C117+[1]Art2!C117+[1]Art3!C117+[1]Art4!C117+[1]Art5!C117+[1]Art6!C117+[1]Art7!C117+[1]Art8!C117+[1]Art9!C117+[1]Art10!C117+[1]Art11!C117+[1]Art12!C117+[1]Art13!C117+[1]Art14!C117+[1]Art15!C117+[1]Art16!C117+[1]Art17!C117+[1]Art18!C117+[1]Art19!C117+[1]Art20!C117+[1]Art21!C117+[1]Art22!C117+[1]Art23!C117+[1]Art24!C117+[1]Art25!C117+[1]Art26!C117+[1]Art27!C117+[1]Art28!C117+[1]Art29!C117+[1]Art30!C117+[1]Art31!C117+[1]Art32!C117+[1]Art33!C117+[1]Art34!C117+[1]Art35!C117+[1]Art36!C117+[1]Art37!C117+[1]Art38!C117+[1]ArtT1!C117+[1]ArtT2!C117)</f>
        <v>21</v>
      </c>
      <c r="D117" s="1">
        <f>SUM([1]Art1!D117+[1]Art2!D117+[1]Art3!D117+[1]Art4!D117+[1]Art5!D117+[1]Art6!D117+[1]Art7!D117+[1]Art8!D117+[1]Art9!D117+[1]Art10!D117+[1]Art11!D117+[1]Art12!D117+[1]Art13!D117+[1]Art14!D117+[1]Art15!D117+[1]Art16!D117+[1]Art17!D117+[1]Art18!D117+[1]Art19!D117+[1]Art20!D117+[1]Art21!D117+[1]Art22!D117+[1]Art23!D117+[1]Art24!D117+[1]Art25!D117+[1]Art26!D117+[1]Art27!D117+[1]Art28!D117+[1]Art29!D117+[1]Art30!D117+[1]Art31!D117+[1]Art32!D117+[1]Art33!D117+[1]Art34!D117+[1]Art35!D117+[1]Art36!D117+[1]Art37!D117+[1]Art38!D117+[1]ArtT1!D117+[1]ArtT2!D117)</f>
        <v>17</v>
      </c>
      <c r="E117" s="1">
        <f>SUM([1]Art1!E117+[1]Art2!E117+[1]Art3!E117+[1]Art4!E117+[1]Art5!E117+[1]Art6!E117+[1]Art7!E117+[1]Art8!E117+[1]Art9!E117+[1]Art10!E117+[1]Art11!E117+[1]Art12!E117+[1]Art13!E117+[1]Art14!E117+[1]Art15!E117+[1]Art16!E117+[1]Art17!E117+[1]Art18!E117+[1]Art19!E117+[1]Art20!E117+[1]Art21!E117+[1]Art22!E117+[1]Art23!E117+[1]Art24!E117+[1]Art25!E117+[1]Art26!E117+[1]Art27!E117+[1]Art28!E117+[1]Art29!E117+[1]Art30!E117+[1]Art31!E117+[1]Art32!E117+[1]Art33!E117+[1]Art34!E117+[1]Art35!E117+[1]Art36!E117+[1]Art37!E117+[1]Art38!E117+[1]ArtT1!E117+[1]ArtT2!E117)</f>
        <v>2</v>
      </c>
      <c r="F117" s="1">
        <f>SUM([1]Art1!F117+[1]Art2!F117+[1]Art3!F117+[1]Art4!F117+[1]Art5!F117+[1]Art6!F117+[1]Art7!F117+[1]Art8!F117+[1]Art9!F117+[1]Art10!F117+[1]Art11!F117+[1]Art12!F117+[1]Art13!F117+[1]Art14!F117+[1]Art15!F117+[1]Art16!F117+[1]Art17!F117+[1]Art18!F117+[1]Art19!F117+[1]Art20!F117+[1]Art21!F117+[1]Art22!F117+[1]Art23!F117+[1]Art24!F117+[1]Art25!F117+[1]Art26!F117+[1]Art27!F117+[1]Art28!F117+[1]Art29!F117+[1]Art30!F117+[1]Art31!F117+[1]Art32!F117+[1]Art33!F117+[1]Art34!F117+[1]Art35!F117+[1]Art36!F117+[1]Art37!F117+[1]Art38!F117+[1]ArtT1!F117+[1]ArtT2!F117)</f>
        <v>0</v>
      </c>
      <c r="H117" s="4"/>
      <c r="I117" s="4"/>
      <c r="J117" s="4"/>
      <c r="K117" s="4"/>
    </row>
    <row r="118" spans="1:11" ht="12.75" customHeight="1" x14ac:dyDescent="0.3">
      <c r="A118" s="1" t="s">
        <v>146</v>
      </c>
      <c r="B118" s="1" t="s">
        <v>30</v>
      </c>
      <c r="C118" s="1">
        <f>SUM([1]Art1!C118+[1]Art2!C118+[1]Art3!C118+[1]Art4!C118+[1]Art5!C118+[1]Art6!C118+[1]Art7!C118+[1]Art8!C118+[1]Art9!C118+[1]Art10!C118+[1]Art11!C118+[1]Art12!C118+[1]Art13!C118+[1]Art14!C118+[1]Art15!C118+[1]Art16!C118+[1]Art17!C118+[1]Art18!C118+[1]Art19!C118+[1]Art20!C118+[1]Art21!C118+[1]Art22!C118+[1]Art23!C118+[1]Art24!C118+[1]Art25!C118+[1]Art26!C118+[1]Art27!C118+[1]Art28!C118+[1]Art29!C118+[1]Art30!C118+[1]Art31!C118+[1]Art32!C118+[1]Art33!C118+[1]Art34!C118+[1]Art35!C118+[1]Art36!C118+[1]Art37!C118+[1]Art38!C118+[1]ArtT1!C118+[1]ArtT2!C118)</f>
        <v>2</v>
      </c>
      <c r="D118" s="1">
        <f>SUM([1]Art1!D118+[1]Art2!D118+[1]Art3!D118+[1]Art4!D118+[1]Art5!D118+[1]Art6!D118+[1]Art7!D118+[1]Art8!D118+[1]Art9!D118+[1]Art10!D118+[1]Art11!D118+[1]Art12!D118+[1]Art13!D118+[1]Art14!D118+[1]Art15!D118+[1]Art16!D118+[1]Art17!D118+[1]Art18!D118+[1]Art19!D118+[1]Art20!D118+[1]Art21!D118+[1]Art22!D118+[1]Art23!D118+[1]Art24!D118+[1]Art25!D118+[1]Art26!D118+[1]Art27!D118+[1]Art28!D118+[1]Art29!D118+[1]Art30!D118+[1]Art31!D118+[1]Art32!D118+[1]Art33!D118+[1]Art34!D118+[1]Art35!D118+[1]Art36!D118+[1]Art37!D118+[1]Art38!D118+[1]ArtT1!D118+[1]ArtT2!D118)</f>
        <v>23</v>
      </c>
      <c r="E118" s="1">
        <f>SUM([1]Art1!E118+[1]Art2!E118+[1]Art3!E118+[1]Art4!E118+[1]Art5!E118+[1]Art6!E118+[1]Art7!E118+[1]Art8!E118+[1]Art9!E118+[1]Art10!E118+[1]Art11!E118+[1]Art12!E118+[1]Art13!E118+[1]Art14!E118+[1]Art15!E118+[1]Art16!E118+[1]Art17!E118+[1]Art18!E118+[1]Art19!E118+[1]Art20!E118+[1]Art21!E118+[1]Art22!E118+[1]Art23!E118+[1]Art24!E118+[1]Art25!E118+[1]Art26!E118+[1]Art27!E118+[1]Art28!E118+[1]Art29!E118+[1]Art30!E118+[1]Art31!E118+[1]Art32!E118+[1]Art33!E118+[1]Art34!E118+[1]Art35!E118+[1]Art36!E118+[1]Art37!E118+[1]Art38!E118+[1]ArtT1!E118+[1]ArtT2!E118)</f>
        <v>15</v>
      </c>
      <c r="F118" s="1">
        <f>SUM([1]Art1!F118+[1]Art2!F118+[1]Art3!F118+[1]Art4!F118+[1]Art5!F118+[1]Art6!F118+[1]Art7!F118+[1]Art8!F118+[1]Art9!F118+[1]Art10!F118+[1]Art11!F118+[1]Art12!F118+[1]Art13!F118+[1]Art14!F118+[1]Art15!F118+[1]Art16!F118+[1]Art17!F118+[1]Art18!F118+[1]Art19!F118+[1]Art20!F118+[1]Art21!F118+[1]Art22!F118+[1]Art23!F118+[1]Art24!F118+[1]Art25!F118+[1]Art26!F118+[1]Art27!F118+[1]Art28!F118+[1]Art29!F118+[1]Art30!F118+[1]Art31!F118+[1]Art32!F118+[1]Art33!F118+[1]Art34!F118+[1]Art35!F118+[1]Art36!F118+[1]Art37!F118+[1]Art38!F118+[1]ArtT1!F118+[1]ArtT2!F118)</f>
        <v>0</v>
      </c>
      <c r="H118" s="4"/>
      <c r="I118" s="4"/>
      <c r="J118" s="4"/>
      <c r="K118" s="4"/>
    </row>
    <row r="119" spans="1:11" ht="12.75" customHeight="1" x14ac:dyDescent="0.3">
      <c r="A119" s="1" t="s">
        <v>147</v>
      </c>
      <c r="B119" s="1" t="s">
        <v>42</v>
      </c>
      <c r="C119" s="1">
        <f>SUM([1]Art1!C119+[1]Art2!C119+[1]Art3!C119+[1]Art4!C119+[1]Art5!C119+[1]Art6!C119+[1]Art7!C119+[1]Art8!C119+[1]Art9!C119+[1]Art10!C119+[1]Art11!C119+[1]Art12!C119+[1]Art13!C119+[1]Art14!C119+[1]Art15!C119+[1]Art16!C119+[1]Art17!C119+[1]Art18!C119+[1]Art19!C119+[1]Art20!C119+[1]Art21!C119+[1]Art22!C119+[1]Art23!C119+[1]Art24!C119+[1]Art25!C119+[1]Art26!C119+[1]Art27!C119+[1]Art28!C119+[1]Art29!C119+[1]Art30!C119+[1]Art31!C119+[1]Art32!C119+[1]Art33!C119+[1]Art34!C119+[1]Art35!C119+[1]Art36!C119+[1]Art37!C119+[1]Art38!C119+[1]ArtT1!C119+[1]ArtT2!C119)</f>
        <v>38</v>
      </c>
      <c r="D119" s="1">
        <f>SUM([1]Art1!D119+[1]Art2!D119+[1]Art3!D119+[1]Art4!D119+[1]Art5!D119+[1]Art6!D119+[1]Art7!D119+[1]Art8!D119+[1]Art9!D119+[1]Art10!D119+[1]Art11!D119+[1]Art12!D119+[1]Art13!D119+[1]Art14!D119+[1]Art15!D119+[1]Art16!D119+[1]Art17!D119+[1]Art18!D119+[1]Art19!D119+[1]Art20!D119+[1]Art21!D119+[1]Art22!D119+[1]Art23!D119+[1]Art24!D119+[1]Art25!D119+[1]Art26!D119+[1]Art27!D119+[1]Art28!D119+[1]Art29!D119+[1]Art30!D119+[1]Art31!D119+[1]Art32!D119+[1]Art33!D119+[1]Art34!D119+[1]Art35!D119+[1]Art36!D119+[1]Art37!D119+[1]Art38!D119+[1]ArtT1!D119+[1]ArtT2!D119)</f>
        <v>1</v>
      </c>
      <c r="E119" s="1">
        <f>SUM([1]Art1!E119+[1]Art2!E119+[1]Art3!E119+[1]Art4!E119+[1]Art5!E119+[1]Art6!E119+[1]Art7!E119+[1]Art8!E119+[1]Art9!E119+[1]Art10!E119+[1]Art11!E119+[1]Art12!E119+[1]Art13!E119+[1]Art14!E119+[1]Art15!E119+[1]Art16!E119+[1]Art17!E119+[1]Art18!E119+[1]Art19!E119+[1]Art20!E119+[1]Art21!E119+[1]Art22!E119+[1]Art23!E119+[1]Art24!E119+[1]Art25!E119+[1]Art26!E119+[1]Art27!E119+[1]Art28!E119+[1]Art29!E119+[1]Art30!E119+[1]Art31!E119+[1]Art32!E119+[1]Art33!E119+[1]Art34!E119+[1]Art35!E119+[1]Art36!E119+[1]Art37!E119+[1]Art38!E119+[1]ArtT1!E119+[1]ArtT2!E119)</f>
        <v>0</v>
      </c>
      <c r="F119" s="1">
        <f>SUM([1]Art1!F119+[1]Art2!F119+[1]Art3!F119+[1]Art4!F119+[1]Art5!F119+[1]Art6!F119+[1]Art7!F119+[1]Art8!F119+[1]Art9!F119+[1]Art10!F119+[1]Art11!F119+[1]Art12!F119+[1]Art13!F119+[1]Art14!F119+[1]Art15!F119+[1]Art16!F119+[1]Art17!F119+[1]Art18!F119+[1]Art19!F119+[1]Art20!F119+[1]Art21!F119+[1]Art22!F119+[1]Art23!F119+[1]Art24!F119+[1]Art25!F119+[1]Art26!F119+[1]Art27!F119+[1]Art28!F119+[1]Art29!F119+[1]Art30!F119+[1]Art31!F119+[1]Art32!F119+[1]Art33!F119+[1]Art34!F119+[1]Art35!F119+[1]Art36!F119+[1]Art37!F119+[1]Art38!F119+[1]ArtT1!F119+[1]ArtT2!F119)</f>
        <v>1</v>
      </c>
      <c r="H119" s="4"/>
      <c r="I119" s="4"/>
      <c r="J119" s="4"/>
      <c r="K119" s="4"/>
    </row>
    <row r="120" spans="1:11" ht="12.75" customHeight="1" x14ac:dyDescent="0.3">
      <c r="A120" s="1" t="s">
        <v>148</v>
      </c>
      <c r="B120" s="1" t="s">
        <v>13</v>
      </c>
      <c r="C120" s="1">
        <f>SUM([1]Art1!C120+[1]Art2!C120+[1]Art3!C120+[1]Art4!C120+[1]Art5!C120+[1]Art6!C120+[1]Art7!C120+[1]Art8!C120+[1]Art9!C120+[1]Art10!C120+[1]Art11!C120+[1]Art12!C120+[1]Art13!C120+[1]Art14!C120+[1]Art15!C120+[1]Art16!C120+[1]Art17!C120+[1]Art18!C120+[1]Art19!C120+[1]Art20!C120+[1]Art21!C120+[1]Art22!C120+[1]Art23!C120+[1]Art24!C120+[1]Art25!C120+[1]Art26!C120+[1]Art27!C120+[1]Art28!C120+[1]Art29!C120+[1]Art30!C120+[1]Art31!C120+[1]Art32!C120+[1]Art33!C120+[1]Art34!C120+[1]Art35!C120+[1]Art36!C120+[1]Art37!C120+[1]Art38!C120+[1]ArtT1!C120+[1]ArtT2!C120)</f>
        <v>16</v>
      </c>
      <c r="D120" s="1">
        <f>SUM([1]Art1!D120+[1]Art2!D120+[1]Art3!D120+[1]Art4!D120+[1]Art5!D120+[1]Art6!D120+[1]Art7!D120+[1]Art8!D120+[1]Art9!D120+[1]Art10!D120+[1]Art11!D120+[1]Art12!D120+[1]Art13!D120+[1]Art14!D120+[1]Art15!D120+[1]Art16!D120+[1]Art17!D120+[1]Art18!D120+[1]Art19!D120+[1]Art20!D120+[1]Art21!D120+[1]Art22!D120+[1]Art23!D120+[1]Art24!D120+[1]Art25!D120+[1]Art26!D120+[1]Art27!D120+[1]Art28!D120+[1]Art29!D120+[1]Art30!D120+[1]Art31!D120+[1]Art32!D120+[1]Art33!D120+[1]Art34!D120+[1]Art35!D120+[1]Art36!D120+[1]Art37!D120+[1]Art38!D120+[1]ArtT1!D120+[1]ArtT2!D120)</f>
        <v>18</v>
      </c>
      <c r="E120" s="1">
        <f>SUM([1]Art1!E120+[1]Art2!E120+[1]Art3!E120+[1]Art4!E120+[1]Art5!E120+[1]Art6!E120+[1]Art7!E120+[1]Art8!E120+[1]Art9!E120+[1]Art10!E120+[1]Art11!E120+[1]Art12!E120+[1]Art13!E120+[1]Art14!E120+[1]Art15!E120+[1]Art16!E120+[1]Art17!E120+[1]Art18!E120+[1]Art19!E120+[1]Art20!E120+[1]Art21!E120+[1]Art22!E120+[1]Art23!E120+[1]Art24!E120+[1]Art25!E120+[1]Art26!E120+[1]Art27!E120+[1]Art28!E120+[1]Art29!E120+[1]Art30!E120+[1]Art31!E120+[1]Art32!E120+[1]Art33!E120+[1]Art34!E120+[1]Art35!E120+[1]Art36!E120+[1]Art37!E120+[1]Art38!E120+[1]ArtT1!E120+[1]ArtT2!E120)</f>
        <v>5</v>
      </c>
      <c r="F120" s="1">
        <f>SUM([1]Art1!F120+[1]Art2!F120+[1]Art3!F120+[1]Art4!F120+[1]Art5!F120+[1]Art6!F120+[1]Art7!F120+[1]Art8!F120+[1]Art9!F120+[1]Art10!F120+[1]Art11!F120+[1]Art12!F120+[1]Art13!F120+[1]Art14!F120+[1]Art15!F120+[1]Art16!F120+[1]Art17!F120+[1]Art18!F120+[1]Art19!F120+[1]Art20!F120+[1]Art21!F120+[1]Art22!F120+[1]Art23!F120+[1]Art24!F120+[1]Art25!F120+[1]Art26!F120+[1]Art27!F120+[1]Art28!F120+[1]Art29!F120+[1]Art30!F120+[1]Art31!F120+[1]Art32!F120+[1]Art33!F120+[1]Art34!F120+[1]Art35!F120+[1]Art36!F120+[1]Art37!F120+[1]Art38!F120+[1]ArtT1!F120+[1]ArtT2!F120)</f>
        <v>1</v>
      </c>
      <c r="H120" s="4"/>
      <c r="I120" s="4"/>
      <c r="J120" s="4"/>
      <c r="K120" s="4"/>
    </row>
    <row r="121" spans="1:11" ht="12.75" customHeight="1" x14ac:dyDescent="0.3">
      <c r="A121" s="1" t="s">
        <v>149</v>
      </c>
      <c r="B121" s="1" t="s">
        <v>150</v>
      </c>
      <c r="C121" s="1">
        <f>SUM([1]Art1!C121+[1]Art2!C121+[1]Art3!C121+[1]Art4!C121+[1]Art5!C121+[1]Art6!C121+[1]Art7!C121+[1]Art8!C121+[1]Art9!C121+[1]Art10!C121+[1]Art11!C121+[1]Art12!C121+[1]Art13!C121+[1]Art14!C121+[1]Art15!C121+[1]Art16!C121+[1]Art17!C121+[1]Art18!C121+[1]Art19!C121+[1]Art20!C121+[1]Art21!C121+[1]Art22!C121+[1]Art23!C121+[1]Art24!C121+[1]Art25!C121+[1]Art26!C121+[1]Art27!C121+[1]Art28!C121+[1]Art29!C121+[1]Art30!C121+[1]Art31!C121+[1]Art32!C121+[1]Art33!C121+[1]Art34!C121+[1]Art35!C121+[1]Art36!C121+[1]Art37!C121+[1]Art38!C121+[1]ArtT1!C121+[1]ArtT2!C121)</f>
        <v>0</v>
      </c>
      <c r="D121" s="1">
        <f>SUM([1]Art1!D121+[1]Art2!D121+[1]Art3!D121+[1]Art4!D121+[1]Art5!D121+[1]Art6!D121+[1]Art7!D121+[1]Art8!D121+[1]Art9!D121+[1]Art10!D121+[1]Art11!D121+[1]Art12!D121+[1]Art13!D121+[1]Art14!D121+[1]Art15!D121+[1]Art16!D121+[1]Art17!D121+[1]Art18!D121+[1]Art19!D121+[1]Art20!D121+[1]Art21!D121+[1]Art22!D121+[1]Art23!D121+[1]Art24!D121+[1]Art25!D121+[1]Art26!D121+[1]Art27!D121+[1]Art28!D121+[1]Art29!D121+[1]Art30!D121+[1]Art31!D121+[1]Art32!D121+[1]Art33!D121+[1]Art34!D121+[1]Art35!D121+[1]Art36!D121+[1]Art37!D121+[1]Art38!D121+[1]ArtT1!D121+[1]ArtT2!D121)</f>
        <v>0</v>
      </c>
      <c r="E121" s="1">
        <f>SUM([1]Art1!E121+[1]Art2!E121+[1]Art3!E121+[1]Art4!E121+[1]Art5!E121+[1]Art6!E121+[1]Art7!E121+[1]Art8!E121+[1]Art9!E121+[1]Art10!E121+[1]Art11!E121+[1]Art12!E121+[1]Art13!E121+[1]Art14!E121+[1]Art15!E121+[1]Art16!E121+[1]Art17!E121+[1]Art18!E121+[1]Art19!E121+[1]Art20!E121+[1]Art21!E121+[1]Art22!E121+[1]Art23!E121+[1]Art24!E121+[1]Art25!E121+[1]Art26!E121+[1]Art27!E121+[1]Art28!E121+[1]Art29!E121+[1]Art30!E121+[1]Art31!E121+[1]Art32!E121+[1]Art33!E121+[1]Art34!E121+[1]Art35!E121+[1]Art36!E121+[1]Art37!E121+[1]Art38!E121+[1]ArtT1!E121+[1]ArtT2!E121)</f>
        <v>0</v>
      </c>
      <c r="F121" s="1">
        <f>SUM([1]Art1!F121+[1]Art2!F121+[1]Art3!F121+[1]Art4!F121+[1]Art5!F121+[1]Art6!F121+[1]Art7!F121+[1]Art8!F121+[1]Art9!F121+[1]Art10!F121+[1]Art11!F121+[1]Art12!F121+[1]Art13!F121+[1]Art14!F121+[1]Art15!F121+[1]Art16!F121+[1]Art17!F121+[1]Art18!F121+[1]Art19!F121+[1]Art20!F121+[1]Art21!F121+[1]Art22!F121+[1]Art23!F121+[1]Art24!F121+[1]Art25!F121+[1]Art26!F121+[1]Art27!F121+[1]Art28!F121+[1]Art29!F121+[1]Art30!F121+[1]Art31!F121+[1]Art32!F121+[1]Art33!F121+[1]Art34!F121+[1]Art35!F121+[1]Art36!F121+[1]Art37!F121+[1]Art38!F121+[1]ArtT1!F121+[1]ArtT2!F121)</f>
        <v>40</v>
      </c>
      <c r="H121" s="4"/>
      <c r="I121" s="4"/>
      <c r="J121" s="4"/>
      <c r="K121" s="4"/>
    </row>
    <row r="122" spans="1:11" ht="12.75" customHeight="1" x14ac:dyDescent="0.3">
      <c r="A122" s="1" t="s">
        <v>151</v>
      </c>
      <c r="B122" s="1" t="s">
        <v>24</v>
      </c>
      <c r="C122" s="1">
        <f>SUM([1]Art1!C122+[1]Art2!C122+[1]Art3!C122+[1]Art4!C122+[1]Art5!C122+[1]Art6!C122+[1]Art7!C122+[1]Art8!C122+[1]Art9!C122+[1]Art10!C122+[1]Art11!C122+[1]Art12!C122+[1]Art13!C122+[1]Art14!C122+[1]Art15!C122+[1]Art16!C122+[1]Art17!C122+[1]Art18!C122+[1]Art19!C122+[1]Art20!C122+[1]Art21!C122+[1]Art22!C122+[1]Art23!C122+[1]Art24!C122+[1]Art25!C122+[1]Art26!C122+[1]Art27!C122+[1]Art28!C122+[1]Art29!C122+[1]Art30!C122+[1]Art31!C122+[1]Art32!C122+[1]Art33!C122+[1]Art34!C122+[1]Art35!C122+[1]Art36!C122+[1]Art37!C122+[1]Art38!C122+[1]ArtT1!C122+[1]ArtT2!C122)</f>
        <v>34</v>
      </c>
      <c r="D122" s="1">
        <f>SUM([1]Art1!D122+[1]Art2!D122+[1]Art3!D122+[1]Art4!D122+[1]Art5!D122+[1]Art6!D122+[1]Art7!D122+[1]Art8!D122+[1]Art9!D122+[1]Art10!D122+[1]Art11!D122+[1]Art12!D122+[1]Art13!D122+[1]Art14!D122+[1]Art15!D122+[1]Art16!D122+[1]Art17!D122+[1]Art18!D122+[1]Art19!D122+[1]Art20!D122+[1]Art21!D122+[1]Art22!D122+[1]Art23!D122+[1]Art24!D122+[1]Art25!D122+[1]Art26!D122+[1]Art27!D122+[1]Art28!D122+[1]Art29!D122+[1]Art30!D122+[1]Art31!D122+[1]Art32!D122+[1]Art33!D122+[1]Art34!D122+[1]Art35!D122+[1]Art36!D122+[1]Art37!D122+[1]Art38!D122+[1]ArtT1!D122+[1]ArtT2!D122)</f>
        <v>6</v>
      </c>
      <c r="E122" s="1">
        <f>SUM([1]Art1!E122+[1]Art2!E122+[1]Art3!E122+[1]Art4!E122+[1]Art5!E122+[1]Art6!E122+[1]Art7!E122+[1]Art8!E122+[1]Art9!E122+[1]Art10!E122+[1]Art11!E122+[1]Art12!E122+[1]Art13!E122+[1]Art14!E122+[1]Art15!E122+[1]Art16!E122+[1]Art17!E122+[1]Art18!E122+[1]Art19!E122+[1]Art20!E122+[1]Art21!E122+[1]Art22!E122+[1]Art23!E122+[1]Art24!E122+[1]Art25!E122+[1]Art26!E122+[1]Art27!E122+[1]Art28!E122+[1]Art29!E122+[1]Art30!E122+[1]Art31!E122+[1]Art32!E122+[1]Art33!E122+[1]Art34!E122+[1]Art35!E122+[1]Art36!E122+[1]Art37!E122+[1]Art38!E122+[1]ArtT1!E122+[1]ArtT2!E122)</f>
        <v>0</v>
      </c>
      <c r="F122" s="1">
        <f>SUM([1]Art1!F122+[1]Art2!F122+[1]Art3!F122+[1]Art4!F122+[1]Art5!F122+[1]Art6!F122+[1]Art7!F122+[1]Art8!F122+[1]Art9!F122+[1]Art10!F122+[1]Art11!F122+[1]Art12!F122+[1]Art13!F122+[1]Art14!F122+[1]Art15!F122+[1]Art16!F122+[1]Art17!F122+[1]Art18!F122+[1]Art19!F122+[1]Art20!F122+[1]Art21!F122+[1]Art22!F122+[1]Art23!F122+[1]Art24!F122+[1]Art25!F122+[1]Art26!F122+[1]Art27!F122+[1]Art28!F122+[1]Art29!F122+[1]Art30!F122+[1]Art31!F122+[1]Art32!F122+[1]Art33!F122+[1]Art34!F122+[1]Art35!F122+[1]Art36!F122+[1]Art37!F122+[1]Art38!F122+[1]ArtT1!F122+[1]ArtT2!F122)</f>
        <v>0</v>
      </c>
      <c r="H122" s="4"/>
      <c r="I122" s="4"/>
      <c r="J122" s="4"/>
      <c r="K122" s="4"/>
    </row>
    <row r="123" spans="1:11" ht="12.75" customHeight="1" x14ac:dyDescent="0.3">
      <c r="A123" s="1" t="s">
        <v>152</v>
      </c>
      <c r="B123" s="1" t="s">
        <v>24</v>
      </c>
      <c r="C123" s="1">
        <f>SUM([1]Art1!C123+[1]Art2!C123+[1]Art3!C123+[1]Art4!C123+[1]Art5!C123+[1]Art6!C123+[1]Art7!C123+[1]Art8!C123+[1]Art9!C123+[1]Art10!C123+[1]Art11!C123+[1]Art12!C123+[1]Art13!C123+[1]Art14!C123+[1]Art15!C123+[1]Art16!C123+[1]Art17!C123+[1]Art18!C123+[1]Art19!C123+[1]Art20!C123+[1]Art21!C123+[1]Art22!C123+[1]Art23!C123+[1]Art24!C123+[1]Art25!C123+[1]Art26!C123+[1]Art27!C123+[1]Art28!C123+[1]Art29!C123+[1]Art30!C123+[1]Art31!C123+[1]Art32!C123+[1]Art33!C123+[1]Art34!C123+[1]Art35!C123+[1]Art36!C123+[1]Art37!C123+[1]Art38!C123+[1]ArtT1!C123+[1]ArtT2!C123)</f>
        <v>32</v>
      </c>
      <c r="D123" s="1">
        <f>SUM([1]Art1!D123+[1]Art2!D123+[1]Art3!D123+[1]Art4!D123+[1]Art5!D123+[1]Art6!D123+[1]Art7!D123+[1]Art8!D123+[1]Art9!D123+[1]Art10!D123+[1]Art11!D123+[1]Art12!D123+[1]Art13!D123+[1]Art14!D123+[1]Art15!D123+[1]Art16!D123+[1]Art17!D123+[1]Art18!D123+[1]Art19!D123+[1]Art20!D123+[1]Art21!D123+[1]Art22!D123+[1]Art23!D123+[1]Art24!D123+[1]Art25!D123+[1]Art26!D123+[1]Art27!D123+[1]Art28!D123+[1]Art29!D123+[1]Art30!D123+[1]Art31!D123+[1]Art32!D123+[1]Art33!D123+[1]Art34!D123+[1]Art35!D123+[1]Art36!D123+[1]Art37!D123+[1]Art38!D123+[1]ArtT1!D123+[1]ArtT2!D123)</f>
        <v>7</v>
      </c>
      <c r="E123" s="1">
        <f>SUM([1]Art1!E123+[1]Art2!E123+[1]Art3!E123+[1]Art4!E123+[1]Art5!E123+[1]Art6!E123+[1]Art7!E123+[1]Art8!E123+[1]Art9!E123+[1]Art10!E123+[1]Art11!E123+[1]Art12!E123+[1]Art13!E123+[1]Art14!E123+[1]Art15!E123+[1]Art16!E123+[1]Art17!E123+[1]Art18!E123+[1]Art19!E123+[1]Art20!E123+[1]Art21!E123+[1]Art22!E123+[1]Art23!E123+[1]Art24!E123+[1]Art25!E123+[1]Art26!E123+[1]Art27!E123+[1]Art28!E123+[1]Art29!E123+[1]Art30!E123+[1]Art31!E123+[1]Art32!E123+[1]Art33!E123+[1]Art34!E123+[1]Art35!E123+[1]Art36!E123+[1]Art37!E123+[1]Art38!E123+[1]ArtT1!E123+[1]ArtT2!E123)</f>
        <v>0</v>
      </c>
      <c r="F123" s="1">
        <f>SUM([1]Art1!F123+[1]Art2!F123+[1]Art3!F123+[1]Art4!F123+[1]Art5!F123+[1]Art6!F123+[1]Art7!F123+[1]Art8!F123+[1]Art9!F123+[1]Art10!F123+[1]Art11!F123+[1]Art12!F123+[1]Art13!F123+[1]Art14!F123+[1]Art15!F123+[1]Art16!F123+[1]Art17!F123+[1]Art18!F123+[1]Art19!F123+[1]Art20!F123+[1]Art21!F123+[1]Art22!F123+[1]Art23!F123+[1]Art24!F123+[1]Art25!F123+[1]Art26!F123+[1]Art27!F123+[1]Art28!F123+[1]Art29!F123+[1]Art30!F123+[1]Art31!F123+[1]Art32!F123+[1]Art33!F123+[1]Art34!F123+[1]Art35!F123+[1]Art36!F123+[1]Art37!F123+[1]Art38!F123+[1]ArtT1!F123+[1]ArtT2!F123)</f>
        <v>1</v>
      </c>
      <c r="H123" s="4"/>
      <c r="I123" s="4"/>
      <c r="J123" s="4"/>
      <c r="K123" s="4"/>
    </row>
    <row r="124" spans="1:11" ht="12.75" customHeight="1" x14ac:dyDescent="0.3">
      <c r="A124" s="1" t="s">
        <v>153</v>
      </c>
      <c r="B124" s="1" t="s">
        <v>19</v>
      </c>
      <c r="C124" s="1">
        <f>SUM([1]Art1!C124+[1]Art2!C124+[1]Art3!C124+[1]Art4!C124+[1]Art5!C124+[1]Art6!C124+[1]Art7!C124+[1]Art8!C124+[1]Art9!C124+[1]Art10!C124+[1]Art11!C124+[1]Art12!C124+[1]Art13!C124+[1]Art14!C124+[1]Art15!C124+[1]Art16!C124+[1]Art17!C124+[1]Art18!C124+[1]Art19!C124+[1]Art20!C124+[1]Art21!C124+[1]Art22!C124+[1]Art23!C124+[1]Art24!C124+[1]Art25!C124+[1]Art26!C124+[1]Art27!C124+[1]Art28!C124+[1]Art29!C124+[1]Art30!C124+[1]Art31!C124+[1]Art32!C124+[1]Art33!C124+[1]Art34!C124+[1]Art35!C124+[1]Art36!C124+[1]Art37!C124+[1]Art38!C124+[1]ArtT1!C124+[1]ArtT2!C124)</f>
        <v>39</v>
      </c>
      <c r="D124" s="1">
        <f>SUM([1]Art1!D124+[1]Art2!D124+[1]Art3!D124+[1]Art4!D124+[1]Art5!D124+[1]Art6!D124+[1]Art7!D124+[1]Art8!D124+[1]Art9!D124+[1]Art10!D124+[1]Art11!D124+[1]Art12!D124+[1]Art13!D124+[1]Art14!D124+[1]Art15!D124+[1]Art16!D124+[1]Art17!D124+[1]Art18!D124+[1]Art19!D124+[1]Art20!D124+[1]Art21!D124+[1]Art22!D124+[1]Art23!D124+[1]Art24!D124+[1]Art25!D124+[1]Art26!D124+[1]Art27!D124+[1]Art28!D124+[1]Art29!D124+[1]Art30!D124+[1]Art31!D124+[1]Art32!D124+[1]Art33!D124+[1]Art34!D124+[1]Art35!D124+[1]Art36!D124+[1]Art37!D124+[1]Art38!D124+[1]ArtT1!D124+[1]ArtT2!D124)</f>
        <v>0</v>
      </c>
      <c r="E124" s="1">
        <f>SUM([1]Art1!E124+[1]Art2!E124+[1]Art3!E124+[1]Art4!E124+[1]Art5!E124+[1]Art6!E124+[1]Art7!E124+[1]Art8!E124+[1]Art9!E124+[1]Art10!E124+[1]Art11!E124+[1]Art12!E124+[1]Art13!E124+[1]Art14!E124+[1]Art15!E124+[1]Art16!E124+[1]Art17!E124+[1]Art18!E124+[1]Art19!E124+[1]Art20!E124+[1]Art21!E124+[1]Art22!E124+[1]Art23!E124+[1]Art24!E124+[1]Art25!E124+[1]Art26!E124+[1]Art27!E124+[1]Art28!E124+[1]Art29!E124+[1]Art30!E124+[1]Art31!E124+[1]Art32!E124+[1]Art33!E124+[1]Art34!E124+[1]Art35!E124+[1]Art36!E124+[1]Art37!E124+[1]Art38!E124+[1]ArtT1!E124+[1]ArtT2!E124)</f>
        <v>0</v>
      </c>
      <c r="F124" s="1">
        <f>SUM([1]Art1!F124+[1]Art2!F124+[1]Art3!F124+[1]Art4!F124+[1]Art5!F124+[1]Art6!F124+[1]Art7!F124+[1]Art8!F124+[1]Art9!F124+[1]Art10!F124+[1]Art11!F124+[1]Art12!F124+[1]Art13!F124+[1]Art14!F124+[1]Art15!F124+[1]Art16!F124+[1]Art17!F124+[1]Art18!F124+[1]Art19!F124+[1]Art20!F124+[1]Art21!F124+[1]Art22!F124+[1]Art23!F124+[1]Art24!F124+[1]Art25!F124+[1]Art26!F124+[1]Art27!F124+[1]Art28!F124+[1]Art29!F124+[1]Art30!F124+[1]Art31!F124+[1]Art32!F124+[1]Art33!F124+[1]Art34!F124+[1]Art35!F124+[1]Art36!F124+[1]Art37!F124+[1]Art38!F124+[1]ArtT1!F124+[1]ArtT2!F124)</f>
        <v>1</v>
      </c>
      <c r="H124" s="4"/>
      <c r="I124" s="4"/>
      <c r="J124" s="4"/>
      <c r="K124" s="4"/>
    </row>
    <row r="125" spans="1:11" ht="12.75" customHeight="1" x14ac:dyDescent="0.3">
      <c r="A125" s="1" t="s">
        <v>154</v>
      </c>
      <c r="B125" s="1" t="s">
        <v>33</v>
      </c>
      <c r="C125" s="1">
        <f>SUM([1]Art1!C125+[1]Art2!C125+[1]Art3!C125+[1]Art4!C125+[1]Art5!C125+[1]Art6!C125+[1]Art7!C125+[1]Art8!C125+[1]Art9!C125+[1]Art10!C125+[1]Art11!C125+[1]Art12!C125+[1]Art13!C125+[1]Art14!C125+[1]Art15!C125+[1]Art16!C125+[1]Art17!C125+[1]Art18!C125+[1]Art19!C125+[1]Art20!C125+[1]Art21!C125+[1]Art22!C125+[1]Art23!C125+[1]Art24!C125+[1]Art25!C125+[1]Art26!C125+[1]Art27!C125+[1]Art28!C125+[1]Art29!C125+[1]Art30!C125+[1]Art31!C125+[1]Art32!C125+[1]Art33!C125+[1]Art34!C125+[1]Art35!C125+[1]Art36!C125+[1]Art37!C125+[1]Art38!C125+[1]ArtT1!C125+[1]ArtT2!C125)</f>
        <v>40</v>
      </c>
      <c r="D125" s="1">
        <f>SUM([1]Art1!D125+[1]Art2!D125+[1]Art3!D125+[1]Art4!D125+[1]Art5!D125+[1]Art6!D125+[1]Art7!D125+[1]Art8!D125+[1]Art9!D125+[1]Art10!D125+[1]Art11!D125+[1]Art12!D125+[1]Art13!D125+[1]Art14!D125+[1]Art15!D125+[1]Art16!D125+[1]Art17!D125+[1]Art18!D125+[1]Art19!D125+[1]Art20!D125+[1]Art21!D125+[1]Art22!D125+[1]Art23!D125+[1]Art24!D125+[1]Art25!D125+[1]Art26!D125+[1]Art27!D125+[1]Art28!D125+[1]Art29!D125+[1]Art30!D125+[1]Art31!D125+[1]Art32!D125+[1]Art33!D125+[1]Art34!D125+[1]Art35!D125+[1]Art36!D125+[1]Art37!D125+[1]Art38!D125+[1]ArtT1!D125+[1]ArtT2!D125)</f>
        <v>0</v>
      </c>
      <c r="E125" s="1">
        <f>SUM([1]Art1!E125+[1]Art2!E125+[1]Art3!E125+[1]Art4!E125+[1]Art5!E125+[1]Art6!E125+[1]Art7!E125+[1]Art8!E125+[1]Art9!E125+[1]Art10!E125+[1]Art11!E125+[1]Art12!E125+[1]Art13!E125+[1]Art14!E125+[1]Art15!E125+[1]Art16!E125+[1]Art17!E125+[1]Art18!E125+[1]Art19!E125+[1]Art20!E125+[1]Art21!E125+[1]Art22!E125+[1]Art23!E125+[1]Art24!E125+[1]Art25!E125+[1]Art26!E125+[1]Art27!E125+[1]Art28!E125+[1]Art29!E125+[1]Art30!E125+[1]Art31!E125+[1]Art32!E125+[1]Art33!E125+[1]Art34!E125+[1]Art35!E125+[1]Art36!E125+[1]Art37!E125+[1]Art38!E125+[1]ArtT1!E125+[1]ArtT2!E125)</f>
        <v>0</v>
      </c>
      <c r="F125" s="1">
        <f>SUM([1]Art1!F125+[1]Art2!F125+[1]Art3!F125+[1]Art4!F125+[1]Art5!F125+[1]Art6!F125+[1]Art7!F125+[1]Art8!F125+[1]Art9!F125+[1]Art10!F125+[1]Art11!F125+[1]Art12!F125+[1]Art13!F125+[1]Art14!F125+[1]Art15!F125+[1]Art16!F125+[1]Art17!F125+[1]Art18!F125+[1]Art19!F125+[1]Art20!F125+[1]Art21!F125+[1]Art22!F125+[1]Art23!F125+[1]Art24!F125+[1]Art25!F125+[1]Art26!F125+[1]Art27!F125+[1]Art28!F125+[1]Art29!F125+[1]Art30!F125+[1]Art31!F125+[1]Art32!F125+[1]Art33!F125+[1]Art34!F125+[1]Art35!F125+[1]Art36!F125+[1]Art37!F125+[1]Art38!F125+[1]ArtT1!F125+[1]ArtT2!F125)</f>
        <v>0</v>
      </c>
      <c r="H125" s="4"/>
      <c r="I125" s="4"/>
      <c r="J125" s="4"/>
      <c r="K125" s="4"/>
    </row>
    <row r="126" spans="1:11" ht="12.75" customHeight="1" x14ac:dyDescent="0.3">
      <c r="A126" s="1" t="s">
        <v>155</v>
      </c>
      <c r="B126" s="1" t="s">
        <v>13</v>
      </c>
      <c r="C126" s="1">
        <f>SUM([1]Art1!C126+[1]Art2!C126+[1]Art3!C126+[1]Art4!C126+[1]Art5!C126+[1]Art6!C126+[1]Art7!C126+[1]Art8!C126+[1]Art9!C126+[1]Art10!C126+[1]Art11!C126+[1]Art12!C126+[1]Art13!C126+[1]Art14!C126+[1]Art15!C126+[1]Art16!C126+[1]Art17!C126+[1]Art18!C126+[1]Art19!C126+[1]Art20!C126+[1]Art21!C126+[1]Art22!C126+[1]Art23!C126+[1]Art24!C126+[1]Art25!C126+[1]Art26!C126+[1]Art27!C126+[1]Art28!C126+[1]Art29!C126+[1]Art30!C126+[1]Art31!C126+[1]Art32!C126+[1]Art33!C126+[1]Art34!C126+[1]Art35!C126+[1]Art36!C126+[1]Art37!C126+[1]Art38!C126+[1]ArtT1!C126+[1]ArtT2!C126)</f>
        <v>9</v>
      </c>
      <c r="D126" s="1">
        <f>SUM([1]Art1!D126+[1]Art2!D126+[1]Art3!D126+[1]Art4!D126+[1]Art5!D126+[1]Art6!D126+[1]Art7!D126+[1]Art8!D126+[1]Art9!D126+[1]Art10!D126+[1]Art11!D126+[1]Art12!D126+[1]Art13!D126+[1]Art14!D126+[1]Art15!D126+[1]Art16!D126+[1]Art17!D126+[1]Art18!D126+[1]Art19!D126+[1]Art20!D126+[1]Art21!D126+[1]Art22!D126+[1]Art23!D126+[1]Art24!D126+[1]Art25!D126+[1]Art26!D126+[1]Art27!D126+[1]Art28!D126+[1]Art29!D126+[1]Art30!D126+[1]Art31!D126+[1]Art32!D126+[1]Art33!D126+[1]Art34!D126+[1]Art35!D126+[1]Art36!D126+[1]Art37!D126+[1]Art38!D126+[1]ArtT1!D126+[1]ArtT2!D126)</f>
        <v>30</v>
      </c>
      <c r="E126" s="1">
        <f>SUM([1]Art1!E126+[1]Art2!E126+[1]Art3!E126+[1]Art4!E126+[1]Art5!E126+[1]Art6!E126+[1]Art7!E126+[1]Art8!E126+[1]Art9!E126+[1]Art10!E126+[1]Art11!E126+[1]Art12!E126+[1]Art13!E126+[1]Art14!E126+[1]Art15!E126+[1]Art16!E126+[1]Art17!E126+[1]Art18!E126+[1]Art19!E126+[1]Art20!E126+[1]Art21!E126+[1]Art22!E126+[1]Art23!E126+[1]Art24!E126+[1]Art25!E126+[1]Art26!E126+[1]Art27!E126+[1]Art28!E126+[1]Art29!E126+[1]Art30!E126+[1]Art31!E126+[1]Art32!E126+[1]Art33!E126+[1]Art34!E126+[1]Art35!E126+[1]Art36!E126+[1]Art37!E126+[1]Art38!E126+[1]ArtT1!E126+[1]ArtT2!E126)</f>
        <v>1</v>
      </c>
      <c r="F126" s="1">
        <f>SUM([1]Art1!F126+[1]Art2!F126+[1]Art3!F126+[1]Art4!F126+[1]Art5!F126+[1]Art6!F126+[1]Art7!F126+[1]Art8!F126+[1]Art9!F126+[1]Art10!F126+[1]Art11!F126+[1]Art12!F126+[1]Art13!F126+[1]Art14!F126+[1]Art15!F126+[1]Art16!F126+[1]Art17!F126+[1]Art18!F126+[1]Art19!F126+[1]Art20!F126+[1]Art21!F126+[1]Art22!F126+[1]Art23!F126+[1]Art24!F126+[1]Art25!F126+[1]Art26!F126+[1]Art27!F126+[1]Art28!F126+[1]Art29!F126+[1]Art30!F126+[1]Art31!F126+[1]Art32!F126+[1]Art33!F126+[1]Art34!F126+[1]Art35!F126+[1]Art36!F126+[1]Art37!F126+[1]Art38!F126+[1]ArtT1!F126+[1]ArtT2!F126)</f>
        <v>0</v>
      </c>
      <c r="H126" s="4"/>
      <c r="I126" s="4"/>
      <c r="J126" s="4"/>
      <c r="K126" s="4"/>
    </row>
    <row r="127" spans="1:11" ht="12.75" customHeight="1" x14ac:dyDescent="0.3">
      <c r="A127" s="1" t="s">
        <v>156</v>
      </c>
      <c r="B127" s="1" t="s">
        <v>13</v>
      </c>
      <c r="C127" s="1">
        <f>SUM([1]Art1!C127+[1]Art2!C127+[1]Art3!C127+[1]Art4!C127+[1]Art5!C127+[1]Art6!C127+[1]Art7!C127+[1]Art8!C127+[1]Art9!C127+[1]Art10!C127+[1]Art11!C127+[1]Art12!C127+[1]Art13!C127+[1]Art14!C127+[1]Art15!C127+[1]Art16!C127+[1]Art17!C127+[1]Art18!C127+[1]Art19!C127+[1]Art20!C127+[1]Art21!C127+[1]Art22!C127+[1]Art23!C127+[1]Art24!C127+[1]Art25!C127+[1]Art26!C127+[1]Art27!C127+[1]Art28!C127+[1]Art29!C127+[1]Art30!C127+[1]Art31!C127+[1]Art32!C127+[1]Art33!C127+[1]Art34!C127+[1]Art35!C127+[1]Art36!C127+[1]Art37!C127+[1]Art38!C127+[1]ArtT1!C127+[1]ArtT2!C127)</f>
        <v>10</v>
      </c>
      <c r="D127" s="1">
        <f>SUM([1]Art1!D127+[1]Art2!D127+[1]Art3!D127+[1]Art4!D127+[1]Art5!D127+[1]Art6!D127+[1]Art7!D127+[1]Art8!D127+[1]Art9!D127+[1]Art10!D127+[1]Art11!D127+[1]Art12!D127+[1]Art13!D127+[1]Art14!D127+[1]Art15!D127+[1]Art16!D127+[1]Art17!D127+[1]Art18!D127+[1]Art19!D127+[1]Art20!D127+[1]Art21!D127+[1]Art22!D127+[1]Art23!D127+[1]Art24!D127+[1]Art25!D127+[1]Art26!D127+[1]Art27!D127+[1]Art28!D127+[1]Art29!D127+[1]Art30!D127+[1]Art31!D127+[1]Art32!D127+[1]Art33!D127+[1]Art34!D127+[1]Art35!D127+[1]Art36!D127+[1]Art37!D127+[1]Art38!D127+[1]ArtT1!D127+[1]ArtT2!D127)</f>
        <v>24</v>
      </c>
      <c r="E127" s="1">
        <f>SUM([1]Art1!E127+[1]Art2!E127+[1]Art3!E127+[1]Art4!E127+[1]Art5!E127+[1]Art6!E127+[1]Art7!E127+[1]Art8!E127+[1]Art9!E127+[1]Art10!E127+[1]Art11!E127+[1]Art12!E127+[1]Art13!E127+[1]Art14!E127+[1]Art15!E127+[1]Art16!E127+[1]Art17!E127+[1]Art18!E127+[1]Art19!E127+[1]Art20!E127+[1]Art21!E127+[1]Art22!E127+[1]Art23!E127+[1]Art24!E127+[1]Art25!E127+[1]Art26!E127+[1]Art27!E127+[1]Art28!E127+[1]Art29!E127+[1]Art30!E127+[1]Art31!E127+[1]Art32!E127+[1]Art33!E127+[1]Art34!E127+[1]Art35!E127+[1]Art36!E127+[1]Art37!E127+[1]Art38!E127+[1]ArtT1!E127+[1]ArtT2!E127)</f>
        <v>6</v>
      </c>
      <c r="F127" s="1">
        <f>SUM([1]Art1!F127+[1]Art2!F127+[1]Art3!F127+[1]Art4!F127+[1]Art5!F127+[1]Art6!F127+[1]Art7!F127+[1]Art8!F127+[1]Art9!F127+[1]Art10!F127+[1]Art11!F127+[1]Art12!F127+[1]Art13!F127+[1]Art14!F127+[1]Art15!F127+[1]Art16!F127+[1]Art17!F127+[1]Art18!F127+[1]Art19!F127+[1]Art20!F127+[1]Art21!F127+[1]Art22!F127+[1]Art23!F127+[1]Art24!F127+[1]Art25!F127+[1]Art26!F127+[1]Art27!F127+[1]Art28!F127+[1]Art29!F127+[1]Art30!F127+[1]Art31!F127+[1]Art32!F127+[1]Art33!F127+[1]Art34!F127+[1]Art35!F127+[1]Art36!F127+[1]Art37!F127+[1]Art38!F127+[1]ArtT1!F127+[1]ArtT2!F127)</f>
        <v>0</v>
      </c>
      <c r="H127" s="4"/>
      <c r="I127" s="4"/>
      <c r="J127" s="4"/>
      <c r="K127" s="4"/>
    </row>
    <row r="128" spans="1:11" ht="12.75" customHeight="1" x14ac:dyDescent="0.3">
      <c r="A128" s="1" t="s">
        <v>157</v>
      </c>
      <c r="B128" s="1" t="s">
        <v>14</v>
      </c>
      <c r="C128" s="1">
        <f>SUM([1]Art1!C128+[1]Art2!C128+[1]Art3!C128+[1]Art4!C128+[1]Art5!C128+[1]Art6!C128+[1]Art7!C128+[1]Art8!C128+[1]Art9!C128+[1]Art10!C128+[1]Art11!C128+[1]Art12!C128+[1]Art13!C128+[1]Art14!C128+[1]Art15!C128+[1]Art16!C128+[1]Art17!C128+[1]Art18!C128+[1]Art19!C128+[1]Art20!C128+[1]Art21!C128+[1]Art22!C128+[1]Art23!C128+[1]Art24!C128+[1]Art25!C128+[1]Art26!C128+[1]Art27!C128+[1]Art28!C128+[1]Art29!C128+[1]Art30!C128+[1]Art31!C128+[1]Art32!C128+[1]Art33!C128+[1]Art34!C128+[1]Art35!C128+[1]Art36!C128+[1]Art37!C128+[1]Art38!C128+[1]ArtT1!C128+[1]ArtT2!C128)</f>
        <v>32</v>
      </c>
      <c r="D128" s="1">
        <f>SUM([1]Art1!D128+[1]Art2!D128+[1]Art3!D128+[1]Art4!D128+[1]Art5!D128+[1]Art6!D128+[1]Art7!D128+[1]Art8!D128+[1]Art9!D128+[1]Art10!D128+[1]Art11!D128+[1]Art12!D128+[1]Art13!D128+[1]Art14!D128+[1]Art15!D128+[1]Art16!D128+[1]Art17!D128+[1]Art18!D128+[1]Art19!D128+[1]Art20!D128+[1]Art21!D128+[1]Art22!D128+[1]Art23!D128+[1]Art24!D128+[1]Art25!D128+[1]Art26!D128+[1]Art27!D128+[1]Art28!D128+[1]Art29!D128+[1]Art30!D128+[1]Art31!D128+[1]Art32!D128+[1]Art33!D128+[1]Art34!D128+[1]Art35!D128+[1]Art36!D128+[1]Art37!D128+[1]Art38!D128+[1]ArtT1!D128+[1]ArtT2!D128)</f>
        <v>5</v>
      </c>
      <c r="E128" s="1">
        <f>SUM([1]Art1!E128+[1]Art2!E128+[1]Art3!E128+[1]Art4!E128+[1]Art5!E128+[1]Art6!E128+[1]Art7!E128+[1]Art8!E128+[1]Art9!E128+[1]Art10!E128+[1]Art11!E128+[1]Art12!E128+[1]Art13!E128+[1]Art14!E128+[1]Art15!E128+[1]Art16!E128+[1]Art17!E128+[1]Art18!E128+[1]Art19!E128+[1]Art20!E128+[1]Art21!E128+[1]Art22!E128+[1]Art23!E128+[1]Art24!E128+[1]Art25!E128+[1]Art26!E128+[1]Art27!E128+[1]Art28!E128+[1]Art29!E128+[1]Art30!E128+[1]Art31!E128+[1]Art32!E128+[1]Art33!E128+[1]Art34!E128+[1]Art35!E128+[1]Art36!E128+[1]Art37!E128+[1]Art38!E128+[1]ArtT1!E128+[1]ArtT2!E128)</f>
        <v>0</v>
      </c>
      <c r="F128" s="1">
        <f>SUM([1]Art1!F128+[1]Art2!F128+[1]Art3!F128+[1]Art4!F128+[1]Art5!F128+[1]Art6!F128+[1]Art7!F128+[1]Art8!F128+[1]Art9!F128+[1]Art10!F128+[1]Art11!F128+[1]Art12!F128+[1]Art13!F128+[1]Art14!F128+[1]Art15!F128+[1]Art16!F128+[1]Art17!F128+[1]Art18!F128+[1]Art19!F128+[1]Art20!F128+[1]Art21!F128+[1]Art22!F128+[1]Art23!F128+[1]Art24!F128+[1]Art25!F128+[1]Art26!F128+[1]Art27!F128+[1]Art28!F128+[1]Art29!F128+[1]Art30!F128+[1]Art31!F128+[1]Art32!F128+[1]Art33!F128+[1]Art34!F128+[1]Art35!F128+[1]Art36!F128+[1]Art37!F128+[1]Art38!F128+[1]ArtT1!F128+[1]ArtT2!F128)</f>
        <v>3</v>
      </c>
      <c r="H128" s="4"/>
      <c r="I128" s="4"/>
      <c r="J128" s="4"/>
      <c r="K128" s="4"/>
    </row>
    <row r="129" spans="1:11" ht="12.75" customHeight="1" x14ac:dyDescent="0.3">
      <c r="A129" s="1" t="s">
        <v>158</v>
      </c>
      <c r="B129" s="1" t="s">
        <v>16</v>
      </c>
      <c r="C129" s="1">
        <f>SUM([1]Art1!C129+[1]Art2!C129+[1]Art3!C129+[1]Art4!C129+[1]Art5!C129+[1]Art6!C129+[1]Art7!C129+[1]Art8!C129+[1]Art9!C129+[1]Art10!C129+[1]Art11!C129+[1]Art12!C129+[1]Art13!C129+[1]Art14!C129+[1]Art15!C129+[1]Art16!C129+[1]Art17!C129+[1]Art18!C129+[1]Art19!C129+[1]Art20!C129+[1]Art21!C129+[1]Art22!C129+[1]Art23!C129+[1]Art24!C129+[1]Art25!C129+[1]Art26!C129+[1]Art27!C129+[1]Art28!C129+[1]Art29!C129+[1]Art30!C129+[1]Art31!C129+[1]Art32!C129+[1]Art33!C129+[1]Art34!C129+[1]Art35!C129+[1]Art36!C129+[1]Art37!C129+[1]Art38!C129+[1]ArtT1!C129+[1]ArtT2!C129)</f>
        <v>35</v>
      </c>
      <c r="D129" s="1">
        <f>SUM([1]Art1!D129+[1]Art2!D129+[1]Art3!D129+[1]Art4!D129+[1]Art5!D129+[1]Art6!D129+[1]Art7!D129+[1]Art8!D129+[1]Art9!D129+[1]Art10!D129+[1]Art11!D129+[1]Art12!D129+[1]Art13!D129+[1]Art14!D129+[1]Art15!D129+[1]Art16!D129+[1]Art17!D129+[1]Art18!D129+[1]Art19!D129+[1]Art20!D129+[1]Art21!D129+[1]Art22!D129+[1]Art23!D129+[1]Art24!D129+[1]Art25!D129+[1]Art26!D129+[1]Art27!D129+[1]Art28!D129+[1]Art29!D129+[1]Art30!D129+[1]Art31!D129+[1]Art32!D129+[1]Art33!D129+[1]Art34!D129+[1]Art35!D129+[1]Art36!D129+[1]Art37!D129+[1]Art38!D129+[1]ArtT1!D129+[1]ArtT2!D129)</f>
        <v>0</v>
      </c>
      <c r="E129" s="1">
        <f>SUM([1]Art1!E129+[1]Art2!E129+[1]Art3!E129+[1]Art4!E129+[1]Art5!E129+[1]Art6!E129+[1]Art7!E129+[1]Art8!E129+[1]Art9!E129+[1]Art10!E129+[1]Art11!E129+[1]Art12!E129+[1]Art13!E129+[1]Art14!E129+[1]Art15!E129+[1]Art16!E129+[1]Art17!E129+[1]Art18!E129+[1]Art19!E129+[1]Art20!E129+[1]Art21!E129+[1]Art22!E129+[1]Art23!E129+[1]Art24!E129+[1]Art25!E129+[1]Art26!E129+[1]Art27!E129+[1]Art28!E129+[1]Art29!E129+[1]Art30!E129+[1]Art31!E129+[1]Art32!E129+[1]Art33!E129+[1]Art34!E129+[1]Art35!E129+[1]Art36!E129+[1]Art37!E129+[1]Art38!E129+[1]ArtT1!E129+[1]ArtT2!E129)</f>
        <v>5</v>
      </c>
      <c r="F129" s="1">
        <f>SUM([1]Art1!F129+[1]Art2!F129+[1]Art3!F129+[1]Art4!F129+[1]Art5!F129+[1]Art6!F129+[1]Art7!F129+[1]Art8!F129+[1]Art9!F129+[1]Art10!F129+[1]Art11!F129+[1]Art12!F129+[1]Art13!F129+[1]Art14!F129+[1]Art15!F129+[1]Art16!F129+[1]Art17!F129+[1]Art18!F129+[1]Art19!F129+[1]Art20!F129+[1]Art21!F129+[1]Art22!F129+[1]Art23!F129+[1]Art24!F129+[1]Art25!F129+[1]Art26!F129+[1]Art27!F129+[1]Art28!F129+[1]Art29!F129+[1]Art30!F129+[1]Art31!F129+[1]Art32!F129+[1]Art33!F129+[1]Art34!F129+[1]Art35!F129+[1]Art36!F129+[1]Art37!F129+[1]Art38!F129+[1]ArtT1!F129+[1]ArtT2!F129)</f>
        <v>0</v>
      </c>
      <c r="H129" s="4"/>
      <c r="I129" s="4"/>
      <c r="J129" s="4"/>
      <c r="K129" s="4"/>
    </row>
    <row r="130" spans="1:11" ht="12.75" customHeight="1" x14ac:dyDescent="0.3">
      <c r="A130" s="1" t="s">
        <v>159</v>
      </c>
      <c r="B130" s="1" t="s">
        <v>13</v>
      </c>
      <c r="C130" s="1">
        <f>SUM([1]Art1!C130+[1]Art2!C130+[1]Art3!C130+[1]Art4!C130+[1]Art5!C130+[1]Art6!C130+[1]Art7!C130+[1]Art8!C130+[1]Art9!C130+[1]Art10!C130+[1]Art11!C130+[1]Art12!C130+[1]Art13!C130+[1]Art14!C130+[1]Art15!C130+[1]Art16!C130+[1]Art17!C130+[1]Art18!C130+[1]Art19!C130+[1]Art20!C130+[1]Art21!C130+[1]Art22!C130+[1]Art23!C130+[1]Art24!C130+[1]Art25!C130+[1]Art26!C130+[1]Art27!C130+[1]Art28!C130+[1]Art29!C130+[1]Art30!C130+[1]Art31!C130+[1]Art32!C130+[1]Art33!C130+[1]Art34!C130+[1]Art35!C130+[1]Art36!C130+[1]Art37!C130+[1]Art38!C130+[1]ArtT1!C130+[1]ArtT2!C130)</f>
        <v>22</v>
      </c>
      <c r="D130" s="1">
        <f>SUM([1]Art1!D130+[1]Art2!D130+[1]Art3!D130+[1]Art4!D130+[1]Art5!D130+[1]Art6!D130+[1]Art7!D130+[1]Art8!D130+[1]Art9!D130+[1]Art10!D130+[1]Art11!D130+[1]Art12!D130+[1]Art13!D130+[1]Art14!D130+[1]Art15!D130+[1]Art16!D130+[1]Art17!D130+[1]Art18!D130+[1]Art19!D130+[1]Art20!D130+[1]Art21!D130+[1]Art22!D130+[1]Art23!D130+[1]Art24!D130+[1]Art25!D130+[1]Art26!D130+[1]Art27!D130+[1]Art28!D130+[1]Art29!D130+[1]Art30!D130+[1]Art31!D130+[1]Art32!D130+[1]Art33!D130+[1]Art34!D130+[1]Art35!D130+[1]Art36!D130+[1]Art37!D130+[1]Art38!D130+[1]ArtT1!D130+[1]ArtT2!D130)</f>
        <v>18</v>
      </c>
      <c r="E130" s="1">
        <f>SUM([1]Art1!E130+[1]Art2!E130+[1]Art3!E130+[1]Art4!E130+[1]Art5!E130+[1]Art6!E130+[1]Art7!E130+[1]Art8!E130+[1]Art9!E130+[1]Art10!E130+[1]Art11!E130+[1]Art12!E130+[1]Art13!E130+[1]Art14!E130+[1]Art15!E130+[1]Art16!E130+[1]Art17!E130+[1]Art18!E130+[1]Art19!E130+[1]Art20!E130+[1]Art21!E130+[1]Art22!E130+[1]Art23!E130+[1]Art24!E130+[1]Art25!E130+[1]Art26!E130+[1]Art27!E130+[1]Art28!E130+[1]Art29!E130+[1]Art30!E130+[1]Art31!E130+[1]Art32!E130+[1]Art33!E130+[1]Art34!E130+[1]Art35!E130+[1]Art36!E130+[1]Art37!E130+[1]Art38!E130+[1]ArtT1!E130+[1]ArtT2!E130)</f>
        <v>0</v>
      </c>
      <c r="F130" s="1">
        <f>SUM([1]Art1!F130+[1]Art2!F130+[1]Art3!F130+[1]Art4!F130+[1]Art5!F130+[1]Art6!F130+[1]Art7!F130+[1]Art8!F130+[1]Art9!F130+[1]Art10!F130+[1]Art11!F130+[1]Art12!F130+[1]Art13!F130+[1]Art14!F130+[1]Art15!F130+[1]Art16!F130+[1]Art17!F130+[1]Art18!F130+[1]Art19!F130+[1]Art20!F130+[1]Art21!F130+[1]Art22!F130+[1]Art23!F130+[1]Art24!F130+[1]Art25!F130+[1]Art26!F130+[1]Art27!F130+[1]Art28!F130+[1]Art29!F130+[1]Art30!F130+[1]Art31!F130+[1]Art32!F130+[1]Art33!F130+[1]Art34!F130+[1]Art35!F130+[1]Art36!F130+[1]Art37!F130+[1]Art38!F130+[1]ArtT1!F130+[1]ArtT2!F130)</f>
        <v>0</v>
      </c>
      <c r="H130" s="4"/>
      <c r="I130" s="4"/>
      <c r="J130" s="4"/>
      <c r="K130" s="4"/>
    </row>
    <row r="131" spans="1:11" ht="12.75" customHeight="1" x14ac:dyDescent="0.3">
      <c r="A131" s="1" t="s">
        <v>160</v>
      </c>
      <c r="B131" s="1" t="s">
        <v>66</v>
      </c>
      <c r="C131" s="1">
        <f>SUM([1]Art1!C131+[1]Art2!C131+[1]Art3!C131+[1]Art4!C131+[1]Art5!C131+[1]Art6!C131+[1]Art7!C131+[1]Art8!C131+[1]Art9!C131+[1]Art10!C131+[1]Art11!C131+[1]Art12!C131+[1]Art13!C131+[1]Art14!C131+[1]Art15!C131+[1]Art16!C131+[1]Art17!C131+[1]Art18!C131+[1]Art19!C131+[1]Art20!C131+[1]Art21!C131+[1]Art22!C131+[1]Art23!C131+[1]Art24!C131+[1]Art25!C131+[1]Art26!C131+[1]Art27!C131+[1]Art28!C131+[1]Art29!C131+[1]Art30!C131+[1]Art31!C131+[1]Art32!C131+[1]Art33!C131+[1]Art34!C131+[1]Art35!C131+[1]Art36!C131+[1]Art37!C131+[1]Art38!C131+[1]ArtT1!C131+[1]ArtT2!C131)</f>
        <v>10</v>
      </c>
      <c r="D131" s="1">
        <f>SUM([1]Art1!D131+[1]Art2!D131+[1]Art3!D131+[1]Art4!D131+[1]Art5!D131+[1]Art6!D131+[1]Art7!D131+[1]Art8!D131+[1]Art9!D131+[1]Art10!D131+[1]Art11!D131+[1]Art12!D131+[1]Art13!D131+[1]Art14!D131+[1]Art15!D131+[1]Art16!D131+[1]Art17!D131+[1]Art18!D131+[1]Art19!D131+[1]Art20!D131+[1]Art21!D131+[1]Art22!D131+[1]Art23!D131+[1]Art24!D131+[1]Art25!D131+[1]Art26!D131+[1]Art27!D131+[1]Art28!D131+[1]Art29!D131+[1]Art30!D131+[1]Art31!D131+[1]Art32!D131+[1]Art33!D131+[1]Art34!D131+[1]Art35!D131+[1]Art36!D131+[1]Art37!D131+[1]Art38!D131+[1]ArtT1!D131+[1]ArtT2!D131)</f>
        <v>8</v>
      </c>
      <c r="E131" s="1">
        <f>SUM([1]Art1!E131+[1]Art2!E131+[1]Art3!E131+[1]Art4!E131+[1]Art5!E131+[1]Art6!E131+[1]Art7!E131+[1]Art8!E131+[1]Art9!E131+[1]Art10!E131+[1]Art11!E131+[1]Art12!E131+[1]Art13!E131+[1]Art14!E131+[1]Art15!E131+[1]Art16!E131+[1]Art17!E131+[1]Art18!E131+[1]Art19!E131+[1]Art20!E131+[1]Art21!E131+[1]Art22!E131+[1]Art23!E131+[1]Art24!E131+[1]Art25!E131+[1]Art26!E131+[1]Art27!E131+[1]Art28!E131+[1]Art29!E131+[1]Art30!E131+[1]Art31!E131+[1]Art32!E131+[1]Art33!E131+[1]Art34!E131+[1]Art35!E131+[1]Art36!E131+[1]Art37!E131+[1]Art38!E131+[1]ArtT1!E131+[1]ArtT2!E131)</f>
        <v>32</v>
      </c>
      <c r="F131" s="1">
        <f>SUM([1]Art1!F131+[1]Art2!F131+[1]Art3!F131+[1]Art4!F131+[1]Art5!F131+[1]Art6!F131+[1]Art7!F131+[1]Art8!F131+[1]Art9!F131+[1]Art10!F131+[1]Art11!F131+[1]Art12!F131+[1]Art13!F131+[1]Art14!F131+[1]Art15!F131+[1]Art16!F131+[1]Art17!F131+[1]Art18!F131+[1]Art19!F131+[1]Art20!F131+[1]Art21!F131+[1]Art22!F131+[1]Art23!F131+[1]Art24!F131+[1]Art25!F131+[1]Art26!F131+[1]Art27!F131+[1]Art28!F131+[1]Art29!F131+[1]Art30!F131+[1]Art31!F131+[1]Art32!F131+[1]Art33!F131+[1]Art34!F131+[1]Art35!F131+[1]Art36!F131+[1]Art37!F131+[1]Art38!F131+[1]ArtT1!F131+[1]ArtT2!F131)</f>
        <v>0</v>
      </c>
      <c r="H131" s="4"/>
      <c r="I131" s="4"/>
      <c r="J131" s="4"/>
      <c r="K131" s="4"/>
    </row>
    <row r="132" spans="1:11" ht="12.75" customHeight="1" x14ac:dyDescent="0.3">
      <c r="A132" s="1" t="s">
        <v>161</v>
      </c>
      <c r="B132" s="1" t="s">
        <v>38</v>
      </c>
      <c r="C132" s="1">
        <f>SUM([1]Art1!C132+[1]Art2!C132+[1]Art3!C132+[1]Art4!C132+[1]Art5!C132+[1]Art6!C132+[1]Art7!C132+[1]Art8!C132+[1]Art9!C132+[1]Art10!C132+[1]Art11!C132+[1]Art12!C132+[1]Art13!C132+[1]Art14!C132+[1]Art15!C132+[1]Art16!C132+[1]Art17!C132+[1]Art18!C132+[1]Art19!C132+[1]Art20!C132+[1]Art21!C132+[1]Art22!C132+[1]Art23!C132+[1]Art24!C132+[1]Art25!C132+[1]Art26!C132+[1]Art27!C132+[1]Art28!C132+[1]Art29!C132+[1]Art30!C132+[1]Art31!C132+[1]Art32!C132+[1]Art33!C132+[1]Art34!C132+[1]Art35!C132+[1]Art36!C132+[1]Art37!C132+[1]Art38!C132+[1]ArtT1!C132+[1]ArtT2!C132)</f>
        <v>4</v>
      </c>
      <c r="D132" s="1">
        <f>SUM([1]Art1!D132+[1]Art2!D132+[1]Art3!D132+[1]Art4!D132+[1]Art5!D132+[1]Art6!D132+[1]Art7!D132+[1]Art8!D132+[1]Art9!D132+[1]Art10!D132+[1]Art11!D132+[1]Art12!D132+[1]Art13!D132+[1]Art14!D132+[1]Art15!D132+[1]Art16!D132+[1]Art17!D132+[1]Art18!D132+[1]Art19!D132+[1]Art20!D132+[1]Art21!D132+[1]Art22!D132+[1]Art23!D132+[1]Art24!D132+[1]Art25!D132+[1]Art26!D132+[1]Art27!D132+[1]Art28!D132+[1]Art29!D132+[1]Art30!D132+[1]Art31!D132+[1]Art32!D132+[1]Art33!D132+[1]Art34!D132+[1]Art35!D132+[1]Art36!D132+[1]Art37!D132+[1]Art38!D132+[1]ArtT1!D132+[1]ArtT2!D132)</f>
        <v>29</v>
      </c>
      <c r="E132" s="1">
        <f>SUM([1]Art1!E132+[1]Art2!E132+[1]Art3!E132+[1]Art4!E132+[1]Art5!E132+[1]Art6!E132+[1]Art7!E132+[1]Art8!E132+[1]Art9!E132+[1]Art10!E132+[1]Art11!E132+[1]Art12!E132+[1]Art13!E132+[1]Art14!E132+[1]Art15!E132+[1]Art16!E132+[1]Art17!E132+[1]Art18!E132+[1]Art19!E132+[1]Art20!E132+[1]Art21!E132+[1]Art22!E132+[1]Art23!E132+[1]Art24!E132+[1]Art25!E132+[1]Art26!E132+[1]Art27!E132+[1]Art28!E132+[1]Art29!E132+[1]Art30!E132+[1]Art31!E132+[1]Art32!E132+[1]Art33!E132+[1]Art34!E132+[1]Art35!E132+[1]Art36!E132+[1]Art37!E132+[1]Art38!E132+[1]ArtT1!E132+[1]ArtT2!E132)</f>
        <v>7</v>
      </c>
      <c r="F132" s="1">
        <f>SUM([1]Art1!F132+[1]Art2!F132+[1]Art3!F132+[1]Art4!F132+[1]Art5!F132+[1]Art6!F132+[1]Art7!F132+[1]Art8!F132+[1]Art9!F132+[1]Art10!F132+[1]Art11!F132+[1]Art12!F132+[1]Art13!F132+[1]Art14!F132+[1]Art15!F132+[1]Art16!F132+[1]Art17!F132+[1]Art18!F132+[1]Art19!F132+[1]Art20!F132+[1]Art21!F132+[1]Art22!F132+[1]Art23!F132+[1]Art24!F132+[1]Art25!F132+[1]Art26!F132+[1]Art27!F132+[1]Art28!F132+[1]Art29!F132+[1]Art30!F132+[1]Art31!F132+[1]Art32!F132+[1]Art33!F132+[1]Art34!F132+[1]Art35!F132+[1]Art36!F132+[1]Art37!F132+[1]Art38!F132+[1]ArtT1!F132+[1]ArtT2!F132)</f>
        <v>0</v>
      </c>
      <c r="H132" s="4"/>
      <c r="I132" s="4"/>
      <c r="J132" s="4"/>
      <c r="K132" s="4"/>
    </row>
    <row r="133" spans="1:11" ht="12.75" customHeight="1" x14ac:dyDescent="0.3">
      <c r="A133" s="1" t="s">
        <v>162</v>
      </c>
      <c r="B133" s="1" t="s">
        <v>13</v>
      </c>
      <c r="C133" s="1">
        <f>SUM([1]Art1!C133+[1]Art2!C133+[1]Art3!C133+[1]Art4!C133+[1]Art5!C133+[1]Art6!C133+[1]Art7!C133+[1]Art8!C133+[1]Art9!C133+[1]Art10!C133+[1]Art11!C133+[1]Art12!C133+[1]Art13!C133+[1]Art14!C133+[1]Art15!C133+[1]Art16!C133+[1]Art17!C133+[1]Art18!C133+[1]Art19!C133+[1]Art20!C133+[1]Art21!C133+[1]Art22!C133+[1]Art23!C133+[1]Art24!C133+[1]Art25!C133+[1]Art26!C133+[1]Art27!C133+[1]Art28!C133+[1]Art29!C133+[1]Art30!C133+[1]Art31!C133+[1]Art32!C133+[1]Art33!C133+[1]Art34!C133+[1]Art35!C133+[1]Art36!C133+[1]Art37!C133+[1]Art38!C133+[1]ArtT1!C133+[1]ArtT2!C133)</f>
        <v>11</v>
      </c>
      <c r="D133" s="1">
        <f>SUM([1]Art1!D133+[1]Art2!D133+[1]Art3!D133+[1]Art4!D133+[1]Art5!D133+[1]Art6!D133+[1]Art7!D133+[1]Art8!D133+[1]Art9!D133+[1]Art10!D133+[1]Art11!D133+[1]Art12!D133+[1]Art13!D133+[1]Art14!D133+[1]Art15!D133+[1]Art16!D133+[1]Art17!D133+[1]Art18!D133+[1]Art19!D133+[1]Art20!D133+[1]Art21!D133+[1]Art22!D133+[1]Art23!D133+[1]Art24!D133+[1]Art25!D133+[1]Art26!D133+[1]Art27!D133+[1]Art28!D133+[1]Art29!D133+[1]Art30!D133+[1]Art31!D133+[1]Art32!D133+[1]Art33!D133+[1]Art34!D133+[1]Art35!D133+[1]Art36!D133+[1]Art37!D133+[1]Art38!D133+[1]ArtT1!D133+[1]ArtT2!D133)</f>
        <v>28</v>
      </c>
      <c r="E133" s="1">
        <f>SUM([1]Art1!E133+[1]Art2!E133+[1]Art3!E133+[1]Art4!E133+[1]Art5!E133+[1]Art6!E133+[1]Art7!E133+[1]Art8!E133+[1]Art9!E133+[1]Art10!E133+[1]Art11!E133+[1]Art12!E133+[1]Art13!E133+[1]Art14!E133+[1]Art15!E133+[1]Art16!E133+[1]Art17!E133+[1]Art18!E133+[1]Art19!E133+[1]Art20!E133+[1]Art21!E133+[1]Art22!E133+[1]Art23!E133+[1]Art24!E133+[1]Art25!E133+[1]Art26!E133+[1]Art27!E133+[1]Art28!E133+[1]Art29!E133+[1]Art30!E133+[1]Art31!E133+[1]Art32!E133+[1]Art33!E133+[1]Art34!E133+[1]Art35!E133+[1]Art36!E133+[1]Art37!E133+[1]Art38!E133+[1]ArtT1!E133+[1]ArtT2!E133)</f>
        <v>1</v>
      </c>
      <c r="F133" s="1">
        <f>SUM([1]Art1!F133+[1]Art2!F133+[1]Art3!F133+[1]Art4!F133+[1]Art5!F133+[1]Art6!F133+[1]Art7!F133+[1]Art8!F133+[1]Art9!F133+[1]Art10!F133+[1]Art11!F133+[1]Art12!F133+[1]Art13!F133+[1]Art14!F133+[1]Art15!F133+[1]Art16!F133+[1]Art17!F133+[1]Art18!F133+[1]Art19!F133+[1]Art20!F133+[1]Art21!F133+[1]Art22!F133+[1]Art23!F133+[1]Art24!F133+[1]Art25!F133+[1]Art26!F133+[1]Art27!F133+[1]Art28!F133+[1]Art29!F133+[1]Art30!F133+[1]Art31!F133+[1]Art32!F133+[1]Art33!F133+[1]Art34!F133+[1]Art35!F133+[1]Art36!F133+[1]Art37!F133+[1]Art38!F133+[1]ArtT1!F133+[1]ArtT2!F133)</f>
        <v>0</v>
      </c>
      <c r="H133" s="4"/>
      <c r="I133" s="4"/>
      <c r="J133" s="4"/>
      <c r="K133" s="4"/>
    </row>
    <row r="134" spans="1:11" ht="12.75" customHeight="1" x14ac:dyDescent="0.3">
      <c r="A134" s="1" t="s">
        <v>163</v>
      </c>
      <c r="B134" s="1" t="s">
        <v>66</v>
      </c>
      <c r="C134" s="1">
        <f>SUM([1]Art1!C134+[1]Art2!C134+[1]Art3!C134+[1]Art4!C134+[1]Art5!C134+[1]Art6!C134+[1]Art7!C134+[1]Art8!C134+[1]Art9!C134+[1]Art10!C134+[1]Art11!C134+[1]Art12!C134+[1]Art13!C134+[1]Art14!C134+[1]Art15!C134+[1]Art16!C134+[1]Art17!C134+[1]Art18!C134+[1]Art19!C134+[1]Art20!C134+[1]Art21!C134+[1]Art22!C134+[1]Art23!C134+[1]Art24!C134+[1]Art25!C134+[1]Art26!C134+[1]Art27!C134+[1]Art28!C134+[1]Art29!C134+[1]Art30!C134+[1]Art31!C134+[1]Art32!C134+[1]Art33!C134+[1]Art34!C134+[1]Art35!C134+[1]Art36!C134+[1]Art37!C134+[1]Art38!C134+[1]ArtT1!C134+[1]ArtT2!C134)</f>
        <v>1</v>
      </c>
      <c r="D134" s="1">
        <f>SUM([1]Art1!D134+[1]Art2!D134+[1]Art3!D134+[1]Art4!D134+[1]Art5!D134+[1]Art6!D134+[1]Art7!D134+[1]Art8!D134+[1]Art9!D134+[1]Art10!D134+[1]Art11!D134+[1]Art12!D134+[1]Art13!D134+[1]Art14!D134+[1]Art15!D134+[1]Art16!D134+[1]Art17!D134+[1]Art18!D134+[1]Art19!D134+[1]Art20!D134+[1]Art21!D134+[1]Art22!D134+[1]Art23!D134+[1]Art24!D134+[1]Art25!D134+[1]Art26!D134+[1]Art27!D134+[1]Art28!D134+[1]Art29!D134+[1]Art30!D134+[1]Art31!D134+[1]Art32!D134+[1]Art33!D134+[1]Art34!D134+[1]Art35!D134+[1]Art36!D134+[1]Art37!D134+[1]Art38!D134+[1]ArtT1!D134+[1]ArtT2!D134)</f>
        <v>31</v>
      </c>
      <c r="E134" s="1">
        <f>SUM([1]Art1!E134+[1]Art2!E134+[1]Art3!E134+[1]Art4!E134+[1]Art5!E134+[1]Art6!E134+[1]Art7!E134+[1]Art8!E134+[1]Art9!E134+[1]Art10!E134+[1]Art11!E134+[1]Art12!E134+[1]Art13!E134+[1]Art14!E134+[1]Art15!E134+[1]Art16!E134+[1]Art17!E134+[1]Art18!E134+[1]Art19!E134+[1]Art20!E134+[1]Art21!E134+[1]Art22!E134+[1]Art23!E134+[1]Art24!E134+[1]Art25!E134+[1]Art26!E134+[1]Art27!E134+[1]Art28!E134+[1]Art29!E134+[1]Art30!E134+[1]Art31!E134+[1]Art32!E134+[1]Art33!E134+[1]Art34!E134+[1]Art35!E134+[1]Art36!E134+[1]Art37!E134+[1]Art38!E134+[1]ArtT1!E134+[1]ArtT2!E134)</f>
        <v>8</v>
      </c>
      <c r="F134" s="1">
        <f>SUM([1]Art1!F134+[1]Art2!F134+[1]Art3!F134+[1]Art4!F134+[1]Art5!F134+[1]Art6!F134+[1]Art7!F134+[1]Art8!F134+[1]Art9!F134+[1]Art10!F134+[1]Art11!F134+[1]Art12!F134+[1]Art13!F134+[1]Art14!F134+[1]Art15!F134+[1]Art16!F134+[1]Art17!F134+[1]Art18!F134+[1]Art19!F134+[1]Art20!F134+[1]Art21!F134+[1]Art22!F134+[1]Art23!F134+[1]Art24!F134+[1]Art25!F134+[1]Art26!F134+[1]Art27!F134+[1]Art28!F134+[1]Art29!F134+[1]Art30!F134+[1]Art31!F134+[1]Art32!F134+[1]Art33!F134+[1]Art34!F134+[1]Art35!F134+[1]Art36!F134+[1]Art37!F134+[1]Art38!F134+[1]ArtT1!F134+[1]ArtT2!F134)</f>
        <v>0</v>
      </c>
      <c r="H134" s="4"/>
      <c r="I134" s="4"/>
      <c r="J134" s="4"/>
      <c r="K134" s="4"/>
    </row>
    <row r="135" spans="1:11" ht="12.75" customHeight="1" x14ac:dyDescent="0.3">
      <c r="A135" s="1" t="s">
        <v>164</v>
      </c>
      <c r="B135" s="1" t="s">
        <v>21</v>
      </c>
      <c r="C135" s="1">
        <f>SUM([1]Art1!C135+[1]Art2!C135+[1]Art3!C135+[1]Art4!C135+[1]Art5!C135+[1]Art6!C135+[1]Art7!C135+[1]Art8!C135+[1]Art9!C135+[1]Art10!C135+[1]Art11!C135+[1]Art12!C135+[1]Art13!C135+[1]Art14!C135+[1]Art15!C135+[1]Art16!C135+[1]Art17!C135+[1]Art18!C135+[1]Art19!C135+[1]Art20!C135+[1]Art21!C135+[1]Art22!C135+[1]Art23!C135+[1]Art24!C135+[1]Art25!C135+[1]Art26!C135+[1]Art27!C135+[1]Art28!C135+[1]Art29!C135+[1]Art30!C135+[1]Art31!C135+[1]Art32!C135+[1]Art33!C135+[1]Art34!C135+[1]Art35!C135+[1]Art36!C135+[1]Art37!C135+[1]Art38!C135+[1]ArtT1!C135+[1]ArtT2!C135)</f>
        <v>21</v>
      </c>
      <c r="D135" s="1">
        <f>SUM([1]Art1!D135+[1]Art2!D135+[1]Art3!D135+[1]Art4!D135+[1]Art5!D135+[1]Art6!D135+[1]Art7!D135+[1]Art8!D135+[1]Art9!D135+[1]Art10!D135+[1]Art11!D135+[1]Art12!D135+[1]Art13!D135+[1]Art14!D135+[1]Art15!D135+[1]Art16!D135+[1]Art17!D135+[1]Art18!D135+[1]Art19!D135+[1]Art20!D135+[1]Art21!D135+[1]Art22!D135+[1]Art23!D135+[1]Art24!D135+[1]Art25!D135+[1]Art26!D135+[1]Art27!D135+[1]Art28!D135+[1]Art29!D135+[1]Art30!D135+[1]Art31!D135+[1]Art32!D135+[1]Art33!D135+[1]Art34!D135+[1]Art35!D135+[1]Art36!D135+[1]Art37!D135+[1]Art38!D135+[1]ArtT1!D135+[1]ArtT2!D135)</f>
        <v>9</v>
      </c>
      <c r="E135" s="1">
        <f>SUM([1]Art1!E135+[1]Art2!E135+[1]Art3!E135+[1]Art4!E135+[1]Art5!E135+[1]Art6!E135+[1]Art7!E135+[1]Art8!E135+[1]Art9!E135+[1]Art10!E135+[1]Art11!E135+[1]Art12!E135+[1]Art13!E135+[1]Art14!E135+[1]Art15!E135+[1]Art16!E135+[1]Art17!E135+[1]Art18!E135+[1]Art19!E135+[1]Art20!E135+[1]Art21!E135+[1]Art22!E135+[1]Art23!E135+[1]Art24!E135+[1]Art25!E135+[1]Art26!E135+[1]Art27!E135+[1]Art28!E135+[1]Art29!E135+[1]Art30!E135+[1]Art31!E135+[1]Art32!E135+[1]Art33!E135+[1]Art34!E135+[1]Art35!E135+[1]Art36!E135+[1]Art37!E135+[1]Art38!E135+[1]ArtT1!E135+[1]ArtT2!E135)</f>
        <v>10</v>
      </c>
      <c r="F135" s="1">
        <f>SUM([1]Art1!F135+[1]Art2!F135+[1]Art3!F135+[1]Art4!F135+[1]Art5!F135+[1]Art6!F135+[1]Art7!F135+[1]Art8!F135+[1]Art9!F135+[1]Art10!F135+[1]Art11!F135+[1]Art12!F135+[1]Art13!F135+[1]Art14!F135+[1]Art15!F135+[1]Art16!F135+[1]Art17!F135+[1]Art18!F135+[1]Art19!F135+[1]Art20!F135+[1]Art21!F135+[1]Art22!F135+[1]Art23!F135+[1]Art24!F135+[1]Art25!F135+[1]Art26!F135+[1]Art27!F135+[1]Art28!F135+[1]Art29!F135+[1]Art30!F135+[1]Art31!F135+[1]Art32!F135+[1]Art33!F135+[1]Art34!F135+[1]Art35!F135+[1]Art36!F135+[1]Art37!F135+[1]Art38!F135+[1]ArtT1!F135+[1]ArtT2!F135)</f>
        <v>0</v>
      </c>
      <c r="H135" s="4"/>
      <c r="I135" s="4"/>
      <c r="J135" s="4"/>
      <c r="K135" s="4"/>
    </row>
    <row r="136" spans="1:11" ht="12.75" customHeight="1" x14ac:dyDescent="0.3">
      <c r="A136" s="1" t="s">
        <v>165</v>
      </c>
      <c r="B136" s="1" t="s">
        <v>30</v>
      </c>
      <c r="C136" s="1">
        <f>SUM([1]Art1!C136+[1]Art2!C136+[1]Art3!C136+[1]Art4!C136+[1]Art5!C136+[1]Art6!C136+[1]Art7!C136+[1]Art8!C136+[1]Art9!C136+[1]Art10!C136+[1]Art11!C136+[1]Art12!C136+[1]Art13!C136+[1]Art14!C136+[1]Art15!C136+[1]Art16!C136+[1]Art17!C136+[1]Art18!C136+[1]Art19!C136+[1]Art20!C136+[1]Art21!C136+[1]Art22!C136+[1]Art23!C136+[1]Art24!C136+[1]Art25!C136+[1]Art26!C136+[1]Art27!C136+[1]Art28!C136+[1]Art29!C136+[1]Art30!C136+[1]Art31!C136+[1]Art32!C136+[1]Art33!C136+[1]Art34!C136+[1]Art35!C136+[1]Art36!C136+[1]Art37!C136+[1]Art38!C136+[1]ArtT1!C136+[1]ArtT2!C136)</f>
        <v>0</v>
      </c>
      <c r="D136" s="1">
        <f>SUM([1]Art1!D136+[1]Art2!D136+[1]Art3!D136+[1]Art4!D136+[1]Art5!D136+[1]Art6!D136+[1]Art7!D136+[1]Art8!D136+[1]Art9!D136+[1]Art10!D136+[1]Art11!D136+[1]Art12!D136+[1]Art13!D136+[1]Art14!D136+[1]Art15!D136+[1]Art16!D136+[1]Art17!D136+[1]Art18!D136+[1]Art19!D136+[1]Art20!D136+[1]Art21!D136+[1]Art22!D136+[1]Art23!D136+[1]Art24!D136+[1]Art25!D136+[1]Art26!D136+[1]Art27!D136+[1]Art28!D136+[1]Art29!D136+[1]Art30!D136+[1]Art31!D136+[1]Art32!D136+[1]Art33!D136+[1]Art34!D136+[1]Art35!D136+[1]Art36!D136+[1]Art37!D136+[1]Art38!D136+[1]ArtT1!D136+[1]ArtT2!D136)</f>
        <v>29</v>
      </c>
      <c r="E136" s="1">
        <f>SUM([1]Art1!E136+[1]Art2!E136+[1]Art3!E136+[1]Art4!E136+[1]Art5!E136+[1]Art6!E136+[1]Art7!E136+[1]Art8!E136+[1]Art9!E136+[1]Art10!E136+[1]Art11!E136+[1]Art12!E136+[1]Art13!E136+[1]Art14!E136+[1]Art15!E136+[1]Art16!E136+[1]Art17!E136+[1]Art18!E136+[1]Art19!E136+[1]Art20!E136+[1]Art21!E136+[1]Art22!E136+[1]Art23!E136+[1]Art24!E136+[1]Art25!E136+[1]Art26!E136+[1]Art27!E136+[1]Art28!E136+[1]Art29!E136+[1]Art30!E136+[1]Art31!E136+[1]Art32!E136+[1]Art33!E136+[1]Art34!E136+[1]Art35!E136+[1]Art36!E136+[1]Art37!E136+[1]Art38!E136+[1]ArtT1!E136+[1]ArtT2!E136)</f>
        <v>11</v>
      </c>
      <c r="F136" s="1">
        <f>SUM([1]Art1!F136+[1]Art2!F136+[1]Art3!F136+[1]Art4!F136+[1]Art5!F136+[1]Art6!F136+[1]Art7!F136+[1]Art8!F136+[1]Art9!F136+[1]Art10!F136+[1]Art11!F136+[1]Art12!F136+[1]Art13!F136+[1]Art14!F136+[1]Art15!F136+[1]Art16!F136+[1]Art17!F136+[1]Art18!F136+[1]Art19!F136+[1]Art20!F136+[1]Art21!F136+[1]Art22!F136+[1]Art23!F136+[1]Art24!F136+[1]Art25!F136+[1]Art26!F136+[1]Art27!F136+[1]Art28!F136+[1]Art29!F136+[1]Art30!F136+[1]Art31!F136+[1]Art32!F136+[1]Art33!F136+[1]Art34!F136+[1]Art35!F136+[1]Art36!F136+[1]Art37!F136+[1]Art38!F136+[1]ArtT1!F136+[1]ArtT2!F136)</f>
        <v>0</v>
      </c>
      <c r="H136" s="4"/>
      <c r="I136" s="4"/>
      <c r="J136" s="4"/>
      <c r="K136" s="4"/>
    </row>
    <row r="137" spans="1:11" ht="12.75" customHeight="1" x14ac:dyDescent="0.3">
      <c r="A137" s="1" t="s">
        <v>166</v>
      </c>
      <c r="B137" s="1" t="s">
        <v>30</v>
      </c>
      <c r="C137" s="1">
        <f>SUM([1]Art1!C137+[1]Art2!C137+[1]Art3!C137+[1]Art4!C137+[1]Art5!C137+[1]Art6!C137+[1]Art7!C137+[1]Art8!C137+[1]Art9!C137+[1]Art10!C137+[1]Art11!C137+[1]Art12!C137+[1]Art13!C137+[1]Art14!C137+[1]Art15!C137+[1]Art16!C137+[1]Art17!C137+[1]Art18!C137+[1]Art19!C137+[1]Art20!C137+[1]Art21!C137+[1]Art22!C137+[1]Art23!C137+[1]Art24!C137+[1]Art25!C137+[1]Art26!C137+[1]Art27!C137+[1]Art28!C137+[1]Art29!C137+[1]Art30!C137+[1]Art31!C137+[1]Art32!C137+[1]Art33!C137+[1]Art34!C137+[1]Art35!C137+[1]Art36!C137+[1]Art37!C137+[1]Art38!C137+[1]ArtT1!C137+[1]ArtT2!C137)</f>
        <v>0</v>
      </c>
      <c r="D137" s="1">
        <f>SUM([1]Art1!D137+[1]Art2!D137+[1]Art3!D137+[1]Art4!D137+[1]Art5!D137+[1]Art6!D137+[1]Art7!D137+[1]Art8!D137+[1]Art9!D137+[1]Art10!D137+[1]Art11!D137+[1]Art12!D137+[1]Art13!D137+[1]Art14!D137+[1]Art15!D137+[1]Art16!D137+[1]Art17!D137+[1]Art18!D137+[1]Art19!D137+[1]Art20!D137+[1]Art21!D137+[1]Art22!D137+[1]Art23!D137+[1]Art24!D137+[1]Art25!D137+[1]Art26!D137+[1]Art27!D137+[1]Art28!D137+[1]Art29!D137+[1]Art30!D137+[1]Art31!D137+[1]Art32!D137+[1]Art33!D137+[1]Art34!D137+[1]Art35!D137+[1]Art36!D137+[1]Art37!D137+[1]Art38!D137+[1]ArtT1!D137+[1]ArtT2!D137)</f>
        <v>30</v>
      </c>
      <c r="E137" s="1">
        <f>SUM([1]Art1!E137+[1]Art2!E137+[1]Art3!E137+[1]Art4!E137+[1]Art5!E137+[1]Art6!E137+[1]Art7!E137+[1]Art8!E137+[1]Art9!E137+[1]Art10!E137+[1]Art11!E137+[1]Art12!E137+[1]Art13!E137+[1]Art14!E137+[1]Art15!E137+[1]Art16!E137+[1]Art17!E137+[1]Art18!E137+[1]Art19!E137+[1]Art20!E137+[1]Art21!E137+[1]Art22!E137+[1]Art23!E137+[1]Art24!E137+[1]Art25!E137+[1]Art26!E137+[1]Art27!E137+[1]Art28!E137+[1]Art29!E137+[1]Art30!E137+[1]Art31!E137+[1]Art32!E137+[1]Art33!E137+[1]Art34!E137+[1]Art35!E137+[1]Art36!E137+[1]Art37!E137+[1]Art38!E137+[1]ArtT1!E137+[1]ArtT2!E137)</f>
        <v>10</v>
      </c>
      <c r="F137" s="1">
        <f>SUM([1]Art1!F137+[1]Art2!F137+[1]Art3!F137+[1]Art4!F137+[1]Art5!F137+[1]Art6!F137+[1]Art7!F137+[1]Art8!F137+[1]Art9!F137+[1]Art10!F137+[1]Art11!F137+[1]Art12!F137+[1]Art13!F137+[1]Art14!F137+[1]Art15!F137+[1]Art16!F137+[1]Art17!F137+[1]Art18!F137+[1]Art19!F137+[1]Art20!F137+[1]Art21!F137+[1]Art22!F137+[1]Art23!F137+[1]Art24!F137+[1]Art25!F137+[1]Art26!F137+[1]Art27!F137+[1]Art28!F137+[1]Art29!F137+[1]Art30!F137+[1]Art31!F137+[1]Art32!F137+[1]Art33!F137+[1]Art34!F137+[1]Art35!F137+[1]Art36!F137+[1]Art37!F137+[1]Art38!F137+[1]ArtT1!F137+[1]ArtT2!F137)</f>
        <v>0</v>
      </c>
      <c r="H137" s="4"/>
      <c r="I137" s="4"/>
      <c r="J137" s="4"/>
      <c r="K137" s="4"/>
    </row>
    <row r="138" spans="1:11" ht="12.75" customHeight="1" x14ac:dyDescent="0.3">
      <c r="A138" s="1" t="s">
        <v>167</v>
      </c>
      <c r="B138" s="1" t="s">
        <v>19</v>
      </c>
      <c r="C138" s="1">
        <f>SUM([1]Art1!C138+[1]Art2!C138+[1]Art3!C138+[1]Art4!C138+[1]Art5!C138+[1]Art6!C138+[1]Art7!C138+[1]Art8!C138+[1]Art9!C138+[1]Art10!C138+[1]Art11!C138+[1]Art12!C138+[1]Art13!C138+[1]Art14!C138+[1]Art15!C138+[1]Art16!C138+[1]Art17!C138+[1]Art18!C138+[1]Art19!C138+[1]Art20!C138+[1]Art21!C138+[1]Art22!C138+[1]Art23!C138+[1]Art24!C138+[1]Art25!C138+[1]Art26!C138+[1]Art27!C138+[1]Art28!C138+[1]Art29!C138+[1]Art30!C138+[1]Art31!C138+[1]Art32!C138+[1]Art33!C138+[1]Art34!C138+[1]Art35!C138+[1]Art36!C138+[1]Art37!C138+[1]Art38!C138+[1]ArtT1!C138+[1]ArtT2!C138)</f>
        <v>40</v>
      </c>
      <c r="D138" s="1">
        <f>SUM([1]Art1!D138+[1]Art2!D138+[1]Art3!D138+[1]Art4!D138+[1]Art5!D138+[1]Art6!D138+[1]Art7!D138+[1]Art8!D138+[1]Art9!D138+[1]Art10!D138+[1]Art11!D138+[1]Art12!D138+[1]Art13!D138+[1]Art14!D138+[1]Art15!D138+[1]Art16!D138+[1]Art17!D138+[1]Art18!D138+[1]Art19!D138+[1]Art20!D138+[1]Art21!D138+[1]Art22!D138+[1]Art23!D138+[1]Art24!D138+[1]Art25!D138+[1]Art26!D138+[1]Art27!D138+[1]Art28!D138+[1]Art29!D138+[1]Art30!D138+[1]Art31!D138+[1]Art32!D138+[1]Art33!D138+[1]Art34!D138+[1]Art35!D138+[1]Art36!D138+[1]Art37!D138+[1]Art38!D138+[1]ArtT1!D138+[1]ArtT2!D138)</f>
        <v>0</v>
      </c>
      <c r="E138" s="1">
        <f>SUM([1]Art1!E138+[1]Art2!E138+[1]Art3!E138+[1]Art4!E138+[1]Art5!E138+[1]Art6!E138+[1]Art7!E138+[1]Art8!E138+[1]Art9!E138+[1]Art10!E138+[1]Art11!E138+[1]Art12!E138+[1]Art13!E138+[1]Art14!E138+[1]Art15!E138+[1]Art16!E138+[1]Art17!E138+[1]Art18!E138+[1]Art19!E138+[1]Art20!E138+[1]Art21!E138+[1]Art22!E138+[1]Art23!E138+[1]Art24!E138+[1]Art25!E138+[1]Art26!E138+[1]Art27!E138+[1]Art28!E138+[1]Art29!E138+[1]Art30!E138+[1]Art31!E138+[1]Art32!E138+[1]Art33!E138+[1]Art34!E138+[1]Art35!E138+[1]Art36!E138+[1]Art37!E138+[1]Art38!E138+[1]ArtT1!E138+[1]ArtT2!E138)</f>
        <v>0</v>
      </c>
      <c r="F138" s="1">
        <f>SUM([1]Art1!F138+[1]Art2!F138+[1]Art3!F138+[1]Art4!F138+[1]Art5!F138+[1]Art6!F138+[1]Art7!F138+[1]Art8!F138+[1]Art9!F138+[1]Art10!F138+[1]Art11!F138+[1]Art12!F138+[1]Art13!F138+[1]Art14!F138+[1]Art15!F138+[1]Art16!F138+[1]Art17!F138+[1]Art18!F138+[1]Art19!F138+[1]Art20!F138+[1]Art21!F138+[1]Art22!F138+[1]Art23!F138+[1]Art24!F138+[1]Art25!F138+[1]Art26!F138+[1]Art27!F138+[1]Art28!F138+[1]Art29!F138+[1]Art30!F138+[1]Art31!F138+[1]Art32!F138+[1]Art33!F138+[1]Art34!F138+[1]Art35!F138+[1]Art36!F138+[1]Art37!F138+[1]Art38!F138+[1]ArtT1!F138+[1]ArtT2!F138)</f>
        <v>0</v>
      </c>
      <c r="H138" s="4"/>
      <c r="I138" s="4"/>
      <c r="J138" s="4"/>
      <c r="K138" s="4"/>
    </row>
    <row r="139" spans="1:11" ht="12.75" customHeight="1" x14ac:dyDescent="0.3">
      <c r="A139" s="1" t="s">
        <v>168</v>
      </c>
      <c r="B139" s="1" t="s">
        <v>13</v>
      </c>
      <c r="C139" s="1">
        <f>SUM([1]Art1!C139+[1]Art2!C139+[1]Art3!C139+[1]Art4!C139+[1]Art5!C139+[1]Art6!C139+[1]Art7!C139+[1]Art8!C139+[1]Art9!C139+[1]Art10!C139+[1]Art11!C139+[1]Art12!C139+[1]Art13!C139+[1]Art14!C139+[1]Art15!C139+[1]Art16!C139+[1]Art17!C139+[1]Art18!C139+[1]Art19!C139+[1]Art20!C139+[1]Art21!C139+[1]Art22!C139+[1]Art23!C139+[1]Art24!C139+[1]Art25!C139+[1]Art26!C139+[1]Art27!C139+[1]Art28!C139+[1]Art29!C139+[1]Art30!C139+[1]Art31!C139+[1]Art32!C139+[1]Art33!C139+[1]Art34!C139+[1]Art35!C139+[1]Art36!C139+[1]Art37!C139+[1]Art38!C139+[1]ArtT1!C139+[1]ArtT2!C139)</f>
        <v>11</v>
      </c>
      <c r="D139" s="1">
        <f>SUM([1]Art1!D139+[1]Art2!D139+[1]Art3!D139+[1]Art4!D139+[1]Art5!D139+[1]Art6!D139+[1]Art7!D139+[1]Art8!D139+[1]Art9!D139+[1]Art10!D139+[1]Art11!D139+[1]Art12!D139+[1]Art13!D139+[1]Art14!D139+[1]Art15!D139+[1]Art16!D139+[1]Art17!D139+[1]Art18!D139+[1]Art19!D139+[1]Art20!D139+[1]Art21!D139+[1]Art22!D139+[1]Art23!D139+[1]Art24!D139+[1]Art25!D139+[1]Art26!D139+[1]Art27!D139+[1]Art28!D139+[1]Art29!D139+[1]Art30!D139+[1]Art31!D139+[1]Art32!D139+[1]Art33!D139+[1]Art34!D139+[1]Art35!D139+[1]Art36!D139+[1]Art37!D139+[1]Art38!D139+[1]ArtT1!D139+[1]ArtT2!D139)</f>
        <v>23</v>
      </c>
      <c r="E139" s="1">
        <f>SUM([1]Art1!E139+[1]Art2!E139+[1]Art3!E139+[1]Art4!E139+[1]Art5!E139+[1]Art6!E139+[1]Art7!E139+[1]Art8!E139+[1]Art9!E139+[1]Art10!E139+[1]Art11!E139+[1]Art12!E139+[1]Art13!E139+[1]Art14!E139+[1]Art15!E139+[1]Art16!E139+[1]Art17!E139+[1]Art18!E139+[1]Art19!E139+[1]Art20!E139+[1]Art21!E139+[1]Art22!E139+[1]Art23!E139+[1]Art24!E139+[1]Art25!E139+[1]Art26!E139+[1]Art27!E139+[1]Art28!E139+[1]Art29!E139+[1]Art30!E139+[1]Art31!E139+[1]Art32!E139+[1]Art33!E139+[1]Art34!E139+[1]Art35!E139+[1]Art36!E139+[1]Art37!E139+[1]Art38!E139+[1]ArtT1!E139+[1]ArtT2!E139)</f>
        <v>6</v>
      </c>
      <c r="F139" s="1">
        <f>SUM([1]Art1!F139+[1]Art2!F139+[1]Art3!F139+[1]Art4!F139+[1]Art5!F139+[1]Art6!F139+[1]Art7!F139+[1]Art8!F139+[1]Art9!F139+[1]Art10!F139+[1]Art11!F139+[1]Art12!F139+[1]Art13!F139+[1]Art14!F139+[1]Art15!F139+[1]Art16!F139+[1]Art17!F139+[1]Art18!F139+[1]Art19!F139+[1]Art20!F139+[1]Art21!F139+[1]Art22!F139+[1]Art23!F139+[1]Art24!F139+[1]Art25!F139+[1]Art26!F139+[1]Art27!F139+[1]Art28!F139+[1]Art29!F139+[1]Art30!F139+[1]Art31!F139+[1]Art32!F139+[1]Art33!F139+[1]Art34!F139+[1]Art35!F139+[1]Art36!F139+[1]Art37!F139+[1]Art38!F139+[1]ArtT1!F139+[1]ArtT2!F139)</f>
        <v>0</v>
      </c>
      <c r="H139" s="4"/>
      <c r="I139" s="4"/>
      <c r="J139" s="4"/>
      <c r="K139" s="4"/>
    </row>
    <row r="140" spans="1:11" ht="12.75" customHeight="1" x14ac:dyDescent="0.3">
      <c r="A140" s="1" t="s">
        <v>169</v>
      </c>
      <c r="B140" s="1" t="s">
        <v>27</v>
      </c>
      <c r="C140" s="1">
        <f>SUM([1]Art1!C140+[1]Art2!C140+[1]Art3!C140+[1]Art4!C140+[1]Art5!C140+[1]Art6!C140+[1]Art7!C140+[1]Art8!C140+[1]Art9!C140+[1]Art10!C140+[1]Art11!C140+[1]Art12!C140+[1]Art13!C140+[1]Art14!C140+[1]Art15!C140+[1]Art16!C140+[1]Art17!C140+[1]Art18!C140+[1]Art19!C140+[1]Art20!C140+[1]Art21!C140+[1]Art22!C140+[1]Art23!C140+[1]Art24!C140+[1]Art25!C140+[1]Art26!C140+[1]Art27!C140+[1]Art28!C140+[1]Art29!C140+[1]Art30!C140+[1]Art31!C140+[1]Art32!C140+[1]Art33!C140+[1]Art34!C140+[1]Art35!C140+[1]Art36!C140+[1]Art37!C140+[1]Art38!C140+[1]ArtT1!C140+[1]ArtT2!C140)</f>
        <v>9</v>
      </c>
      <c r="D140" s="1">
        <f>SUM([1]Art1!D140+[1]Art2!D140+[1]Art3!D140+[1]Art4!D140+[1]Art5!D140+[1]Art6!D140+[1]Art7!D140+[1]Art8!D140+[1]Art9!D140+[1]Art10!D140+[1]Art11!D140+[1]Art12!D140+[1]Art13!D140+[1]Art14!D140+[1]Art15!D140+[1]Art16!D140+[1]Art17!D140+[1]Art18!D140+[1]Art19!D140+[1]Art20!D140+[1]Art21!D140+[1]Art22!D140+[1]Art23!D140+[1]Art24!D140+[1]Art25!D140+[1]Art26!D140+[1]Art27!D140+[1]Art28!D140+[1]Art29!D140+[1]Art30!D140+[1]Art31!D140+[1]Art32!D140+[1]Art33!D140+[1]Art34!D140+[1]Art35!D140+[1]Art36!D140+[1]Art37!D140+[1]Art38!D140+[1]ArtT1!D140+[1]ArtT2!D140)</f>
        <v>28</v>
      </c>
      <c r="E140" s="1">
        <f>SUM([1]Art1!E140+[1]Art2!E140+[1]Art3!E140+[1]Art4!E140+[1]Art5!E140+[1]Art6!E140+[1]Art7!E140+[1]Art8!E140+[1]Art9!E140+[1]Art10!E140+[1]Art11!E140+[1]Art12!E140+[1]Art13!E140+[1]Art14!E140+[1]Art15!E140+[1]Art16!E140+[1]Art17!E140+[1]Art18!E140+[1]Art19!E140+[1]Art20!E140+[1]Art21!E140+[1]Art22!E140+[1]Art23!E140+[1]Art24!E140+[1]Art25!E140+[1]Art26!E140+[1]Art27!E140+[1]Art28!E140+[1]Art29!E140+[1]Art30!E140+[1]Art31!E140+[1]Art32!E140+[1]Art33!E140+[1]Art34!E140+[1]Art35!E140+[1]Art36!E140+[1]Art37!E140+[1]Art38!E140+[1]ArtT1!E140+[1]ArtT2!E140)</f>
        <v>3</v>
      </c>
      <c r="F140" s="1">
        <f>SUM([1]Art1!F140+[1]Art2!F140+[1]Art3!F140+[1]Art4!F140+[1]Art5!F140+[1]Art6!F140+[1]Art7!F140+[1]Art8!F140+[1]Art9!F140+[1]Art10!F140+[1]Art11!F140+[1]Art12!F140+[1]Art13!F140+[1]Art14!F140+[1]Art15!F140+[1]Art16!F140+[1]Art17!F140+[1]Art18!F140+[1]Art19!F140+[1]Art20!F140+[1]Art21!F140+[1]Art22!F140+[1]Art23!F140+[1]Art24!F140+[1]Art25!F140+[1]Art26!F140+[1]Art27!F140+[1]Art28!F140+[1]Art29!F140+[1]Art30!F140+[1]Art31!F140+[1]Art32!F140+[1]Art33!F140+[1]Art34!F140+[1]Art35!F140+[1]Art36!F140+[1]Art37!F140+[1]Art38!F140+[1]ArtT1!F140+[1]ArtT2!F140)</f>
        <v>0</v>
      </c>
      <c r="H140" s="4"/>
      <c r="I140" s="4"/>
      <c r="J140" s="4"/>
      <c r="K140" s="4"/>
    </row>
    <row r="141" spans="1:11" ht="12.75" customHeight="1" x14ac:dyDescent="0.3">
      <c r="A141" s="1" t="s">
        <v>170</v>
      </c>
      <c r="B141" s="1" t="s">
        <v>16</v>
      </c>
      <c r="C141" s="1">
        <f>SUM([1]Art1!C141+[1]Art2!C141+[1]Art3!C141+[1]Art4!C141+[1]Art5!C141+[1]Art6!C141+[1]Art7!C141+[1]Art8!C141+[1]Art9!C141+[1]Art10!C141+[1]Art11!C141+[1]Art12!C141+[1]Art13!C141+[1]Art14!C141+[1]Art15!C141+[1]Art16!C141+[1]Art17!C141+[1]Art18!C141+[1]Art19!C141+[1]Art20!C141+[1]Art21!C141+[1]Art22!C141+[1]Art23!C141+[1]Art24!C141+[1]Art25!C141+[1]Art26!C141+[1]Art27!C141+[1]Art28!C141+[1]Art29!C141+[1]Art30!C141+[1]Art31!C141+[1]Art32!C141+[1]Art33!C141+[1]Art34!C141+[1]Art35!C141+[1]Art36!C141+[1]Art37!C141+[1]Art38!C141+[1]ArtT1!C141+[1]ArtT2!C141)</f>
        <v>28</v>
      </c>
      <c r="D141" s="1">
        <f>SUM([1]Art1!D141+[1]Art2!D141+[1]Art3!D141+[1]Art4!D141+[1]Art5!D141+[1]Art6!D141+[1]Art7!D141+[1]Art8!D141+[1]Art9!D141+[1]Art10!D141+[1]Art11!D141+[1]Art12!D141+[1]Art13!D141+[1]Art14!D141+[1]Art15!D141+[1]Art16!D141+[1]Art17!D141+[1]Art18!D141+[1]Art19!D141+[1]Art20!D141+[1]Art21!D141+[1]Art22!D141+[1]Art23!D141+[1]Art24!D141+[1]Art25!D141+[1]Art26!D141+[1]Art27!D141+[1]Art28!D141+[1]Art29!D141+[1]Art30!D141+[1]Art31!D141+[1]Art32!D141+[1]Art33!D141+[1]Art34!D141+[1]Art35!D141+[1]Art36!D141+[1]Art37!D141+[1]Art38!D141+[1]ArtT1!D141+[1]ArtT2!D141)</f>
        <v>1</v>
      </c>
      <c r="E141" s="1">
        <f>SUM([1]Art1!E141+[1]Art2!E141+[1]Art3!E141+[1]Art4!E141+[1]Art5!E141+[1]Art6!E141+[1]Art7!E141+[1]Art8!E141+[1]Art9!E141+[1]Art10!E141+[1]Art11!E141+[1]Art12!E141+[1]Art13!E141+[1]Art14!E141+[1]Art15!E141+[1]Art16!E141+[1]Art17!E141+[1]Art18!E141+[1]Art19!E141+[1]Art20!E141+[1]Art21!E141+[1]Art22!E141+[1]Art23!E141+[1]Art24!E141+[1]Art25!E141+[1]Art26!E141+[1]Art27!E141+[1]Art28!E141+[1]Art29!E141+[1]Art30!E141+[1]Art31!E141+[1]Art32!E141+[1]Art33!E141+[1]Art34!E141+[1]Art35!E141+[1]Art36!E141+[1]Art37!E141+[1]Art38!E141+[1]ArtT1!E141+[1]ArtT2!E141)</f>
        <v>11</v>
      </c>
      <c r="F141" s="1">
        <f>SUM([1]Art1!F141+[1]Art2!F141+[1]Art3!F141+[1]Art4!F141+[1]Art5!F141+[1]Art6!F141+[1]Art7!F141+[1]Art8!F141+[1]Art9!F141+[1]Art10!F141+[1]Art11!F141+[1]Art12!F141+[1]Art13!F141+[1]Art14!F141+[1]Art15!F141+[1]Art16!F141+[1]Art17!F141+[1]Art18!F141+[1]Art19!F141+[1]Art20!F141+[1]Art21!F141+[1]Art22!F141+[1]Art23!F141+[1]Art24!F141+[1]Art25!F141+[1]Art26!F141+[1]Art27!F141+[1]Art28!F141+[1]Art29!F141+[1]Art30!F141+[1]Art31!F141+[1]Art32!F141+[1]Art33!F141+[1]Art34!F141+[1]Art35!F141+[1]Art36!F141+[1]Art37!F141+[1]Art38!F141+[1]ArtT1!F141+[1]ArtT2!F141)</f>
        <v>0</v>
      </c>
      <c r="H141" s="4"/>
      <c r="I141" s="4"/>
      <c r="J141" s="4"/>
      <c r="K141" s="4"/>
    </row>
    <row r="142" spans="1:11" ht="12.75" customHeight="1" x14ac:dyDescent="0.3">
      <c r="A142" s="1" t="s">
        <v>171</v>
      </c>
      <c r="B142" s="1" t="s">
        <v>19</v>
      </c>
      <c r="C142" s="1">
        <f>SUM([1]Art1!C142+[1]Art2!C142+[1]Art3!C142+[1]Art4!C142+[1]Art5!C142+[1]Art6!C142+[1]Art7!C142+[1]Art8!C142+[1]Art9!C142+[1]Art10!C142+[1]Art11!C142+[1]Art12!C142+[1]Art13!C142+[1]Art14!C142+[1]Art15!C142+[1]Art16!C142+[1]Art17!C142+[1]Art18!C142+[1]Art19!C142+[1]Art20!C142+[1]Art21!C142+[1]Art22!C142+[1]Art23!C142+[1]Art24!C142+[1]Art25!C142+[1]Art26!C142+[1]Art27!C142+[1]Art28!C142+[1]Art29!C142+[1]Art30!C142+[1]Art31!C142+[1]Art32!C142+[1]Art33!C142+[1]Art34!C142+[1]Art35!C142+[1]Art36!C142+[1]Art37!C142+[1]Art38!C142+[1]ArtT1!C142+[1]ArtT2!C142)</f>
        <v>39</v>
      </c>
      <c r="D142" s="1">
        <f>SUM([1]Art1!D142+[1]Art2!D142+[1]Art3!D142+[1]Art4!D142+[1]Art5!D142+[1]Art6!D142+[1]Art7!D142+[1]Art8!D142+[1]Art9!D142+[1]Art10!D142+[1]Art11!D142+[1]Art12!D142+[1]Art13!D142+[1]Art14!D142+[1]Art15!D142+[1]Art16!D142+[1]Art17!D142+[1]Art18!D142+[1]Art19!D142+[1]Art20!D142+[1]Art21!D142+[1]Art22!D142+[1]Art23!D142+[1]Art24!D142+[1]Art25!D142+[1]Art26!D142+[1]Art27!D142+[1]Art28!D142+[1]Art29!D142+[1]Art30!D142+[1]Art31!D142+[1]Art32!D142+[1]Art33!D142+[1]Art34!D142+[1]Art35!D142+[1]Art36!D142+[1]Art37!D142+[1]Art38!D142+[1]ArtT1!D142+[1]ArtT2!D142)</f>
        <v>0</v>
      </c>
      <c r="E142" s="1">
        <f>SUM([1]Art1!E142+[1]Art2!E142+[1]Art3!E142+[1]Art4!E142+[1]Art5!E142+[1]Art6!E142+[1]Art7!E142+[1]Art8!E142+[1]Art9!E142+[1]Art10!E142+[1]Art11!E142+[1]Art12!E142+[1]Art13!E142+[1]Art14!E142+[1]Art15!E142+[1]Art16!E142+[1]Art17!E142+[1]Art18!E142+[1]Art19!E142+[1]Art20!E142+[1]Art21!E142+[1]Art22!E142+[1]Art23!E142+[1]Art24!E142+[1]Art25!E142+[1]Art26!E142+[1]Art27!E142+[1]Art28!E142+[1]Art29!E142+[1]Art30!E142+[1]Art31!E142+[1]Art32!E142+[1]Art33!E142+[1]Art34!E142+[1]Art35!E142+[1]Art36!E142+[1]Art37!E142+[1]Art38!E142+[1]ArtT1!E142+[1]ArtT2!E142)</f>
        <v>0</v>
      </c>
      <c r="F142" s="1">
        <f>SUM([1]Art1!F142+[1]Art2!F142+[1]Art3!F142+[1]Art4!F142+[1]Art5!F142+[1]Art6!F142+[1]Art7!F142+[1]Art8!F142+[1]Art9!F142+[1]Art10!F142+[1]Art11!F142+[1]Art12!F142+[1]Art13!F142+[1]Art14!F142+[1]Art15!F142+[1]Art16!F142+[1]Art17!F142+[1]Art18!F142+[1]Art19!F142+[1]Art20!F142+[1]Art21!F142+[1]Art22!F142+[1]Art23!F142+[1]Art24!F142+[1]Art25!F142+[1]Art26!F142+[1]Art27!F142+[1]Art28!F142+[1]Art29!F142+[1]Art30!F142+[1]Art31!F142+[1]Art32!F142+[1]Art33!F142+[1]Art34!F142+[1]Art35!F142+[1]Art36!F142+[1]Art37!F142+[1]Art38!F142+[1]ArtT1!F142+[1]ArtT2!F142)</f>
        <v>1</v>
      </c>
      <c r="H142" s="4"/>
      <c r="I142" s="4"/>
      <c r="J142" s="4"/>
      <c r="K142" s="4"/>
    </row>
    <row r="143" spans="1:11" ht="12.75" customHeight="1" x14ac:dyDescent="0.3">
      <c r="A143" s="1" t="s">
        <v>172</v>
      </c>
      <c r="B143" s="1" t="s">
        <v>37</v>
      </c>
      <c r="C143" s="1">
        <f>SUM([1]Art1!C143+[1]Art2!C143+[1]Art3!C143+[1]Art4!C143+[1]Art5!C143+[1]Art6!C143+[1]Art7!C143+[1]Art8!C143+[1]Art9!C143+[1]Art10!C143+[1]Art11!C143+[1]Art12!C143+[1]Art13!C143+[1]Art14!C143+[1]Art15!C143+[1]Art16!C143+[1]Art17!C143+[1]Art18!C143+[1]Art19!C143+[1]Art20!C143+[1]Art21!C143+[1]Art22!C143+[1]Art23!C143+[1]Art24!C143+[1]Art25!C143+[1]Art26!C143+[1]Art27!C143+[1]Art28!C143+[1]Art29!C143+[1]Art30!C143+[1]Art31!C143+[1]Art32!C143+[1]Art33!C143+[1]Art34!C143+[1]Art35!C143+[1]Art36!C143+[1]Art37!C143+[1]Art38!C143+[1]ArtT1!C143+[1]ArtT2!C143)</f>
        <v>35</v>
      </c>
      <c r="D143" s="1">
        <f>SUM([1]Art1!D143+[1]Art2!D143+[1]Art3!D143+[1]Art4!D143+[1]Art5!D143+[1]Art6!D143+[1]Art7!D143+[1]Art8!D143+[1]Art9!D143+[1]Art10!D143+[1]Art11!D143+[1]Art12!D143+[1]Art13!D143+[1]Art14!D143+[1]Art15!D143+[1]Art16!D143+[1]Art17!D143+[1]Art18!D143+[1]Art19!D143+[1]Art20!D143+[1]Art21!D143+[1]Art22!D143+[1]Art23!D143+[1]Art24!D143+[1]Art25!D143+[1]Art26!D143+[1]Art27!D143+[1]Art28!D143+[1]Art29!D143+[1]Art30!D143+[1]Art31!D143+[1]Art32!D143+[1]Art33!D143+[1]Art34!D143+[1]Art35!D143+[1]Art36!D143+[1]Art37!D143+[1]Art38!D143+[1]ArtT1!D143+[1]ArtT2!D143)</f>
        <v>0</v>
      </c>
      <c r="E143" s="1">
        <f>SUM([1]Art1!E143+[1]Art2!E143+[1]Art3!E143+[1]Art4!E143+[1]Art5!E143+[1]Art6!E143+[1]Art7!E143+[1]Art8!E143+[1]Art9!E143+[1]Art10!E143+[1]Art11!E143+[1]Art12!E143+[1]Art13!E143+[1]Art14!E143+[1]Art15!E143+[1]Art16!E143+[1]Art17!E143+[1]Art18!E143+[1]Art19!E143+[1]Art20!E143+[1]Art21!E143+[1]Art22!E143+[1]Art23!E143+[1]Art24!E143+[1]Art25!E143+[1]Art26!E143+[1]Art27!E143+[1]Art28!E143+[1]Art29!E143+[1]Art30!E143+[1]Art31!E143+[1]Art32!E143+[1]Art33!E143+[1]Art34!E143+[1]Art35!E143+[1]Art36!E143+[1]Art37!E143+[1]Art38!E143+[1]ArtT1!E143+[1]ArtT2!E143)</f>
        <v>1</v>
      </c>
      <c r="F143" s="1">
        <f>SUM([1]Art1!F143+[1]Art2!F143+[1]Art3!F143+[1]Art4!F143+[1]Art5!F143+[1]Art6!F143+[1]Art7!F143+[1]Art8!F143+[1]Art9!F143+[1]Art10!F143+[1]Art11!F143+[1]Art12!F143+[1]Art13!F143+[1]Art14!F143+[1]Art15!F143+[1]Art16!F143+[1]Art17!F143+[1]Art18!F143+[1]Art19!F143+[1]Art20!F143+[1]Art21!F143+[1]Art22!F143+[1]Art23!F143+[1]Art24!F143+[1]Art25!F143+[1]Art26!F143+[1]Art27!F143+[1]Art28!F143+[1]Art29!F143+[1]Art30!F143+[1]Art31!F143+[1]Art32!F143+[1]Art33!F143+[1]Art34!F143+[1]Art35!F143+[1]Art36!F143+[1]Art37!F143+[1]Art38!F143+[1]ArtT1!F143+[1]ArtT2!F143)</f>
        <v>4</v>
      </c>
      <c r="H143" s="4"/>
      <c r="I143" s="4"/>
      <c r="J143" s="4"/>
      <c r="K143" s="4"/>
    </row>
    <row r="144" spans="1:11" ht="12.75" customHeight="1" x14ac:dyDescent="0.3">
      <c r="A144" s="1" t="s">
        <v>173</v>
      </c>
      <c r="B144" s="1" t="s">
        <v>27</v>
      </c>
      <c r="C144" s="1">
        <f>SUM([1]Art1!C144+[1]Art2!C144+[1]Art3!C144+[1]Art4!C144+[1]Art5!C144+[1]Art6!C144+[1]Art7!C144+[1]Art8!C144+[1]Art9!C144+[1]Art10!C144+[1]Art11!C144+[1]Art12!C144+[1]Art13!C144+[1]Art14!C144+[1]Art15!C144+[1]Art16!C144+[1]Art17!C144+[1]Art18!C144+[1]Art19!C144+[1]Art20!C144+[1]Art21!C144+[1]Art22!C144+[1]Art23!C144+[1]Art24!C144+[1]Art25!C144+[1]Art26!C144+[1]Art27!C144+[1]Art28!C144+[1]Art29!C144+[1]Art30!C144+[1]Art31!C144+[1]Art32!C144+[1]Art33!C144+[1]Art34!C144+[1]Art35!C144+[1]Art36!C144+[1]Art37!C144+[1]Art38!C144+[1]ArtT1!C144+[1]ArtT2!C144)</f>
        <v>22</v>
      </c>
      <c r="D144" s="1">
        <f>SUM([1]Art1!D144+[1]Art2!D144+[1]Art3!D144+[1]Art4!D144+[1]Art5!D144+[1]Art6!D144+[1]Art7!D144+[1]Art8!D144+[1]Art9!D144+[1]Art10!D144+[1]Art11!D144+[1]Art12!D144+[1]Art13!D144+[1]Art14!D144+[1]Art15!D144+[1]Art16!D144+[1]Art17!D144+[1]Art18!D144+[1]Art19!D144+[1]Art20!D144+[1]Art21!D144+[1]Art22!D144+[1]Art23!D144+[1]Art24!D144+[1]Art25!D144+[1]Art26!D144+[1]Art27!D144+[1]Art28!D144+[1]Art29!D144+[1]Art30!D144+[1]Art31!D144+[1]Art32!D144+[1]Art33!D144+[1]Art34!D144+[1]Art35!D144+[1]Art36!D144+[1]Art37!D144+[1]Art38!D144+[1]ArtT1!D144+[1]ArtT2!D144)</f>
        <v>18</v>
      </c>
      <c r="E144" s="1">
        <f>SUM([1]Art1!E144+[1]Art2!E144+[1]Art3!E144+[1]Art4!E144+[1]Art5!E144+[1]Art6!E144+[1]Art7!E144+[1]Art8!E144+[1]Art9!E144+[1]Art10!E144+[1]Art11!E144+[1]Art12!E144+[1]Art13!E144+[1]Art14!E144+[1]Art15!E144+[1]Art16!E144+[1]Art17!E144+[1]Art18!E144+[1]Art19!E144+[1]Art20!E144+[1]Art21!E144+[1]Art22!E144+[1]Art23!E144+[1]Art24!E144+[1]Art25!E144+[1]Art26!E144+[1]Art27!E144+[1]Art28!E144+[1]Art29!E144+[1]Art30!E144+[1]Art31!E144+[1]Art32!E144+[1]Art33!E144+[1]Art34!E144+[1]Art35!E144+[1]Art36!E144+[1]Art37!E144+[1]Art38!E144+[1]ArtT1!E144+[1]ArtT2!E144)</f>
        <v>0</v>
      </c>
      <c r="F144" s="1">
        <f>SUM([1]Art1!F144+[1]Art2!F144+[1]Art3!F144+[1]Art4!F144+[1]Art5!F144+[1]Art6!F144+[1]Art7!F144+[1]Art8!F144+[1]Art9!F144+[1]Art10!F144+[1]Art11!F144+[1]Art12!F144+[1]Art13!F144+[1]Art14!F144+[1]Art15!F144+[1]Art16!F144+[1]Art17!F144+[1]Art18!F144+[1]Art19!F144+[1]Art20!F144+[1]Art21!F144+[1]Art22!F144+[1]Art23!F144+[1]Art24!F144+[1]Art25!F144+[1]Art26!F144+[1]Art27!F144+[1]Art28!F144+[1]Art29!F144+[1]Art30!F144+[1]Art31!F144+[1]Art32!F144+[1]Art33!F144+[1]Art34!F144+[1]Art35!F144+[1]Art36!F144+[1]Art37!F144+[1]Art38!F144+[1]ArtT1!F144+[1]ArtT2!F144)</f>
        <v>0</v>
      </c>
      <c r="H144" s="4"/>
      <c r="I144" s="4"/>
      <c r="J144" s="4"/>
      <c r="K144" s="4"/>
    </row>
    <row r="145" spans="1:11" ht="12.75" customHeight="1" x14ac:dyDescent="0.3">
      <c r="A145" s="1" t="s">
        <v>174</v>
      </c>
      <c r="B145" s="1" t="s">
        <v>66</v>
      </c>
      <c r="C145" s="1">
        <f>SUM([1]Art1!C145+[1]Art2!C145+[1]Art3!C145+[1]Art4!C145+[1]Art5!C145+[1]Art6!C145+[1]Art7!C145+[1]Art8!C145+[1]Art9!C145+[1]Art10!C145+[1]Art11!C145+[1]Art12!C145+[1]Art13!C145+[1]Art14!C145+[1]Art15!C145+[1]Art16!C145+[1]Art17!C145+[1]Art18!C145+[1]Art19!C145+[1]Art20!C145+[1]Art21!C145+[1]Art22!C145+[1]Art23!C145+[1]Art24!C145+[1]Art25!C145+[1]Art26!C145+[1]Art27!C145+[1]Art28!C145+[1]Art29!C145+[1]Art30!C145+[1]Art31!C145+[1]Art32!C145+[1]Art33!C145+[1]Art34!C145+[1]Art35!C145+[1]Art36!C145+[1]Art37!C145+[1]Art38!C145+[1]ArtT1!C145+[1]ArtT2!C145)</f>
        <v>1</v>
      </c>
      <c r="D145" s="1">
        <f>SUM([1]Art1!D145+[1]Art2!D145+[1]Art3!D145+[1]Art4!D145+[1]Art5!D145+[1]Art6!D145+[1]Art7!D145+[1]Art8!D145+[1]Art9!D145+[1]Art10!D145+[1]Art11!D145+[1]Art12!D145+[1]Art13!D145+[1]Art14!D145+[1]Art15!D145+[1]Art16!D145+[1]Art17!D145+[1]Art18!D145+[1]Art19!D145+[1]Art20!D145+[1]Art21!D145+[1]Art22!D145+[1]Art23!D145+[1]Art24!D145+[1]Art25!D145+[1]Art26!D145+[1]Art27!D145+[1]Art28!D145+[1]Art29!D145+[1]Art30!D145+[1]Art31!D145+[1]Art32!D145+[1]Art33!D145+[1]Art34!D145+[1]Art35!D145+[1]Art36!D145+[1]Art37!D145+[1]Art38!D145+[1]ArtT1!D145+[1]ArtT2!D145)</f>
        <v>36</v>
      </c>
      <c r="E145" s="1">
        <f>SUM([1]Art1!E145+[1]Art2!E145+[1]Art3!E145+[1]Art4!E145+[1]Art5!E145+[1]Art6!E145+[1]Art7!E145+[1]Art8!E145+[1]Art9!E145+[1]Art10!E145+[1]Art11!E145+[1]Art12!E145+[1]Art13!E145+[1]Art14!E145+[1]Art15!E145+[1]Art16!E145+[1]Art17!E145+[1]Art18!E145+[1]Art19!E145+[1]Art20!E145+[1]Art21!E145+[1]Art22!E145+[1]Art23!E145+[1]Art24!E145+[1]Art25!E145+[1]Art26!E145+[1]Art27!E145+[1]Art28!E145+[1]Art29!E145+[1]Art30!E145+[1]Art31!E145+[1]Art32!E145+[1]Art33!E145+[1]Art34!E145+[1]Art35!E145+[1]Art36!E145+[1]Art37!E145+[1]Art38!E145+[1]ArtT1!E145+[1]ArtT2!E145)</f>
        <v>3</v>
      </c>
      <c r="F145" s="1">
        <f>SUM([1]Art1!F145+[1]Art2!F145+[1]Art3!F145+[1]Art4!F145+[1]Art5!F145+[1]Art6!F145+[1]Art7!F145+[1]Art8!F145+[1]Art9!F145+[1]Art10!F145+[1]Art11!F145+[1]Art12!F145+[1]Art13!F145+[1]Art14!F145+[1]Art15!F145+[1]Art16!F145+[1]Art17!F145+[1]Art18!F145+[1]Art19!F145+[1]Art20!F145+[1]Art21!F145+[1]Art22!F145+[1]Art23!F145+[1]Art24!F145+[1]Art25!F145+[1]Art26!F145+[1]Art27!F145+[1]Art28!F145+[1]Art29!F145+[1]Art30!F145+[1]Art31!F145+[1]Art32!F145+[1]Art33!F145+[1]Art34!F145+[1]Art35!F145+[1]Art36!F145+[1]Art37!F145+[1]Art38!F145+[1]ArtT1!F145+[1]ArtT2!F145)</f>
        <v>0</v>
      </c>
      <c r="H145" s="4"/>
      <c r="I145" s="4"/>
      <c r="J145" s="4"/>
      <c r="K145" s="4"/>
    </row>
    <row r="146" spans="1:11" ht="12.75" customHeight="1" x14ac:dyDescent="0.3">
      <c r="A146" s="1" t="s">
        <v>175</v>
      </c>
      <c r="B146" s="1" t="s">
        <v>14</v>
      </c>
      <c r="C146" s="1">
        <f>SUM([1]Art1!C146+[1]Art2!C146+[1]Art3!C146+[1]Art4!C146+[1]Art5!C146+[1]Art6!C146+[1]Art7!C146+[1]Art8!C146+[1]Art9!C146+[1]Art10!C146+[1]Art11!C146+[1]Art12!C146+[1]Art13!C146+[1]Art14!C146+[1]Art15!C146+[1]Art16!C146+[1]Art17!C146+[1]Art18!C146+[1]Art19!C146+[1]Art20!C146+[1]Art21!C146+[1]Art22!C146+[1]Art23!C146+[1]Art24!C146+[1]Art25!C146+[1]Art26!C146+[1]Art27!C146+[1]Art28!C146+[1]Art29!C146+[1]Art30!C146+[1]Art31!C146+[1]Art32!C146+[1]Art33!C146+[1]Art34!C146+[1]Art35!C146+[1]Art36!C146+[1]Art37!C146+[1]Art38!C146+[1]ArtT1!C146+[1]ArtT2!C146)</f>
        <v>39</v>
      </c>
      <c r="D146" s="1">
        <f>SUM([1]Art1!D146+[1]Art2!D146+[1]Art3!D146+[1]Art4!D146+[1]Art5!D146+[1]Art6!D146+[1]Art7!D146+[1]Art8!D146+[1]Art9!D146+[1]Art10!D146+[1]Art11!D146+[1]Art12!D146+[1]Art13!D146+[1]Art14!D146+[1]Art15!D146+[1]Art16!D146+[1]Art17!D146+[1]Art18!D146+[1]Art19!D146+[1]Art20!D146+[1]Art21!D146+[1]Art22!D146+[1]Art23!D146+[1]Art24!D146+[1]Art25!D146+[1]Art26!D146+[1]Art27!D146+[1]Art28!D146+[1]Art29!D146+[1]Art30!D146+[1]Art31!D146+[1]Art32!D146+[1]Art33!D146+[1]Art34!D146+[1]Art35!D146+[1]Art36!D146+[1]Art37!D146+[1]Art38!D146+[1]ArtT1!D146+[1]ArtT2!D146)</f>
        <v>1</v>
      </c>
      <c r="E146" s="1">
        <f>SUM([1]Art1!E146+[1]Art2!E146+[1]Art3!E146+[1]Art4!E146+[1]Art5!E146+[1]Art6!E146+[1]Art7!E146+[1]Art8!E146+[1]Art9!E146+[1]Art10!E146+[1]Art11!E146+[1]Art12!E146+[1]Art13!E146+[1]Art14!E146+[1]Art15!E146+[1]Art16!E146+[1]Art17!E146+[1]Art18!E146+[1]Art19!E146+[1]Art20!E146+[1]Art21!E146+[1]Art22!E146+[1]Art23!E146+[1]Art24!E146+[1]Art25!E146+[1]Art26!E146+[1]Art27!E146+[1]Art28!E146+[1]Art29!E146+[1]Art30!E146+[1]Art31!E146+[1]Art32!E146+[1]Art33!E146+[1]Art34!E146+[1]Art35!E146+[1]Art36!E146+[1]Art37!E146+[1]Art38!E146+[1]ArtT1!E146+[1]ArtT2!E146)</f>
        <v>0</v>
      </c>
      <c r="F146" s="1">
        <f>SUM([1]Art1!F146+[1]Art2!F146+[1]Art3!F146+[1]Art4!F146+[1]Art5!F146+[1]Art6!F146+[1]Art7!F146+[1]Art8!F146+[1]Art9!F146+[1]Art10!F146+[1]Art11!F146+[1]Art12!F146+[1]Art13!F146+[1]Art14!F146+[1]Art15!F146+[1]Art16!F146+[1]Art17!F146+[1]Art18!F146+[1]Art19!F146+[1]Art20!F146+[1]Art21!F146+[1]Art22!F146+[1]Art23!F146+[1]Art24!F146+[1]Art25!F146+[1]Art26!F146+[1]Art27!F146+[1]Art28!F146+[1]Art29!F146+[1]Art30!F146+[1]Art31!F146+[1]Art32!F146+[1]Art33!F146+[1]Art34!F146+[1]Art35!F146+[1]Art36!F146+[1]Art37!F146+[1]Art38!F146+[1]ArtT1!F146+[1]ArtT2!F146)</f>
        <v>0</v>
      </c>
      <c r="H146" s="4"/>
      <c r="I146" s="4"/>
      <c r="J146" s="4"/>
      <c r="K146" s="4"/>
    </row>
    <row r="147" spans="1:11" ht="12.75" customHeight="1" x14ac:dyDescent="0.3">
      <c r="A147" s="1" t="s">
        <v>176</v>
      </c>
      <c r="B147" s="1" t="s">
        <v>66</v>
      </c>
      <c r="C147" s="1">
        <f>SUM([1]Art1!C147+[1]Art2!C147+[1]Art3!C147+[1]Art4!C147+[1]Art5!C147+[1]Art6!C147+[1]Art7!C147+[1]Art8!C147+[1]Art9!C147+[1]Art10!C147+[1]Art11!C147+[1]Art12!C147+[1]Art13!C147+[1]Art14!C147+[1]Art15!C147+[1]Art16!C147+[1]Art17!C147+[1]Art18!C147+[1]Art19!C147+[1]Art20!C147+[1]Art21!C147+[1]Art22!C147+[1]Art23!C147+[1]Art24!C147+[1]Art25!C147+[1]Art26!C147+[1]Art27!C147+[1]Art28!C147+[1]Art29!C147+[1]Art30!C147+[1]Art31!C147+[1]Art32!C147+[1]Art33!C147+[1]Art34!C147+[1]Art35!C147+[1]Art36!C147+[1]Art37!C147+[1]Art38!C147+[1]ArtT1!C147+[1]ArtT2!C147)</f>
        <v>1</v>
      </c>
      <c r="D147" s="1">
        <f>SUM([1]Art1!D147+[1]Art2!D147+[1]Art3!D147+[1]Art4!D147+[1]Art5!D147+[1]Art6!D147+[1]Art7!D147+[1]Art8!D147+[1]Art9!D147+[1]Art10!D147+[1]Art11!D147+[1]Art12!D147+[1]Art13!D147+[1]Art14!D147+[1]Art15!D147+[1]Art16!D147+[1]Art17!D147+[1]Art18!D147+[1]Art19!D147+[1]Art20!D147+[1]Art21!D147+[1]Art22!D147+[1]Art23!D147+[1]Art24!D147+[1]Art25!D147+[1]Art26!D147+[1]Art27!D147+[1]Art28!D147+[1]Art29!D147+[1]Art30!D147+[1]Art31!D147+[1]Art32!D147+[1]Art33!D147+[1]Art34!D147+[1]Art35!D147+[1]Art36!D147+[1]Art37!D147+[1]Art38!D147+[1]ArtT1!D147+[1]ArtT2!D147)</f>
        <v>16</v>
      </c>
      <c r="E147" s="1">
        <f>SUM([1]Art1!E147+[1]Art2!E147+[1]Art3!E147+[1]Art4!E147+[1]Art5!E147+[1]Art6!E147+[1]Art7!E147+[1]Art8!E147+[1]Art9!E147+[1]Art10!E147+[1]Art11!E147+[1]Art12!E147+[1]Art13!E147+[1]Art14!E147+[1]Art15!E147+[1]Art16!E147+[1]Art17!E147+[1]Art18!E147+[1]Art19!E147+[1]Art20!E147+[1]Art21!E147+[1]Art22!E147+[1]Art23!E147+[1]Art24!E147+[1]Art25!E147+[1]Art26!E147+[1]Art27!E147+[1]Art28!E147+[1]Art29!E147+[1]Art30!E147+[1]Art31!E147+[1]Art32!E147+[1]Art33!E147+[1]Art34!E147+[1]Art35!E147+[1]Art36!E147+[1]Art37!E147+[1]Art38!E147+[1]ArtT1!E147+[1]ArtT2!E147)</f>
        <v>23</v>
      </c>
      <c r="F147" s="1">
        <f>SUM([1]Art1!F147+[1]Art2!F147+[1]Art3!F147+[1]Art4!F147+[1]Art5!F147+[1]Art6!F147+[1]Art7!F147+[1]Art8!F147+[1]Art9!F147+[1]Art10!F147+[1]Art11!F147+[1]Art12!F147+[1]Art13!F147+[1]Art14!F147+[1]Art15!F147+[1]Art16!F147+[1]Art17!F147+[1]Art18!F147+[1]Art19!F147+[1]Art20!F147+[1]Art21!F147+[1]Art22!F147+[1]Art23!F147+[1]Art24!F147+[1]Art25!F147+[1]Art26!F147+[1]Art27!F147+[1]Art28!F147+[1]Art29!F147+[1]Art30!F147+[1]Art31!F147+[1]Art32!F147+[1]Art33!F147+[1]Art34!F147+[1]Art35!F147+[1]Art36!F147+[1]Art37!F147+[1]Art38!F147+[1]ArtT1!F147+[1]ArtT2!F147)</f>
        <v>0</v>
      </c>
      <c r="H147" s="4"/>
      <c r="I147" s="4"/>
      <c r="J147" s="4"/>
      <c r="K147" s="4"/>
    </row>
    <row r="148" spans="1:11" ht="12.75" customHeight="1" x14ac:dyDescent="0.3">
      <c r="A148" s="1" t="s">
        <v>177</v>
      </c>
      <c r="B148" s="1" t="s">
        <v>42</v>
      </c>
      <c r="C148" s="1">
        <f>SUM([1]Art1!C148+[1]Art2!C148+[1]Art3!C148+[1]Art4!C148+[1]Art5!C148+[1]Art6!C148+[1]Art7!C148+[1]Art8!C148+[1]Art9!C148+[1]Art10!C148+[1]Art11!C148+[1]Art12!C148+[1]Art13!C148+[1]Art14!C148+[1]Art15!C148+[1]Art16!C148+[1]Art17!C148+[1]Art18!C148+[1]Art19!C148+[1]Art20!C148+[1]Art21!C148+[1]Art22!C148+[1]Art23!C148+[1]Art24!C148+[1]Art25!C148+[1]Art26!C148+[1]Art27!C148+[1]Art28!C148+[1]Art29!C148+[1]Art30!C148+[1]Art31!C148+[1]Art32!C148+[1]Art33!C148+[1]Art34!C148+[1]Art35!C148+[1]Art36!C148+[1]Art37!C148+[1]Art38!C148+[1]ArtT1!C148+[1]ArtT2!C148)</f>
        <v>39</v>
      </c>
      <c r="D148" s="1">
        <f>SUM([1]Art1!D148+[1]Art2!D148+[1]Art3!D148+[1]Art4!D148+[1]Art5!D148+[1]Art6!D148+[1]Art7!D148+[1]Art8!D148+[1]Art9!D148+[1]Art10!D148+[1]Art11!D148+[1]Art12!D148+[1]Art13!D148+[1]Art14!D148+[1]Art15!D148+[1]Art16!D148+[1]Art17!D148+[1]Art18!D148+[1]Art19!D148+[1]Art20!D148+[1]Art21!D148+[1]Art22!D148+[1]Art23!D148+[1]Art24!D148+[1]Art25!D148+[1]Art26!D148+[1]Art27!D148+[1]Art28!D148+[1]Art29!D148+[1]Art30!D148+[1]Art31!D148+[1]Art32!D148+[1]Art33!D148+[1]Art34!D148+[1]Art35!D148+[1]Art36!D148+[1]Art37!D148+[1]Art38!D148+[1]ArtT1!D148+[1]ArtT2!D148)</f>
        <v>1</v>
      </c>
      <c r="E148" s="1">
        <f>SUM([1]Art1!E148+[1]Art2!E148+[1]Art3!E148+[1]Art4!E148+[1]Art5!E148+[1]Art6!E148+[1]Art7!E148+[1]Art8!E148+[1]Art9!E148+[1]Art10!E148+[1]Art11!E148+[1]Art12!E148+[1]Art13!E148+[1]Art14!E148+[1]Art15!E148+[1]Art16!E148+[1]Art17!E148+[1]Art18!E148+[1]Art19!E148+[1]Art20!E148+[1]Art21!E148+[1]Art22!E148+[1]Art23!E148+[1]Art24!E148+[1]Art25!E148+[1]Art26!E148+[1]Art27!E148+[1]Art28!E148+[1]Art29!E148+[1]Art30!E148+[1]Art31!E148+[1]Art32!E148+[1]Art33!E148+[1]Art34!E148+[1]Art35!E148+[1]Art36!E148+[1]Art37!E148+[1]Art38!E148+[1]ArtT1!E148+[1]ArtT2!E148)</f>
        <v>0</v>
      </c>
      <c r="F148" s="1">
        <f>SUM([1]Art1!F148+[1]Art2!F148+[1]Art3!F148+[1]Art4!F148+[1]Art5!F148+[1]Art6!F148+[1]Art7!F148+[1]Art8!F148+[1]Art9!F148+[1]Art10!F148+[1]Art11!F148+[1]Art12!F148+[1]Art13!F148+[1]Art14!F148+[1]Art15!F148+[1]Art16!F148+[1]Art17!F148+[1]Art18!F148+[1]Art19!F148+[1]Art20!F148+[1]Art21!F148+[1]Art22!F148+[1]Art23!F148+[1]Art24!F148+[1]Art25!F148+[1]Art26!F148+[1]Art27!F148+[1]Art28!F148+[1]Art29!F148+[1]Art30!F148+[1]Art31!F148+[1]Art32!F148+[1]Art33!F148+[1]Art34!F148+[1]Art35!F148+[1]Art36!F148+[1]Art37!F148+[1]Art38!F148+[1]ArtT1!F148+[1]ArtT2!F148)</f>
        <v>0</v>
      </c>
      <c r="H148" s="4"/>
      <c r="I148" s="4"/>
      <c r="J148" s="4"/>
      <c r="K148" s="4"/>
    </row>
    <row r="149" spans="1:11" ht="12.75" customHeight="1" x14ac:dyDescent="0.3">
      <c r="A149" s="1" t="s">
        <v>178</v>
      </c>
      <c r="B149" s="1" t="s">
        <v>33</v>
      </c>
      <c r="C149" s="1">
        <f>SUM([1]Art1!C149+[1]Art2!C149+[1]Art3!C149+[1]Art4!C149+[1]Art5!C149+[1]Art6!C149+[1]Art7!C149+[1]Art8!C149+[1]Art9!C149+[1]Art10!C149+[1]Art11!C149+[1]Art12!C149+[1]Art13!C149+[1]Art14!C149+[1]Art15!C149+[1]Art16!C149+[1]Art17!C149+[1]Art18!C149+[1]Art19!C149+[1]Art20!C149+[1]Art21!C149+[1]Art22!C149+[1]Art23!C149+[1]Art24!C149+[1]Art25!C149+[1]Art26!C149+[1]Art27!C149+[1]Art28!C149+[1]Art29!C149+[1]Art30!C149+[1]Art31!C149+[1]Art32!C149+[1]Art33!C149+[1]Art34!C149+[1]Art35!C149+[1]Art36!C149+[1]Art37!C149+[1]Art38!C149+[1]ArtT1!C149+[1]ArtT2!C149)</f>
        <v>26</v>
      </c>
      <c r="D149" s="1">
        <f>SUM([1]Art1!D149+[1]Art2!D149+[1]Art3!D149+[1]Art4!D149+[1]Art5!D149+[1]Art6!D149+[1]Art7!D149+[1]Art8!D149+[1]Art9!D149+[1]Art10!D149+[1]Art11!D149+[1]Art12!D149+[1]Art13!D149+[1]Art14!D149+[1]Art15!D149+[1]Art16!D149+[1]Art17!D149+[1]Art18!D149+[1]Art19!D149+[1]Art20!D149+[1]Art21!D149+[1]Art22!D149+[1]Art23!D149+[1]Art24!D149+[1]Art25!D149+[1]Art26!D149+[1]Art27!D149+[1]Art28!D149+[1]Art29!D149+[1]Art30!D149+[1]Art31!D149+[1]Art32!D149+[1]Art33!D149+[1]Art34!D149+[1]Art35!D149+[1]Art36!D149+[1]Art37!D149+[1]Art38!D149+[1]ArtT1!D149+[1]ArtT2!D149)</f>
        <v>12</v>
      </c>
      <c r="E149" s="1">
        <f>SUM([1]Art1!E149+[1]Art2!E149+[1]Art3!E149+[1]Art4!E149+[1]Art5!E149+[1]Art6!E149+[1]Art7!E149+[1]Art8!E149+[1]Art9!E149+[1]Art10!E149+[1]Art11!E149+[1]Art12!E149+[1]Art13!E149+[1]Art14!E149+[1]Art15!E149+[1]Art16!E149+[1]Art17!E149+[1]Art18!E149+[1]Art19!E149+[1]Art20!E149+[1]Art21!E149+[1]Art22!E149+[1]Art23!E149+[1]Art24!E149+[1]Art25!E149+[1]Art26!E149+[1]Art27!E149+[1]Art28!E149+[1]Art29!E149+[1]Art30!E149+[1]Art31!E149+[1]Art32!E149+[1]Art33!E149+[1]Art34!E149+[1]Art35!E149+[1]Art36!E149+[1]Art37!E149+[1]Art38!E149+[1]ArtT1!E149+[1]ArtT2!E149)</f>
        <v>2</v>
      </c>
      <c r="F149" s="1">
        <f>SUM([1]Art1!F149+[1]Art2!F149+[1]Art3!F149+[1]Art4!F149+[1]Art5!F149+[1]Art6!F149+[1]Art7!F149+[1]Art8!F149+[1]Art9!F149+[1]Art10!F149+[1]Art11!F149+[1]Art12!F149+[1]Art13!F149+[1]Art14!F149+[1]Art15!F149+[1]Art16!F149+[1]Art17!F149+[1]Art18!F149+[1]Art19!F149+[1]Art20!F149+[1]Art21!F149+[1]Art22!F149+[1]Art23!F149+[1]Art24!F149+[1]Art25!F149+[1]Art26!F149+[1]Art27!F149+[1]Art28!F149+[1]Art29!F149+[1]Art30!F149+[1]Art31!F149+[1]Art32!F149+[1]Art33!F149+[1]Art34!F149+[1]Art35!F149+[1]Art36!F149+[1]Art37!F149+[1]Art38!F149+[1]ArtT1!F149+[1]ArtT2!F149)</f>
        <v>0</v>
      </c>
      <c r="H149" s="4"/>
      <c r="I149" s="4"/>
      <c r="J149" s="4"/>
      <c r="K149" s="4"/>
    </row>
    <row r="150" spans="1:11" ht="12.75" customHeight="1" x14ac:dyDescent="0.3">
      <c r="A150" s="1" t="s">
        <v>179</v>
      </c>
      <c r="B150" s="1" t="s">
        <v>14</v>
      </c>
      <c r="C150" s="1">
        <f>SUM([1]Art1!C150+[1]Art2!C150+[1]Art3!C150+[1]Art4!C150+[1]Art5!C150+[1]Art6!C150+[1]Art7!C150+[1]Art8!C150+[1]Art9!C150+[1]Art10!C150+[1]Art11!C150+[1]Art12!C150+[1]Art13!C150+[1]Art14!C150+[1]Art15!C150+[1]Art16!C150+[1]Art17!C150+[1]Art18!C150+[1]Art19!C150+[1]Art20!C150+[1]Art21!C150+[1]Art22!C150+[1]Art23!C150+[1]Art24!C150+[1]Art25!C150+[1]Art26!C150+[1]Art27!C150+[1]Art28!C150+[1]Art29!C150+[1]Art30!C150+[1]Art31!C150+[1]Art32!C150+[1]Art33!C150+[1]Art34!C150+[1]Art35!C150+[1]Art36!C150+[1]Art37!C150+[1]Art38!C150+[1]ArtT1!C150+[1]ArtT2!C150)</f>
        <v>40</v>
      </c>
      <c r="D150" s="1">
        <f>SUM([1]Art1!D150+[1]Art2!D150+[1]Art3!D150+[1]Art4!D150+[1]Art5!D150+[1]Art6!D150+[1]Art7!D150+[1]Art8!D150+[1]Art9!D150+[1]Art10!D150+[1]Art11!D150+[1]Art12!D150+[1]Art13!D150+[1]Art14!D150+[1]Art15!D150+[1]Art16!D150+[1]Art17!D150+[1]Art18!D150+[1]Art19!D150+[1]Art20!D150+[1]Art21!D150+[1]Art22!D150+[1]Art23!D150+[1]Art24!D150+[1]Art25!D150+[1]Art26!D150+[1]Art27!D150+[1]Art28!D150+[1]Art29!D150+[1]Art30!D150+[1]Art31!D150+[1]Art32!D150+[1]Art33!D150+[1]Art34!D150+[1]Art35!D150+[1]Art36!D150+[1]Art37!D150+[1]Art38!D150+[1]ArtT1!D150+[1]ArtT2!D150)</f>
        <v>0</v>
      </c>
      <c r="E150" s="1">
        <f>SUM([1]Art1!E150+[1]Art2!E150+[1]Art3!E150+[1]Art4!E150+[1]Art5!E150+[1]Art6!E150+[1]Art7!E150+[1]Art8!E150+[1]Art9!E150+[1]Art10!E150+[1]Art11!E150+[1]Art12!E150+[1]Art13!E150+[1]Art14!E150+[1]Art15!E150+[1]Art16!E150+[1]Art17!E150+[1]Art18!E150+[1]Art19!E150+[1]Art20!E150+[1]Art21!E150+[1]Art22!E150+[1]Art23!E150+[1]Art24!E150+[1]Art25!E150+[1]Art26!E150+[1]Art27!E150+[1]Art28!E150+[1]Art29!E150+[1]Art30!E150+[1]Art31!E150+[1]Art32!E150+[1]Art33!E150+[1]Art34!E150+[1]Art35!E150+[1]Art36!E150+[1]Art37!E150+[1]Art38!E150+[1]ArtT1!E150+[1]ArtT2!E150)</f>
        <v>0</v>
      </c>
      <c r="F150" s="1">
        <f>SUM([1]Art1!F150+[1]Art2!F150+[1]Art3!F150+[1]Art4!F150+[1]Art5!F150+[1]Art6!F150+[1]Art7!F150+[1]Art8!F150+[1]Art9!F150+[1]Art10!F150+[1]Art11!F150+[1]Art12!F150+[1]Art13!F150+[1]Art14!F150+[1]Art15!F150+[1]Art16!F150+[1]Art17!F150+[1]Art18!F150+[1]Art19!F150+[1]Art20!F150+[1]Art21!F150+[1]Art22!F150+[1]Art23!F150+[1]Art24!F150+[1]Art25!F150+[1]Art26!F150+[1]Art27!F150+[1]Art28!F150+[1]Art29!F150+[1]Art30!F150+[1]Art31!F150+[1]Art32!F150+[1]Art33!F150+[1]Art34!F150+[1]Art35!F150+[1]Art36!F150+[1]Art37!F150+[1]Art38!F150+[1]ArtT1!F150+[1]ArtT2!F150)</f>
        <v>0</v>
      </c>
      <c r="H150" s="4"/>
      <c r="I150" s="4"/>
      <c r="J150" s="4"/>
      <c r="K150" s="4"/>
    </row>
    <row r="151" spans="1:11" ht="12.75" customHeight="1" x14ac:dyDescent="0.3">
      <c r="A151" s="1" t="s">
        <v>180</v>
      </c>
      <c r="B151" s="1" t="s">
        <v>13</v>
      </c>
      <c r="C151" s="1">
        <f>SUM([1]Art1!C151+[1]Art2!C151+[1]Art3!C151+[1]Art4!C151+[1]Art5!C151+[1]Art6!C151+[1]Art7!C151+[1]Art8!C151+[1]Art9!C151+[1]Art10!C151+[1]Art11!C151+[1]Art12!C151+[1]Art13!C151+[1]Art14!C151+[1]Art15!C151+[1]Art16!C151+[1]Art17!C151+[1]Art18!C151+[1]Art19!C151+[1]Art20!C151+[1]Art21!C151+[1]Art22!C151+[1]Art23!C151+[1]Art24!C151+[1]Art25!C151+[1]Art26!C151+[1]Art27!C151+[1]Art28!C151+[1]Art29!C151+[1]Art30!C151+[1]Art31!C151+[1]Art32!C151+[1]Art33!C151+[1]Art34!C151+[1]Art35!C151+[1]Art36!C151+[1]Art37!C151+[1]Art38!C151+[1]ArtT1!C151+[1]ArtT2!C151)</f>
        <v>7</v>
      </c>
      <c r="D151" s="1">
        <f>SUM([1]Art1!D151+[1]Art2!D151+[1]Art3!D151+[1]Art4!D151+[1]Art5!D151+[1]Art6!D151+[1]Art7!D151+[1]Art8!D151+[1]Art9!D151+[1]Art10!D151+[1]Art11!D151+[1]Art12!D151+[1]Art13!D151+[1]Art14!D151+[1]Art15!D151+[1]Art16!D151+[1]Art17!D151+[1]Art18!D151+[1]Art19!D151+[1]Art20!D151+[1]Art21!D151+[1]Art22!D151+[1]Art23!D151+[1]Art24!D151+[1]Art25!D151+[1]Art26!D151+[1]Art27!D151+[1]Art28!D151+[1]Art29!D151+[1]Art30!D151+[1]Art31!D151+[1]Art32!D151+[1]Art33!D151+[1]Art34!D151+[1]Art35!D151+[1]Art36!D151+[1]Art37!D151+[1]Art38!D151+[1]ArtT1!D151+[1]ArtT2!D151)</f>
        <v>32</v>
      </c>
      <c r="E151" s="1">
        <f>SUM([1]Art1!E151+[1]Art2!E151+[1]Art3!E151+[1]Art4!E151+[1]Art5!E151+[1]Art6!E151+[1]Art7!E151+[1]Art8!E151+[1]Art9!E151+[1]Art10!E151+[1]Art11!E151+[1]Art12!E151+[1]Art13!E151+[1]Art14!E151+[1]Art15!E151+[1]Art16!E151+[1]Art17!E151+[1]Art18!E151+[1]Art19!E151+[1]Art20!E151+[1]Art21!E151+[1]Art22!E151+[1]Art23!E151+[1]Art24!E151+[1]Art25!E151+[1]Art26!E151+[1]Art27!E151+[1]Art28!E151+[1]Art29!E151+[1]Art30!E151+[1]Art31!E151+[1]Art32!E151+[1]Art33!E151+[1]Art34!E151+[1]Art35!E151+[1]Art36!E151+[1]Art37!E151+[1]Art38!E151+[1]ArtT1!E151+[1]ArtT2!E151)</f>
        <v>1</v>
      </c>
      <c r="F151" s="1">
        <f>SUM([1]Art1!F151+[1]Art2!F151+[1]Art3!F151+[1]Art4!F151+[1]Art5!F151+[1]Art6!F151+[1]Art7!F151+[1]Art8!F151+[1]Art9!F151+[1]Art10!F151+[1]Art11!F151+[1]Art12!F151+[1]Art13!F151+[1]Art14!F151+[1]Art15!F151+[1]Art16!F151+[1]Art17!F151+[1]Art18!F151+[1]Art19!F151+[1]Art20!F151+[1]Art21!F151+[1]Art22!F151+[1]Art23!F151+[1]Art24!F151+[1]Art25!F151+[1]Art26!F151+[1]Art27!F151+[1]Art28!F151+[1]Art29!F151+[1]Art30!F151+[1]Art31!F151+[1]Art32!F151+[1]Art33!F151+[1]Art34!F151+[1]Art35!F151+[1]Art36!F151+[1]Art37!F151+[1]Art38!F151+[1]ArtT1!F151+[1]ArtT2!F151)</f>
        <v>0</v>
      </c>
      <c r="H151" s="4"/>
      <c r="I151" s="4"/>
      <c r="J151" s="4"/>
      <c r="K151" s="4"/>
    </row>
    <row r="152" spans="1:11" ht="12.75" customHeight="1" x14ac:dyDescent="0.3">
      <c r="A152" s="1" t="s">
        <v>181</v>
      </c>
      <c r="B152" s="1" t="s">
        <v>24</v>
      </c>
      <c r="C152" s="1">
        <f>SUM([1]Art1!C152+[1]Art2!C152+[1]Art3!C152+[1]Art4!C152+[1]Art5!C152+[1]Art6!C152+[1]Art7!C152+[1]Art8!C152+[1]Art9!C152+[1]Art10!C152+[1]Art11!C152+[1]Art12!C152+[1]Art13!C152+[1]Art14!C152+[1]Art15!C152+[1]Art16!C152+[1]Art17!C152+[1]Art18!C152+[1]Art19!C152+[1]Art20!C152+[1]Art21!C152+[1]Art22!C152+[1]Art23!C152+[1]Art24!C152+[1]Art25!C152+[1]Art26!C152+[1]Art27!C152+[1]Art28!C152+[1]Art29!C152+[1]Art30!C152+[1]Art31!C152+[1]Art32!C152+[1]Art33!C152+[1]Art34!C152+[1]Art35!C152+[1]Art36!C152+[1]Art37!C152+[1]Art38!C152+[1]ArtT1!C152+[1]ArtT2!C152)</f>
        <v>31</v>
      </c>
      <c r="D152" s="1">
        <f>SUM([1]Art1!D152+[1]Art2!D152+[1]Art3!D152+[1]Art4!D152+[1]Art5!D152+[1]Art6!D152+[1]Art7!D152+[1]Art8!D152+[1]Art9!D152+[1]Art10!D152+[1]Art11!D152+[1]Art12!D152+[1]Art13!D152+[1]Art14!D152+[1]Art15!D152+[1]Art16!D152+[1]Art17!D152+[1]Art18!D152+[1]Art19!D152+[1]Art20!D152+[1]Art21!D152+[1]Art22!D152+[1]Art23!D152+[1]Art24!D152+[1]Art25!D152+[1]Art26!D152+[1]Art27!D152+[1]Art28!D152+[1]Art29!D152+[1]Art30!D152+[1]Art31!D152+[1]Art32!D152+[1]Art33!D152+[1]Art34!D152+[1]Art35!D152+[1]Art36!D152+[1]Art37!D152+[1]Art38!D152+[1]ArtT1!D152+[1]ArtT2!D152)</f>
        <v>5</v>
      </c>
      <c r="E152" s="1">
        <f>SUM([1]Art1!E152+[1]Art2!E152+[1]Art3!E152+[1]Art4!E152+[1]Art5!E152+[1]Art6!E152+[1]Art7!E152+[1]Art8!E152+[1]Art9!E152+[1]Art10!E152+[1]Art11!E152+[1]Art12!E152+[1]Art13!E152+[1]Art14!E152+[1]Art15!E152+[1]Art16!E152+[1]Art17!E152+[1]Art18!E152+[1]Art19!E152+[1]Art20!E152+[1]Art21!E152+[1]Art22!E152+[1]Art23!E152+[1]Art24!E152+[1]Art25!E152+[1]Art26!E152+[1]Art27!E152+[1]Art28!E152+[1]Art29!E152+[1]Art30!E152+[1]Art31!E152+[1]Art32!E152+[1]Art33!E152+[1]Art34!E152+[1]Art35!E152+[1]Art36!E152+[1]Art37!E152+[1]Art38!E152+[1]ArtT1!E152+[1]ArtT2!E152)</f>
        <v>4</v>
      </c>
      <c r="F152" s="1">
        <f>SUM([1]Art1!F152+[1]Art2!F152+[1]Art3!F152+[1]Art4!F152+[1]Art5!F152+[1]Art6!F152+[1]Art7!F152+[1]Art8!F152+[1]Art9!F152+[1]Art10!F152+[1]Art11!F152+[1]Art12!F152+[1]Art13!F152+[1]Art14!F152+[1]Art15!F152+[1]Art16!F152+[1]Art17!F152+[1]Art18!F152+[1]Art19!F152+[1]Art20!F152+[1]Art21!F152+[1]Art22!F152+[1]Art23!F152+[1]Art24!F152+[1]Art25!F152+[1]Art26!F152+[1]Art27!F152+[1]Art28!F152+[1]Art29!F152+[1]Art30!F152+[1]Art31!F152+[1]Art32!F152+[1]Art33!F152+[1]Art34!F152+[1]Art35!F152+[1]Art36!F152+[1]Art37!F152+[1]Art38!F152+[1]ArtT1!F152+[1]ArtT2!F152)</f>
        <v>0</v>
      </c>
      <c r="H152" s="4"/>
      <c r="I152" s="4"/>
      <c r="J152" s="4"/>
      <c r="K152" s="4"/>
    </row>
    <row r="153" spans="1:11" ht="12.75" customHeight="1" x14ac:dyDescent="0.3">
      <c r="A153" s="1" t="s">
        <v>182</v>
      </c>
      <c r="B153" s="1" t="s">
        <v>19</v>
      </c>
      <c r="C153" s="1">
        <f>SUM([1]Art1!C153+[1]Art2!C153+[1]Art3!C153+[1]Art4!C153+[1]Art5!C153+[1]Art6!C153+[1]Art7!C153+[1]Art8!C153+[1]Art9!C153+[1]Art10!C153+[1]Art11!C153+[1]Art12!C153+[1]Art13!C153+[1]Art14!C153+[1]Art15!C153+[1]Art16!C153+[1]Art17!C153+[1]Art18!C153+[1]Art19!C153+[1]Art20!C153+[1]Art21!C153+[1]Art22!C153+[1]Art23!C153+[1]Art24!C153+[1]Art25!C153+[1]Art26!C153+[1]Art27!C153+[1]Art28!C153+[1]Art29!C153+[1]Art30!C153+[1]Art31!C153+[1]Art32!C153+[1]Art33!C153+[1]Art34!C153+[1]Art35!C153+[1]Art36!C153+[1]Art37!C153+[1]Art38!C153+[1]ArtT1!C153+[1]ArtT2!C153)</f>
        <v>38</v>
      </c>
      <c r="D153" s="1">
        <f>SUM([1]Art1!D153+[1]Art2!D153+[1]Art3!D153+[1]Art4!D153+[1]Art5!D153+[1]Art6!D153+[1]Art7!D153+[1]Art8!D153+[1]Art9!D153+[1]Art10!D153+[1]Art11!D153+[1]Art12!D153+[1]Art13!D153+[1]Art14!D153+[1]Art15!D153+[1]Art16!D153+[1]Art17!D153+[1]Art18!D153+[1]Art19!D153+[1]Art20!D153+[1]Art21!D153+[1]Art22!D153+[1]Art23!D153+[1]Art24!D153+[1]Art25!D153+[1]Art26!D153+[1]Art27!D153+[1]Art28!D153+[1]Art29!D153+[1]Art30!D153+[1]Art31!D153+[1]Art32!D153+[1]Art33!D153+[1]Art34!D153+[1]Art35!D153+[1]Art36!D153+[1]Art37!D153+[1]Art38!D153+[1]ArtT1!D153+[1]ArtT2!D153)</f>
        <v>2</v>
      </c>
      <c r="E153" s="1">
        <f>SUM([1]Art1!E153+[1]Art2!E153+[1]Art3!E153+[1]Art4!E153+[1]Art5!E153+[1]Art6!E153+[1]Art7!E153+[1]Art8!E153+[1]Art9!E153+[1]Art10!E153+[1]Art11!E153+[1]Art12!E153+[1]Art13!E153+[1]Art14!E153+[1]Art15!E153+[1]Art16!E153+[1]Art17!E153+[1]Art18!E153+[1]Art19!E153+[1]Art20!E153+[1]Art21!E153+[1]Art22!E153+[1]Art23!E153+[1]Art24!E153+[1]Art25!E153+[1]Art26!E153+[1]Art27!E153+[1]Art28!E153+[1]Art29!E153+[1]Art30!E153+[1]Art31!E153+[1]Art32!E153+[1]Art33!E153+[1]Art34!E153+[1]Art35!E153+[1]Art36!E153+[1]Art37!E153+[1]Art38!E153+[1]ArtT1!E153+[1]ArtT2!E153)</f>
        <v>0</v>
      </c>
      <c r="F153" s="1">
        <f>SUM([1]Art1!F153+[1]Art2!F153+[1]Art3!F153+[1]Art4!F153+[1]Art5!F153+[1]Art6!F153+[1]Art7!F153+[1]Art8!F153+[1]Art9!F153+[1]Art10!F153+[1]Art11!F153+[1]Art12!F153+[1]Art13!F153+[1]Art14!F153+[1]Art15!F153+[1]Art16!F153+[1]Art17!F153+[1]Art18!F153+[1]Art19!F153+[1]Art20!F153+[1]Art21!F153+[1]Art22!F153+[1]Art23!F153+[1]Art24!F153+[1]Art25!F153+[1]Art26!F153+[1]Art27!F153+[1]Art28!F153+[1]Art29!F153+[1]Art30!F153+[1]Art31!F153+[1]Art32!F153+[1]Art33!F153+[1]Art34!F153+[1]Art35!F153+[1]Art36!F153+[1]Art37!F153+[1]Art38!F153+[1]ArtT1!F153+[1]ArtT2!F153)</f>
        <v>0</v>
      </c>
      <c r="H153" s="4"/>
      <c r="I153" s="4"/>
      <c r="J153" s="4"/>
      <c r="K153" s="4"/>
    </row>
    <row r="154" spans="1:11" ht="12.75" customHeight="1" x14ac:dyDescent="0.3">
      <c r="A154" s="1" t="s">
        <v>183</v>
      </c>
      <c r="B154" s="1" t="s">
        <v>42</v>
      </c>
      <c r="C154" s="1">
        <f>SUM([1]Art1!C154+[1]Art2!C154+[1]Art3!C154+[1]Art4!C154+[1]Art5!C154+[1]Art6!C154+[1]Art7!C154+[1]Art8!C154+[1]Art9!C154+[1]Art10!C154+[1]Art11!C154+[1]Art12!C154+[1]Art13!C154+[1]Art14!C154+[1]Art15!C154+[1]Art16!C154+[1]Art17!C154+[1]Art18!C154+[1]Art19!C154+[1]Art20!C154+[1]Art21!C154+[1]Art22!C154+[1]Art23!C154+[1]Art24!C154+[1]Art25!C154+[1]Art26!C154+[1]Art27!C154+[1]Art28!C154+[1]Art29!C154+[1]Art30!C154+[1]Art31!C154+[1]Art32!C154+[1]Art33!C154+[1]Art34!C154+[1]Art35!C154+[1]Art36!C154+[1]Art37!C154+[1]Art38!C154+[1]ArtT1!C154+[1]ArtT2!C154)</f>
        <v>36</v>
      </c>
      <c r="D154" s="1">
        <f>SUM([1]Art1!D154+[1]Art2!D154+[1]Art3!D154+[1]Art4!D154+[1]Art5!D154+[1]Art6!D154+[1]Art7!D154+[1]Art8!D154+[1]Art9!D154+[1]Art10!D154+[1]Art11!D154+[1]Art12!D154+[1]Art13!D154+[1]Art14!D154+[1]Art15!D154+[1]Art16!D154+[1]Art17!D154+[1]Art18!D154+[1]Art19!D154+[1]Art20!D154+[1]Art21!D154+[1]Art22!D154+[1]Art23!D154+[1]Art24!D154+[1]Art25!D154+[1]Art26!D154+[1]Art27!D154+[1]Art28!D154+[1]Art29!D154+[1]Art30!D154+[1]Art31!D154+[1]Art32!D154+[1]Art33!D154+[1]Art34!D154+[1]Art35!D154+[1]Art36!D154+[1]Art37!D154+[1]Art38!D154+[1]ArtT1!D154+[1]ArtT2!D154)</f>
        <v>4</v>
      </c>
      <c r="E154" s="1">
        <f>SUM([1]Art1!E154+[1]Art2!E154+[1]Art3!E154+[1]Art4!E154+[1]Art5!E154+[1]Art6!E154+[1]Art7!E154+[1]Art8!E154+[1]Art9!E154+[1]Art10!E154+[1]Art11!E154+[1]Art12!E154+[1]Art13!E154+[1]Art14!E154+[1]Art15!E154+[1]Art16!E154+[1]Art17!E154+[1]Art18!E154+[1]Art19!E154+[1]Art20!E154+[1]Art21!E154+[1]Art22!E154+[1]Art23!E154+[1]Art24!E154+[1]Art25!E154+[1]Art26!E154+[1]Art27!E154+[1]Art28!E154+[1]Art29!E154+[1]Art30!E154+[1]Art31!E154+[1]Art32!E154+[1]Art33!E154+[1]Art34!E154+[1]Art35!E154+[1]Art36!E154+[1]Art37!E154+[1]Art38!E154+[1]ArtT1!E154+[1]ArtT2!E154)</f>
        <v>0</v>
      </c>
      <c r="F154" s="1">
        <f>SUM([1]Art1!F154+[1]Art2!F154+[1]Art3!F154+[1]Art4!F154+[1]Art5!F154+[1]Art6!F154+[1]Art7!F154+[1]Art8!F154+[1]Art9!F154+[1]Art10!F154+[1]Art11!F154+[1]Art12!F154+[1]Art13!F154+[1]Art14!F154+[1]Art15!F154+[1]Art16!F154+[1]Art17!F154+[1]Art18!F154+[1]Art19!F154+[1]Art20!F154+[1]Art21!F154+[1]Art22!F154+[1]Art23!F154+[1]Art24!F154+[1]Art25!F154+[1]Art26!F154+[1]Art27!F154+[1]Art28!F154+[1]Art29!F154+[1]Art30!F154+[1]Art31!F154+[1]Art32!F154+[1]Art33!F154+[1]Art34!F154+[1]Art35!F154+[1]Art36!F154+[1]Art37!F154+[1]Art38!F154+[1]ArtT1!F154+[1]ArtT2!F154)</f>
        <v>0</v>
      </c>
      <c r="H154" s="4"/>
      <c r="I154" s="4"/>
      <c r="J154" s="4"/>
      <c r="K154" s="4"/>
    </row>
    <row r="155" spans="1:11" ht="12.75" customHeight="1" x14ac:dyDescent="0.3">
      <c r="A155" s="1" t="s">
        <v>184</v>
      </c>
      <c r="B155" s="1" t="s">
        <v>19</v>
      </c>
      <c r="C155" s="1">
        <f>SUM([1]Art1!C155+[1]Art2!C155+[1]Art3!C155+[1]Art4!C155+[1]Art5!C155+[1]Art6!C155+[1]Art7!C155+[1]Art8!C155+[1]Art9!C155+[1]Art10!C155+[1]Art11!C155+[1]Art12!C155+[1]Art13!C155+[1]Art14!C155+[1]Art15!C155+[1]Art16!C155+[1]Art17!C155+[1]Art18!C155+[1]Art19!C155+[1]Art20!C155+[1]Art21!C155+[1]Art22!C155+[1]Art23!C155+[1]Art24!C155+[1]Art25!C155+[1]Art26!C155+[1]Art27!C155+[1]Art28!C155+[1]Art29!C155+[1]Art30!C155+[1]Art31!C155+[1]Art32!C155+[1]Art33!C155+[1]Art34!C155+[1]Art35!C155+[1]Art36!C155+[1]Art37!C155+[1]Art38!C155+[1]ArtT1!C155+[1]ArtT2!C155)</f>
        <v>38</v>
      </c>
      <c r="D155" s="1">
        <f>SUM([1]Art1!D155+[1]Art2!D155+[1]Art3!D155+[1]Art4!D155+[1]Art5!D155+[1]Art6!D155+[1]Art7!D155+[1]Art8!D155+[1]Art9!D155+[1]Art10!D155+[1]Art11!D155+[1]Art12!D155+[1]Art13!D155+[1]Art14!D155+[1]Art15!D155+[1]Art16!D155+[1]Art17!D155+[1]Art18!D155+[1]Art19!D155+[1]Art20!D155+[1]Art21!D155+[1]Art22!D155+[1]Art23!D155+[1]Art24!D155+[1]Art25!D155+[1]Art26!D155+[1]Art27!D155+[1]Art28!D155+[1]Art29!D155+[1]Art30!D155+[1]Art31!D155+[1]Art32!D155+[1]Art33!D155+[1]Art34!D155+[1]Art35!D155+[1]Art36!D155+[1]Art37!D155+[1]Art38!D155+[1]ArtT1!D155+[1]ArtT2!D155)</f>
        <v>0</v>
      </c>
      <c r="E155" s="1">
        <f>SUM([1]Art1!E155+[1]Art2!E155+[1]Art3!E155+[1]Art4!E155+[1]Art5!E155+[1]Art6!E155+[1]Art7!E155+[1]Art8!E155+[1]Art9!E155+[1]Art10!E155+[1]Art11!E155+[1]Art12!E155+[1]Art13!E155+[1]Art14!E155+[1]Art15!E155+[1]Art16!E155+[1]Art17!E155+[1]Art18!E155+[1]Art19!E155+[1]Art20!E155+[1]Art21!E155+[1]Art22!E155+[1]Art23!E155+[1]Art24!E155+[1]Art25!E155+[1]Art26!E155+[1]Art27!E155+[1]Art28!E155+[1]Art29!E155+[1]Art30!E155+[1]Art31!E155+[1]Art32!E155+[1]Art33!E155+[1]Art34!E155+[1]Art35!E155+[1]Art36!E155+[1]Art37!E155+[1]Art38!E155+[1]ArtT1!E155+[1]ArtT2!E155)</f>
        <v>0</v>
      </c>
      <c r="F155" s="1">
        <f>SUM([1]Art1!F155+[1]Art2!F155+[1]Art3!F155+[1]Art4!F155+[1]Art5!F155+[1]Art6!F155+[1]Art7!F155+[1]Art8!F155+[1]Art9!F155+[1]Art10!F155+[1]Art11!F155+[1]Art12!F155+[1]Art13!F155+[1]Art14!F155+[1]Art15!F155+[1]Art16!F155+[1]Art17!F155+[1]Art18!F155+[1]Art19!F155+[1]Art20!F155+[1]Art21!F155+[1]Art22!F155+[1]Art23!F155+[1]Art24!F155+[1]Art25!F155+[1]Art26!F155+[1]Art27!F155+[1]Art28!F155+[1]Art29!F155+[1]Art30!F155+[1]Art31!F155+[1]Art32!F155+[1]Art33!F155+[1]Art34!F155+[1]Art35!F155+[1]Art36!F155+[1]Art37!F155+[1]Art38!F155+[1]ArtT1!F155+[1]ArtT2!F155)</f>
        <v>2</v>
      </c>
      <c r="H155" s="4"/>
      <c r="I155" s="4"/>
      <c r="J155" s="4"/>
      <c r="K155" s="4"/>
    </row>
    <row r="156" spans="1:11" ht="12.75" customHeight="1" x14ac:dyDescent="0.3">
      <c r="A156" s="1" t="s">
        <v>185</v>
      </c>
      <c r="B156" s="1" t="s">
        <v>30</v>
      </c>
      <c r="C156" s="1">
        <f>SUM([1]Art1!C156+[1]Art2!C156+[1]Art3!C156+[1]Art4!C156+[1]Art5!C156+[1]Art6!C156+[1]Art7!C156+[1]Art8!C156+[1]Art9!C156+[1]Art10!C156+[1]Art11!C156+[1]Art12!C156+[1]Art13!C156+[1]Art14!C156+[1]Art15!C156+[1]Art16!C156+[1]Art17!C156+[1]Art18!C156+[1]Art19!C156+[1]Art20!C156+[1]Art21!C156+[1]Art22!C156+[1]Art23!C156+[1]Art24!C156+[1]Art25!C156+[1]Art26!C156+[1]Art27!C156+[1]Art28!C156+[1]Art29!C156+[1]Art30!C156+[1]Art31!C156+[1]Art32!C156+[1]Art33!C156+[1]Art34!C156+[1]Art35!C156+[1]Art36!C156+[1]Art37!C156+[1]Art38!C156+[1]ArtT1!C156+[1]ArtT2!C156)</f>
        <v>1</v>
      </c>
      <c r="D156" s="1">
        <f>SUM([1]Art1!D156+[1]Art2!D156+[1]Art3!D156+[1]Art4!D156+[1]Art5!D156+[1]Art6!D156+[1]Art7!D156+[1]Art8!D156+[1]Art9!D156+[1]Art10!D156+[1]Art11!D156+[1]Art12!D156+[1]Art13!D156+[1]Art14!D156+[1]Art15!D156+[1]Art16!D156+[1]Art17!D156+[1]Art18!D156+[1]Art19!D156+[1]Art20!D156+[1]Art21!D156+[1]Art22!D156+[1]Art23!D156+[1]Art24!D156+[1]Art25!D156+[1]Art26!D156+[1]Art27!D156+[1]Art28!D156+[1]Art29!D156+[1]Art30!D156+[1]Art31!D156+[1]Art32!D156+[1]Art33!D156+[1]Art34!D156+[1]Art35!D156+[1]Art36!D156+[1]Art37!D156+[1]Art38!D156+[1]ArtT1!D156+[1]ArtT2!D156)</f>
        <v>30</v>
      </c>
      <c r="E156" s="1">
        <f>SUM([1]Art1!E156+[1]Art2!E156+[1]Art3!E156+[1]Art4!E156+[1]Art5!E156+[1]Art6!E156+[1]Art7!E156+[1]Art8!E156+[1]Art9!E156+[1]Art10!E156+[1]Art11!E156+[1]Art12!E156+[1]Art13!E156+[1]Art14!E156+[1]Art15!E156+[1]Art16!E156+[1]Art17!E156+[1]Art18!E156+[1]Art19!E156+[1]Art20!E156+[1]Art21!E156+[1]Art22!E156+[1]Art23!E156+[1]Art24!E156+[1]Art25!E156+[1]Art26!E156+[1]Art27!E156+[1]Art28!E156+[1]Art29!E156+[1]Art30!E156+[1]Art31!E156+[1]Art32!E156+[1]Art33!E156+[1]Art34!E156+[1]Art35!E156+[1]Art36!E156+[1]Art37!E156+[1]Art38!E156+[1]ArtT1!E156+[1]ArtT2!E156)</f>
        <v>9</v>
      </c>
      <c r="F156" s="1">
        <f>SUM([1]Art1!F156+[1]Art2!F156+[1]Art3!F156+[1]Art4!F156+[1]Art5!F156+[1]Art6!F156+[1]Art7!F156+[1]Art8!F156+[1]Art9!F156+[1]Art10!F156+[1]Art11!F156+[1]Art12!F156+[1]Art13!F156+[1]Art14!F156+[1]Art15!F156+[1]Art16!F156+[1]Art17!F156+[1]Art18!F156+[1]Art19!F156+[1]Art20!F156+[1]Art21!F156+[1]Art22!F156+[1]Art23!F156+[1]Art24!F156+[1]Art25!F156+[1]Art26!F156+[1]Art27!F156+[1]Art28!F156+[1]Art29!F156+[1]Art30!F156+[1]Art31!F156+[1]Art32!F156+[1]Art33!F156+[1]Art34!F156+[1]Art35!F156+[1]Art36!F156+[1]Art37!F156+[1]Art38!F156+[1]ArtT1!F156+[1]ArtT2!F156)</f>
        <v>0</v>
      </c>
      <c r="H156" s="4"/>
      <c r="I156" s="4"/>
      <c r="J156" s="4"/>
      <c r="K156" s="4"/>
    </row>
    <row r="157" spans="1:11" ht="12.75" customHeight="1" x14ac:dyDescent="0.3"/>
    <row r="158" spans="1:11" ht="12.75" customHeight="1" x14ac:dyDescent="0.3"/>
    <row r="159" spans="1:11" ht="12.75" customHeight="1" x14ac:dyDescent="0.3"/>
    <row r="160" spans="1:11" ht="13" x14ac:dyDescent="0.3"/>
    <row r="161" ht="13" x14ac:dyDescent="0.3"/>
    <row r="162" ht="13" x14ac:dyDescent="0.3"/>
    <row r="163" ht="13" x14ac:dyDescent="0.3"/>
    <row r="164" ht="13" x14ac:dyDescent="0.3"/>
    <row r="165" ht="13" x14ac:dyDescent="0.3"/>
    <row r="166" ht="13" x14ac:dyDescent="0.3"/>
    <row r="167" ht="13" x14ac:dyDescent="0.3"/>
    <row r="168" ht="13" x14ac:dyDescent="0.3"/>
    <row r="169" ht="13" x14ac:dyDescent="0.3"/>
    <row r="170" ht="13" x14ac:dyDescent="0.3"/>
    <row r="171" ht="13" x14ac:dyDescent="0.3"/>
    <row r="172" ht="13" x14ac:dyDescent="0.3"/>
    <row r="173" ht="13" x14ac:dyDescent="0.3"/>
    <row r="174" ht="13" x14ac:dyDescent="0.3"/>
    <row r="175" ht="13" x14ac:dyDescent="0.3"/>
    <row r="176" ht="13" x14ac:dyDescent="0.3"/>
    <row r="177" ht="13" x14ac:dyDescent="0.3"/>
    <row r="178" ht="13" x14ac:dyDescent="0.3"/>
    <row r="179" ht="13" x14ac:dyDescent="0.3"/>
    <row r="180" ht="13" x14ac:dyDescent="0.3"/>
    <row r="181" ht="13" x14ac:dyDescent="0.3"/>
    <row r="182" ht="13" x14ac:dyDescent="0.3"/>
    <row r="183" ht="13" x14ac:dyDescent="0.3"/>
    <row r="184" ht="13" x14ac:dyDescent="0.3"/>
    <row r="185" ht="13" x14ac:dyDescent="0.3"/>
    <row r="186" ht="13" x14ac:dyDescent="0.3"/>
    <row r="187" ht="13" x14ac:dyDescent="0.3"/>
    <row r="188" ht="13" x14ac:dyDescent="0.3"/>
    <row r="189" ht="13" x14ac:dyDescent="0.3"/>
    <row r="190" ht="13" x14ac:dyDescent="0.3"/>
    <row r="191" ht="13" x14ac:dyDescent="0.3"/>
    <row r="192" ht="13" x14ac:dyDescent="0.3"/>
    <row r="193" ht="13" x14ac:dyDescent="0.3"/>
    <row r="194" ht="13" x14ac:dyDescent="0.3"/>
    <row r="195" ht="13" x14ac:dyDescent="0.3"/>
    <row r="196" ht="13" x14ac:dyDescent="0.3"/>
    <row r="197" ht="13" x14ac:dyDescent="0.3"/>
    <row r="198" ht="13" x14ac:dyDescent="0.3"/>
    <row r="199" ht="13" x14ac:dyDescent="0.3"/>
    <row r="200" ht="13" x14ac:dyDescent="0.3"/>
    <row r="201" ht="13" x14ac:dyDescent="0.3"/>
    <row r="202" ht="13" x14ac:dyDescent="0.3"/>
    <row r="203" ht="13" x14ac:dyDescent="0.3"/>
    <row r="204" ht="13" x14ac:dyDescent="0.3"/>
    <row r="205" ht="13" x14ac:dyDescent="0.3"/>
    <row r="206" ht="13" x14ac:dyDescent="0.3"/>
    <row r="207" ht="13" x14ac:dyDescent="0.3"/>
    <row r="208" ht="13" x14ac:dyDescent="0.3"/>
    <row r="209" ht="13" x14ac:dyDescent="0.3"/>
    <row r="210" ht="13" x14ac:dyDescent="0.3"/>
    <row r="211" ht="13" x14ac:dyDescent="0.3"/>
    <row r="212" ht="13" x14ac:dyDescent="0.3"/>
    <row r="213" ht="13" x14ac:dyDescent="0.3"/>
    <row r="214" ht="13" x14ac:dyDescent="0.3"/>
    <row r="215" ht="13" x14ac:dyDescent="0.3"/>
    <row r="216" ht="13" x14ac:dyDescent="0.3"/>
    <row r="217" ht="13" x14ac:dyDescent="0.3"/>
    <row r="218" ht="13" x14ac:dyDescent="0.3"/>
    <row r="219" ht="13" x14ac:dyDescent="0.3"/>
    <row r="220" ht="13" x14ac:dyDescent="0.3"/>
    <row r="221" ht="13" x14ac:dyDescent="0.3"/>
    <row r="222" ht="13" x14ac:dyDescent="0.3"/>
    <row r="223" ht="13" x14ac:dyDescent="0.3"/>
    <row r="224" ht="13" x14ac:dyDescent="0.3"/>
    <row r="225" ht="13" x14ac:dyDescent="0.3"/>
    <row r="226" ht="13" x14ac:dyDescent="0.3"/>
    <row r="227" ht="13" x14ac:dyDescent="0.3"/>
    <row r="228" ht="13" x14ac:dyDescent="0.3"/>
    <row r="229" ht="13" x14ac:dyDescent="0.3"/>
    <row r="230" ht="13" x14ac:dyDescent="0.3"/>
    <row r="231" ht="13" x14ac:dyDescent="0.3"/>
    <row r="232" ht="13" x14ac:dyDescent="0.3"/>
    <row r="233" ht="13" x14ac:dyDescent="0.3"/>
    <row r="234" ht="13" x14ac:dyDescent="0.3"/>
    <row r="235" ht="13" x14ac:dyDescent="0.3"/>
    <row r="236" ht="13" x14ac:dyDescent="0.3"/>
    <row r="237" ht="13" x14ac:dyDescent="0.3"/>
    <row r="238" ht="13" x14ac:dyDescent="0.3"/>
    <row r="239" ht="13" x14ac:dyDescent="0.3"/>
    <row r="240" ht="13" x14ac:dyDescent="0.3"/>
    <row r="241" ht="13" x14ac:dyDescent="0.3"/>
    <row r="242" ht="13" x14ac:dyDescent="0.3"/>
    <row r="243" ht="13" x14ac:dyDescent="0.3"/>
    <row r="244" ht="13" x14ac:dyDescent="0.3"/>
    <row r="245" ht="13" x14ac:dyDescent="0.3"/>
    <row r="246" ht="13" x14ac:dyDescent="0.3"/>
    <row r="247" ht="13" x14ac:dyDescent="0.3"/>
    <row r="248" ht="13" x14ac:dyDescent="0.3"/>
    <row r="249" ht="13" x14ac:dyDescent="0.3"/>
    <row r="250" ht="13" x14ac:dyDescent="0.3"/>
    <row r="251" ht="13" x14ac:dyDescent="0.3"/>
    <row r="252" ht="13" x14ac:dyDescent="0.3"/>
    <row r="253" ht="13" x14ac:dyDescent="0.3"/>
    <row r="254" ht="13" x14ac:dyDescent="0.3"/>
    <row r="255" ht="13" x14ac:dyDescent="0.3"/>
    <row r="256" ht="13" x14ac:dyDescent="0.3"/>
    <row r="257" ht="13" x14ac:dyDescent="0.3"/>
    <row r="258" ht="13" x14ac:dyDescent="0.3"/>
    <row r="259" ht="13" x14ac:dyDescent="0.3"/>
    <row r="260" ht="13" x14ac:dyDescent="0.3"/>
    <row r="261" ht="13" x14ac:dyDescent="0.3"/>
    <row r="262" ht="13" x14ac:dyDescent="0.3"/>
    <row r="263" ht="13" x14ac:dyDescent="0.3"/>
    <row r="264" ht="13" x14ac:dyDescent="0.3"/>
    <row r="265" ht="13" x14ac:dyDescent="0.3"/>
    <row r="266" ht="13" x14ac:dyDescent="0.3"/>
    <row r="267" ht="13" x14ac:dyDescent="0.3"/>
    <row r="268" ht="13" x14ac:dyDescent="0.3"/>
    <row r="269" ht="13" x14ac:dyDescent="0.3"/>
    <row r="270" ht="13" x14ac:dyDescent="0.3"/>
    <row r="271" ht="13" x14ac:dyDescent="0.3"/>
    <row r="272" ht="13" x14ac:dyDescent="0.3"/>
    <row r="273" ht="13" x14ac:dyDescent="0.3"/>
    <row r="274" ht="13" x14ac:dyDescent="0.3"/>
    <row r="275" ht="13" x14ac:dyDescent="0.3"/>
    <row r="276" ht="13" x14ac:dyDescent="0.3"/>
    <row r="277" ht="13" x14ac:dyDescent="0.3"/>
    <row r="278" ht="13" x14ac:dyDescent="0.3"/>
    <row r="279" ht="13" x14ac:dyDescent="0.3"/>
    <row r="280" ht="13" x14ac:dyDescent="0.3"/>
    <row r="281" ht="13" x14ac:dyDescent="0.3"/>
    <row r="282" ht="13" x14ac:dyDescent="0.3"/>
    <row r="283" ht="13" x14ac:dyDescent="0.3"/>
    <row r="284" ht="13" x14ac:dyDescent="0.3"/>
    <row r="285" ht="13" x14ac:dyDescent="0.3"/>
    <row r="286" ht="13" x14ac:dyDescent="0.3"/>
    <row r="287" ht="13" x14ac:dyDescent="0.3"/>
    <row r="288" ht="13" x14ac:dyDescent="0.3"/>
    <row r="289" ht="13" x14ac:dyDescent="0.3"/>
    <row r="290" ht="13" x14ac:dyDescent="0.3"/>
    <row r="291" ht="13" x14ac:dyDescent="0.3"/>
    <row r="292" ht="13" x14ac:dyDescent="0.3"/>
    <row r="293" ht="13" x14ac:dyDescent="0.3"/>
    <row r="294" ht="13" x14ac:dyDescent="0.3"/>
    <row r="295" ht="13" x14ac:dyDescent="0.3"/>
    <row r="296" ht="13" x14ac:dyDescent="0.3"/>
    <row r="297" ht="13" x14ac:dyDescent="0.3"/>
    <row r="298" ht="13" x14ac:dyDescent="0.3"/>
    <row r="299" ht="13" x14ac:dyDescent="0.3"/>
    <row r="300" ht="13" x14ac:dyDescent="0.3"/>
    <row r="301" ht="13" x14ac:dyDescent="0.3"/>
    <row r="302" ht="13" x14ac:dyDescent="0.3"/>
    <row r="303" ht="13" x14ac:dyDescent="0.3"/>
    <row r="304" ht="13" x14ac:dyDescent="0.3"/>
    <row r="305" ht="13" x14ac:dyDescent="0.3"/>
    <row r="306" ht="13" x14ac:dyDescent="0.3"/>
    <row r="307" ht="13" x14ac:dyDescent="0.3"/>
    <row r="308" ht="13" x14ac:dyDescent="0.3"/>
    <row r="309" ht="13" x14ac:dyDescent="0.3"/>
    <row r="310" ht="13" x14ac:dyDescent="0.3"/>
    <row r="311" ht="13" x14ac:dyDescent="0.3"/>
    <row r="312" ht="13" x14ac:dyDescent="0.3"/>
    <row r="313" ht="13" x14ac:dyDescent="0.3"/>
    <row r="314" ht="13" x14ac:dyDescent="0.3"/>
    <row r="315" ht="13" x14ac:dyDescent="0.3"/>
    <row r="316" ht="13" x14ac:dyDescent="0.3"/>
    <row r="317" ht="13" x14ac:dyDescent="0.3"/>
    <row r="318" ht="13" x14ac:dyDescent="0.3"/>
    <row r="319" ht="13" x14ac:dyDescent="0.3"/>
    <row r="320" ht="13" x14ac:dyDescent="0.3"/>
    <row r="321" ht="13" x14ac:dyDescent="0.3"/>
    <row r="322" ht="13" x14ac:dyDescent="0.3"/>
    <row r="323" ht="13" x14ac:dyDescent="0.3"/>
    <row r="324" ht="13" x14ac:dyDescent="0.3"/>
    <row r="325" ht="13" x14ac:dyDescent="0.3"/>
    <row r="326" ht="13" x14ac:dyDescent="0.3"/>
    <row r="327" ht="13" x14ac:dyDescent="0.3"/>
    <row r="328" ht="13" x14ac:dyDescent="0.3"/>
    <row r="329" ht="13" x14ac:dyDescent="0.3"/>
    <row r="330" ht="13" x14ac:dyDescent="0.3"/>
    <row r="331" ht="13" x14ac:dyDescent="0.3"/>
    <row r="332" ht="13" x14ac:dyDescent="0.3"/>
    <row r="333" ht="13" x14ac:dyDescent="0.3"/>
    <row r="334" ht="13" x14ac:dyDescent="0.3"/>
    <row r="335" ht="13" x14ac:dyDescent="0.3"/>
    <row r="336" ht="13" x14ac:dyDescent="0.3"/>
    <row r="337" ht="13" x14ac:dyDescent="0.3"/>
    <row r="338" ht="13" x14ac:dyDescent="0.3"/>
    <row r="339" ht="13" x14ac:dyDescent="0.3"/>
    <row r="340" ht="13" x14ac:dyDescent="0.3"/>
    <row r="341" ht="13" x14ac:dyDescent="0.3"/>
    <row r="342" ht="13" x14ac:dyDescent="0.3"/>
    <row r="343" ht="13" x14ac:dyDescent="0.3"/>
    <row r="344" ht="13" x14ac:dyDescent="0.3"/>
    <row r="345" ht="13" x14ac:dyDescent="0.3"/>
    <row r="346" ht="13" x14ac:dyDescent="0.3"/>
    <row r="347" ht="13" x14ac:dyDescent="0.3"/>
    <row r="348" ht="13" x14ac:dyDescent="0.3"/>
    <row r="349" ht="13" x14ac:dyDescent="0.3"/>
    <row r="350" ht="13" x14ac:dyDescent="0.3"/>
    <row r="351" ht="13" x14ac:dyDescent="0.3"/>
    <row r="352" ht="13" x14ac:dyDescent="0.3"/>
    <row r="353" ht="13" x14ac:dyDescent="0.3"/>
    <row r="354" ht="13" x14ac:dyDescent="0.3"/>
    <row r="355" ht="13" x14ac:dyDescent="0.3"/>
    <row r="356" ht="13" x14ac:dyDescent="0.3"/>
    <row r="357" ht="13" x14ac:dyDescent="0.3"/>
    <row r="358" ht="13" x14ac:dyDescent="0.3"/>
    <row r="359" ht="13" x14ac:dyDescent="0.3"/>
    <row r="360" ht="13" x14ac:dyDescent="0.3"/>
    <row r="361" ht="13" x14ac:dyDescent="0.3"/>
    <row r="362" ht="13" x14ac:dyDescent="0.3"/>
    <row r="363" ht="13" x14ac:dyDescent="0.3"/>
    <row r="364" ht="13" x14ac:dyDescent="0.3"/>
    <row r="365" ht="13" x14ac:dyDescent="0.3"/>
    <row r="366" ht="13" x14ac:dyDescent="0.3"/>
    <row r="367" ht="13" x14ac:dyDescent="0.3"/>
    <row r="368" ht="13" x14ac:dyDescent="0.3"/>
    <row r="369" ht="13" x14ac:dyDescent="0.3"/>
    <row r="370" ht="13" x14ac:dyDescent="0.3"/>
    <row r="371" ht="13" x14ac:dyDescent="0.3"/>
    <row r="372" ht="13" x14ac:dyDescent="0.3"/>
    <row r="373" ht="13" x14ac:dyDescent="0.3"/>
    <row r="374" ht="13" x14ac:dyDescent="0.3"/>
    <row r="375" ht="13" x14ac:dyDescent="0.3"/>
    <row r="376" ht="13" x14ac:dyDescent="0.3"/>
    <row r="377" ht="13" x14ac:dyDescent="0.3"/>
    <row r="378" ht="13" x14ac:dyDescent="0.3"/>
    <row r="379" ht="13" x14ac:dyDescent="0.3"/>
    <row r="380" ht="13" x14ac:dyDescent="0.3"/>
    <row r="381" ht="13" x14ac:dyDescent="0.3"/>
    <row r="382" ht="13" x14ac:dyDescent="0.3"/>
    <row r="383" ht="13" x14ac:dyDescent="0.3"/>
    <row r="384" ht="13" x14ac:dyDescent="0.3"/>
    <row r="385" ht="13" x14ac:dyDescent="0.3"/>
    <row r="386" ht="13" x14ac:dyDescent="0.3"/>
    <row r="387" ht="13" x14ac:dyDescent="0.3"/>
    <row r="388" ht="13" x14ac:dyDescent="0.3"/>
    <row r="389" ht="13" x14ac:dyDescent="0.3"/>
    <row r="390" ht="13" x14ac:dyDescent="0.3"/>
    <row r="391" ht="13" x14ac:dyDescent="0.3"/>
    <row r="392" ht="13" x14ac:dyDescent="0.3"/>
    <row r="393" ht="13" x14ac:dyDescent="0.3"/>
    <row r="394" ht="13" x14ac:dyDescent="0.3"/>
    <row r="395" ht="13" x14ac:dyDescent="0.3"/>
    <row r="396" ht="13" x14ac:dyDescent="0.3"/>
    <row r="397" ht="13" x14ac:dyDescent="0.3"/>
    <row r="398" ht="13" x14ac:dyDescent="0.3"/>
    <row r="399" ht="13" x14ac:dyDescent="0.3"/>
    <row r="400" ht="13" x14ac:dyDescent="0.3"/>
    <row r="401" ht="13" x14ac:dyDescent="0.3"/>
    <row r="402" ht="13" x14ac:dyDescent="0.3"/>
    <row r="403" ht="13" x14ac:dyDescent="0.3"/>
    <row r="404" ht="13" x14ac:dyDescent="0.3"/>
    <row r="405" ht="13" x14ac:dyDescent="0.3"/>
    <row r="406" ht="13" x14ac:dyDescent="0.3"/>
    <row r="407" ht="13" x14ac:dyDescent="0.3"/>
    <row r="408" ht="13" x14ac:dyDescent="0.3"/>
    <row r="409" ht="13" x14ac:dyDescent="0.3"/>
    <row r="410" ht="13" x14ac:dyDescent="0.3"/>
    <row r="411" ht="13" x14ac:dyDescent="0.3"/>
    <row r="412" ht="13" x14ac:dyDescent="0.3"/>
    <row r="413" ht="13" x14ac:dyDescent="0.3"/>
    <row r="414" ht="13" x14ac:dyDescent="0.3"/>
    <row r="415" ht="13" x14ac:dyDescent="0.3"/>
    <row r="416" ht="13" x14ac:dyDescent="0.3"/>
    <row r="417" ht="13" x14ac:dyDescent="0.3"/>
    <row r="418" ht="13" x14ac:dyDescent="0.3"/>
    <row r="419" ht="13" x14ac:dyDescent="0.3"/>
    <row r="420" ht="13" x14ac:dyDescent="0.3"/>
    <row r="421" ht="13" x14ac:dyDescent="0.3"/>
    <row r="422" ht="13" x14ac:dyDescent="0.3"/>
    <row r="423" ht="13" x14ac:dyDescent="0.3"/>
    <row r="424" ht="13" x14ac:dyDescent="0.3"/>
    <row r="425" ht="13" x14ac:dyDescent="0.3"/>
    <row r="426" ht="13" x14ac:dyDescent="0.3"/>
    <row r="427" ht="13" x14ac:dyDescent="0.3"/>
    <row r="428" ht="13" x14ac:dyDescent="0.3"/>
    <row r="429" ht="13" x14ac:dyDescent="0.3"/>
    <row r="430" ht="13" x14ac:dyDescent="0.3"/>
    <row r="431" ht="13" x14ac:dyDescent="0.3"/>
    <row r="432" ht="13" x14ac:dyDescent="0.3"/>
    <row r="433" ht="13" x14ac:dyDescent="0.3"/>
    <row r="434" ht="13" x14ac:dyDescent="0.3"/>
    <row r="435" ht="13" x14ac:dyDescent="0.3"/>
    <row r="436" ht="13" x14ac:dyDescent="0.3"/>
    <row r="437" ht="13" x14ac:dyDescent="0.3"/>
    <row r="438" ht="13" x14ac:dyDescent="0.3"/>
    <row r="439" ht="13" x14ac:dyDescent="0.3"/>
    <row r="440" ht="13" x14ac:dyDescent="0.3"/>
    <row r="441" ht="13" x14ac:dyDescent="0.3"/>
    <row r="442" ht="13" x14ac:dyDescent="0.3"/>
    <row r="443" ht="13" x14ac:dyDescent="0.3"/>
    <row r="444" ht="13" x14ac:dyDescent="0.3"/>
    <row r="445" ht="13" x14ac:dyDescent="0.3"/>
    <row r="446" ht="13" x14ac:dyDescent="0.3"/>
    <row r="447" ht="13" x14ac:dyDescent="0.3"/>
    <row r="448" ht="13" x14ac:dyDescent="0.3"/>
    <row r="449" ht="13" x14ac:dyDescent="0.3"/>
    <row r="450" ht="13" x14ac:dyDescent="0.3"/>
    <row r="451" ht="13" x14ac:dyDescent="0.3"/>
    <row r="452" ht="13" x14ac:dyDescent="0.3"/>
    <row r="453" ht="13" x14ac:dyDescent="0.3"/>
    <row r="454" ht="13" x14ac:dyDescent="0.3"/>
    <row r="455" ht="13" x14ac:dyDescent="0.3"/>
    <row r="456" ht="13" x14ac:dyDescent="0.3"/>
    <row r="457" ht="13" x14ac:dyDescent="0.3"/>
    <row r="458" ht="13" x14ac:dyDescent="0.3"/>
    <row r="459" ht="13" x14ac:dyDescent="0.3"/>
    <row r="460" ht="13" x14ac:dyDescent="0.3"/>
    <row r="461" ht="13" x14ac:dyDescent="0.3"/>
    <row r="462" ht="13" x14ac:dyDescent="0.3"/>
    <row r="463" ht="13" x14ac:dyDescent="0.3"/>
    <row r="464" ht="13" x14ac:dyDescent="0.3"/>
    <row r="465" ht="13" x14ac:dyDescent="0.3"/>
    <row r="466" ht="13" x14ac:dyDescent="0.3"/>
    <row r="467" ht="13" x14ac:dyDescent="0.3"/>
    <row r="468" ht="13" x14ac:dyDescent="0.3"/>
    <row r="469" ht="13" x14ac:dyDescent="0.3"/>
    <row r="470" ht="13" x14ac:dyDescent="0.3"/>
    <row r="471" ht="13" x14ac:dyDescent="0.3"/>
    <row r="472" ht="13" x14ac:dyDescent="0.3"/>
    <row r="473" ht="13" x14ac:dyDescent="0.3"/>
    <row r="474" ht="13" x14ac:dyDescent="0.3"/>
    <row r="475" ht="13" x14ac:dyDescent="0.3"/>
    <row r="476" ht="13" x14ac:dyDescent="0.3"/>
    <row r="477" ht="13" x14ac:dyDescent="0.3"/>
    <row r="478" ht="13" x14ac:dyDescent="0.3"/>
    <row r="479" ht="13" x14ac:dyDescent="0.3"/>
    <row r="480" ht="13" x14ac:dyDescent="0.3"/>
    <row r="481" ht="13" x14ac:dyDescent="0.3"/>
    <row r="482" ht="13" x14ac:dyDescent="0.3"/>
    <row r="483" ht="13" x14ac:dyDescent="0.3"/>
    <row r="484" ht="13" x14ac:dyDescent="0.3"/>
    <row r="485" ht="13" x14ac:dyDescent="0.3"/>
    <row r="486" ht="13" x14ac:dyDescent="0.3"/>
    <row r="487" ht="13" x14ac:dyDescent="0.3"/>
    <row r="488" ht="13" x14ac:dyDescent="0.3"/>
    <row r="489" ht="13" x14ac:dyDescent="0.3"/>
    <row r="490" ht="13" x14ac:dyDescent="0.3"/>
    <row r="491" ht="13" x14ac:dyDescent="0.3"/>
    <row r="492" ht="13" x14ac:dyDescent="0.3"/>
    <row r="493" ht="13" x14ac:dyDescent="0.3"/>
    <row r="494" ht="13" x14ac:dyDescent="0.3"/>
    <row r="495" ht="13" x14ac:dyDescent="0.3"/>
    <row r="496" ht="13" x14ac:dyDescent="0.3"/>
    <row r="497" ht="13" x14ac:dyDescent="0.3"/>
    <row r="498" ht="13" x14ac:dyDescent="0.3"/>
    <row r="499" ht="13" x14ac:dyDescent="0.3"/>
    <row r="500" ht="13" x14ac:dyDescent="0.3"/>
    <row r="501" ht="13" x14ac:dyDescent="0.3"/>
    <row r="502" ht="13" x14ac:dyDescent="0.3"/>
    <row r="503" ht="13" x14ac:dyDescent="0.3"/>
    <row r="504" ht="13" x14ac:dyDescent="0.3"/>
    <row r="505" ht="13" x14ac:dyDescent="0.3"/>
    <row r="506" ht="13" x14ac:dyDescent="0.3"/>
    <row r="507" ht="13" x14ac:dyDescent="0.3"/>
    <row r="508" ht="13" x14ac:dyDescent="0.3"/>
    <row r="509" ht="13" x14ac:dyDescent="0.3"/>
    <row r="510" ht="13" x14ac:dyDescent="0.3"/>
    <row r="511" ht="13" x14ac:dyDescent="0.3"/>
    <row r="512" ht="13" x14ac:dyDescent="0.3"/>
    <row r="513" ht="13" x14ac:dyDescent="0.3"/>
    <row r="514" ht="13" x14ac:dyDescent="0.3"/>
    <row r="515" ht="13" x14ac:dyDescent="0.3"/>
    <row r="516" ht="13" x14ac:dyDescent="0.3"/>
    <row r="517" ht="13" x14ac:dyDescent="0.3"/>
    <row r="518" ht="13" x14ac:dyDescent="0.3"/>
    <row r="519" ht="13" x14ac:dyDescent="0.3"/>
    <row r="520" ht="13" x14ac:dyDescent="0.3"/>
    <row r="521" ht="13" x14ac:dyDescent="0.3"/>
    <row r="522" ht="13" x14ac:dyDescent="0.3"/>
    <row r="523" ht="13" x14ac:dyDescent="0.3"/>
    <row r="524" ht="13" x14ac:dyDescent="0.3"/>
    <row r="525" ht="13" x14ac:dyDescent="0.3"/>
    <row r="526" ht="13" x14ac:dyDescent="0.3"/>
    <row r="527" ht="13" x14ac:dyDescent="0.3"/>
    <row r="528" ht="13" x14ac:dyDescent="0.3"/>
    <row r="529" ht="13" x14ac:dyDescent="0.3"/>
    <row r="530" ht="13" x14ac:dyDescent="0.3"/>
    <row r="531" ht="13" x14ac:dyDescent="0.3"/>
    <row r="532" ht="13" x14ac:dyDescent="0.3"/>
    <row r="533" ht="13" x14ac:dyDescent="0.3"/>
    <row r="534" ht="13" x14ac:dyDescent="0.3"/>
    <row r="535" ht="13" x14ac:dyDescent="0.3"/>
    <row r="536" ht="13" x14ac:dyDescent="0.3"/>
    <row r="537" ht="13" x14ac:dyDescent="0.3"/>
    <row r="538" ht="13" x14ac:dyDescent="0.3"/>
    <row r="539" ht="13" x14ac:dyDescent="0.3"/>
    <row r="540" ht="13" x14ac:dyDescent="0.3"/>
    <row r="541" ht="13" x14ac:dyDescent="0.3"/>
    <row r="542" ht="13" x14ac:dyDescent="0.3"/>
    <row r="543" ht="13" x14ac:dyDescent="0.3"/>
    <row r="544" ht="13" x14ac:dyDescent="0.3"/>
    <row r="545" ht="13" x14ac:dyDescent="0.3"/>
    <row r="546" ht="13" x14ac:dyDescent="0.3"/>
    <row r="547" ht="13" x14ac:dyDescent="0.3"/>
    <row r="548" ht="13" x14ac:dyDescent="0.3"/>
    <row r="549" ht="13" x14ac:dyDescent="0.3"/>
    <row r="550" ht="13" x14ac:dyDescent="0.3"/>
    <row r="551" ht="13" x14ac:dyDescent="0.3"/>
    <row r="552" ht="13" x14ac:dyDescent="0.3"/>
    <row r="553" ht="13" x14ac:dyDescent="0.3"/>
    <row r="554" ht="13" x14ac:dyDescent="0.3"/>
    <row r="555" ht="13" x14ac:dyDescent="0.3"/>
    <row r="556" ht="13" x14ac:dyDescent="0.3"/>
    <row r="557" ht="13" x14ac:dyDescent="0.3"/>
    <row r="558" ht="13" x14ac:dyDescent="0.3"/>
    <row r="559" ht="13" x14ac:dyDescent="0.3"/>
    <row r="560" ht="13" x14ac:dyDescent="0.3"/>
    <row r="561" ht="13" x14ac:dyDescent="0.3"/>
    <row r="562" ht="13" x14ac:dyDescent="0.3"/>
    <row r="563" ht="13" x14ac:dyDescent="0.3"/>
    <row r="564" ht="13" x14ac:dyDescent="0.3"/>
    <row r="565" ht="13" x14ac:dyDescent="0.3"/>
    <row r="566" ht="13" x14ac:dyDescent="0.3"/>
    <row r="567" ht="13" x14ac:dyDescent="0.3"/>
    <row r="568" ht="13" x14ac:dyDescent="0.3"/>
    <row r="569" ht="13" x14ac:dyDescent="0.3"/>
    <row r="570" ht="13" x14ac:dyDescent="0.3"/>
    <row r="571" ht="13" x14ac:dyDescent="0.3"/>
    <row r="572" ht="13" x14ac:dyDescent="0.3"/>
    <row r="573" ht="13" x14ac:dyDescent="0.3"/>
    <row r="574" ht="13" x14ac:dyDescent="0.3"/>
    <row r="575" ht="13" x14ac:dyDescent="0.3"/>
    <row r="576" ht="13" x14ac:dyDescent="0.3"/>
    <row r="577" ht="13" x14ac:dyDescent="0.3"/>
    <row r="578" ht="13" x14ac:dyDescent="0.3"/>
    <row r="579" ht="13" x14ac:dyDescent="0.3"/>
    <row r="580" ht="13" x14ac:dyDescent="0.3"/>
    <row r="581" ht="13" x14ac:dyDescent="0.3"/>
    <row r="582" ht="13" x14ac:dyDescent="0.3"/>
    <row r="583" ht="13" x14ac:dyDescent="0.3"/>
    <row r="584" ht="13" x14ac:dyDescent="0.3"/>
    <row r="585" ht="13" x14ac:dyDescent="0.3"/>
    <row r="586" ht="13" x14ac:dyDescent="0.3"/>
    <row r="587" ht="13" x14ac:dyDescent="0.3"/>
    <row r="588" ht="13" x14ac:dyDescent="0.3"/>
    <row r="589" ht="13" x14ac:dyDescent="0.3"/>
    <row r="590" ht="13" x14ac:dyDescent="0.3"/>
    <row r="591" ht="13" x14ac:dyDescent="0.3"/>
    <row r="592" ht="13" x14ac:dyDescent="0.3"/>
    <row r="593" ht="13" x14ac:dyDescent="0.3"/>
    <row r="594" ht="13" x14ac:dyDescent="0.3"/>
    <row r="595" ht="13" x14ac:dyDescent="0.3"/>
    <row r="596" ht="13" x14ac:dyDescent="0.3"/>
    <row r="597" ht="13" x14ac:dyDescent="0.3"/>
    <row r="598" ht="13" x14ac:dyDescent="0.3"/>
    <row r="599" ht="13" x14ac:dyDescent="0.3"/>
    <row r="600" ht="13" x14ac:dyDescent="0.3"/>
    <row r="601" ht="13" x14ac:dyDescent="0.3"/>
    <row r="602" ht="13" x14ac:dyDescent="0.3"/>
    <row r="603" ht="13" x14ac:dyDescent="0.3"/>
    <row r="604" ht="13" x14ac:dyDescent="0.3"/>
    <row r="605" ht="13" x14ac:dyDescent="0.3"/>
    <row r="606" ht="13" x14ac:dyDescent="0.3"/>
    <row r="607" ht="13" x14ac:dyDescent="0.3"/>
    <row r="608" ht="13" x14ac:dyDescent="0.3"/>
    <row r="609" ht="13" x14ac:dyDescent="0.3"/>
    <row r="610" ht="13" x14ac:dyDescent="0.3"/>
    <row r="611" ht="13" x14ac:dyDescent="0.3"/>
    <row r="612" ht="13" x14ac:dyDescent="0.3"/>
    <row r="613" ht="13" x14ac:dyDescent="0.3"/>
    <row r="614" ht="13" x14ac:dyDescent="0.3"/>
    <row r="615" ht="13" x14ac:dyDescent="0.3"/>
    <row r="616" ht="13" x14ac:dyDescent="0.3"/>
    <row r="617" ht="13" x14ac:dyDescent="0.3"/>
    <row r="618" ht="13" x14ac:dyDescent="0.3"/>
    <row r="619" ht="13" x14ac:dyDescent="0.3"/>
    <row r="620" ht="13" x14ac:dyDescent="0.3"/>
    <row r="621" ht="13" x14ac:dyDescent="0.3"/>
    <row r="622" ht="13" x14ac:dyDescent="0.3"/>
    <row r="623" ht="13" x14ac:dyDescent="0.3"/>
    <row r="624" ht="13" x14ac:dyDescent="0.3"/>
    <row r="625" ht="13" x14ac:dyDescent="0.3"/>
    <row r="626" ht="13" x14ac:dyDescent="0.3"/>
    <row r="627" ht="13" x14ac:dyDescent="0.3"/>
    <row r="628" ht="13" x14ac:dyDescent="0.3"/>
    <row r="629" ht="13" x14ac:dyDescent="0.3"/>
    <row r="630" ht="13" x14ac:dyDescent="0.3"/>
    <row r="631" ht="13" x14ac:dyDescent="0.3"/>
    <row r="632" ht="13" x14ac:dyDescent="0.3"/>
    <row r="633" ht="13" x14ac:dyDescent="0.3"/>
    <row r="634" ht="13" x14ac:dyDescent="0.3"/>
    <row r="635" ht="13" x14ac:dyDescent="0.3"/>
    <row r="636" ht="13" x14ac:dyDescent="0.3"/>
    <row r="637" ht="13" x14ac:dyDescent="0.3"/>
    <row r="638" ht="13" x14ac:dyDescent="0.3"/>
    <row r="639" ht="13" x14ac:dyDescent="0.3"/>
    <row r="640" ht="13" x14ac:dyDescent="0.3"/>
    <row r="641" ht="13" x14ac:dyDescent="0.3"/>
    <row r="642" ht="13" x14ac:dyDescent="0.3"/>
    <row r="643" ht="13" x14ac:dyDescent="0.3"/>
    <row r="644" ht="13" x14ac:dyDescent="0.3"/>
    <row r="645" ht="13" x14ac:dyDescent="0.3"/>
    <row r="646" ht="13" x14ac:dyDescent="0.3"/>
    <row r="647" ht="13" x14ac:dyDescent="0.3"/>
    <row r="648" ht="13" x14ac:dyDescent="0.3"/>
    <row r="649" ht="13" x14ac:dyDescent="0.3"/>
    <row r="650" ht="13" x14ac:dyDescent="0.3"/>
    <row r="651" ht="13" x14ac:dyDescent="0.3"/>
    <row r="652" ht="13" x14ac:dyDescent="0.3"/>
    <row r="653" ht="13" x14ac:dyDescent="0.3"/>
    <row r="654" ht="13" x14ac:dyDescent="0.3"/>
    <row r="655" ht="13" x14ac:dyDescent="0.3"/>
    <row r="656" ht="13" x14ac:dyDescent="0.3"/>
    <row r="657" ht="13" x14ac:dyDescent="0.3"/>
    <row r="658" ht="13" x14ac:dyDescent="0.3"/>
    <row r="659" ht="13" x14ac:dyDescent="0.3"/>
    <row r="660" ht="13" x14ac:dyDescent="0.3"/>
    <row r="661" ht="13" x14ac:dyDescent="0.3"/>
    <row r="662" ht="13" x14ac:dyDescent="0.3"/>
    <row r="663" ht="13" x14ac:dyDescent="0.3"/>
    <row r="664" ht="13" x14ac:dyDescent="0.3"/>
    <row r="665" ht="13" x14ac:dyDescent="0.3"/>
    <row r="666" ht="13" x14ac:dyDescent="0.3"/>
    <row r="667" ht="13" x14ac:dyDescent="0.3"/>
    <row r="668" ht="13" x14ac:dyDescent="0.3"/>
    <row r="669" ht="13" x14ac:dyDescent="0.3"/>
    <row r="670" ht="13" x14ac:dyDescent="0.3"/>
    <row r="671" ht="13" x14ac:dyDescent="0.3"/>
    <row r="672" ht="13" x14ac:dyDescent="0.3"/>
    <row r="673" ht="13" x14ac:dyDescent="0.3"/>
    <row r="674" ht="13" x14ac:dyDescent="0.3"/>
    <row r="675" ht="13" x14ac:dyDescent="0.3"/>
    <row r="676" ht="13" x14ac:dyDescent="0.3"/>
    <row r="677" ht="13" x14ac:dyDescent="0.3"/>
    <row r="678" ht="13" x14ac:dyDescent="0.3"/>
    <row r="679" ht="13" x14ac:dyDescent="0.3"/>
    <row r="680" ht="13" x14ac:dyDescent="0.3"/>
    <row r="681" ht="13" x14ac:dyDescent="0.3"/>
    <row r="682" ht="13" x14ac:dyDescent="0.3"/>
    <row r="683" ht="13" x14ac:dyDescent="0.3"/>
    <row r="684" ht="13" x14ac:dyDescent="0.3"/>
    <row r="685" ht="13" x14ac:dyDescent="0.3"/>
    <row r="686" ht="13" x14ac:dyDescent="0.3"/>
    <row r="687" ht="13" x14ac:dyDescent="0.3"/>
    <row r="688" ht="13" x14ac:dyDescent="0.3"/>
    <row r="689" ht="13" x14ac:dyDescent="0.3"/>
    <row r="690" ht="13" x14ac:dyDescent="0.3"/>
    <row r="691" ht="13" x14ac:dyDescent="0.3"/>
    <row r="692" ht="13" x14ac:dyDescent="0.3"/>
    <row r="693" ht="13" x14ac:dyDescent="0.3"/>
    <row r="694" ht="13" x14ac:dyDescent="0.3"/>
    <row r="695" ht="13" x14ac:dyDescent="0.3"/>
    <row r="696" ht="13" x14ac:dyDescent="0.3"/>
    <row r="697" ht="13" x14ac:dyDescent="0.3"/>
    <row r="698" ht="13" x14ac:dyDescent="0.3"/>
    <row r="699" ht="13" x14ac:dyDescent="0.3"/>
    <row r="700" ht="13" x14ac:dyDescent="0.3"/>
    <row r="701" ht="13" x14ac:dyDescent="0.3"/>
    <row r="702" ht="13" x14ac:dyDescent="0.3"/>
    <row r="703" ht="13" x14ac:dyDescent="0.3"/>
    <row r="704" ht="13" x14ac:dyDescent="0.3"/>
    <row r="705" ht="13" x14ac:dyDescent="0.3"/>
    <row r="706" ht="13" x14ac:dyDescent="0.3"/>
    <row r="707" ht="13" x14ac:dyDescent="0.3"/>
    <row r="708" ht="13" x14ac:dyDescent="0.3"/>
    <row r="709" ht="13" x14ac:dyDescent="0.3"/>
    <row r="710" ht="13" x14ac:dyDescent="0.3"/>
    <row r="711" ht="13" x14ac:dyDescent="0.3"/>
    <row r="712" ht="13" x14ac:dyDescent="0.3"/>
    <row r="713" ht="13" x14ac:dyDescent="0.3"/>
    <row r="714" ht="13" x14ac:dyDescent="0.3"/>
    <row r="715" ht="13" x14ac:dyDescent="0.3"/>
    <row r="716" ht="13" x14ac:dyDescent="0.3"/>
    <row r="717" ht="13" x14ac:dyDescent="0.3"/>
    <row r="718" ht="13" x14ac:dyDescent="0.3"/>
    <row r="719" ht="13" x14ac:dyDescent="0.3"/>
    <row r="720" ht="13" x14ac:dyDescent="0.3"/>
    <row r="721" ht="13" x14ac:dyDescent="0.3"/>
    <row r="722" ht="13" x14ac:dyDescent="0.3"/>
    <row r="723" ht="13" x14ac:dyDescent="0.3"/>
    <row r="724" ht="13" x14ac:dyDescent="0.3"/>
    <row r="725" ht="13" x14ac:dyDescent="0.3"/>
    <row r="726" ht="13" x14ac:dyDescent="0.3"/>
    <row r="727" ht="13" x14ac:dyDescent="0.3"/>
    <row r="728" ht="13" x14ac:dyDescent="0.3"/>
    <row r="729" ht="13" x14ac:dyDescent="0.3"/>
    <row r="730" ht="13" x14ac:dyDescent="0.3"/>
    <row r="731" ht="13" x14ac:dyDescent="0.3"/>
    <row r="732" ht="13" x14ac:dyDescent="0.3"/>
    <row r="733" ht="13" x14ac:dyDescent="0.3"/>
    <row r="734" ht="13" x14ac:dyDescent="0.3"/>
    <row r="735" ht="13" x14ac:dyDescent="0.3"/>
    <row r="736" ht="13" x14ac:dyDescent="0.3"/>
    <row r="737" ht="13" x14ac:dyDescent="0.3"/>
    <row r="738" ht="13" x14ac:dyDescent="0.3"/>
    <row r="739" ht="13" x14ac:dyDescent="0.3"/>
    <row r="740" ht="13" x14ac:dyDescent="0.3"/>
    <row r="741" ht="13" x14ac:dyDescent="0.3"/>
    <row r="742" ht="13" x14ac:dyDescent="0.3"/>
    <row r="743" ht="13" x14ac:dyDescent="0.3"/>
    <row r="744" ht="13" x14ac:dyDescent="0.3"/>
    <row r="745" ht="13" x14ac:dyDescent="0.3"/>
    <row r="746" ht="13" x14ac:dyDescent="0.3"/>
    <row r="747" ht="13" x14ac:dyDescent="0.3"/>
    <row r="748" ht="13" x14ac:dyDescent="0.3"/>
    <row r="749" ht="13" x14ac:dyDescent="0.3"/>
    <row r="750" ht="13" x14ac:dyDescent="0.3"/>
    <row r="751" ht="13" x14ac:dyDescent="0.3"/>
    <row r="752" ht="13" x14ac:dyDescent="0.3"/>
    <row r="753" ht="13" x14ac:dyDescent="0.3"/>
    <row r="754" ht="13" x14ac:dyDescent="0.3"/>
    <row r="755" ht="13" x14ac:dyDescent="0.3"/>
    <row r="756" ht="13" x14ac:dyDescent="0.3"/>
    <row r="757" ht="13" x14ac:dyDescent="0.3"/>
    <row r="758" ht="13" x14ac:dyDescent="0.3"/>
    <row r="759" ht="13" x14ac:dyDescent="0.3"/>
    <row r="760" ht="13" x14ac:dyDescent="0.3"/>
    <row r="761" ht="13" x14ac:dyDescent="0.3"/>
    <row r="762" ht="13" x14ac:dyDescent="0.3"/>
    <row r="763" ht="13" x14ac:dyDescent="0.3"/>
    <row r="764" ht="13" x14ac:dyDescent="0.3"/>
    <row r="765" ht="13" x14ac:dyDescent="0.3"/>
    <row r="766" ht="13" x14ac:dyDescent="0.3"/>
    <row r="767" ht="13" x14ac:dyDescent="0.3"/>
    <row r="768" ht="13" x14ac:dyDescent="0.3"/>
    <row r="769" ht="13" x14ac:dyDescent="0.3"/>
    <row r="770" ht="13" x14ac:dyDescent="0.3"/>
    <row r="771" ht="13" x14ac:dyDescent="0.3"/>
    <row r="772" ht="13" x14ac:dyDescent="0.3"/>
    <row r="773" ht="13" x14ac:dyDescent="0.3"/>
    <row r="774" ht="13" x14ac:dyDescent="0.3"/>
    <row r="775" ht="13" x14ac:dyDescent="0.3"/>
    <row r="776" ht="13" x14ac:dyDescent="0.3"/>
    <row r="777" ht="13" x14ac:dyDescent="0.3"/>
    <row r="778" ht="13" x14ac:dyDescent="0.3"/>
    <row r="779" ht="13" x14ac:dyDescent="0.3"/>
    <row r="780" ht="13" x14ac:dyDescent="0.3"/>
    <row r="781" ht="13" x14ac:dyDescent="0.3"/>
    <row r="782" ht="13" x14ac:dyDescent="0.3"/>
    <row r="783" ht="13" x14ac:dyDescent="0.3"/>
    <row r="784" ht="13" x14ac:dyDescent="0.3"/>
    <row r="785" ht="13" x14ac:dyDescent="0.3"/>
    <row r="786" ht="13" x14ac:dyDescent="0.3"/>
    <row r="787" ht="13" x14ac:dyDescent="0.3"/>
    <row r="788" ht="13" x14ac:dyDescent="0.3"/>
    <row r="789" ht="13" x14ac:dyDescent="0.3"/>
    <row r="790" ht="13" x14ac:dyDescent="0.3"/>
    <row r="791" ht="13" x14ac:dyDescent="0.3"/>
    <row r="792" ht="13" x14ac:dyDescent="0.3"/>
    <row r="793" ht="13" x14ac:dyDescent="0.3"/>
    <row r="794" ht="13" x14ac:dyDescent="0.3"/>
    <row r="795" ht="13" x14ac:dyDescent="0.3"/>
    <row r="796" ht="13" x14ac:dyDescent="0.3"/>
    <row r="797" ht="13" x14ac:dyDescent="0.3"/>
    <row r="798" ht="13" x14ac:dyDescent="0.3"/>
    <row r="799" ht="13" x14ac:dyDescent="0.3"/>
    <row r="800" ht="13" x14ac:dyDescent="0.3"/>
    <row r="801" ht="13" x14ac:dyDescent="0.3"/>
    <row r="802" ht="13" x14ac:dyDescent="0.3"/>
    <row r="803" ht="13" x14ac:dyDescent="0.3"/>
    <row r="804" ht="13" x14ac:dyDescent="0.3"/>
    <row r="805" ht="13" x14ac:dyDescent="0.3"/>
    <row r="806" ht="13" x14ac:dyDescent="0.3"/>
    <row r="807" ht="13" x14ac:dyDescent="0.3"/>
    <row r="808" ht="13" x14ac:dyDescent="0.3"/>
    <row r="809" ht="13" x14ac:dyDescent="0.3"/>
    <row r="810" ht="13" x14ac:dyDescent="0.3"/>
    <row r="811" ht="13" x14ac:dyDescent="0.3"/>
    <row r="812" ht="13" x14ac:dyDescent="0.3"/>
    <row r="813" ht="13" x14ac:dyDescent="0.3"/>
    <row r="814" ht="13" x14ac:dyDescent="0.3"/>
    <row r="815" ht="13" x14ac:dyDescent="0.3"/>
    <row r="816" ht="13" x14ac:dyDescent="0.3"/>
    <row r="817" ht="13" x14ac:dyDescent="0.3"/>
    <row r="818" ht="13" x14ac:dyDescent="0.3"/>
    <row r="819" ht="13" x14ac:dyDescent="0.3"/>
    <row r="820" ht="13" x14ac:dyDescent="0.3"/>
    <row r="821" ht="13" x14ac:dyDescent="0.3"/>
    <row r="822" ht="13" x14ac:dyDescent="0.3"/>
    <row r="823" ht="13" x14ac:dyDescent="0.3"/>
    <row r="824" ht="13" x14ac:dyDescent="0.3"/>
    <row r="825" ht="13" x14ac:dyDescent="0.3"/>
    <row r="826" ht="13" x14ac:dyDescent="0.3"/>
    <row r="827" ht="13" x14ac:dyDescent="0.3"/>
    <row r="828" ht="13" x14ac:dyDescent="0.3"/>
    <row r="829" ht="13" x14ac:dyDescent="0.3"/>
    <row r="830" ht="13" x14ac:dyDescent="0.3"/>
    <row r="831" ht="13" x14ac:dyDescent="0.3"/>
    <row r="832" ht="13" x14ac:dyDescent="0.3"/>
    <row r="833" ht="13" x14ac:dyDescent="0.3"/>
    <row r="834" ht="13" x14ac:dyDescent="0.3"/>
    <row r="835" ht="13" x14ac:dyDescent="0.3"/>
    <row r="836" ht="13" x14ac:dyDescent="0.3"/>
    <row r="837" ht="13" x14ac:dyDescent="0.3"/>
    <row r="838" ht="13" x14ac:dyDescent="0.3"/>
    <row r="839" ht="13" x14ac:dyDescent="0.3"/>
    <row r="840" ht="13" x14ac:dyDescent="0.3"/>
    <row r="841" ht="13" x14ac:dyDescent="0.3"/>
    <row r="842" ht="13" x14ac:dyDescent="0.3"/>
    <row r="843" ht="13" x14ac:dyDescent="0.3"/>
    <row r="844" ht="13" x14ac:dyDescent="0.3"/>
    <row r="845" ht="13" x14ac:dyDescent="0.3"/>
    <row r="846" ht="13" x14ac:dyDescent="0.3"/>
    <row r="847" ht="13" x14ac:dyDescent="0.3"/>
    <row r="848" ht="13" x14ac:dyDescent="0.3"/>
    <row r="849" ht="13" x14ac:dyDescent="0.3"/>
    <row r="850" ht="13" x14ac:dyDescent="0.3"/>
    <row r="851" ht="13" x14ac:dyDescent="0.3"/>
    <row r="852" ht="13" x14ac:dyDescent="0.3"/>
    <row r="853" ht="13" x14ac:dyDescent="0.3"/>
    <row r="854" ht="13" x14ac:dyDescent="0.3"/>
    <row r="855" ht="13" x14ac:dyDescent="0.3"/>
    <row r="856" ht="13" x14ac:dyDescent="0.3"/>
    <row r="857" ht="13" x14ac:dyDescent="0.3"/>
    <row r="858" ht="13" x14ac:dyDescent="0.3"/>
    <row r="859" ht="13" x14ac:dyDescent="0.3"/>
    <row r="860" ht="13" x14ac:dyDescent="0.3"/>
    <row r="861" ht="13" x14ac:dyDescent="0.3"/>
    <row r="862" ht="13" x14ac:dyDescent="0.3"/>
    <row r="863" ht="13" x14ac:dyDescent="0.3"/>
    <row r="864" ht="13" x14ac:dyDescent="0.3"/>
    <row r="865" ht="13" x14ac:dyDescent="0.3"/>
    <row r="866" ht="13" x14ac:dyDescent="0.3"/>
    <row r="867" ht="13" x14ac:dyDescent="0.3"/>
    <row r="868" ht="13" x14ac:dyDescent="0.3"/>
    <row r="869" ht="13" x14ac:dyDescent="0.3"/>
    <row r="870" ht="13" x14ac:dyDescent="0.3"/>
    <row r="871" ht="13" x14ac:dyDescent="0.3"/>
    <row r="872" ht="13" x14ac:dyDescent="0.3"/>
    <row r="873" ht="13" x14ac:dyDescent="0.3"/>
    <row r="874" ht="13" x14ac:dyDescent="0.3"/>
    <row r="875" ht="13" x14ac:dyDescent="0.3"/>
    <row r="876" ht="13" x14ac:dyDescent="0.3"/>
    <row r="877" ht="13" x14ac:dyDescent="0.3"/>
    <row r="878" ht="13" x14ac:dyDescent="0.3"/>
    <row r="879" ht="13" x14ac:dyDescent="0.3"/>
    <row r="880" ht="13" x14ac:dyDescent="0.3"/>
    <row r="881" ht="13" x14ac:dyDescent="0.3"/>
    <row r="882" ht="13" x14ac:dyDescent="0.3"/>
    <row r="883" ht="13" x14ac:dyDescent="0.3"/>
    <row r="884" ht="13" x14ac:dyDescent="0.3"/>
    <row r="885" ht="13" x14ac:dyDescent="0.3"/>
    <row r="886" ht="13" x14ac:dyDescent="0.3"/>
    <row r="887" ht="13" x14ac:dyDescent="0.3"/>
    <row r="888" ht="13" x14ac:dyDescent="0.3"/>
    <row r="889" ht="13" x14ac:dyDescent="0.3"/>
    <row r="890" ht="13" x14ac:dyDescent="0.3"/>
    <row r="891" ht="13" x14ac:dyDescent="0.3"/>
    <row r="892" ht="13" x14ac:dyDescent="0.3"/>
    <row r="893" ht="13" x14ac:dyDescent="0.3"/>
    <row r="894" ht="13" x14ac:dyDescent="0.3"/>
    <row r="895" ht="13" x14ac:dyDescent="0.3"/>
    <row r="896" ht="13" x14ac:dyDescent="0.3"/>
    <row r="897" ht="13" x14ac:dyDescent="0.3"/>
    <row r="898" ht="13" x14ac:dyDescent="0.3"/>
    <row r="899" ht="13" x14ac:dyDescent="0.3"/>
    <row r="900" ht="13" x14ac:dyDescent="0.3"/>
    <row r="901" ht="13" x14ac:dyDescent="0.3"/>
    <row r="902" ht="13" x14ac:dyDescent="0.3"/>
    <row r="903" ht="13" x14ac:dyDescent="0.3"/>
    <row r="904" ht="13" x14ac:dyDescent="0.3"/>
    <row r="905" ht="13" x14ac:dyDescent="0.3"/>
    <row r="906" ht="13" x14ac:dyDescent="0.3"/>
    <row r="907" ht="13" x14ac:dyDescent="0.3"/>
    <row r="908" ht="13" x14ac:dyDescent="0.3"/>
    <row r="909" ht="13" x14ac:dyDescent="0.3"/>
    <row r="910" ht="13" x14ac:dyDescent="0.3"/>
    <row r="911" ht="13" x14ac:dyDescent="0.3"/>
    <row r="912" ht="13" x14ac:dyDescent="0.3"/>
    <row r="913" ht="13" x14ac:dyDescent="0.3"/>
    <row r="914" ht="13" x14ac:dyDescent="0.3"/>
    <row r="915" ht="13" x14ac:dyDescent="0.3"/>
    <row r="916" ht="13" x14ac:dyDescent="0.3"/>
    <row r="917" ht="13" x14ac:dyDescent="0.3"/>
    <row r="918" ht="13" x14ac:dyDescent="0.3"/>
    <row r="919" ht="13" x14ac:dyDescent="0.3"/>
    <row r="920" ht="13" x14ac:dyDescent="0.3"/>
    <row r="921" ht="13" x14ac:dyDescent="0.3"/>
    <row r="922" ht="13" x14ac:dyDescent="0.3"/>
    <row r="923" ht="13" x14ac:dyDescent="0.3"/>
    <row r="924" ht="13" x14ac:dyDescent="0.3"/>
    <row r="925" ht="13" x14ac:dyDescent="0.3"/>
    <row r="926" ht="13" x14ac:dyDescent="0.3"/>
    <row r="927" ht="13" x14ac:dyDescent="0.3"/>
    <row r="928" ht="13" x14ac:dyDescent="0.3"/>
    <row r="929" ht="13" x14ac:dyDescent="0.3"/>
    <row r="930" ht="13" x14ac:dyDescent="0.3"/>
    <row r="931" ht="13" x14ac:dyDescent="0.3"/>
    <row r="932" ht="13" x14ac:dyDescent="0.3"/>
    <row r="933" ht="13" x14ac:dyDescent="0.3"/>
    <row r="934" ht="13" x14ac:dyDescent="0.3"/>
    <row r="935" ht="13" x14ac:dyDescent="0.3"/>
    <row r="936" ht="13" x14ac:dyDescent="0.3"/>
    <row r="937" ht="13" x14ac:dyDescent="0.3"/>
    <row r="938" ht="13" x14ac:dyDescent="0.3"/>
    <row r="939" ht="13" x14ac:dyDescent="0.3"/>
    <row r="940" ht="13" x14ac:dyDescent="0.3"/>
    <row r="941" ht="13" x14ac:dyDescent="0.3"/>
    <row r="942" ht="13" x14ac:dyDescent="0.3"/>
    <row r="943" ht="13" x14ac:dyDescent="0.3"/>
    <row r="944" ht="13" x14ac:dyDescent="0.3"/>
    <row r="945" ht="13" x14ac:dyDescent="0.3"/>
    <row r="946" ht="13" x14ac:dyDescent="0.3"/>
    <row r="947" ht="13" x14ac:dyDescent="0.3"/>
    <row r="948" ht="13" x14ac:dyDescent="0.3"/>
    <row r="949" ht="13" x14ac:dyDescent="0.3"/>
    <row r="950" ht="13" x14ac:dyDescent="0.3"/>
    <row r="951" ht="13" x14ac:dyDescent="0.3"/>
    <row r="952" ht="13" x14ac:dyDescent="0.3"/>
    <row r="953" ht="13" x14ac:dyDescent="0.3"/>
    <row r="954" ht="13" x14ac:dyDescent="0.3"/>
    <row r="955" ht="13" x14ac:dyDescent="0.3"/>
    <row r="956" ht="13" x14ac:dyDescent="0.3"/>
    <row r="957" ht="13" x14ac:dyDescent="0.3"/>
    <row r="958" ht="13" x14ac:dyDescent="0.3"/>
    <row r="959" ht="13" x14ac:dyDescent="0.3"/>
    <row r="960" ht="13" x14ac:dyDescent="0.3"/>
    <row r="961" ht="13" x14ac:dyDescent="0.3"/>
    <row r="962" ht="13" x14ac:dyDescent="0.3"/>
    <row r="963" ht="13" x14ac:dyDescent="0.3"/>
    <row r="964" ht="13" x14ac:dyDescent="0.3"/>
    <row r="965" ht="13" x14ac:dyDescent="0.3"/>
    <row r="966" ht="13" x14ac:dyDescent="0.3"/>
    <row r="967" ht="13" x14ac:dyDescent="0.3"/>
    <row r="968" ht="13" x14ac:dyDescent="0.3"/>
    <row r="969" ht="13" x14ac:dyDescent="0.3"/>
    <row r="970" ht="13" x14ac:dyDescent="0.3"/>
    <row r="971" ht="13" x14ac:dyDescent="0.3"/>
    <row r="972" ht="13" x14ac:dyDescent="0.3"/>
    <row r="973" ht="13" x14ac:dyDescent="0.3"/>
    <row r="974" ht="13" x14ac:dyDescent="0.3"/>
    <row r="975" ht="13" x14ac:dyDescent="0.3"/>
    <row r="976" ht="13" x14ac:dyDescent="0.3"/>
    <row r="977" ht="13" x14ac:dyDescent="0.3"/>
    <row r="978" ht="13" x14ac:dyDescent="0.3"/>
    <row r="979" ht="13" x14ac:dyDescent="0.3"/>
    <row r="980" ht="13" x14ac:dyDescent="0.3"/>
    <row r="981" ht="13" x14ac:dyDescent="0.3"/>
    <row r="982" ht="13" x14ac:dyDescent="0.3"/>
    <row r="983" ht="13" x14ac:dyDescent="0.3"/>
    <row r="984" ht="13" x14ac:dyDescent="0.3"/>
    <row r="985" ht="13" x14ac:dyDescent="0.3"/>
    <row r="986" ht="13" x14ac:dyDescent="0.3"/>
    <row r="987" ht="13" x14ac:dyDescent="0.3"/>
    <row r="988" ht="13" x14ac:dyDescent="0.3"/>
    <row r="989" ht="13" x14ac:dyDescent="0.3"/>
    <row r="990" ht="13" x14ac:dyDescent="0.3"/>
    <row r="991" ht="13" x14ac:dyDescent="0.3"/>
    <row r="992" ht="13" x14ac:dyDescent="0.3"/>
    <row r="993" ht="13" x14ac:dyDescent="0.3"/>
    <row r="994" ht="13" x14ac:dyDescent="0.3"/>
    <row r="995" ht="13" x14ac:dyDescent="0.3"/>
    <row r="996" ht="13" x14ac:dyDescent="0.3"/>
    <row r="997" ht="13" x14ac:dyDescent="0.3"/>
    <row r="998" ht="13" x14ac:dyDescent="0.3"/>
    <row r="999" ht="13" x14ac:dyDescent="0.3"/>
  </sheetData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A6134-80B7-4CF5-99CD-DCC650B826D2}">
  <dimension ref="A1:M999"/>
  <sheetViews>
    <sheetView topLeftCell="A100" workbookViewId="0">
      <selection activeCell="F13" sqref="F13"/>
    </sheetView>
  </sheetViews>
  <sheetFormatPr baseColWidth="10" defaultColWidth="12.6328125" defaultRowHeight="15" customHeight="1" x14ac:dyDescent="0.3"/>
  <cols>
    <col min="1" max="1" width="15.7265625" style="1" customWidth="1"/>
    <col min="2" max="7" width="10.6328125" style="1" customWidth="1"/>
    <col min="8" max="8" width="11.36328125" style="1" customWidth="1"/>
    <col min="9" max="25" width="10.6328125" style="1" customWidth="1"/>
    <col min="26" max="16384" width="12.6328125" style="1"/>
  </cols>
  <sheetData>
    <row r="1" spans="1:13" ht="12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2.75" customHeight="1" x14ac:dyDescent="0.3">
      <c r="A2" s="1" t="s">
        <v>12</v>
      </c>
      <c r="B2" s="1" t="s">
        <v>13</v>
      </c>
      <c r="H2" s="2" t="s">
        <v>14</v>
      </c>
      <c r="I2" s="3">
        <f t="shared" ref="I2:L2" si="0">SUM(C22+C37+C55+C65+C66+C96+C105+C113+C128+C146+C150)</f>
        <v>0</v>
      </c>
      <c r="J2" s="3">
        <f t="shared" si="0"/>
        <v>0</v>
      </c>
      <c r="K2" s="3">
        <f t="shared" si="0"/>
        <v>0</v>
      </c>
      <c r="L2" s="3">
        <f t="shared" si="0"/>
        <v>0</v>
      </c>
      <c r="M2" s="3">
        <f t="shared" ref="M2:M13" si="1">SUM(I2:L2)</f>
        <v>0</v>
      </c>
    </row>
    <row r="3" spans="1:13" ht="13.5" customHeight="1" x14ac:dyDescent="0.3">
      <c r="A3" s="1" t="s">
        <v>15</v>
      </c>
      <c r="B3" s="1" t="s">
        <v>16</v>
      </c>
      <c r="H3" s="2" t="s">
        <v>17</v>
      </c>
      <c r="I3" s="3">
        <f t="shared" ref="I3:L3" si="2">SUM(C6+C32+C50+C52+C58+C69+C76+C94+C115+C122+C123+C152)</f>
        <v>0</v>
      </c>
      <c r="J3" s="3">
        <f t="shared" si="2"/>
        <v>0</v>
      </c>
      <c r="K3" s="3">
        <f t="shared" si="2"/>
        <v>0</v>
      </c>
      <c r="L3" s="3">
        <f t="shared" si="2"/>
        <v>0</v>
      </c>
      <c r="M3" s="3">
        <f t="shared" si="1"/>
        <v>0</v>
      </c>
    </row>
    <row r="4" spans="1:13" ht="12.75" customHeight="1" x14ac:dyDescent="0.3">
      <c r="A4" s="1" t="s">
        <v>18</v>
      </c>
      <c r="B4" s="1" t="s">
        <v>13</v>
      </c>
      <c r="H4" s="2" t="s">
        <v>19</v>
      </c>
      <c r="I4" s="3">
        <f t="shared" ref="I4:L4" si="3">SUM(C26+C14+C27+C62+C68+C124+C138+C142+C153+C155)</f>
        <v>0</v>
      </c>
      <c r="J4" s="3">
        <f t="shared" si="3"/>
        <v>0</v>
      </c>
      <c r="K4" s="3">
        <f t="shared" si="3"/>
        <v>0</v>
      </c>
      <c r="L4" s="3">
        <f t="shared" si="3"/>
        <v>0</v>
      </c>
      <c r="M4" s="3">
        <f t="shared" si="1"/>
        <v>0</v>
      </c>
    </row>
    <row r="5" spans="1:13" ht="12.75" customHeight="1" x14ac:dyDescent="0.3">
      <c r="A5" s="1" t="s">
        <v>20</v>
      </c>
      <c r="B5" s="1" t="s">
        <v>21</v>
      </c>
      <c r="H5" s="2" t="s">
        <v>22</v>
      </c>
      <c r="I5" s="3">
        <f t="shared" ref="I5:L5" si="4">SUM(C5+C36+C56+C63+C73+C85+C87+C95+C135)</f>
        <v>0</v>
      </c>
      <c r="J5" s="3">
        <f t="shared" si="4"/>
        <v>0</v>
      </c>
      <c r="K5" s="3">
        <f t="shared" si="4"/>
        <v>0</v>
      </c>
      <c r="L5" s="3">
        <f t="shared" si="4"/>
        <v>0</v>
      </c>
      <c r="M5" s="3">
        <f t="shared" si="1"/>
        <v>0</v>
      </c>
    </row>
    <row r="6" spans="1:13" ht="12.75" customHeight="1" x14ac:dyDescent="0.3">
      <c r="A6" s="1" t="s">
        <v>23</v>
      </c>
      <c r="B6" s="1" t="s">
        <v>24</v>
      </c>
      <c r="H6" s="2" t="s">
        <v>25</v>
      </c>
      <c r="I6" s="3">
        <f t="shared" ref="I6:L6" si="5">SUM(C12+C15+C18+C28+C41+C59+C78+C64+C82+C83+C86+C106+C119+C143+C148+C154)</f>
        <v>0</v>
      </c>
      <c r="J6" s="3">
        <f t="shared" si="5"/>
        <v>0</v>
      </c>
      <c r="K6" s="3">
        <f t="shared" si="5"/>
        <v>0</v>
      </c>
      <c r="L6" s="3">
        <f t="shared" si="5"/>
        <v>0</v>
      </c>
      <c r="M6" s="3">
        <f t="shared" si="1"/>
        <v>0</v>
      </c>
    </row>
    <row r="7" spans="1:13" ht="12" customHeight="1" x14ac:dyDescent="0.3">
      <c r="A7" s="1" t="s">
        <v>26</v>
      </c>
      <c r="B7" s="1" t="s">
        <v>27</v>
      </c>
      <c r="H7" s="2" t="s">
        <v>28</v>
      </c>
      <c r="I7" s="3">
        <f t="shared" ref="I7:L7" si="6">SUM(C3+C20+C46+C49+C54+C89+C90+C102+C112+C114+C129+C141)</f>
        <v>0</v>
      </c>
      <c r="J7" s="3">
        <f t="shared" si="6"/>
        <v>0</v>
      </c>
      <c r="K7" s="3">
        <f t="shared" si="6"/>
        <v>0</v>
      </c>
      <c r="L7" s="3">
        <f t="shared" si="6"/>
        <v>0</v>
      </c>
      <c r="M7" s="3">
        <f t="shared" si="1"/>
        <v>0</v>
      </c>
    </row>
    <row r="8" spans="1:13" ht="12" customHeight="1" x14ac:dyDescent="0.3">
      <c r="A8" s="1" t="s">
        <v>29</v>
      </c>
      <c r="B8" s="1" t="s">
        <v>30</v>
      </c>
      <c r="H8" s="2" t="s">
        <v>27</v>
      </c>
      <c r="I8" s="3">
        <f t="shared" ref="I8:L8" si="7">SUM(C7+C30+C29+C44+C51+C60+C72+C79+C101+C99+C107+C111+C117+C140+C144)</f>
        <v>0</v>
      </c>
      <c r="J8" s="3">
        <f t="shared" si="7"/>
        <v>0</v>
      </c>
      <c r="K8" s="3">
        <f t="shared" si="7"/>
        <v>0</v>
      </c>
      <c r="L8" s="3">
        <f t="shared" si="7"/>
        <v>0</v>
      </c>
      <c r="M8" s="3">
        <f t="shared" si="1"/>
        <v>0</v>
      </c>
    </row>
    <row r="9" spans="1:13" ht="12" customHeight="1" x14ac:dyDescent="0.3">
      <c r="A9" s="1" t="s">
        <v>31</v>
      </c>
      <c r="B9" s="1" t="s">
        <v>13</v>
      </c>
      <c r="H9" s="2" t="s">
        <v>13</v>
      </c>
      <c r="I9" s="3">
        <f t="shared" ref="I9:J9" si="8">SUM(C4+C9+C17+C19+C2+C48+C92+C120+C126+C127+C130+C133+C151)</f>
        <v>0</v>
      </c>
      <c r="J9" s="3">
        <f t="shared" si="8"/>
        <v>0</v>
      </c>
      <c r="K9" s="3">
        <f>SUM(D4+D9+D17+D19+D2+D48+D92+D120+D126+D127+D130+D133+D151)</f>
        <v>0</v>
      </c>
      <c r="L9" s="3">
        <f>SUM(F4+F9+F17+F19+F2+F48+F92+F120+F126+F127+F130+F133+F151)</f>
        <v>0</v>
      </c>
      <c r="M9" s="3">
        <f t="shared" si="1"/>
        <v>0</v>
      </c>
    </row>
    <row r="10" spans="1:13" ht="13.5" customHeight="1" x14ac:dyDescent="0.3">
      <c r="A10" s="1" t="s">
        <v>32</v>
      </c>
      <c r="B10" s="1" t="s">
        <v>33</v>
      </c>
      <c r="H10" s="2" t="s">
        <v>30</v>
      </c>
      <c r="I10" s="3">
        <f t="shared" ref="I10:L10" si="9">SUM(C8+C13+C16+C25+C31+C35+C43+C45+C70+C71+C75+C81+C88+C93+C98+C100+C104+C118+C136+C137+C156)</f>
        <v>0</v>
      </c>
      <c r="J10" s="3">
        <f t="shared" si="9"/>
        <v>0</v>
      </c>
      <c r="K10" s="3">
        <f t="shared" si="9"/>
        <v>0</v>
      </c>
      <c r="L10" s="3">
        <f t="shared" si="9"/>
        <v>0</v>
      </c>
      <c r="M10" s="3">
        <f t="shared" si="1"/>
        <v>0</v>
      </c>
    </row>
    <row r="11" spans="1:13" ht="12" customHeight="1" x14ac:dyDescent="0.3">
      <c r="A11" s="1" t="s">
        <v>34</v>
      </c>
      <c r="B11" s="1" t="s">
        <v>33</v>
      </c>
      <c r="H11" s="2" t="s">
        <v>35</v>
      </c>
      <c r="I11" s="3">
        <f t="shared" ref="I11:L11" si="10">SUM(C38+C42+C47+C53+C74+C77+C80+C91+C97+C103+C108+C116+C131+C145+C147)</f>
        <v>0</v>
      </c>
      <c r="J11" s="3">
        <f t="shared" si="10"/>
        <v>0</v>
      </c>
      <c r="K11" s="3">
        <f t="shared" si="10"/>
        <v>0</v>
      </c>
      <c r="L11" s="3">
        <f t="shared" si="10"/>
        <v>0</v>
      </c>
      <c r="M11" s="3">
        <f t="shared" si="1"/>
        <v>0</v>
      </c>
    </row>
    <row r="12" spans="1:13" ht="13.5" customHeight="1" x14ac:dyDescent="0.3">
      <c r="A12" s="1" t="s">
        <v>36</v>
      </c>
      <c r="B12" s="1" t="s">
        <v>37</v>
      </c>
      <c r="H12" s="2" t="s">
        <v>38</v>
      </c>
      <c r="I12" s="3">
        <f t="shared" ref="I12:L12" si="11">SUM(C21+C24+C34+C40+C67+C84+C132)</f>
        <v>0</v>
      </c>
      <c r="J12" s="3">
        <f t="shared" si="11"/>
        <v>0</v>
      </c>
      <c r="K12" s="3">
        <f t="shared" si="11"/>
        <v>0</v>
      </c>
      <c r="L12" s="3">
        <f t="shared" si="11"/>
        <v>0</v>
      </c>
      <c r="M12" s="3">
        <f t="shared" si="1"/>
        <v>0</v>
      </c>
    </row>
    <row r="13" spans="1:13" ht="12.75" customHeight="1" x14ac:dyDescent="0.3">
      <c r="A13" s="1" t="s">
        <v>39</v>
      </c>
      <c r="B13" s="1" t="s">
        <v>30</v>
      </c>
      <c r="H13" s="2" t="s">
        <v>33</v>
      </c>
      <c r="I13" s="3">
        <f t="shared" ref="I13:L13" si="12">SUM(C10+C11+C57+C125+C149)</f>
        <v>0</v>
      </c>
      <c r="J13" s="3">
        <f t="shared" si="12"/>
        <v>0</v>
      </c>
      <c r="K13" s="3">
        <f t="shared" si="12"/>
        <v>0</v>
      </c>
      <c r="L13" s="3">
        <f t="shared" si="12"/>
        <v>0</v>
      </c>
      <c r="M13" s="3">
        <f t="shared" si="1"/>
        <v>0</v>
      </c>
    </row>
    <row r="14" spans="1:13" ht="12.75" customHeight="1" x14ac:dyDescent="0.3">
      <c r="A14" s="1" t="s">
        <v>40</v>
      </c>
      <c r="B14" s="1" t="s">
        <v>19</v>
      </c>
      <c r="I14" s="4"/>
      <c r="J14" s="4"/>
      <c r="K14" s="4"/>
      <c r="L14" s="4"/>
    </row>
    <row r="15" spans="1:13" ht="12.75" customHeight="1" x14ac:dyDescent="0.3">
      <c r="A15" s="1" t="s">
        <v>41</v>
      </c>
      <c r="B15" s="1" t="s">
        <v>42</v>
      </c>
      <c r="I15" s="4"/>
      <c r="J15" s="4"/>
      <c r="K15" s="4"/>
      <c r="L15" s="4"/>
    </row>
    <row r="16" spans="1:13" ht="12.75" customHeight="1" x14ac:dyDescent="0.3">
      <c r="A16" s="1" t="s">
        <v>43</v>
      </c>
      <c r="B16" s="1" t="s">
        <v>30</v>
      </c>
      <c r="I16" s="4"/>
      <c r="J16" s="4"/>
      <c r="K16" s="4"/>
      <c r="L16" s="4"/>
    </row>
    <row r="17" spans="1:12" ht="12.75" customHeight="1" x14ac:dyDescent="0.3">
      <c r="A17" s="1" t="s">
        <v>44</v>
      </c>
      <c r="B17" s="1" t="s">
        <v>13</v>
      </c>
      <c r="I17" s="4"/>
      <c r="J17" s="4"/>
      <c r="K17" s="4"/>
      <c r="L17" s="4"/>
    </row>
    <row r="18" spans="1:12" ht="12.75" customHeight="1" x14ac:dyDescent="0.3">
      <c r="A18" s="1" t="s">
        <v>45</v>
      </c>
      <c r="B18" s="1" t="s">
        <v>37</v>
      </c>
      <c r="I18" s="4"/>
      <c r="J18" s="4"/>
      <c r="K18" s="4"/>
      <c r="L18" s="4"/>
    </row>
    <row r="19" spans="1:12" ht="12.75" customHeight="1" x14ac:dyDescent="0.3">
      <c r="A19" s="1" t="s">
        <v>46</v>
      </c>
      <c r="B19" s="1" t="s">
        <v>13</v>
      </c>
    </row>
    <row r="20" spans="1:12" ht="12.75" customHeight="1" x14ac:dyDescent="0.3">
      <c r="A20" s="1" t="s">
        <v>47</v>
      </c>
      <c r="B20" s="1" t="s">
        <v>16</v>
      </c>
    </row>
    <row r="21" spans="1:12" ht="12.75" customHeight="1" x14ac:dyDescent="0.3">
      <c r="A21" s="1" t="s">
        <v>48</v>
      </c>
      <c r="B21" s="1" t="s">
        <v>38</v>
      </c>
    </row>
    <row r="22" spans="1:12" ht="12.75" customHeight="1" x14ac:dyDescent="0.3">
      <c r="A22" s="1" t="s">
        <v>49</v>
      </c>
      <c r="B22" s="1" t="s">
        <v>14</v>
      </c>
    </row>
    <row r="23" spans="1:12" ht="12.75" customHeight="1" x14ac:dyDescent="0.3">
      <c r="A23" s="1" t="s">
        <v>50</v>
      </c>
      <c r="B23" s="1" t="s">
        <v>13</v>
      </c>
    </row>
    <row r="24" spans="1:12" ht="12.75" customHeight="1" x14ac:dyDescent="0.3">
      <c r="A24" s="1" t="s">
        <v>51</v>
      </c>
      <c r="B24" s="1" t="s">
        <v>38</v>
      </c>
    </row>
    <row r="25" spans="1:12" ht="12.75" customHeight="1" x14ac:dyDescent="0.3">
      <c r="A25" s="1" t="s">
        <v>52</v>
      </c>
      <c r="B25" s="1" t="s">
        <v>30</v>
      </c>
    </row>
    <row r="26" spans="1:12" ht="12.75" customHeight="1" x14ac:dyDescent="0.3">
      <c r="A26" s="1" t="s">
        <v>53</v>
      </c>
      <c r="B26" s="1" t="s">
        <v>19</v>
      </c>
    </row>
    <row r="27" spans="1:12" ht="12.75" customHeight="1" x14ac:dyDescent="0.3">
      <c r="A27" s="1" t="s">
        <v>54</v>
      </c>
      <c r="B27" s="1" t="s">
        <v>19</v>
      </c>
    </row>
    <row r="28" spans="1:12" ht="12.75" customHeight="1" x14ac:dyDescent="0.3">
      <c r="A28" s="1" t="s">
        <v>55</v>
      </c>
      <c r="B28" s="1" t="s">
        <v>37</v>
      </c>
    </row>
    <row r="29" spans="1:12" ht="12.75" customHeight="1" x14ac:dyDescent="0.3">
      <c r="A29" s="1" t="s">
        <v>56</v>
      </c>
      <c r="B29" s="1" t="s">
        <v>27</v>
      </c>
    </row>
    <row r="30" spans="1:12" ht="12.75" customHeight="1" x14ac:dyDescent="0.3">
      <c r="A30" s="1" t="s">
        <v>57</v>
      </c>
      <c r="B30" s="1" t="s">
        <v>27</v>
      </c>
    </row>
    <row r="31" spans="1:12" ht="12.75" customHeight="1" x14ac:dyDescent="0.3">
      <c r="A31" s="1" t="s">
        <v>58</v>
      </c>
      <c r="B31" s="1" t="s">
        <v>30</v>
      </c>
    </row>
    <row r="32" spans="1:12" ht="12.75" customHeight="1" x14ac:dyDescent="0.3">
      <c r="A32" s="1" t="s">
        <v>59</v>
      </c>
      <c r="B32" s="1" t="s">
        <v>24</v>
      </c>
    </row>
    <row r="33" spans="1:12" ht="12.75" customHeight="1" x14ac:dyDescent="0.3">
      <c r="A33" s="1" t="s">
        <v>60</v>
      </c>
      <c r="B33" s="1" t="s">
        <v>27</v>
      </c>
    </row>
    <row r="34" spans="1:12" ht="12.75" customHeight="1" x14ac:dyDescent="0.3">
      <c r="A34" s="1" t="s">
        <v>61</v>
      </c>
      <c r="B34" s="1" t="s">
        <v>38</v>
      </c>
    </row>
    <row r="35" spans="1:12" ht="12.75" customHeight="1" x14ac:dyDescent="0.3">
      <c r="A35" s="1" t="s">
        <v>62</v>
      </c>
      <c r="B35" s="1" t="s">
        <v>30</v>
      </c>
    </row>
    <row r="36" spans="1:12" ht="12.75" customHeight="1" x14ac:dyDescent="0.3">
      <c r="A36" s="1" t="s">
        <v>63</v>
      </c>
      <c r="B36" s="1" t="s">
        <v>21</v>
      </c>
    </row>
    <row r="37" spans="1:12" ht="12.75" customHeight="1" x14ac:dyDescent="0.3">
      <c r="A37" s="1" t="s">
        <v>64</v>
      </c>
      <c r="B37" s="1" t="s">
        <v>14</v>
      </c>
    </row>
    <row r="38" spans="1:12" ht="12.75" customHeight="1" x14ac:dyDescent="0.3">
      <c r="A38" s="1" t="s">
        <v>65</v>
      </c>
      <c r="B38" s="1" t="s">
        <v>66</v>
      </c>
    </row>
    <row r="39" spans="1:12" ht="12.75" customHeight="1" x14ac:dyDescent="0.3">
      <c r="A39" s="1" t="s">
        <v>67</v>
      </c>
      <c r="B39" s="1" t="s">
        <v>16</v>
      </c>
    </row>
    <row r="40" spans="1:12" ht="12.75" customHeight="1" x14ac:dyDescent="0.3">
      <c r="A40" s="1" t="s">
        <v>68</v>
      </c>
      <c r="B40" s="1" t="s">
        <v>38</v>
      </c>
    </row>
    <row r="41" spans="1:12" ht="12.75" customHeight="1" x14ac:dyDescent="0.3">
      <c r="A41" s="1" t="s">
        <v>69</v>
      </c>
      <c r="B41" s="1" t="s">
        <v>37</v>
      </c>
    </row>
    <row r="42" spans="1:12" ht="12.75" customHeight="1" x14ac:dyDescent="0.3">
      <c r="A42" s="1" t="s">
        <v>70</v>
      </c>
      <c r="B42" s="1" t="s">
        <v>66</v>
      </c>
    </row>
    <row r="43" spans="1:12" ht="12.75" customHeight="1" x14ac:dyDescent="0.3">
      <c r="A43" s="1" t="s">
        <v>71</v>
      </c>
      <c r="B43" s="1" t="s">
        <v>30</v>
      </c>
    </row>
    <row r="44" spans="1:12" ht="12.75" customHeight="1" x14ac:dyDescent="0.3">
      <c r="A44" s="1" t="s">
        <v>72</v>
      </c>
      <c r="B44" s="1" t="s">
        <v>27</v>
      </c>
    </row>
    <row r="45" spans="1:12" ht="12.75" customHeight="1" x14ac:dyDescent="0.3">
      <c r="A45" s="1" t="s">
        <v>73</v>
      </c>
      <c r="B45" s="1" t="s">
        <v>30</v>
      </c>
      <c r="H45" s="1" t="s">
        <v>6</v>
      </c>
      <c r="I45" s="1" t="s">
        <v>7</v>
      </c>
      <c r="J45" s="1" t="s">
        <v>8</v>
      </c>
      <c r="K45" s="1" t="s">
        <v>9</v>
      </c>
      <c r="L45" s="1" t="s">
        <v>10</v>
      </c>
    </row>
    <row r="46" spans="1:12" ht="12.75" customHeight="1" x14ac:dyDescent="0.3">
      <c r="A46" s="1" t="s">
        <v>74</v>
      </c>
      <c r="B46" s="1" t="s">
        <v>16</v>
      </c>
      <c r="H46" s="2" t="s">
        <v>14</v>
      </c>
      <c r="I46" s="4" t="e">
        <f t="shared" ref="I46:I57" si="13">I2/M2</f>
        <v>#DIV/0!</v>
      </c>
      <c r="J46" s="4" t="e">
        <f t="shared" ref="J46:J57" si="14">J2/M2</f>
        <v>#DIV/0!</v>
      </c>
      <c r="K46" s="4" t="e">
        <f t="shared" ref="K46:K57" si="15">K2/M2</f>
        <v>#DIV/0!</v>
      </c>
      <c r="L46" s="4" t="e">
        <f t="shared" ref="L46:L57" si="16">L2/M2</f>
        <v>#DIV/0!</v>
      </c>
    </row>
    <row r="47" spans="1:12" ht="14.25" customHeight="1" x14ac:dyDescent="0.3">
      <c r="A47" s="1" t="s">
        <v>75</v>
      </c>
      <c r="B47" s="1" t="s">
        <v>66</v>
      </c>
      <c r="H47" s="2" t="s">
        <v>17</v>
      </c>
      <c r="I47" s="4" t="e">
        <f t="shared" si="13"/>
        <v>#DIV/0!</v>
      </c>
      <c r="J47" s="4" t="e">
        <f t="shared" si="14"/>
        <v>#DIV/0!</v>
      </c>
      <c r="K47" s="4" t="e">
        <f t="shared" si="15"/>
        <v>#DIV/0!</v>
      </c>
      <c r="L47" s="4" t="e">
        <f t="shared" si="16"/>
        <v>#DIV/0!</v>
      </c>
    </row>
    <row r="48" spans="1:12" ht="12.75" customHeight="1" x14ac:dyDescent="0.3">
      <c r="A48" s="1" t="s">
        <v>76</v>
      </c>
      <c r="B48" s="1" t="s">
        <v>13</v>
      </c>
      <c r="H48" s="2" t="s">
        <v>19</v>
      </c>
      <c r="I48" s="4" t="e">
        <f t="shared" si="13"/>
        <v>#DIV/0!</v>
      </c>
      <c r="J48" s="4" t="e">
        <f t="shared" si="14"/>
        <v>#DIV/0!</v>
      </c>
      <c r="K48" s="4" t="e">
        <f t="shared" si="15"/>
        <v>#DIV/0!</v>
      </c>
      <c r="L48" s="4" t="e">
        <f t="shared" si="16"/>
        <v>#DIV/0!</v>
      </c>
    </row>
    <row r="49" spans="1:12" ht="16.5" customHeight="1" x14ac:dyDescent="0.3">
      <c r="A49" s="1" t="s">
        <v>77</v>
      </c>
      <c r="B49" s="1" t="s">
        <v>16</v>
      </c>
      <c r="H49" s="2" t="s">
        <v>22</v>
      </c>
      <c r="I49" s="4" t="e">
        <f t="shared" si="13"/>
        <v>#DIV/0!</v>
      </c>
      <c r="J49" s="4" t="e">
        <f t="shared" si="14"/>
        <v>#DIV/0!</v>
      </c>
      <c r="K49" s="4" t="e">
        <f t="shared" si="15"/>
        <v>#DIV/0!</v>
      </c>
      <c r="L49" s="4" t="e">
        <f t="shared" si="16"/>
        <v>#DIV/0!</v>
      </c>
    </row>
    <row r="50" spans="1:12" ht="14.25" customHeight="1" x14ac:dyDescent="0.3">
      <c r="A50" s="1" t="s">
        <v>78</v>
      </c>
      <c r="B50" s="1" t="s">
        <v>24</v>
      </c>
      <c r="H50" s="2" t="s">
        <v>25</v>
      </c>
      <c r="I50" s="4" t="e">
        <f t="shared" si="13"/>
        <v>#DIV/0!</v>
      </c>
      <c r="J50" s="4" t="e">
        <f t="shared" si="14"/>
        <v>#DIV/0!</v>
      </c>
      <c r="K50" s="4" t="e">
        <f t="shared" si="15"/>
        <v>#DIV/0!</v>
      </c>
      <c r="L50" s="4" t="e">
        <f t="shared" si="16"/>
        <v>#DIV/0!</v>
      </c>
    </row>
    <row r="51" spans="1:12" ht="12.75" customHeight="1" x14ac:dyDescent="0.3">
      <c r="A51" s="1" t="s">
        <v>79</v>
      </c>
      <c r="B51" s="1" t="s">
        <v>27</v>
      </c>
      <c r="H51" s="2" t="s">
        <v>28</v>
      </c>
      <c r="I51" s="4" t="e">
        <f t="shared" si="13"/>
        <v>#DIV/0!</v>
      </c>
      <c r="J51" s="4" t="e">
        <f t="shared" si="14"/>
        <v>#DIV/0!</v>
      </c>
      <c r="K51" s="4" t="e">
        <f t="shared" si="15"/>
        <v>#DIV/0!</v>
      </c>
      <c r="L51" s="4" t="e">
        <f t="shared" si="16"/>
        <v>#DIV/0!</v>
      </c>
    </row>
    <row r="52" spans="1:12" ht="15" customHeight="1" x14ac:dyDescent="0.3">
      <c r="A52" s="1" t="s">
        <v>80</v>
      </c>
      <c r="B52" s="1" t="s">
        <v>24</v>
      </c>
      <c r="H52" s="2" t="s">
        <v>27</v>
      </c>
      <c r="I52" s="4" t="e">
        <f t="shared" si="13"/>
        <v>#DIV/0!</v>
      </c>
      <c r="J52" s="4" t="e">
        <f t="shared" si="14"/>
        <v>#DIV/0!</v>
      </c>
      <c r="K52" s="4" t="e">
        <f t="shared" si="15"/>
        <v>#DIV/0!</v>
      </c>
      <c r="L52" s="4" t="e">
        <f t="shared" si="16"/>
        <v>#DIV/0!</v>
      </c>
    </row>
    <row r="53" spans="1:12" ht="15" customHeight="1" x14ac:dyDescent="0.3">
      <c r="A53" s="1" t="s">
        <v>81</v>
      </c>
      <c r="B53" s="1" t="s">
        <v>66</v>
      </c>
      <c r="H53" s="2" t="s">
        <v>13</v>
      </c>
      <c r="I53" s="4" t="e">
        <f t="shared" si="13"/>
        <v>#DIV/0!</v>
      </c>
      <c r="J53" s="4" t="e">
        <f t="shared" si="14"/>
        <v>#DIV/0!</v>
      </c>
      <c r="K53" s="4" t="e">
        <f t="shared" si="15"/>
        <v>#DIV/0!</v>
      </c>
      <c r="L53" s="4" t="e">
        <f t="shared" si="16"/>
        <v>#DIV/0!</v>
      </c>
    </row>
    <row r="54" spans="1:12" ht="12.75" customHeight="1" x14ac:dyDescent="0.3">
      <c r="A54" s="1" t="s">
        <v>82</v>
      </c>
      <c r="B54" s="1" t="s">
        <v>16</v>
      </c>
      <c r="H54" s="2" t="s">
        <v>30</v>
      </c>
      <c r="I54" s="4" t="e">
        <f t="shared" si="13"/>
        <v>#DIV/0!</v>
      </c>
      <c r="J54" s="4" t="e">
        <f t="shared" si="14"/>
        <v>#DIV/0!</v>
      </c>
      <c r="K54" s="4" t="e">
        <f t="shared" si="15"/>
        <v>#DIV/0!</v>
      </c>
      <c r="L54" s="4" t="e">
        <f t="shared" si="16"/>
        <v>#DIV/0!</v>
      </c>
    </row>
    <row r="55" spans="1:12" ht="16.5" customHeight="1" x14ac:dyDescent="0.3">
      <c r="A55" s="1" t="s">
        <v>83</v>
      </c>
      <c r="B55" s="1" t="s">
        <v>14</v>
      </c>
      <c r="H55" s="2" t="s">
        <v>35</v>
      </c>
      <c r="I55" s="4" t="e">
        <f t="shared" si="13"/>
        <v>#DIV/0!</v>
      </c>
      <c r="J55" s="4" t="e">
        <f t="shared" si="14"/>
        <v>#DIV/0!</v>
      </c>
      <c r="K55" s="4" t="e">
        <f t="shared" si="15"/>
        <v>#DIV/0!</v>
      </c>
      <c r="L55" s="4" t="e">
        <f t="shared" si="16"/>
        <v>#DIV/0!</v>
      </c>
    </row>
    <row r="56" spans="1:12" ht="15" customHeight="1" x14ac:dyDescent="0.3">
      <c r="A56" s="1" t="s">
        <v>84</v>
      </c>
      <c r="B56" s="1" t="s">
        <v>21</v>
      </c>
      <c r="H56" s="2" t="s">
        <v>38</v>
      </c>
      <c r="I56" s="4" t="e">
        <f t="shared" si="13"/>
        <v>#DIV/0!</v>
      </c>
      <c r="J56" s="4" t="e">
        <f t="shared" si="14"/>
        <v>#DIV/0!</v>
      </c>
      <c r="K56" s="4" t="e">
        <f t="shared" si="15"/>
        <v>#DIV/0!</v>
      </c>
      <c r="L56" s="4" t="e">
        <f t="shared" si="16"/>
        <v>#DIV/0!</v>
      </c>
    </row>
    <row r="57" spans="1:12" ht="12.75" customHeight="1" x14ac:dyDescent="0.3">
      <c r="A57" s="1" t="s">
        <v>85</v>
      </c>
      <c r="B57" s="1" t="s">
        <v>33</v>
      </c>
      <c r="H57" s="2" t="s">
        <v>33</v>
      </c>
      <c r="I57" s="4" t="e">
        <f t="shared" si="13"/>
        <v>#DIV/0!</v>
      </c>
      <c r="J57" s="4" t="e">
        <f t="shared" si="14"/>
        <v>#DIV/0!</v>
      </c>
      <c r="K57" s="4" t="e">
        <f t="shared" si="15"/>
        <v>#DIV/0!</v>
      </c>
      <c r="L57" s="4" t="e">
        <f t="shared" si="16"/>
        <v>#DIV/0!</v>
      </c>
    </row>
    <row r="58" spans="1:12" ht="12.75" customHeight="1" x14ac:dyDescent="0.3">
      <c r="A58" s="1" t="s">
        <v>86</v>
      </c>
      <c r="B58" s="1" t="s">
        <v>24</v>
      </c>
    </row>
    <row r="59" spans="1:12" ht="12.75" customHeight="1" x14ac:dyDescent="0.3">
      <c r="A59" s="1" t="s">
        <v>87</v>
      </c>
      <c r="B59" s="1" t="s">
        <v>37</v>
      </c>
    </row>
    <row r="60" spans="1:12" ht="12.75" customHeight="1" x14ac:dyDescent="0.3">
      <c r="A60" s="1" t="s">
        <v>88</v>
      </c>
      <c r="B60" s="1" t="s">
        <v>27</v>
      </c>
    </row>
    <row r="61" spans="1:12" ht="12.75" customHeight="1" x14ac:dyDescent="0.3">
      <c r="A61" s="1" t="s">
        <v>89</v>
      </c>
      <c r="B61" s="1" t="s">
        <v>13</v>
      </c>
    </row>
    <row r="62" spans="1:12" ht="12.75" customHeight="1" x14ac:dyDescent="0.3">
      <c r="A62" s="1" t="s">
        <v>90</v>
      </c>
      <c r="B62" s="1" t="s">
        <v>19</v>
      </c>
    </row>
    <row r="63" spans="1:12" ht="12.75" customHeight="1" x14ac:dyDescent="0.3">
      <c r="A63" s="1" t="s">
        <v>91</v>
      </c>
      <c r="B63" s="1" t="s">
        <v>21</v>
      </c>
    </row>
    <row r="64" spans="1:12" ht="12.75" customHeight="1" x14ac:dyDescent="0.3">
      <c r="A64" s="1" t="s">
        <v>92</v>
      </c>
      <c r="B64" s="1" t="s">
        <v>42</v>
      </c>
    </row>
    <row r="65" spans="1:2" ht="12.75" customHeight="1" x14ac:dyDescent="0.3">
      <c r="A65" s="1" t="s">
        <v>93</v>
      </c>
      <c r="B65" s="1" t="s">
        <v>14</v>
      </c>
    </row>
    <row r="66" spans="1:2" ht="12.75" customHeight="1" x14ac:dyDescent="0.3">
      <c r="A66" s="1" t="s">
        <v>94</v>
      </c>
      <c r="B66" s="1" t="s">
        <v>14</v>
      </c>
    </row>
    <row r="67" spans="1:2" ht="12.75" customHeight="1" x14ac:dyDescent="0.3">
      <c r="A67" s="1" t="s">
        <v>95</v>
      </c>
      <c r="B67" s="1" t="s">
        <v>38</v>
      </c>
    </row>
    <row r="68" spans="1:2" ht="12.75" customHeight="1" x14ac:dyDescent="0.3">
      <c r="A68" s="1" t="s">
        <v>96</v>
      </c>
      <c r="B68" s="1" t="s">
        <v>19</v>
      </c>
    </row>
    <row r="69" spans="1:2" ht="12.75" customHeight="1" x14ac:dyDescent="0.3">
      <c r="A69" s="1" t="s">
        <v>97</v>
      </c>
      <c r="B69" s="1" t="s">
        <v>24</v>
      </c>
    </row>
    <row r="70" spans="1:2" ht="12.75" customHeight="1" x14ac:dyDescent="0.3">
      <c r="A70" s="1" t="s">
        <v>98</v>
      </c>
      <c r="B70" s="1" t="s">
        <v>30</v>
      </c>
    </row>
    <row r="71" spans="1:2" ht="12.75" customHeight="1" x14ac:dyDescent="0.3">
      <c r="A71" s="1" t="s">
        <v>99</v>
      </c>
      <c r="B71" s="1" t="s">
        <v>30</v>
      </c>
    </row>
    <row r="72" spans="1:2" ht="12.75" customHeight="1" x14ac:dyDescent="0.3">
      <c r="A72" s="1" t="s">
        <v>100</v>
      </c>
      <c r="B72" s="1" t="s">
        <v>27</v>
      </c>
    </row>
    <row r="73" spans="1:2" ht="12.75" customHeight="1" x14ac:dyDescent="0.3">
      <c r="A73" s="1" t="s">
        <v>101</v>
      </c>
      <c r="B73" s="1" t="s">
        <v>21</v>
      </c>
    </row>
    <row r="74" spans="1:2" ht="12.75" customHeight="1" x14ac:dyDescent="0.3">
      <c r="A74" s="1" t="s">
        <v>102</v>
      </c>
      <c r="B74" s="1" t="s">
        <v>66</v>
      </c>
    </row>
    <row r="75" spans="1:2" ht="12.75" customHeight="1" x14ac:dyDescent="0.3">
      <c r="A75" s="1" t="s">
        <v>103</v>
      </c>
      <c r="B75" s="1" t="s">
        <v>30</v>
      </c>
    </row>
    <row r="76" spans="1:2" ht="12.75" customHeight="1" x14ac:dyDescent="0.3">
      <c r="A76" s="1" t="s">
        <v>104</v>
      </c>
      <c r="B76" s="1" t="s">
        <v>24</v>
      </c>
    </row>
    <row r="77" spans="1:2" ht="12.75" customHeight="1" x14ac:dyDescent="0.3">
      <c r="A77" s="1" t="s">
        <v>105</v>
      </c>
      <c r="B77" s="1" t="s">
        <v>66</v>
      </c>
    </row>
    <row r="78" spans="1:2" ht="12.75" customHeight="1" x14ac:dyDescent="0.3">
      <c r="A78" s="1" t="s">
        <v>106</v>
      </c>
      <c r="B78" s="1" t="s">
        <v>42</v>
      </c>
    </row>
    <row r="79" spans="1:2" ht="12.75" customHeight="1" x14ac:dyDescent="0.3">
      <c r="A79" s="1" t="s">
        <v>107</v>
      </c>
      <c r="B79" s="1" t="s">
        <v>27</v>
      </c>
    </row>
    <row r="80" spans="1:2" ht="12.75" customHeight="1" x14ac:dyDescent="0.3">
      <c r="A80" s="1" t="s">
        <v>108</v>
      </c>
      <c r="B80" s="1" t="s">
        <v>66</v>
      </c>
    </row>
    <row r="81" spans="1:2" ht="12.75" customHeight="1" x14ac:dyDescent="0.3">
      <c r="A81" s="1" t="s">
        <v>109</v>
      </c>
      <c r="B81" s="1" t="s">
        <v>30</v>
      </c>
    </row>
    <row r="82" spans="1:2" ht="12.75" customHeight="1" x14ac:dyDescent="0.3">
      <c r="A82" s="1" t="s">
        <v>110</v>
      </c>
      <c r="B82" s="1" t="s">
        <v>37</v>
      </c>
    </row>
    <row r="83" spans="1:2" ht="12.75" customHeight="1" x14ac:dyDescent="0.3">
      <c r="A83" s="1" t="s">
        <v>111</v>
      </c>
      <c r="B83" s="1" t="s">
        <v>37</v>
      </c>
    </row>
    <row r="84" spans="1:2" ht="12.75" customHeight="1" x14ac:dyDescent="0.3">
      <c r="A84" s="1" t="s">
        <v>112</v>
      </c>
      <c r="B84" s="1" t="s">
        <v>38</v>
      </c>
    </row>
    <row r="85" spans="1:2" ht="12.75" customHeight="1" x14ac:dyDescent="0.3">
      <c r="A85" s="1" t="s">
        <v>113</v>
      </c>
      <c r="B85" s="1" t="s">
        <v>21</v>
      </c>
    </row>
    <row r="86" spans="1:2" ht="12.75" customHeight="1" x14ac:dyDescent="0.3">
      <c r="A86" s="1" t="s">
        <v>114</v>
      </c>
      <c r="B86" s="1" t="s">
        <v>42</v>
      </c>
    </row>
    <row r="87" spans="1:2" ht="12.75" customHeight="1" x14ac:dyDescent="0.3">
      <c r="A87" s="1" t="s">
        <v>115</v>
      </c>
      <c r="B87" s="1" t="s">
        <v>21</v>
      </c>
    </row>
    <row r="88" spans="1:2" ht="12.75" customHeight="1" x14ac:dyDescent="0.3">
      <c r="A88" s="1" t="s">
        <v>116</v>
      </c>
      <c r="B88" s="1" t="s">
        <v>30</v>
      </c>
    </row>
    <row r="89" spans="1:2" ht="12.75" customHeight="1" x14ac:dyDescent="0.3">
      <c r="A89" s="1" t="s">
        <v>117</v>
      </c>
      <c r="B89" s="1" t="s">
        <v>16</v>
      </c>
    </row>
    <row r="90" spans="1:2" ht="12.75" customHeight="1" x14ac:dyDescent="0.3">
      <c r="A90" s="1" t="s">
        <v>118</v>
      </c>
      <c r="B90" s="1" t="s">
        <v>16</v>
      </c>
    </row>
    <row r="91" spans="1:2" ht="12.75" customHeight="1" x14ac:dyDescent="0.3">
      <c r="A91" s="1" t="s">
        <v>119</v>
      </c>
      <c r="B91" s="1" t="s">
        <v>66</v>
      </c>
    </row>
    <row r="92" spans="1:2" ht="12.75" customHeight="1" x14ac:dyDescent="0.3">
      <c r="A92" s="1" t="s">
        <v>120</v>
      </c>
      <c r="B92" s="1" t="s">
        <v>13</v>
      </c>
    </row>
    <row r="93" spans="1:2" ht="12.75" customHeight="1" x14ac:dyDescent="0.3">
      <c r="A93" s="1" t="s">
        <v>121</v>
      </c>
      <c r="B93" s="1" t="s">
        <v>30</v>
      </c>
    </row>
    <row r="94" spans="1:2" ht="12.75" customHeight="1" x14ac:dyDescent="0.3">
      <c r="A94" s="1" t="s">
        <v>122</v>
      </c>
      <c r="B94" s="1" t="s">
        <v>24</v>
      </c>
    </row>
    <row r="95" spans="1:2" ht="12.75" customHeight="1" x14ac:dyDescent="0.3">
      <c r="A95" s="1" t="s">
        <v>123</v>
      </c>
      <c r="B95" s="1" t="s">
        <v>21</v>
      </c>
    </row>
    <row r="96" spans="1:2" ht="12.75" customHeight="1" x14ac:dyDescent="0.3">
      <c r="A96" s="1" t="s">
        <v>124</v>
      </c>
      <c r="B96" s="1" t="s">
        <v>14</v>
      </c>
    </row>
    <row r="97" spans="1:2" ht="12.75" customHeight="1" x14ac:dyDescent="0.3">
      <c r="A97" s="1" t="s">
        <v>125</v>
      </c>
      <c r="B97" s="1" t="s">
        <v>66</v>
      </c>
    </row>
    <row r="98" spans="1:2" ht="12.75" customHeight="1" x14ac:dyDescent="0.3">
      <c r="A98" s="1" t="s">
        <v>126</v>
      </c>
      <c r="B98" s="1" t="s">
        <v>30</v>
      </c>
    </row>
    <row r="99" spans="1:2" ht="12.75" customHeight="1" x14ac:dyDescent="0.3">
      <c r="A99" s="1" t="s">
        <v>127</v>
      </c>
      <c r="B99" s="1" t="s">
        <v>27</v>
      </c>
    </row>
    <row r="100" spans="1:2" ht="12.75" customHeight="1" x14ac:dyDescent="0.3">
      <c r="A100" s="1" t="s">
        <v>128</v>
      </c>
      <c r="B100" s="1" t="s">
        <v>30</v>
      </c>
    </row>
    <row r="101" spans="1:2" ht="12.75" customHeight="1" x14ac:dyDescent="0.3">
      <c r="A101" s="1" t="s">
        <v>129</v>
      </c>
      <c r="B101" s="1" t="s">
        <v>27</v>
      </c>
    </row>
    <row r="102" spans="1:2" ht="12.75" customHeight="1" x14ac:dyDescent="0.3">
      <c r="A102" s="1" t="s">
        <v>130</v>
      </c>
      <c r="B102" s="1" t="s">
        <v>16</v>
      </c>
    </row>
    <row r="103" spans="1:2" ht="12.75" customHeight="1" x14ac:dyDescent="0.3">
      <c r="A103" s="1" t="s">
        <v>131</v>
      </c>
      <c r="B103" s="1" t="s">
        <v>66</v>
      </c>
    </row>
    <row r="104" spans="1:2" ht="12.75" customHeight="1" x14ac:dyDescent="0.3">
      <c r="A104" s="1" t="s">
        <v>132</v>
      </c>
      <c r="B104" s="1" t="s">
        <v>30</v>
      </c>
    </row>
    <row r="105" spans="1:2" ht="12.75" customHeight="1" x14ac:dyDescent="0.3">
      <c r="A105" s="1" t="s">
        <v>133</v>
      </c>
      <c r="B105" s="1" t="s">
        <v>14</v>
      </c>
    </row>
    <row r="106" spans="1:2" ht="12.75" customHeight="1" x14ac:dyDescent="0.3">
      <c r="A106" s="1" t="s">
        <v>134</v>
      </c>
      <c r="B106" s="1" t="s">
        <v>42</v>
      </c>
    </row>
    <row r="107" spans="1:2" ht="12.75" customHeight="1" x14ac:dyDescent="0.3">
      <c r="A107" s="1" t="s">
        <v>135</v>
      </c>
      <c r="B107" s="1" t="s">
        <v>27</v>
      </c>
    </row>
    <row r="108" spans="1:2" ht="12.75" customHeight="1" x14ac:dyDescent="0.3">
      <c r="A108" s="1" t="s">
        <v>136</v>
      </c>
      <c r="B108" s="1" t="s">
        <v>66</v>
      </c>
    </row>
    <row r="109" spans="1:2" ht="12.75" customHeight="1" x14ac:dyDescent="0.3">
      <c r="A109" s="1" t="s">
        <v>137</v>
      </c>
      <c r="B109" s="1" t="s">
        <v>13</v>
      </c>
    </row>
    <row r="110" spans="1:2" ht="12.75" customHeight="1" x14ac:dyDescent="0.3">
      <c r="A110" s="1" t="s">
        <v>138</v>
      </c>
      <c r="B110" s="1" t="s">
        <v>42</v>
      </c>
    </row>
    <row r="111" spans="1:2" ht="12.75" customHeight="1" x14ac:dyDescent="0.3">
      <c r="A111" s="1" t="s">
        <v>139</v>
      </c>
      <c r="B111" s="1" t="s">
        <v>27</v>
      </c>
    </row>
    <row r="112" spans="1:2" ht="12.75" customHeight="1" x14ac:dyDescent="0.3">
      <c r="A112" s="1" t="s">
        <v>140</v>
      </c>
      <c r="B112" s="1" t="s">
        <v>16</v>
      </c>
    </row>
    <row r="113" spans="1:2" ht="12.75" customHeight="1" x14ac:dyDescent="0.3">
      <c r="A113" s="1" t="s">
        <v>141</v>
      </c>
      <c r="B113" s="1" t="s">
        <v>14</v>
      </c>
    </row>
    <row r="114" spans="1:2" ht="12.75" customHeight="1" x14ac:dyDescent="0.3">
      <c r="A114" s="1" t="s">
        <v>142</v>
      </c>
      <c r="B114" s="1" t="s">
        <v>16</v>
      </c>
    </row>
    <row r="115" spans="1:2" ht="12.75" customHeight="1" x14ac:dyDescent="0.3">
      <c r="A115" s="1" t="s">
        <v>143</v>
      </c>
      <c r="B115" s="1" t="s">
        <v>24</v>
      </c>
    </row>
    <row r="116" spans="1:2" ht="12.75" customHeight="1" x14ac:dyDescent="0.3">
      <c r="A116" s="1" t="s">
        <v>144</v>
      </c>
      <c r="B116" s="1" t="s">
        <v>66</v>
      </c>
    </row>
    <row r="117" spans="1:2" ht="12.75" customHeight="1" x14ac:dyDescent="0.3">
      <c r="A117" s="1" t="s">
        <v>145</v>
      </c>
      <c r="B117" s="1" t="s">
        <v>27</v>
      </c>
    </row>
    <row r="118" spans="1:2" ht="12.75" customHeight="1" x14ac:dyDescent="0.3">
      <c r="A118" s="1" t="s">
        <v>146</v>
      </c>
      <c r="B118" s="1" t="s">
        <v>30</v>
      </c>
    </row>
    <row r="119" spans="1:2" ht="12.75" customHeight="1" x14ac:dyDescent="0.3">
      <c r="A119" s="1" t="s">
        <v>147</v>
      </c>
      <c r="B119" s="1" t="s">
        <v>42</v>
      </c>
    </row>
    <row r="120" spans="1:2" ht="12.75" customHeight="1" x14ac:dyDescent="0.3">
      <c r="A120" s="1" t="s">
        <v>148</v>
      </c>
      <c r="B120" s="1" t="s">
        <v>13</v>
      </c>
    </row>
    <row r="121" spans="1:2" ht="12.75" customHeight="1" x14ac:dyDescent="0.3">
      <c r="A121" s="1" t="s">
        <v>149</v>
      </c>
      <c r="B121" s="1" t="s">
        <v>150</v>
      </c>
    </row>
    <row r="122" spans="1:2" ht="12.75" customHeight="1" x14ac:dyDescent="0.3">
      <c r="A122" s="1" t="s">
        <v>151</v>
      </c>
      <c r="B122" s="1" t="s">
        <v>24</v>
      </c>
    </row>
    <row r="123" spans="1:2" ht="12.75" customHeight="1" x14ac:dyDescent="0.3">
      <c r="A123" s="1" t="s">
        <v>152</v>
      </c>
      <c r="B123" s="1" t="s">
        <v>24</v>
      </c>
    </row>
    <row r="124" spans="1:2" ht="12.75" customHeight="1" x14ac:dyDescent="0.3">
      <c r="A124" s="1" t="s">
        <v>153</v>
      </c>
      <c r="B124" s="1" t="s">
        <v>19</v>
      </c>
    </row>
    <row r="125" spans="1:2" ht="12.75" customHeight="1" x14ac:dyDescent="0.3">
      <c r="A125" s="1" t="s">
        <v>154</v>
      </c>
      <c r="B125" s="1" t="s">
        <v>33</v>
      </c>
    </row>
    <row r="126" spans="1:2" ht="12.75" customHeight="1" x14ac:dyDescent="0.3">
      <c r="A126" s="1" t="s">
        <v>155</v>
      </c>
      <c r="B126" s="1" t="s">
        <v>13</v>
      </c>
    </row>
    <row r="127" spans="1:2" ht="12.75" customHeight="1" x14ac:dyDescent="0.3">
      <c r="A127" s="1" t="s">
        <v>156</v>
      </c>
      <c r="B127" s="1" t="s">
        <v>13</v>
      </c>
    </row>
    <row r="128" spans="1:2" ht="12.75" customHeight="1" x14ac:dyDescent="0.3">
      <c r="A128" s="1" t="s">
        <v>157</v>
      </c>
      <c r="B128" s="1" t="s">
        <v>14</v>
      </c>
    </row>
    <row r="129" spans="1:2" ht="12.75" customHeight="1" x14ac:dyDescent="0.3">
      <c r="A129" s="1" t="s">
        <v>158</v>
      </c>
      <c r="B129" s="1" t="s">
        <v>16</v>
      </c>
    </row>
    <row r="130" spans="1:2" ht="12.75" customHeight="1" x14ac:dyDescent="0.3">
      <c r="A130" s="1" t="s">
        <v>159</v>
      </c>
      <c r="B130" s="1" t="s">
        <v>13</v>
      </c>
    </row>
    <row r="131" spans="1:2" ht="12.75" customHeight="1" x14ac:dyDescent="0.3">
      <c r="A131" s="1" t="s">
        <v>160</v>
      </c>
      <c r="B131" s="1" t="s">
        <v>66</v>
      </c>
    </row>
    <row r="132" spans="1:2" ht="12.75" customHeight="1" x14ac:dyDescent="0.3">
      <c r="A132" s="1" t="s">
        <v>161</v>
      </c>
      <c r="B132" s="1" t="s">
        <v>38</v>
      </c>
    </row>
    <row r="133" spans="1:2" ht="12.75" customHeight="1" x14ac:dyDescent="0.3">
      <c r="A133" s="1" t="s">
        <v>162</v>
      </c>
      <c r="B133" s="1" t="s">
        <v>13</v>
      </c>
    </row>
    <row r="134" spans="1:2" ht="12.75" customHeight="1" x14ac:dyDescent="0.3">
      <c r="A134" s="1" t="s">
        <v>163</v>
      </c>
      <c r="B134" s="1" t="s">
        <v>66</v>
      </c>
    </row>
    <row r="135" spans="1:2" ht="12.75" customHeight="1" x14ac:dyDescent="0.3">
      <c r="A135" s="1" t="s">
        <v>164</v>
      </c>
      <c r="B135" s="1" t="s">
        <v>21</v>
      </c>
    </row>
    <row r="136" spans="1:2" ht="12.75" customHeight="1" x14ac:dyDescent="0.3">
      <c r="A136" s="1" t="s">
        <v>165</v>
      </c>
      <c r="B136" s="1" t="s">
        <v>30</v>
      </c>
    </row>
    <row r="137" spans="1:2" ht="12.75" customHeight="1" x14ac:dyDescent="0.3">
      <c r="A137" s="1" t="s">
        <v>166</v>
      </c>
      <c r="B137" s="1" t="s">
        <v>30</v>
      </c>
    </row>
    <row r="138" spans="1:2" ht="12.75" customHeight="1" x14ac:dyDescent="0.3">
      <c r="A138" s="1" t="s">
        <v>167</v>
      </c>
      <c r="B138" s="1" t="s">
        <v>19</v>
      </c>
    </row>
    <row r="139" spans="1:2" ht="12.75" customHeight="1" x14ac:dyDescent="0.3">
      <c r="A139" s="1" t="s">
        <v>168</v>
      </c>
      <c r="B139" s="1" t="s">
        <v>13</v>
      </c>
    </row>
    <row r="140" spans="1:2" ht="12.75" customHeight="1" x14ac:dyDescent="0.3">
      <c r="A140" s="1" t="s">
        <v>169</v>
      </c>
      <c r="B140" s="1" t="s">
        <v>27</v>
      </c>
    </row>
    <row r="141" spans="1:2" ht="12.75" customHeight="1" x14ac:dyDescent="0.3">
      <c r="A141" s="1" t="s">
        <v>170</v>
      </c>
      <c r="B141" s="1" t="s">
        <v>16</v>
      </c>
    </row>
    <row r="142" spans="1:2" ht="12.75" customHeight="1" x14ac:dyDescent="0.3">
      <c r="A142" s="1" t="s">
        <v>171</v>
      </c>
      <c r="B142" s="1" t="s">
        <v>19</v>
      </c>
    </row>
    <row r="143" spans="1:2" ht="12.75" customHeight="1" x14ac:dyDescent="0.3">
      <c r="A143" s="1" t="s">
        <v>172</v>
      </c>
      <c r="B143" s="1" t="s">
        <v>37</v>
      </c>
    </row>
    <row r="144" spans="1:2" ht="12.75" customHeight="1" x14ac:dyDescent="0.3">
      <c r="A144" s="1" t="s">
        <v>173</v>
      </c>
      <c r="B144" s="1" t="s">
        <v>27</v>
      </c>
    </row>
    <row r="145" spans="1:2" ht="12.75" customHeight="1" x14ac:dyDescent="0.3">
      <c r="A145" s="1" t="s">
        <v>174</v>
      </c>
      <c r="B145" s="1" t="s">
        <v>66</v>
      </c>
    </row>
    <row r="146" spans="1:2" ht="12.75" customHeight="1" x14ac:dyDescent="0.3">
      <c r="A146" s="1" t="s">
        <v>175</v>
      </c>
      <c r="B146" s="1" t="s">
        <v>14</v>
      </c>
    </row>
    <row r="147" spans="1:2" ht="12.75" customHeight="1" x14ac:dyDescent="0.3">
      <c r="A147" s="1" t="s">
        <v>176</v>
      </c>
      <c r="B147" s="1" t="s">
        <v>66</v>
      </c>
    </row>
    <row r="148" spans="1:2" ht="12.75" customHeight="1" x14ac:dyDescent="0.3">
      <c r="A148" s="1" t="s">
        <v>177</v>
      </c>
      <c r="B148" s="1" t="s">
        <v>42</v>
      </c>
    </row>
    <row r="149" spans="1:2" ht="12.75" customHeight="1" x14ac:dyDescent="0.3">
      <c r="A149" s="1" t="s">
        <v>178</v>
      </c>
      <c r="B149" s="1" t="s">
        <v>33</v>
      </c>
    </row>
    <row r="150" spans="1:2" ht="12.75" customHeight="1" x14ac:dyDescent="0.3">
      <c r="A150" s="1" t="s">
        <v>179</v>
      </c>
      <c r="B150" s="1" t="s">
        <v>14</v>
      </c>
    </row>
    <row r="151" spans="1:2" ht="12.75" customHeight="1" x14ac:dyDescent="0.3">
      <c r="A151" s="1" t="s">
        <v>180</v>
      </c>
      <c r="B151" s="1" t="s">
        <v>13</v>
      </c>
    </row>
    <row r="152" spans="1:2" ht="12.75" customHeight="1" x14ac:dyDescent="0.3">
      <c r="A152" s="1" t="s">
        <v>181</v>
      </c>
      <c r="B152" s="1" t="s">
        <v>24</v>
      </c>
    </row>
    <row r="153" spans="1:2" ht="12.75" customHeight="1" x14ac:dyDescent="0.3">
      <c r="A153" s="1" t="s">
        <v>182</v>
      </c>
      <c r="B153" s="1" t="s">
        <v>19</v>
      </c>
    </row>
    <row r="154" spans="1:2" ht="12.75" customHeight="1" x14ac:dyDescent="0.3">
      <c r="A154" s="1" t="s">
        <v>183</v>
      </c>
      <c r="B154" s="1" t="s">
        <v>42</v>
      </c>
    </row>
    <row r="155" spans="1:2" ht="12.75" customHeight="1" x14ac:dyDescent="0.3">
      <c r="A155" s="1" t="s">
        <v>184</v>
      </c>
      <c r="B155" s="1" t="s">
        <v>19</v>
      </c>
    </row>
    <row r="156" spans="1:2" ht="12.75" customHeight="1" x14ac:dyDescent="0.3">
      <c r="A156" s="1" t="s">
        <v>185</v>
      </c>
      <c r="B156" s="1" t="s">
        <v>30</v>
      </c>
    </row>
    <row r="157" spans="1:2" ht="12.75" customHeight="1" x14ac:dyDescent="0.3"/>
    <row r="158" spans="1:2" ht="12.75" customHeight="1" x14ac:dyDescent="0.3"/>
    <row r="159" spans="1:2" ht="12.75" customHeight="1" x14ac:dyDescent="0.3"/>
    <row r="160" spans="1:2" ht="13" x14ac:dyDescent="0.3"/>
    <row r="161" ht="13" x14ac:dyDescent="0.3"/>
    <row r="162" ht="13" x14ac:dyDescent="0.3"/>
    <row r="163" ht="13" x14ac:dyDescent="0.3"/>
    <row r="164" ht="13" x14ac:dyDescent="0.3"/>
    <row r="165" ht="13" x14ac:dyDescent="0.3"/>
    <row r="166" ht="13" x14ac:dyDescent="0.3"/>
    <row r="167" ht="13" x14ac:dyDescent="0.3"/>
    <row r="168" ht="13" x14ac:dyDescent="0.3"/>
    <row r="169" ht="13" x14ac:dyDescent="0.3"/>
    <row r="170" ht="13" x14ac:dyDescent="0.3"/>
    <row r="171" ht="13" x14ac:dyDescent="0.3"/>
    <row r="172" ht="13" x14ac:dyDescent="0.3"/>
    <row r="173" ht="13" x14ac:dyDescent="0.3"/>
    <row r="174" ht="13" x14ac:dyDescent="0.3"/>
    <row r="175" ht="13" x14ac:dyDescent="0.3"/>
    <row r="176" ht="13" x14ac:dyDescent="0.3"/>
    <row r="177" ht="13" x14ac:dyDescent="0.3"/>
    <row r="178" ht="13" x14ac:dyDescent="0.3"/>
    <row r="179" ht="13" x14ac:dyDescent="0.3"/>
    <row r="180" ht="13" x14ac:dyDescent="0.3"/>
    <row r="181" ht="13" x14ac:dyDescent="0.3"/>
    <row r="182" ht="13" x14ac:dyDescent="0.3"/>
    <row r="183" ht="13" x14ac:dyDescent="0.3"/>
    <row r="184" ht="13" x14ac:dyDescent="0.3"/>
    <row r="185" ht="13" x14ac:dyDescent="0.3"/>
    <row r="186" ht="13" x14ac:dyDescent="0.3"/>
    <row r="187" ht="13" x14ac:dyDescent="0.3"/>
    <row r="188" ht="13" x14ac:dyDescent="0.3"/>
    <row r="189" ht="13" x14ac:dyDescent="0.3"/>
    <row r="190" ht="13" x14ac:dyDescent="0.3"/>
    <row r="191" ht="13" x14ac:dyDescent="0.3"/>
    <row r="192" ht="13" x14ac:dyDescent="0.3"/>
    <row r="193" ht="13" x14ac:dyDescent="0.3"/>
    <row r="194" ht="13" x14ac:dyDescent="0.3"/>
    <row r="195" ht="13" x14ac:dyDescent="0.3"/>
    <row r="196" ht="13" x14ac:dyDescent="0.3"/>
    <row r="197" ht="13" x14ac:dyDescent="0.3"/>
    <row r="198" ht="13" x14ac:dyDescent="0.3"/>
    <row r="199" ht="13" x14ac:dyDescent="0.3"/>
    <row r="200" ht="13" x14ac:dyDescent="0.3"/>
    <row r="201" ht="13" x14ac:dyDescent="0.3"/>
    <row r="202" ht="13" x14ac:dyDescent="0.3"/>
    <row r="203" ht="13" x14ac:dyDescent="0.3"/>
    <row r="204" ht="13" x14ac:dyDescent="0.3"/>
    <row r="205" ht="13" x14ac:dyDescent="0.3"/>
    <row r="206" ht="13" x14ac:dyDescent="0.3"/>
    <row r="207" ht="13" x14ac:dyDescent="0.3"/>
    <row r="208" ht="13" x14ac:dyDescent="0.3"/>
    <row r="209" ht="13" x14ac:dyDescent="0.3"/>
    <row r="210" ht="13" x14ac:dyDescent="0.3"/>
    <row r="211" ht="13" x14ac:dyDescent="0.3"/>
    <row r="212" ht="13" x14ac:dyDescent="0.3"/>
    <row r="213" ht="13" x14ac:dyDescent="0.3"/>
    <row r="214" ht="13" x14ac:dyDescent="0.3"/>
    <row r="215" ht="13" x14ac:dyDescent="0.3"/>
    <row r="216" ht="13" x14ac:dyDescent="0.3"/>
    <row r="217" ht="13" x14ac:dyDescent="0.3"/>
    <row r="218" ht="13" x14ac:dyDescent="0.3"/>
    <row r="219" ht="13" x14ac:dyDescent="0.3"/>
    <row r="220" ht="13" x14ac:dyDescent="0.3"/>
    <row r="221" ht="13" x14ac:dyDescent="0.3"/>
    <row r="222" ht="13" x14ac:dyDescent="0.3"/>
    <row r="223" ht="13" x14ac:dyDescent="0.3"/>
    <row r="224" ht="13" x14ac:dyDescent="0.3"/>
    <row r="225" ht="13" x14ac:dyDescent="0.3"/>
    <row r="226" ht="13" x14ac:dyDescent="0.3"/>
    <row r="227" ht="13" x14ac:dyDescent="0.3"/>
    <row r="228" ht="13" x14ac:dyDescent="0.3"/>
    <row r="229" ht="13" x14ac:dyDescent="0.3"/>
    <row r="230" ht="13" x14ac:dyDescent="0.3"/>
    <row r="231" ht="13" x14ac:dyDescent="0.3"/>
    <row r="232" ht="13" x14ac:dyDescent="0.3"/>
    <row r="233" ht="13" x14ac:dyDescent="0.3"/>
    <row r="234" ht="13" x14ac:dyDescent="0.3"/>
    <row r="235" ht="13" x14ac:dyDescent="0.3"/>
    <row r="236" ht="13" x14ac:dyDescent="0.3"/>
    <row r="237" ht="13" x14ac:dyDescent="0.3"/>
    <row r="238" ht="13" x14ac:dyDescent="0.3"/>
    <row r="239" ht="13" x14ac:dyDescent="0.3"/>
    <row r="240" ht="13" x14ac:dyDescent="0.3"/>
    <row r="241" ht="13" x14ac:dyDescent="0.3"/>
    <row r="242" ht="13" x14ac:dyDescent="0.3"/>
    <row r="243" ht="13" x14ac:dyDescent="0.3"/>
    <row r="244" ht="13" x14ac:dyDescent="0.3"/>
    <row r="245" ht="13" x14ac:dyDescent="0.3"/>
    <row r="246" ht="13" x14ac:dyDescent="0.3"/>
    <row r="247" ht="13" x14ac:dyDescent="0.3"/>
    <row r="248" ht="13" x14ac:dyDescent="0.3"/>
    <row r="249" ht="13" x14ac:dyDescent="0.3"/>
    <row r="250" ht="13" x14ac:dyDescent="0.3"/>
    <row r="251" ht="13" x14ac:dyDescent="0.3"/>
    <row r="252" ht="13" x14ac:dyDescent="0.3"/>
    <row r="253" ht="13" x14ac:dyDescent="0.3"/>
    <row r="254" ht="13" x14ac:dyDescent="0.3"/>
    <row r="255" ht="13" x14ac:dyDescent="0.3"/>
    <row r="256" ht="13" x14ac:dyDescent="0.3"/>
    <row r="257" ht="13" x14ac:dyDescent="0.3"/>
    <row r="258" ht="13" x14ac:dyDescent="0.3"/>
    <row r="259" ht="13" x14ac:dyDescent="0.3"/>
    <row r="260" ht="13" x14ac:dyDescent="0.3"/>
    <row r="261" ht="13" x14ac:dyDescent="0.3"/>
    <row r="262" ht="13" x14ac:dyDescent="0.3"/>
    <row r="263" ht="13" x14ac:dyDescent="0.3"/>
    <row r="264" ht="13" x14ac:dyDescent="0.3"/>
    <row r="265" ht="13" x14ac:dyDescent="0.3"/>
    <row r="266" ht="13" x14ac:dyDescent="0.3"/>
    <row r="267" ht="13" x14ac:dyDescent="0.3"/>
    <row r="268" ht="13" x14ac:dyDescent="0.3"/>
    <row r="269" ht="13" x14ac:dyDescent="0.3"/>
    <row r="270" ht="13" x14ac:dyDescent="0.3"/>
    <row r="271" ht="13" x14ac:dyDescent="0.3"/>
    <row r="272" ht="13" x14ac:dyDescent="0.3"/>
    <row r="273" ht="13" x14ac:dyDescent="0.3"/>
    <row r="274" ht="13" x14ac:dyDescent="0.3"/>
    <row r="275" ht="13" x14ac:dyDescent="0.3"/>
    <row r="276" ht="13" x14ac:dyDescent="0.3"/>
    <row r="277" ht="13" x14ac:dyDescent="0.3"/>
    <row r="278" ht="13" x14ac:dyDescent="0.3"/>
    <row r="279" ht="13" x14ac:dyDescent="0.3"/>
    <row r="280" ht="13" x14ac:dyDescent="0.3"/>
    <row r="281" ht="13" x14ac:dyDescent="0.3"/>
    <row r="282" ht="13" x14ac:dyDescent="0.3"/>
    <row r="283" ht="13" x14ac:dyDescent="0.3"/>
    <row r="284" ht="13" x14ac:dyDescent="0.3"/>
    <row r="285" ht="13" x14ac:dyDescent="0.3"/>
    <row r="286" ht="13" x14ac:dyDescent="0.3"/>
    <row r="287" ht="13" x14ac:dyDescent="0.3"/>
    <row r="288" ht="13" x14ac:dyDescent="0.3"/>
    <row r="289" ht="13" x14ac:dyDescent="0.3"/>
    <row r="290" ht="13" x14ac:dyDescent="0.3"/>
    <row r="291" ht="13" x14ac:dyDescent="0.3"/>
    <row r="292" ht="13" x14ac:dyDescent="0.3"/>
    <row r="293" ht="13" x14ac:dyDescent="0.3"/>
    <row r="294" ht="13" x14ac:dyDescent="0.3"/>
    <row r="295" ht="13" x14ac:dyDescent="0.3"/>
    <row r="296" ht="13" x14ac:dyDescent="0.3"/>
    <row r="297" ht="13" x14ac:dyDescent="0.3"/>
    <row r="298" ht="13" x14ac:dyDescent="0.3"/>
    <row r="299" ht="13" x14ac:dyDescent="0.3"/>
    <row r="300" ht="13" x14ac:dyDescent="0.3"/>
    <row r="301" ht="13" x14ac:dyDescent="0.3"/>
    <row r="302" ht="13" x14ac:dyDescent="0.3"/>
    <row r="303" ht="13" x14ac:dyDescent="0.3"/>
    <row r="304" ht="13" x14ac:dyDescent="0.3"/>
    <row r="305" ht="13" x14ac:dyDescent="0.3"/>
    <row r="306" ht="13" x14ac:dyDescent="0.3"/>
    <row r="307" ht="13" x14ac:dyDescent="0.3"/>
    <row r="308" ht="13" x14ac:dyDescent="0.3"/>
    <row r="309" ht="13" x14ac:dyDescent="0.3"/>
    <row r="310" ht="13" x14ac:dyDescent="0.3"/>
    <row r="311" ht="13" x14ac:dyDescent="0.3"/>
    <row r="312" ht="13" x14ac:dyDescent="0.3"/>
    <row r="313" ht="13" x14ac:dyDescent="0.3"/>
    <row r="314" ht="13" x14ac:dyDescent="0.3"/>
    <row r="315" ht="13" x14ac:dyDescent="0.3"/>
    <row r="316" ht="13" x14ac:dyDescent="0.3"/>
    <row r="317" ht="13" x14ac:dyDescent="0.3"/>
    <row r="318" ht="13" x14ac:dyDescent="0.3"/>
    <row r="319" ht="13" x14ac:dyDescent="0.3"/>
    <row r="320" ht="13" x14ac:dyDescent="0.3"/>
    <row r="321" ht="13" x14ac:dyDescent="0.3"/>
    <row r="322" ht="13" x14ac:dyDescent="0.3"/>
    <row r="323" ht="13" x14ac:dyDescent="0.3"/>
    <row r="324" ht="13" x14ac:dyDescent="0.3"/>
    <row r="325" ht="13" x14ac:dyDescent="0.3"/>
    <row r="326" ht="13" x14ac:dyDescent="0.3"/>
    <row r="327" ht="13" x14ac:dyDescent="0.3"/>
    <row r="328" ht="13" x14ac:dyDescent="0.3"/>
    <row r="329" ht="13" x14ac:dyDescent="0.3"/>
    <row r="330" ht="13" x14ac:dyDescent="0.3"/>
    <row r="331" ht="13" x14ac:dyDescent="0.3"/>
    <row r="332" ht="13" x14ac:dyDescent="0.3"/>
    <row r="333" ht="13" x14ac:dyDescent="0.3"/>
    <row r="334" ht="13" x14ac:dyDescent="0.3"/>
    <row r="335" ht="13" x14ac:dyDescent="0.3"/>
    <row r="336" ht="13" x14ac:dyDescent="0.3"/>
    <row r="337" ht="13" x14ac:dyDescent="0.3"/>
    <row r="338" ht="13" x14ac:dyDescent="0.3"/>
    <row r="339" ht="13" x14ac:dyDescent="0.3"/>
    <row r="340" ht="13" x14ac:dyDescent="0.3"/>
    <row r="341" ht="13" x14ac:dyDescent="0.3"/>
    <row r="342" ht="13" x14ac:dyDescent="0.3"/>
    <row r="343" ht="13" x14ac:dyDescent="0.3"/>
    <row r="344" ht="13" x14ac:dyDescent="0.3"/>
    <row r="345" ht="13" x14ac:dyDescent="0.3"/>
    <row r="346" ht="13" x14ac:dyDescent="0.3"/>
    <row r="347" ht="13" x14ac:dyDescent="0.3"/>
    <row r="348" ht="13" x14ac:dyDescent="0.3"/>
    <row r="349" ht="13" x14ac:dyDescent="0.3"/>
    <row r="350" ht="13" x14ac:dyDescent="0.3"/>
    <row r="351" ht="13" x14ac:dyDescent="0.3"/>
    <row r="352" ht="13" x14ac:dyDescent="0.3"/>
    <row r="353" ht="13" x14ac:dyDescent="0.3"/>
    <row r="354" ht="13" x14ac:dyDescent="0.3"/>
    <row r="355" ht="13" x14ac:dyDescent="0.3"/>
    <row r="356" ht="13" x14ac:dyDescent="0.3"/>
    <row r="357" ht="13" x14ac:dyDescent="0.3"/>
    <row r="358" ht="13" x14ac:dyDescent="0.3"/>
    <row r="359" ht="13" x14ac:dyDescent="0.3"/>
    <row r="360" ht="13" x14ac:dyDescent="0.3"/>
    <row r="361" ht="13" x14ac:dyDescent="0.3"/>
    <row r="362" ht="13" x14ac:dyDescent="0.3"/>
    <row r="363" ht="13" x14ac:dyDescent="0.3"/>
    <row r="364" ht="13" x14ac:dyDescent="0.3"/>
    <row r="365" ht="13" x14ac:dyDescent="0.3"/>
    <row r="366" ht="13" x14ac:dyDescent="0.3"/>
    <row r="367" ht="13" x14ac:dyDescent="0.3"/>
    <row r="368" ht="13" x14ac:dyDescent="0.3"/>
    <row r="369" ht="13" x14ac:dyDescent="0.3"/>
    <row r="370" ht="13" x14ac:dyDescent="0.3"/>
    <row r="371" ht="13" x14ac:dyDescent="0.3"/>
    <row r="372" ht="13" x14ac:dyDescent="0.3"/>
    <row r="373" ht="13" x14ac:dyDescent="0.3"/>
    <row r="374" ht="13" x14ac:dyDescent="0.3"/>
    <row r="375" ht="13" x14ac:dyDescent="0.3"/>
    <row r="376" ht="13" x14ac:dyDescent="0.3"/>
    <row r="377" ht="13" x14ac:dyDescent="0.3"/>
    <row r="378" ht="13" x14ac:dyDescent="0.3"/>
    <row r="379" ht="13" x14ac:dyDescent="0.3"/>
    <row r="380" ht="13" x14ac:dyDescent="0.3"/>
    <row r="381" ht="13" x14ac:dyDescent="0.3"/>
    <row r="382" ht="13" x14ac:dyDescent="0.3"/>
    <row r="383" ht="13" x14ac:dyDescent="0.3"/>
    <row r="384" ht="13" x14ac:dyDescent="0.3"/>
    <row r="385" ht="13" x14ac:dyDescent="0.3"/>
    <row r="386" ht="13" x14ac:dyDescent="0.3"/>
    <row r="387" ht="13" x14ac:dyDescent="0.3"/>
    <row r="388" ht="13" x14ac:dyDescent="0.3"/>
    <row r="389" ht="13" x14ac:dyDescent="0.3"/>
    <row r="390" ht="13" x14ac:dyDescent="0.3"/>
    <row r="391" ht="13" x14ac:dyDescent="0.3"/>
    <row r="392" ht="13" x14ac:dyDescent="0.3"/>
    <row r="393" ht="13" x14ac:dyDescent="0.3"/>
    <row r="394" ht="13" x14ac:dyDescent="0.3"/>
    <row r="395" ht="13" x14ac:dyDescent="0.3"/>
    <row r="396" ht="13" x14ac:dyDescent="0.3"/>
    <row r="397" ht="13" x14ac:dyDescent="0.3"/>
    <row r="398" ht="13" x14ac:dyDescent="0.3"/>
    <row r="399" ht="13" x14ac:dyDescent="0.3"/>
    <row r="400" ht="13" x14ac:dyDescent="0.3"/>
    <row r="401" ht="13" x14ac:dyDescent="0.3"/>
    <row r="402" ht="13" x14ac:dyDescent="0.3"/>
    <row r="403" ht="13" x14ac:dyDescent="0.3"/>
    <row r="404" ht="13" x14ac:dyDescent="0.3"/>
    <row r="405" ht="13" x14ac:dyDescent="0.3"/>
    <row r="406" ht="13" x14ac:dyDescent="0.3"/>
    <row r="407" ht="13" x14ac:dyDescent="0.3"/>
    <row r="408" ht="13" x14ac:dyDescent="0.3"/>
    <row r="409" ht="13" x14ac:dyDescent="0.3"/>
    <row r="410" ht="13" x14ac:dyDescent="0.3"/>
    <row r="411" ht="13" x14ac:dyDescent="0.3"/>
    <row r="412" ht="13" x14ac:dyDescent="0.3"/>
    <row r="413" ht="13" x14ac:dyDescent="0.3"/>
    <row r="414" ht="13" x14ac:dyDescent="0.3"/>
    <row r="415" ht="13" x14ac:dyDescent="0.3"/>
    <row r="416" ht="13" x14ac:dyDescent="0.3"/>
    <row r="417" ht="13" x14ac:dyDescent="0.3"/>
    <row r="418" ht="13" x14ac:dyDescent="0.3"/>
    <row r="419" ht="13" x14ac:dyDescent="0.3"/>
    <row r="420" ht="13" x14ac:dyDescent="0.3"/>
    <row r="421" ht="13" x14ac:dyDescent="0.3"/>
    <row r="422" ht="13" x14ac:dyDescent="0.3"/>
    <row r="423" ht="13" x14ac:dyDescent="0.3"/>
    <row r="424" ht="13" x14ac:dyDescent="0.3"/>
    <row r="425" ht="13" x14ac:dyDescent="0.3"/>
    <row r="426" ht="13" x14ac:dyDescent="0.3"/>
    <row r="427" ht="13" x14ac:dyDescent="0.3"/>
    <row r="428" ht="13" x14ac:dyDescent="0.3"/>
    <row r="429" ht="13" x14ac:dyDescent="0.3"/>
    <row r="430" ht="13" x14ac:dyDescent="0.3"/>
    <row r="431" ht="13" x14ac:dyDescent="0.3"/>
    <row r="432" ht="13" x14ac:dyDescent="0.3"/>
    <row r="433" ht="13" x14ac:dyDescent="0.3"/>
    <row r="434" ht="13" x14ac:dyDescent="0.3"/>
    <row r="435" ht="13" x14ac:dyDescent="0.3"/>
    <row r="436" ht="13" x14ac:dyDescent="0.3"/>
    <row r="437" ht="13" x14ac:dyDescent="0.3"/>
    <row r="438" ht="13" x14ac:dyDescent="0.3"/>
    <row r="439" ht="13" x14ac:dyDescent="0.3"/>
    <row r="440" ht="13" x14ac:dyDescent="0.3"/>
    <row r="441" ht="13" x14ac:dyDescent="0.3"/>
    <row r="442" ht="13" x14ac:dyDescent="0.3"/>
    <row r="443" ht="13" x14ac:dyDescent="0.3"/>
    <row r="444" ht="13" x14ac:dyDescent="0.3"/>
    <row r="445" ht="13" x14ac:dyDescent="0.3"/>
    <row r="446" ht="13" x14ac:dyDescent="0.3"/>
    <row r="447" ht="13" x14ac:dyDescent="0.3"/>
    <row r="448" ht="13" x14ac:dyDescent="0.3"/>
    <row r="449" ht="13" x14ac:dyDescent="0.3"/>
    <row r="450" ht="13" x14ac:dyDescent="0.3"/>
    <row r="451" ht="13" x14ac:dyDescent="0.3"/>
    <row r="452" ht="13" x14ac:dyDescent="0.3"/>
    <row r="453" ht="13" x14ac:dyDescent="0.3"/>
    <row r="454" ht="13" x14ac:dyDescent="0.3"/>
    <row r="455" ht="13" x14ac:dyDescent="0.3"/>
    <row r="456" ht="13" x14ac:dyDescent="0.3"/>
    <row r="457" ht="13" x14ac:dyDescent="0.3"/>
    <row r="458" ht="13" x14ac:dyDescent="0.3"/>
    <row r="459" ht="13" x14ac:dyDescent="0.3"/>
    <row r="460" ht="13" x14ac:dyDescent="0.3"/>
    <row r="461" ht="13" x14ac:dyDescent="0.3"/>
    <row r="462" ht="13" x14ac:dyDescent="0.3"/>
    <row r="463" ht="13" x14ac:dyDescent="0.3"/>
    <row r="464" ht="13" x14ac:dyDescent="0.3"/>
    <row r="465" ht="13" x14ac:dyDescent="0.3"/>
    <row r="466" ht="13" x14ac:dyDescent="0.3"/>
    <row r="467" ht="13" x14ac:dyDescent="0.3"/>
    <row r="468" ht="13" x14ac:dyDescent="0.3"/>
    <row r="469" ht="13" x14ac:dyDescent="0.3"/>
    <row r="470" ht="13" x14ac:dyDescent="0.3"/>
    <row r="471" ht="13" x14ac:dyDescent="0.3"/>
    <row r="472" ht="13" x14ac:dyDescent="0.3"/>
    <row r="473" ht="13" x14ac:dyDescent="0.3"/>
    <row r="474" ht="13" x14ac:dyDescent="0.3"/>
    <row r="475" ht="13" x14ac:dyDescent="0.3"/>
    <row r="476" ht="13" x14ac:dyDescent="0.3"/>
    <row r="477" ht="13" x14ac:dyDescent="0.3"/>
    <row r="478" ht="13" x14ac:dyDescent="0.3"/>
    <row r="479" ht="13" x14ac:dyDescent="0.3"/>
    <row r="480" ht="13" x14ac:dyDescent="0.3"/>
    <row r="481" ht="13" x14ac:dyDescent="0.3"/>
    <row r="482" ht="13" x14ac:dyDescent="0.3"/>
    <row r="483" ht="13" x14ac:dyDescent="0.3"/>
    <row r="484" ht="13" x14ac:dyDescent="0.3"/>
    <row r="485" ht="13" x14ac:dyDescent="0.3"/>
    <row r="486" ht="13" x14ac:dyDescent="0.3"/>
    <row r="487" ht="13" x14ac:dyDescent="0.3"/>
    <row r="488" ht="13" x14ac:dyDescent="0.3"/>
    <row r="489" ht="13" x14ac:dyDescent="0.3"/>
    <row r="490" ht="13" x14ac:dyDescent="0.3"/>
    <row r="491" ht="13" x14ac:dyDescent="0.3"/>
    <row r="492" ht="13" x14ac:dyDescent="0.3"/>
    <row r="493" ht="13" x14ac:dyDescent="0.3"/>
    <row r="494" ht="13" x14ac:dyDescent="0.3"/>
    <row r="495" ht="13" x14ac:dyDescent="0.3"/>
    <row r="496" ht="13" x14ac:dyDescent="0.3"/>
    <row r="497" ht="13" x14ac:dyDescent="0.3"/>
    <row r="498" ht="13" x14ac:dyDescent="0.3"/>
    <row r="499" ht="13" x14ac:dyDescent="0.3"/>
    <row r="500" ht="13" x14ac:dyDescent="0.3"/>
    <row r="501" ht="13" x14ac:dyDescent="0.3"/>
    <row r="502" ht="13" x14ac:dyDescent="0.3"/>
    <row r="503" ht="13" x14ac:dyDescent="0.3"/>
    <row r="504" ht="13" x14ac:dyDescent="0.3"/>
    <row r="505" ht="13" x14ac:dyDescent="0.3"/>
    <row r="506" ht="13" x14ac:dyDescent="0.3"/>
    <row r="507" ht="13" x14ac:dyDescent="0.3"/>
    <row r="508" ht="13" x14ac:dyDescent="0.3"/>
    <row r="509" ht="13" x14ac:dyDescent="0.3"/>
    <row r="510" ht="13" x14ac:dyDescent="0.3"/>
    <row r="511" ht="13" x14ac:dyDescent="0.3"/>
    <row r="512" ht="13" x14ac:dyDescent="0.3"/>
    <row r="513" ht="13" x14ac:dyDescent="0.3"/>
    <row r="514" ht="13" x14ac:dyDescent="0.3"/>
    <row r="515" ht="13" x14ac:dyDescent="0.3"/>
    <row r="516" ht="13" x14ac:dyDescent="0.3"/>
    <row r="517" ht="13" x14ac:dyDescent="0.3"/>
    <row r="518" ht="13" x14ac:dyDescent="0.3"/>
    <row r="519" ht="13" x14ac:dyDescent="0.3"/>
    <row r="520" ht="13" x14ac:dyDescent="0.3"/>
    <row r="521" ht="13" x14ac:dyDescent="0.3"/>
    <row r="522" ht="13" x14ac:dyDescent="0.3"/>
    <row r="523" ht="13" x14ac:dyDescent="0.3"/>
    <row r="524" ht="13" x14ac:dyDescent="0.3"/>
    <row r="525" ht="13" x14ac:dyDescent="0.3"/>
    <row r="526" ht="13" x14ac:dyDescent="0.3"/>
    <row r="527" ht="13" x14ac:dyDescent="0.3"/>
    <row r="528" ht="13" x14ac:dyDescent="0.3"/>
    <row r="529" ht="13" x14ac:dyDescent="0.3"/>
    <row r="530" ht="13" x14ac:dyDescent="0.3"/>
    <row r="531" ht="13" x14ac:dyDescent="0.3"/>
    <row r="532" ht="13" x14ac:dyDescent="0.3"/>
    <row r="533" ht="13" x14ac:dyDescent="0.3"/>
    <row r="534" ht="13" x14ac:dyDescent="0.3"/>
    <row r="535" ht="13" x14ac:dyDescent="0.3"/>
    <row r="536" ht="13" x14ac:dyDescent="0.3"/>
    <row r="537" ht="13" x14ac:dyDescent="0.3"/>
    <row r="538" ht="13" x14ac:dyDescent="0.3"/>
    <row r="539" ht="13" x14ac:dyDescent="0.3"/>
    <row r="540" ht="13" x14ac:dyDescent="0.3"/>
    <row r="541" ht="13" x14ac:dyDescent="0.3"/>
    <row r="542" ht="13" x14ac:dyDescent="0.3"/>
    <row r="543" ht="13" x14ac:dyDescent="0.3"/>
    <row r="544" ht="13" x14ac:dyDescent="0.3"/>
    <row r="545" ht="13" x14ac:dyDescent="0.3"/>
    <row r="546" ht="13" x14ac:dyDescent="0.3"/>
    <row r="547" ht="13" x14ac:dyDescent="0.3"/>
    <row r="548" ht="13" x14ac:dyDescent="0.3"/>
    <row r="549" ht="13" x14ac:dyDescent="0.3"/>
    <row r="550" ht="13" x14ac:dyDescent="0.3"/>
    <row r="551" ht="13" x14ac:dyDescent="0.3"/>
    <row r="552" ht="13" x14ac:dyDescent="0.3"/>
    <row r="553" ht="13" x14ac:dyDescent="0.3"/>
    <row r="554" ht="13" x14ac:dyDescent="0.3"/>
    <row r="555" ht="13" x14ac:dyDescent="0.3"/>
    <row r="556" ht="13" x14ac:dyDescent="0.3"/>
    <row r="557" ht="13" x14ac:dyDescent="0.3"/>
    <row r="558" ht="13" x14ac:dyDescent="0.3"/>
    <row r="559" ht="13" x14ac:dyDescent="0.3"/>
    <row r="560" ht="13" x14ac:dyDescent="0.3"/>
    <row r="561" ht="13" x14ac:dyDescent="0.3"/>
    <row r="562" ht="13" x14ac:dyDescent="0.3"/>
    <row r="563" ht="13" x14ac:dyDescent="0.3"/>
    <row r="564" ht="13" x14ac:dyDescent="0.3"/>
    <row r="565" ht="13" x14ac:dyDescent="0.3"/>
    <row r="566" ht="13" x14ac:dyDescent="0.3"/>
    <row r="567" ht="13" x14ac:dyDescent="0.3"/>
    <row r="568" ht="13" x14ac:dyDescent="0.3"/>
    <row r="569" ht="13" x14ac:dyDescent="0.3"/>
    <row r="570" ht="13" x14ac:dyDescent="0.3"/>
    <row r="571" ht="13" x14ac:dyDescent="0.3"/>
    <row r="572" ht="13" x14ac:dyDescent="0.3"/>
    <row r="573" ht="13" x14ac:dyDescent="0.3"/>
    <row r="574" ht="13" x14ac:dyDescent="0.3"/>
    <row r="575" ht="13" x14ac:dyDescent="0.3"/>
    <row r="576" ht="13" x14ac:dyDescent="0.3"/>
    <row r="577" ht="13" x14ac:dyDescent="0.3"/>
    <row r="578" ht="13" x14ac:dyDescent="0.3"/>
    <row r="579" ht="13" x14ac:dyDescent="0.3"/>
    <row r="580" ht="13" x14ac:dyDescent="0.3"/>
    <row r="581" ht="13" x14ac:dyDescent="0.3"/>
    <row r="582" ht="13" x14ac:dyDescent="0.3"/>
    <row r="583" ht="13" x14ac:dyDescent="0.3"/>
    <row r="584" ht="13" x14ac:dyDescent="0.3"/>
    <row r="585" ht="13" x14ac:dyDescent="0.3"/>
    <row r="586" ht="13" x14ac:dyDescent="0.3"/>
    <row r="587" ht="13" x14ac:dyDescent="0.3"/>
    <row r="588" ht="13" x14ac:dyDescent="0.3"/>
    <row r="589" ht="13" x14ac:dyDescent="0.3"/>
    <row r="590" ht="13" x14ac:dyDescent="0.3"/>
    <row r="591" ht="13" x14ac:dyDescent="0.3"/>
    <row r="592" ht="13" x14ac:dyDescent="0.3"/>
    <row r="593" ht="13" x14ac:dyDescent="0.3"/>
    <row r="594" ht="13" x14ac:dyDescent="0.3"/>
    <row r="595" ht="13" x14ac:dyDescent="0.3"/>
    <row r="596" ht="13" x14ac:dyDescent="0.3"/>
    <row r="597" ht="13" x14ac:dyDescent="0.3"/>
    <row r="598" ht="13" x14ac:dyDescent="0.3"/>
    <row r="599" ht="13" x14ac:dyDescent="0.3"/>
    <row r="600" ht="13" x14ac:dyDescent="0.3"/>
    <row r="601" ht="13" x14ac:dyDescent="0.3"/>
    <row r="602" ht="13" x14ac:dyDescent="0.3"/>
    <row r="603" ht="13" x14ac:dyDescent="0.3"/>
    <row r="604" ht="13" x14ac:dyDescent="0.3"/>
    <row r="605" ht="13" x14ac:dyDescent="0.3"/>
    <row r="606" ht="13" x14ac:dyDescent="0.3"/>
    <row r="607" ht="13" x14ac:dyDescent="0.3"/>
    <row r="608" ht="13" x14ac:dyDescent="0.3"/>
    <row r="609" ht="13" x14ac:dyDescent="0.3"/>
    <row r="610" ht="13" x14ac:dyDescent="0.3"/>
    <row r="611" ht="13" x14ac:dyDescent="0.3"/>
    <row r="612" ht="13" x14ac:dyDescent="0.3"/>
    <row r="613" ht="13" x14ac:dyDescent="0.3"/>
    <row r="614" ht="13" x14ac:dyDescent="0.3"/>
    <row r="615" ht="13" x14ac:dyDescent="0.3"/>
    <row r="616" ht="13" x14ac:dyDescent="0.3"/>
    <row r="617" ht="13" x14ac:dyDescent="0.3"/>
    <row r="618" ht="13" x14ac:dyDescent="0.3"/>
    <row r="619" ht="13" x14ac:dyDescent="0.3"/>
    <row r="620" ht="13" x14ac:dyDescent="0.3"/>
    <row r="621" ht="13" x14ac:dyDescent="0.3"/>
    <row r="622" ht="13" x14ac:dyDescent="0.3"/>
    <row r="623" ht="13" x14ac:dyDescent="0.3"/>
    <row r="624" ht="13" x14ac:dyDescent="0.3"/>
    <row r="625" ht="13" x14ac:dyDescent="0.3"/>
    <row r="626" ht="13" x14ac:dyDescent="0.3"/>
    <row r="627" ht="13" x14ac:dyDescent="0.3"/>
    <row r="628" ht="13" x14ac:dyDescent="0.3"/>
    <row r="629" ht="13" x14ac:dyDescent="0.3"/>
    <row r="630" ht="13" x14ac:dyDescent="0.3"/>
    <row r="631" ht="13" x14ac:dyDescent="0.3"/>
    <row r="632" ht="13" x14ac:dyDescent="0.3"/>
    <row r="633" ht="13" x14ac:dyDescent="0.3"/>
    <row r="634" ht="13" x14ac:dyDescent="0.3"/>
    <row r="635" ht="13" x14ac:dyDescent="0.3"/>
    <row r="636" ht="13" x14ac:dyDescent="0.3"/>
    <row r="637" ht="13" x14ac:dyDescent="0.3"/>
    <row r="638" ht="13" x14ac:dyDescent="0.3"/>
    <row r="639" ht="13" x14ac:dyDescent="0.3"/>
    <row r="640" ht="13" x14ac:dyDescent="0.3"/>
    <row r="641" ht="13" x14ac:dyDescent="0.3"/>
    <row r="642" ht="13" x14ac:dyDescent="0.3"/>
    <row r="643" ht="13" x14ac:dyDescent="0.3"/>
    <row r="644" ht="13" x14ac:dyDescent="0.3"/>
    <row r="645" ht="13" x14ac:dyDescent="0.3"/>
    <row r="646" ht="13" x14ac:dyDescent="0.3"/>
    <row r="647" ht="13" x14ac:dyDescent="0.3"/>
    <row r="648" ht="13" x14ac:dyDescent="0.3"/>
    <row r="649" ht="13" x14ac:dyDescent="0.3"/>
    <row r="650" ht="13" x14ac:dyDescent="0.3"/>
    <row r="651" ht="13" x14ac:dyDescent="0.3"/>
    <row r="652" ht="13" x14ac:dyDescent="0.3"/>
    <row r="653" ht="13" x14ac:dyDescent="0.3"/>
    <row r="654" ht="13" x14ac:dyDescent="0.3"/>
    <row r="655" ht="13" x14ac:dyDescent="0.3"/>
    <row r="656" ht="13" x14ac:dyDescent="0.3"/>
    <row r="657" ht="13" x14ac:dyDescent="0.3"/>
    <row r="658" ht="13" x14ac:dyDescent="0.3"/>
    <row r="659" ht="13" x14ac:dyDescent="0.3"/>
    <row r="660" ht="13" x14ac:dyDescent="0.3"/>
    <row r="661" ht="13" x14ac:dyDescent="0.3"/>
    <row r="662" ht="13" x14ac:dyDescent="0.3"/>
    <row r="663" ht="13" x14ac:dyDescent="0.3"/>
    <row r="664" ht="13" x14ac:dyDescent="0.3"/>
    <row r="665" ht="13" x14ac:dyDescent="0.3"/>
    <row r="666" ht="13" x14ac:dyDescent="0.3"/>
    <row r="667" ht="13" x14ac:dyDescent="0.3"/>
    <row r="668" ht="13" x14ac:dyDescent="0.3"/>
    <row r="669" ht="13" x14ac:dyDescent="0.3"/>
    <row r="670" ht="13" x14ac:dyDescent="0.3"/>
    <row r="671" ht="13" x14ac:dyDescent="0.3"/>
    <row r="672" ht="13" x14ac:dyDescent="0.3"/>
    <row r="673" ht="13" x14ac:dyDescent="0.3"/>
    <row r="674" ht="13" x14ac:dyDescent="0.3"/>
    <row r="675" ht="13" x14ac:dyDescent="0.3"/>
    <row r="676" ht="13" x14ac:dyDescent="0.3"/>
    <row r="677" ht="13" x14ac:dyDescent="0.3"/>
    <row r="678" ht="13" x14ac:dyDescent="0.3"/>
    <row r="679" ht="13" x14ac:dyDescent="0.3"/>
    <row r="680" ht="13" x14ac:dyDescent="0.3"/>
    <row r="681" ht="13" x14ac:dyDescent="0.3"/>
    <row r="682" ht="13" x14ac:dyDescent="0.3"/>
    <row r="683" ht="13" x14ac:dyDescent="0.3"/>
    <row r="684" ht="13" x14ac:dyDescent="0.3"/>
    <row r="685" ht="13" x14ac:dyDescent="0.3"/>
    <row r="686" ht="13" x14ac:dyDescent="0.3"/>
    <row r="687" ht="13" x14ac:dyDescent="0.3"/>
    <row r="688" ht="13" x14ac:dyDescent="0.3"/>
    <row r="689" ht="13" x14ac:dyDescent="0.3"/>
    <row r="690" ht="13" x14ac:dyDescent="0.3"/>
    <row r="691" ht="13" x14ac:dyDescent="0.3"/>
    <row r="692" ht="13" x14ac:dyDescent="0.3"/>
    <row r="693" ht="13" x14ac:dyDescent="0.3"/>
    <row r="694" ht="13" x14ac:dyDescent="0.3"/>
    <row r="695" ht="13" x14ac:dyDescent="0.3"/>
    <row r="696" ht="13" x14ac:dyDescent="0.3"/>
    <row r="697" ht="13" x14ac:dyDescent="0.3"/>
    <row r="698" ht="13" x14ac:dyDescent="0.3"/>
    <row r="699" ht="13" x14ac:dyDescent="0.3"/>
    <row r="700" ht="13" x14ac:dyDescent="0.3"/>
    <row r="701" ht="13" x14ac:dyDescent="0.3"/>
    <row r="702" ht="13" x14ac:dyDescent="0.3"/>
    <row r="703" ht="13" x14ac:dyDescent="0.3"/>
    <row r="704" ht="13" x14ac:dyDescent="0.3"/>
    <row r="705" ht="13" x14ac:dyDescent="0.3"/>
    <row r="706" ht="13" x14ac:dyDescent="0.3"/>
    <row r="707" ht="13" x14ac:dyDescent="0.3"/>
    <row r="708" ht="13" x14ac:dyDescent="0.3"/>
    <row r="709" ht="13" x14ac:dyDescent="0.3"/>
    <row r="710" ht="13" x14ac:dyDescent="0.3"/>
    <row r="711" ht="13" x14ac:dyDescent="0.3"/>
    <row r="712" ht="13" x14ac:dyDescent="0.3"/>
    <row r="713" ht="13" x14ac:dyDescent="0.3"/>
    <row r="714" ht="13" x14ac:dyDescent="0.3"/>
    <row r="715" ht="13" x14ac:dyDescent="0.3"/>
    <row r="716" ht="13" x14ac:dyDescent="0.3"/>
    <row r="717" ht="13" x14ac:dyDescent="0.3"/>
    <row r="718" ht="13" x14ac:dyDescent="0.3"/>
    <row r="719" ht="13" x14ac:dyDescent="0.3"/>
    <row r="720" ht="13" x14ac:dyDescent="0.3"/>
    <row r="721" ht="13" x14ac:dyDescent="0.3"/>
    <row r="722" ht="13" x14ac:dyDescent="0.3"/>
    <row r="723" ht="13" x14ac:dyDescent="0.3"/>
    <row r="724" ht="13" x14ac:dyDescent="0.3"/>
    <row r="725" ht="13" x14ac:dyDescent="0.3"/>
    <row r="726" ht="13" x14ac:dyDescent="0.3"/>
    <row r="727" ht="13" x14ac:dyDescent="0.3"/>
    <row r="728" ht="13" x14ac:dyDescent="0.3"/>
    <row r="729" ht="13" x14ac:dyDescent="0.3"/>
    <row r="730" ht="13" x14ac:dyDescent="0.3"/>
    <row r="731" ht="13" x14ac:dyDescent="0.3"/>
    <row r="732" ht="13" x14ac:dyDescent="0.3"/>
    <row r="733" ht="13" x14ac:dyDescent="0.3"/>
    <row r="734" ht="13" x14ac:dyDescent="0.3"/>
    <row r="735" ht="13" x14ac:dyDescent="0.3"/>
    <row r="736" ht="13" x14ac:dyDescent="0.3"/>
    <row r="737" ht="13" x14ac:dyDescent="0.3"/>
    <row r="738" ht="13" x14ac:dyDescent="0.3"/>
    <row r="739" ht="13" x14ac:dyDescent="0.3"/>
    <row r="740" ht="13" x14ac:dyDescent="0.3"/>
    <row r="741" ht="13" x14ac:dyDescent="0.3"/>
    <row r="742" ht="13" x14ac:dyDescent="0.3"/>
    <row r="743" ht="13" x14ac:dyDescent="0.3"/>
    <row r="744" ht="13" x14ac:dyDescent="0.3"/>
    <row r="745" ht="13" x14ac:dyDescent="0.3"/>
    <row r="746" ht="13" x14ac:dyDescent="0.3"/>
    <row r="747" ht="13" x14ac:dyDescent="0.3"/>
    <row r="748" ht="13" x14ac:dyDescent="0.3"/>
    <row r="749" ht="13" x14ac:dyDescent="0.3"/>
    <row r="750" ht="13" x14ac:dyDescent="0.3"/>
    <row r="751" ht="13" x14ac:dyDescent="0.3"/>
    <row r="752" ht="13" x14ac:dyDescent="0.3"/>
    <row r="753" ht="13" x14ac:dyDescent="0.3"/>
    <row r="754" ht="13" x14ac:dyDescent="0.3"/>
    <row r="755" ht="13" x14ac:dyDescent="0.3"/>
    <row r="756" ht="13" x14ac:dyDescent="0.3"/>
    <row r="757" ht="13" x14ac:dyDescent="0.3"/>
    <row r="758" ht="13" x14ac:dyDescent="0.3"/>
    <row r="759" ht="13" x14ac:dyDescent="0.3"/>
    <row r="760" ht="13" x14ac:dyDescent="0.3"/>
    <row r="761" ht="13" x14ac:dyDescent="0.3"/>
    <row r="762" ht="13" x14ac:dyDescent="0.3"/>
    <row r="763" ht="13" x14ac:dyDescent="0.3"/>
    <row r="764" ht="13" x14ac:dyDescent="0.3"/>
    <row r="765" ht="13" x14ac:dyDescent="0.3"/>
    <row r="766" ht="13" x14ac:dyDescent="0.3"/>
    <row r="767" ht="13" x14ac:dyDescent="0.3"/>
    <row r="768" ht="13" x14ac:dyDescent="0.3"/>
    <row r="769" ht="13" x14ac:dyDescent="0.3"/>
    <row r="770" ht="13" x14ac:dyDescent="0.3"/>
    <row r="771" ht="13" x14ac:dyDescent="0.3"/>
    <row r="772" ht="13" x14ac:dyDescent="0.3"/>
    <row r="773" ht="13" x14ac:dyDescent="0.3"/>
    <row r="774" ht="13" x14ac:dyDescent="0.3"/>
    <row r="775" ht="13" x14ac:dyDescent="0.3"/>
    <row r="776" ht="13" x14ac:dyDescent="0.3"/>
    <row r="777" ht="13" x14ac:dyDescent="0.3"/>
    <row r="778" ht="13" x14ac:dyDescent="0.3"/>
    <row r="779" ht="13" x14ac:dyDescent="0.3"/>
    <row r="780" ht="13" x14ac:dyDescent="0.3"/>
    <row r="781" ht="13" x14ac:dyDescent="0.3"/>
    <row r="782" ht="13" x14ac:dyDescent="0.3"/>
    <row r="783" ht="13" x14ac:dyDescent="0.3"/>
    <row r="784" ht="13" x14ac:dyDescent="0.3"/>
    <row r="785" ht="13" x14ac:dyDescent="0.3"/>
    <row r="786" ht="13" x14ac:dyDescent="0.3"/>
    <row r="787" ht="13" x14ac:dyDescent="0.3"/>
    <row r="788" ht="13" x14ac:dyDescent="0.3"/>
    <row r="789" ht="13" x14ac:dyDescent="0.3"/>
    <row r="790" ht="13" x14ac:dyDescent="0.3"/>
    <row r="791" ht="13" x14ac:dyDescent="0.3"/>
    <row r="792" ht="13" x14ac:dyDescent="0.3"/>
    <row r="793" ht="13" x14ac:dyDescent="0.3"/>
    <row r="794" ht="13" x14ac:dyDescent="0.3"/>
    <row r="795" ht="13" x14ac:dyDescent="0.3"/>
    <row r="796" ht="13" x14ac:dyDescent="0.3"/>
    <row r="797" ht="13" x14ac:dyDescent="0.3"/>
    <row r="798" ht="13" x14ac:dyDescent="0.3"/>
    <row r="799" ht="13" x14ac:dyDescent="0.3"/>
    <row r="800" ht="13" x14ac:dyDescent="0.3"/>
    <row r="801" ht="13" x14ac:dyDescent="0.3"/>
    <row r="802" ht="13" x14ac:dyDescent="0.3"/>
    <row r="803" ht="13" x14ac:dyDescent="0.3"/>
    <row r="804" ht="13" x14ac:dyDescent="0.3"/>
    <row r="805" ht="13" x14ac:dyDescent="0.3"/>
    <row r="806" ht="13" x14ac:dyDescent="0.3"/>
    <row r="807" ht="13" x14ac:dyDescent="0.3"/>
    <row r="808" ht="13" x14ac:dyDescent="0.3"/>
    <row r="809" ht="13" x14ac:dyDescent="0.3"/>
    <row r="810" ht="13" x14ac:dyDescent="0.3"/>
    <row r="811" ht="13" x14ac:dyDescent="0.3"/>
    <row r="812" ht="13" x14ac:dyDescent="0.3"/>
    <row r="813" ht="13" x14ac:dyDescent="0.3"/>
    <row r="814" ht="13" x14ac:dyDescent="0.3"/>
    <row r="815" ht="13" x14ac:dyDescent="0.3"/>
    <row r="816" ht="13" x14ac:dyDescent="0.3"/>
    <row r="817" ht="13" x14ac:dyDescent="0.3"/>
    <row r="818" ht="13" x14ac:dyDescent="0.3"/>
    <row r="819" ht="13" x14ac:dyDescent="0.3"/>
    <row r="820" ht="13" x14ac:dyDescent="0.3"/>
    <row r="821" ht="13" x14ac:dyDescent="0.3"/>
    <row r="822" ht="13" x14ac:dyDescent="0.3"/>
    <row r="823" ht="13" x14ac:dyDescent="0.3"/>
    <row r="824" ht="13" x14ac:dyDescent="0.3"/>
    <row r="825" ht="13" x14ac:dyDescent="0.3"/>
    <row r="826" ht="13" x14ac:dyDescent="0.3"/>
    <row r="827" ht="13" x14ac:dyDescent="0.3"/>
    <row r="828" ht="13" x14ac:dyDescent="0.3"/>
    <row r="829" ht="13" x14ac:dyDescent="0.3"/>
    <row r="830" ht="13" x14ac:dyDescent="0.3"/>
    <row r="831" ht="13" x14ac:dyDescent="0.3"/>
    <row r="832" ht="13" x14ac:dyDescent="0.3"/>
    <row r="833" ht="13" x14ac:dyDescent="0.3"/>
    <row r="834" ht="13" x14ac:dyDescent="0.3"/>
    <row r="835" ht="13" x14ac:dyDescent="0.3"/>
    <row r="836" ht="13" x14ac:dyDescent="0.3"/>
    <row r="837" ht="13" x14ac:dyDescent="0.3"/>
    <row r="838" ht="13" x14ac:dyDescent="0.3"/>
    <row r="839" ht="13" x14ac:dyDescent="0.3"/>
    <row r="840" ht="13" x14ac:dyDescent="0.3"/>
    <row r="841" ht="13" x14ac:dyDescent="0.3"/>
    <row r="842" ht="13" x14ac:dyDescent="0.3"/>
    <row r="843" ht="13" x14ac:dyDescent="0.3"/>
    <row r="844" ht="13" x14ac:dyDescent="0.3"/>
    <row r="845" ht="13" x14ac:dyDescent="0.3"/>
    <row r="846" ht="13" x14ac:dyDescent="0.3"/>
    <row r="847" ht="13" x14ac:dyDescent="0.3"/>
    <row r="848" ht="13" x14ac:dyDescent="0.3"/>
    <row r="849" ht="13" x14ac:dyDescent="0.3"/>
    <row r="850" ht="13" x14ac:dyDescent="0.3"/>
    <row r="851" ht="13" x14ac:dyDescent="0.3"/>
    <row r="852" ht="13" x14ac:dyDescent="0.3"/>
    <row r="853" ht="13" x14ac:dyDescent="0.3"/>
    <row r="854" ht="13" x14ac:dyDescent="0.3"/>
    <row r="855" ht="13" x14ac:dyDescent="0.3"/>
    <row r="856" ht="13" x14ac:dyDescent="0.3"/>
    <row r="857" ht="13" x14ac:dyDescent="0.3"/>
    <row r="858" ht="13" x14ac:dyDescent="0.3"/>
    <row r="859" ht="13" x14ac:dyDescent="0.3"/>
    <row r="860" ht="13" x14ac:dyDescent="0.3"/>
    <row r="861" ht="13" x14ac:dyDescent="0.3"/>
    <row r="862" ht="13" x14ac:dyDescent="0.3"/>
    <row r="863" ht="13" x14ac:dyDescent="0.3"/>
    <row r="864" ht="13" x14ac:dyDescent="0.3"/>
    <row r="865" ht="13" x14ac:dyDescent="0.3"/>
    <row r="866" ht="13" x14ac:dyDescent="0.3"/>
    <row r="867" ht="13" x14ac:dyDescent="0.3"/>
    <row r="868" ht="13" x14ac:dyDescent="0.3"/>
    <row r="869" ht="13" x14ac:dyDescent="0.3"/>
    <row r="870" ht="13" x14ac:dyDescent="0.3"/>
    <row r="871" ht="13" x14ac:dyDescent="0.3"/>
    <row r="872" ht="13" x14ac:dyDescent="0.3"/>
    <row r="873" ht="13" x14ac:dyDescent="0.3"/>
    <row r="874" ht="13" x14ac:dyDescent="0.3"/>
    <row r="875" ht="13" x14ac:dyDescent="0.3"/>
    <row r="876" ht="13" x14ac:dyDescent="0.3"/>
    <row r="877" ht="13" x14ac:dyDescent="0.3"/>
    <row r="878" ht="13" x14ac:dyDescent="0.3"/>
    <row r="879" ht="13" x14ac:dyDescent="0.3"/>
    <row r="880" ht="13" x14ac:dyDescent="0.3"/>
    <row r="881" ht="13" x14ac:dyDescent="0.3"/>
    <row r="882" ht="13" x14ac:dyDescent="0.3"/>
    <row r="883" ht="13" x14ac:dyDescent="0.3"/>
    <row r="884" ht="13" x14ac:dyDescent="0.3"/>
    <row r="885" ht="13" x14ac:dyDescent="0.3"/>
    <row r="886" ht="13" x14ac:dyDescent="0.3"/>
    <row r="887" ht="13" x14ac:dyDescent="0.3"/>
    <row r="888" ht="13" x14ac:dyDescent="0.3"/>
    <row r="889" ht="13" x14ac:dyDescent="0.3"/>
    <row r="890" ht="13" x14ac:dyDescent="0.3"/>
    <row r="891" ht="13" x14ac:dyDescent="0.3"/>
    <row r="892" ht="13" x14ac:dyDescent="0.3"/>
    <row r="893" ht="13" x14ac:dyDescent="0.3"/>
    <row r="894" ht="13" x14ac:dyDescent="0.3"/>
    <row r="895" ht="13" x14ac:dyDescent="0.3"/>
    <row r="896" ht="13" x14ac:dyDescent="0.3"/>
    <row r="897" ht="13" x14ac:dyDescent="0.3"/>
    <row r="898" ht="13" x14ac:dyDescent="0.3"/>
    <row r="899" ht="13" x14ac:dyDescent="0.3"/>
    <row r="900" ht="13" x14ac:dyDescent="0.3"/>
    <row r="901" ht="13" x14ac:dyDescent="0.3"/>
    <row r="902" ht="13" x14ac:dyDescent="0.3"/>
    <row r="903" ht="13" x14ac:dyDescent="0.3"/>
    <row r="904" ht="13" x14ac:dyDescent="0.3"/>
    <row r="905" ht="13" x14ac:dyDescent="0.3"/>
    <row r="906" ht="13" x14ac:dyDescent="0.3"/>
    <row r="907" ht="13" x14ac:dyDescent="0.3"/>
    <row r="908" ht="13" x14ac:dyDescent="0.3"/>
    <row r="909" ht="13" x14ac:dyDescent="0.3"/>
    <row r="910" ht="13" x14ac:dyDescent="0.3"/>
    <row r="911" ht="13" x14ac:dyDescent="0.3"/>
    <row r="912" ht="13" x14ac:dyDescent="0.3"/>
    <row r="913" ht="13" x14ac:dyDescent="0.3"/>
    <row r="914" ht="13" x14ac:dyDescent="0.3"/>
    <row r="915" ht="13" x14ac:dyDescent="0.3"/>
    <row r="916" ht="13" x14ac:dyDescent="0.3"/>
    <row r="917" ht="13" x14ac:dyDescent="0.3"/>
    <row r="918" ht="13" x14ac:dyDescent="0.3"/>
    <row r="919" ht="13" x14ac:dyDescent="0.3"/>
    <row r="920" ht="13" x14ac:dyDescent="0.3"/>
    <row r="921" ht="13" x14ac:dyDescent="0.3"/>
    <row r="922" ht="13" x14ac:dyDescent="0.3"/>
    <row r="923" ht="13" x14ac:dyDescent="0.3"/>
    <row r="924" ht="13" x14ac:dyDescent="0.3"/>
    <row r="925" ht="13" x14ac:dyDescent="0.3"/>
    <row r="926" ht="13" x14ac:dyDescent="0.3"/>
    <row r="927" ht="13" x14ac:dyDescent="0.3"/>
    <row r="928" ht="13" x14ac:dyDescent="0.3"/>
    <row r="929" ht="13" x14ac:dyDescent="0.3"/>
    <row r="930" ht="13" x14ac:dyDescent="0.3"/>
    <row r="931" ht="13" x14ac:dyDescent="0.3"/>
    <row r="932" ht="13" x14ac:dyDescent="0.3"/>
    <row r="933" ht="13" x14ac:dyDescent="0.3"/>
    <row r="934" ht="13" x14ac:dyDescent="0.3"/>
    <row r="935" ht="13" x14ac:dyDescent="0.3"/>
    <row r="936" ht="13" x14ac:dyDescent="0.3"/>
    <row r="937" ht="13" x14ac:dyDescent="0.3"/>
    <row r="938" ht="13" x14ac:dyDescent="0.3"/>
    <row r="939" ht="13" x14ac:dyDescent="0.3"/>
    <row r="940" ht="13" x14ac:dyDescent="0.3"/>
    <row r="941" ht="13" x14ac:dyDescent="0.3"/>
    <row r="942" ht="13" x14ac:dyDescent="0.3"/>
    <row r="943" ht="13" x14ac:dyDescent="0.3"/>
    <row r="944" ht="13" x14ac:dyDescent="0.3"/>
    <row r="945" ht="13" x14ac:dyDescent="0.3"/>
    <row r="946" ht="13" x14ac:dyDescent="0.3"/>
    <row r="947" ht="13" x14ac:dyDescent="0.3"/>
    <row r="948" ht="13" x14ac:dyDescent="0.3"/>
    <row r="949" ht="13" x14ac:dyDescent="0.3"/>
    <row r="950" ht="13" x14ac:dyDescent="0.3"/>
    <row r="951" ht="13" x14ac:dyDescent="0.3"/>
    <row r="952" ht="13" x14ac:dyDescent="0.3"/>
    <row r="953" ht="13" x14ac:dyDescent="0.3"/>
    <row r="954" ht="13" x14ac:dyDescent="0.3"/>
    <row r="955" ht="13" x14ac:dyDescent="0.3"/>
    <row r="956" ht="13" x14ac:dyDescent="0.3"/>
    <row r="957" ht="13" x14ac:dyDescent="0.3"/>
    <row r="958" ht="13" x14ac:dyDescent="0.3"/>
    <row r="959" ht="13" x14ac:dyDescent="0.3"/>
    <row r="960" ht="13" x14ac:dyDescent="0.3"/>
    <row r="961" ht="13" x14ac:dyDescent="0.3"/>
    <row r="962" ht="13" x14ac:dyDescent="0.3"/>
    <row r="963" ht="13" x14ac:dyDescent="0.3"/>
    <row r="964" ht="13" x14ac:dyDescent="0.3"/>
    <row r="965" ht="13" x14ac:dyDescent="0.3"/>
    <row r="966" ht="13" x14ac:dyDescent="0.3"/>
    <row r="967" ht="13" x14ac:dyDescent="0.3"/>
    <row r="968" ht="13" x14ac:dyDescent="0.3"/>
    <row r="969" ht="13" x14ac:dyDescent="0.3"/>
    <row r="970" ht="13" x14ac:dyDescent="0.3"/>
    <row r="971" ht="13" x14ac:dyDescent="0.3"/>
    <row r="972" ht="13" x14ac:dyDescent="0.3"/>
    <row r="973" ht="13" x14ac:dyDescent="0.3"/>
    <row r="974" ht="13" x14ac:dyDescent="0.3"/>
    <row r="975" ht="13" x14ac:dyDescent="0.3"/>
    <row r="976" ht="13" x14ac:dyDescent="0.3"/>
    <row r="977" ht="13" x14ac:dyDescent="0.3"/>
    <row r="978" ht="13" x14ac:dyDescent="0.3"/>
    <row r="979" ht="13" x14ac:dyDescent="0.3"/>
    <row r="980" ht="13" x14ac:dyDescent="0.3"/>
    <row r="981" ht="13" x14ac:dyDescent="0.3"/>
    <row r="982" ht="13" x14ac:dyDescent="0.3"/>
    <row r="983" ht="13" x14ac:dyDescent="0.3"/>
    <row r="984" ht="13" x14ac:dyDescent="0.3"/>
    <row r="985" ht="13" x14ac:dyDescent="0.3"/>
    <row r="986" ht="13" x14ac:dyDescent="0.3"/>
    <row r="987" ht="13" x14ac:dyDescent="0.3"/>
    <row r="988" ht="13" x14ac:dyDescent="0.3"/>
    <row r="989" ht="13" x14ac:dyDescent="0.3"/>
    <row r="990" ht="13" x14ac:dyDescent="0.3"/>
    <row r="991" ht="13" x14ac:dyDescent="0.3"/>
    <row r="992" ht="13" x14ac:dyDescent="0.3"/>
    <row r="993" ht="13" x14ac:dyDescent="0.3"/>
    <row r="994" ht="13" x14ac:dyDescent="0.3"/>
    <row r="995" ht="13" x14ac:dyDescent="0.3"/>
    <row r="996" ht="13" x14ac:dyDescent="0.3"/>
    <row r="997" ht="13" x14ac:dyDescent="0.3"/>
    <row r="998" ht="13" x14ac:dyDescent="0.3"/>
    <row r="999" ht="13" x14ac:dyDescent="0.3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43</vt:i4>
      </vt:variant>
    </vt:vector>
  </HeadingPairs>
  <TitlesOfParts>
    <vt:vector size="43" baseType="lpstr">
      <vt:lpstr>Art1</vt:lpstr>
      <vt:lpstr>Art2</vt:lpstr>
      <vt:lpstr>Art3</vt:lpstr>
      <vt:lpstr>Art4</vt:lpstr>
      <vt:lpstr>Art5</vt:lpstr>
      <vt:lpstr>Art6</vt:lpstr>
      <vt:lpstr>Art7</vt:lpstr>
      <vt:lpstr>Art8</vt:lpstr>
      <vt:lpstr>Art9</vt:lpstr>
      <vt:lpstr>Art10</vt:lpstr>
      <vt:lpstr>Art11</vt:lpstr>
      <vt:lpstr>Art12</vt:lpstr>
      <vt:lpstr>Art13</vt:lpstr>
      <vt:lpstr>Art14</vt:lpstr>
      <vt:lpstr>Art15</vt:lpstr>
      <vt:lpstr>Art16</vt:lpstr>
      <vt:lpstr>Art17</vt:lpstr>
      <vt:lpstr>Art18</vt:lpstr>
      <vt:lpstr>Art19</vt:lpstr>
      <vt:lpstr>Art20</vt:lpstr>
      <vt:lpstr>Art21</vt:lpstr>
      <vt:lpstr>Art22</vt:lpstr>
      <vt:lpstr>Art23</vt:lpstr>
      <vt:lpstr>Art24</vt:lpstr>
      <vt:lpstr>Art25</vt:lpstr>
      <vt:lpstr>Art26</vt:lpstr>
      <vt:lpstr>Art27</vt:lpstr>
      <vt:lpstr>Art28</vt:lpstr>
      <vt:lpstr>Art29</vt:lpstr>
      <vt:lpstr>Art30</vt:lpstr>
      <vt:lpstr>Art31</vt:lpstr>
      <vt:lpstr>Art32</vt:lpstr>
      <vt:lpstr>Art33</vt:lpstr>
      <vt:lpstr>Art34</vt:lpstr>
      <vt:lpstr>Art35</vt:lpstr>
      <vt:lpstr>Art36</vt:lpstr>
      <vt:lpstr>Art37</vt:lpstr>
      <vt:lpstr>Art38</vt:lpstr>
      <vt:lpstr>ArtT1</vt:lpstr>
      <vt:lpstr>ArtT2</vt:lpstr>
      <vt:lpstr>General</vt:lpstr>
      <vt:lpstr>Constituyente</vt:lpstr>
      <vt:lpstr>Tabla 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bastias</dc:creator>
  <cp:lastModifiedBy>alfredo bastias</cp:lastModifiedBy>
  <dcterms:created xsi:type="dcterms:W3CDTF">2025-07-19T00:33:45Z</dcterms:created>
  <dcterms:modified xsi:type="dcterms:W3CDTF">2026-05-28T20:29:30Z</dcterms:modified>
</cp:coreProperties>
</file>